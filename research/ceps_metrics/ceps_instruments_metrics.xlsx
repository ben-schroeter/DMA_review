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ments" sheetId="1" state="visible" r:id="rId3"/>
    <sheet name="secondary_acts" sheetId="2" state="visible" r:id="rId4"/>
    <sheet name="amendments" sheetId="3" state="visible" r:id="rId5"/>
    <sheet name="guidance_web" sheetId="4" state="visible" r:id="rId6"/>
    <sheet name="guidance_agencies" sheetId="5" state="visible" r:id="rId7"/>
    <sheet name="method" sheetId="6" state="visible" r:id="rId8"/>
    <sheet name="validation" sheetId="7" state="visible" r:id="rId9"/>
  </sheets>
  <definedNames>
    <definedName function="false" hidden="true" localSheetId="2" name="_xlnm._FilterDatabase" vbProcedure="false">amendments!$A$1:$H$544</definedName>
    <definedName function="false" hidden="true" localSheetId="4" name="_xlnm._FilterDatabase" vbProcedure="false">guidance_agencies!$A$1:$V$81</definedName>
    <definedName function="false" hidden="true" localSheetId="3" name="_xlnm._FilterDatabase" vbProcedure="false">guidance_web!$A$1:$H$7</definedName>
    <definedName function="false" hidden="true" localSheetId="0" name="_xlnm._FilterDatabase" vbProcedure="false">instruments!$A$1:$BJ$117</definedName>
    <definedName function="false" hidden="true" localSheetId="1" name="_xlnm._FilterDatabase" vbProcedure="false">secondary_acts!$A$1:$AC$771</definedName>
    <definedName function="false" hidden="true" localSheetId="6" name="_xlnm._FilterDatabase" vbProcedure="false">validation!$A$1:$I$6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<sst xmlns="http://schemas.openxmlformats.org/spreadsheetml/2006/main" count="13380" uniqueCount="5626">
  <si>
    <t xml:space="preserve">row_id</t>
  </si>
  <si>
    <t xml:space="preserve">name</t>
  </si>
  <si>
    <t xml:space="preserve">identifier</t>
  </si>
  <si>
    <t xml:space="preserve">policy_area_ceps</t>
  </si>
  <si>
    <t xml:space="preserve">ceps_table_status</t>
  </si>
  <si>
    <t xml:space="preserve">proposal_date</t>
  </si>
  <si>
    <t xml:space="preserve">confidence_proposal_date</t>
  </si>
  <si>
    <t xml:space="preserve">adoption_date</t>
  </si>
  <si>
    <t xml:space="preserve">oj_publication_date</t>
  </si>
  <si>
    <t xml:space="preserve">entry_into_force</t>
  </si>
  <si>
    <t xml:space="preserve">status_ceps_jul2025</t>
  </si>
  <si>
    <t xml:space="preserve">status_oct2026</t>
  </si>
  <si>
    <t xml:space="preserve">celex_measured</t>
  </si>
  <si>
    <t xml:space="preserve">text_measured</t>
  </si>
  <si>
    <t xml:space="preserve">source_url</t>
  </si>
  <si>
    <t xml:space="preserve">pages</t>
  </si>
  <si>
    <t xml:space="preserve">words_legal_text</t>
  </si>
  <si>
    <t xml:space="preserve">words_preamble</t>
  </si>
  <si>
    <t xml:space="preserve">words_recitals</t>
  </si>
  <si>
    <t xml:space="preserve">words_articles</t>
  </si>
  <si>
    <t xml:space="preserve">words_annexes</t>
  </si>
  <si>
    <t xml:space="preserve">words_memorandum</t>
  </si>
  <si>
    <t xml:space="preserve">words_financial_statement</t>
  </si>
  <si>
    <t xml:space="preserve">restrictions_total</t>
  </si>
  <si>
    <t xml:space="preserve">r_obligation</t>
  </si>
  <si>
    <t xml:space="preserve">r_prohibition</t>
  </si>
  <si>
    <t xml:space="preserve">r_restricted_permission</t>
  </si>
  <si>
    <t xml:space="preserve">r_explicit_requirement</t>
  </si>
  <si>
    <t xml:space="preserve">r_duty_of_result</t>
  </si>
  <si>
    <t xml:space="preserve">addr_private_parties</t>
  </si>
  <si>
    <t xml:space="preserve">addr_member_states</t>
  </si>
  <si>
    <t xml:space="preserve">addr_eu_institutions</t>
  </si>
  <si>
    <t xml:space="preserve">addr_unclear</t>
  </si>
  <si>
    <t xml:space="preserve">consolidated_celex</t>
  </si>
  <si>
    <t xml:space="preserve">consolidated_restrictions_total</t>
  </si>
  <si>
    <t xml:space="preserve">consolidated_addr_private_parties</t>
  </si>
  <si>
    <t xml:space="preserve">n_implementing_acts</t>
  </si>
  <si>
    <t xml:space="preserve">n_delegated_acts</t>
  </si>
  <si>
    <t xml:space="preserve">n_other_commission_council_acts</t>
  </si>
  <si>
    <t xml:space="preserve">n_guidance_eurlex</t>
  </si>
  <si>
    <t xml:space="preserve">n_guidance_web</t>
  </si>
  <si>
    <t xml:space="preserve">n_guidance_edpb</t>
  </si>
  <si>
    <t xml:space="preserve">n_guidance_eba</t>
  </si>
  <si>
    <t xml:space="preserve">n_guidance_esma</t>
  </si>
  <si>
    <t xml:space="preserve">restrictions_in_implementing_and_delegated_acts</t>
  </si>
  <si>
    <t xml:space="preserve">national_transposition_measures</t>
  </si>
  <si>
    <t xml:space="preserve">member_states_with_measures</t>
  </si>
  <si>
    <t xml:space="preserve">n_amending_acts</t>
  </si>
  <si>
    <t xml:space="preserve">first_amendment_date</t>
  </si>
  <si>
    <t xml:space="preserve">latest_amendment_date</t>
  </si>
  <si>
    <t xml:space="preserve">n_corrigenda</t>
  </si>
  <si>
    <t xml:space="preserve">proposal_celex</t>
  </si>
  <si>
    <t xml:space="preserve">proposal_text_source</t>
  </si>
  <si>
    <t xml:space="preserve">proposal_words_legal_text</t>
  </si>
  <si>
    <t xml:space="preserve">proposal_restrictions_total</t>
  </si>
  <si>
    <t xml:space="preserve">proposal_addr_private_parties</t>
  </si>
  <si>
    <t xml:space="preserve">change_words</t>
  </si>
  <si>
    <t xml:space="preserve">change_words_pct</t>
  </si>
  <si>
    <t xml:space="preserve">change_restrictions</t>
  </si>
  <si>
    <t xml:space="preserve">change_restrictions_pct</t>
  </si>
  <si>
    <t xml:space="preserve">change_restrictions_private</t>
  </si>
  <si>
    <t xml:space="preserve">note</t>
  </si>
  <si>
    <t xml:space="preserve">Frequency Bands Directive (GSM)</t>
  </si>
  <si>
    <t xml:space="preserve">Directive 87/372/EEC</t>
  </si>
  <si>
    <t xml:space="preserve">Connectivity</t>
  </si>
  <si>
    <t xml:space="preserve">enacted</t>
  </si>
  <si>
    <t xml:space="preserve">1986-09-01</t>
  </si>
  <si>
    <t xml:space="preserve">low</t>
  </si>
  <si>
    <t xml:space="preserve">1987-06-25</t>
  </si>
  <si>
    <t xml:space="preserve">1987-06-30</t>
  </si>
  <si>
    <t xml:space="preserve">adopted</t>
  </si>
  <si>
    <t xml:space="preserve">31987L0372</t>
  </si>
  <si>
    <t xml:space="preserve">Original act as published in the OJ</t>
  </si>
  <si>
    <t xml:space="preserve">https://eur-lex.europa.eu/legal-content/EN/TXT/?uri=CELEX:31987L0372</t>
  </si>
  <si>
    <t xml:space="preserve">01987L0372-19870630</t>
  </si>
  <si>
    <t xml:space="preserve">2009-09-16</t>
  </si>
  <si>
    <t xml:space="preserve">51987PC0035(02)</t>
  </si>
  <si>
    <t xml:space="preserve">PDF text (approximate)</t>
  </si>
  <si>
    <t xml:space="preserve">Unfair Contract Terms Directive</t>
  </si>
  <si>
    <t xml:space="preserve">Directive 93/13/EEC</t>
  </si>
  <si>
    <t xml:space="preserve">E-commerce &amp; Consumer Protection</t>
  </si>
  <si>
    <t xml:space="preserve">1990-07-24</t>
  </si>
  <si>
    <t xml:space="preserve">medium</t>
  </si>
  <si>
    <t xml:space="preserve">1993-04-05</t>
  </si>
  <si>
    <t xml:space="preserve">1993-04-21</t>
  </si>
  <si>
    <t xml:space="preserve">1993-04-16</t>
  </si>
  <si>
    <t xml:space="preserve">31993L0013</t>
  </si>
  <si>
    <t xml:space="preserve">https://eur-lex.europa.eu/legal-content/EN/TXT/?uri=CELEX:31993L0013</t>
  </si>
  <si>
    <t xml:space="preserve">01993L0013-20220528</t>
  </si>
  <si>
    <t xml:space="preserve">2011-10-25</t>
  </si>
  <si>
    <t xml:space="preserve">2019-11-27</t>
  </si>
  <si>
    <t xml:space="preserve">51990PC0322</t>
  </si>
  <si>
    <t xml:space="preserve">Satellite and Cable Directive</t>
  </si>
  <si>
    <t xml:space="preserve">Directive 93/83/EEC</t>
  </si>
  <si>
    <t xml:space="preserve">Media</t>
  </si>
  <si>
    <t xml:space="preserve">1991-09-11</t>
  </si>
  <si>
    <t xml:space="preserve">1993-09-27</t>
  </si>
  <si>
    <t xml:space="preserve">1993-10-06</t>
  </si>
  <si>
    <t xml:space="preserve">1993-10-04</t>
  </si>
  <si>
    <t xml:space="preserve">31993L0083</t>
  </si>
  <si>
    <t xml:space="preserve">https://eur-lex.europa.eu/legal-content/EN/TXT/?uri=CELEX:31993L0083</t>
  </si>
  <si>
    <t xml:space="preserve">01993L0083-19931004</t>
  </si>
  <si>
    <t xml:space="preserve">2019-04-17</t>
  </si>
  <si>
    <t xml:space="preserve">51991PC0276</t>
  </si>
  <si>
    <t xml:space="preserve">no consolidated text with amendments in EUR-Lex; consolidated count = original</t>
  </si>
  <si>
    <t xml:space="preserve">Database Directive</t>
  </si>
  <si>
    <t xml:space="preserve">Directive 96/9/EC</t>
  </si>
  <si>
    <t xml:space="preserve">IPR</t>
  </si>
  <si>
    <t xml:space="preserve">1992-05-13</t>
  </si>
  <si>
    <t xml:space="preserve">1996-03-11</t>
  </si>
  <si>
    <t xml:space="preserve">1996-03-27</t>
  </si>
  <si>
    <t xml:space="preserve">1996-04-16</t>
  </si>
  <si>
    <t xml:space="preserve">31996L0009</t>
  </si>
  <si>
    <t xml:space="preserve">https://eur-lex.europa.eu/legal-content/EN/TXT/?uri=CELEX:31996L0009</t>
  </si>
  <si>
    <t xml:space="preserve">01996L0009-20190606</t>
  </si>
  <si>
    <t xml:space="preserve">51992PC0024</t>
  </si>
  <si>
    <t xml:space="preserve">Community Design Regulation</t>
  </si>
  <si>
    <t xml:space="preserve">Regulation (EC) 6/2002</t>
  </si>
  <si>
    <t xml:space="preserve">1993-12-03</t>
  </si>
  <si>
    <t xml:space="preserve">2001-12-12</t>
  </si>
  <si>
    <t xml:space="preserve">2002-01-09</t>
  </si>
  <si>
    <t xml:space="preserve">2002-03-06</t>
  </si>
  <si>
    <t xml:space="preserve">32002R0006</t>
  </si>
  <si>
    <t xml:space="preserve">https://eur-lex.europa.eu/legal-content/EN/TXT/?uri=CELEX:32002R0006</t>
  </si>
  <si>
    <t xml:space="preserve">02002R0006-20260701</t>
  </si>
  <si>
    <t xml:space="preserve">2006-12-18</t>
  </si>
  <si>
    <t xml:space="preserve">2024-10-23</t>
  </si>
  <si>
    <t xml:space="preserve">51993PC0342</t>
  </si>
  <si>
    <t xml:space="preserve">not comparable: 1993 proposal PDF bundles the companion Design Directive proposal</t>
  </si>
  <si>
    <t xml:space="preserve">Price Indication Directive</t>
  </si>
  <si>
    <t xml:space="preserve">Directive 98/6/EC</t>
  </si>
  <si>
    <t xml:space="preserve">1995-07-24</t>
  </si>
  <si>
    <t xml:space="preserve">1998-02-16</t>
  </si>
  <si>
    <t xml:space="preserve">1998-03-25</t>
  </si>
  <si>
    <t xml:space="preserve">1998-03-18</t>
  </si>
  <si>
    <t xml:space="preserve">31998L0006</t>
  </si>
  <si>
    <t xml:space="preserve">https://eur-lex.europa.eu/legal-content/EN/TXT/?uri=CELEX:31998L0006</t>
  </si>
  <si>
    <t xml:space="preserve">01998L0006-20220528</t>
  </si>
  <si>
    <t xml:space="preserve">51995PC0276</t>
  </si>
  <si>
    <t xml:space="preserve">EUR-Lex HTML</t>
  </si>
  <si>
    <t xml:space="preserve">Information Society (InfoSoc) Directive</t>
  </si>
  <si>
    <t xml:space="preserve">Directive 2001/29/EC</t>
  </si>
  <si>
    <t xml:space="preserve">1997-12-10</t>
  </si>
  <si>
    <t xml:space="preserve">high</t>
  </si>
  <si>
    <t xml:space="preserve">2001-05-22</t>
  </si>
  <si>
    <t xml:space="preserve">2001-06-25</t>
  </si>
  <si>
    <t xml:space="preserve">2001-06-22</t>
  </si>
  <si>
    <t xml:space="preserve">32001L0029</t>
  </si>
  <si>
    <t xml:space="preserve">https://eur-lex.europa.eu/legal-content/EN/TXT/?uri=CELEX:32001L0029</t>
  </si>
  <si>
    <t xml:space="preserve">02001L0029-20190606</t>
  </si>
  <si>
    <t xml:space="preserve">2017-09-13</t>
  </si>
  <si>
    <t xml:space="preserve">51997PC0628</t>
  </si>
  <si>
    <t xml:space="preserve">E-commerce Directive</t>
  </si>
  <si>
    <t xml:space="preserve">Directive 2000/31/EC</t>
  </si>
  <si>
    <t xml:space="preserve">1998-11-18</t>
  </si>
  <si>
    <t xml:space="preserve">2000-06-08</t>
  </si>
  <si>
    <t xml:space="preserve">2000-07-17</t>
  </si>
  <si>
    <t xml:space="preserve">32000L0031</t>
  </si>
  <si>
    <t xml:space="preserve">https://eur-lex.europa.eu/legal-content/EN/TXT/?uri=CELEX:32000L0031</t>
  </si>
  <si>
    <t xml:space="preserve">02000L0031-20240217</t>
  </si>
  <si>
    <t xml:space="preserve">2022-10-19</t>
  </si>
  <si>
    <t xml:space="preserve">51998PC0586</t>
  </si>
  <si>
    <t xml:space="preserve">ePrivacy Directive</t>
  </si>
  <si>
    <t xml:space="preserve">Directive 2002/58/EC</t>
  </si>
  <si>
    <t xml:space="preserve">Data &amp; Privacy</t>
  </si>
  <si>
    <t xml:space="preserve">2000-07-12</t>
  </si>
  <si>
    <t xml:space="preserve">2002-07-12</t>
  </si>
  <si>
    <t xml:space="preserve">2002-08-01</t>
  </si>
  <si>
    <t xml:space="preserve">2002-07-31</t>
  </si>
  <si>
    <t xml:space="preserve">32002L0058</t>
  </si>
  <si>
    <t xml:space="preserve">https://eur-lex.europa.eu/legal-content/EN/TXT/?uri=CELEX:32002L0058</t>
  </si>
  <si>
    <t xml:space="preserve">02002L0058-20091219</t>
  </si>
  <si>
    <t xml:space="preserve">2006-03-15</t>
  </si>
  <si>
    <t xml:space="preserve">2009-11-25</t>
  </si>
  <si>
    <t xml:space="preserve">52000PC0385</t>
  </si>
  <si>
    <t xml:space="preserve">Radio Spectrum Decision</t>
  </si>
  <si>
    <t xml:space="preserve">Decision 676/2002/EC</t>
  </si>
  <si>
    <t xml:space="preserve">2002-03-07</t>
  </si>
  <si>
    <t xml:space="preserve">2002-04-25</t>
  </si>
  <si>
    <t xml:space="preserve">2002-04-24</t>
  </si>
  <si>
    <t xml:space="preserve">32002D0676</t>
  </si>
  <si>
    <t xml:space="preserve">https://eur-lex.europa.eu/legal-content/EN/TXT/?uri=CELEX:32002D0676</t>
  </si>
  <si>
    <t xml:space="preserve">02002D0676-20020424</t>
  </si>
  <si>
    <t xml:space="preserve">52000PC0407</t>
  </si>
  <si>
    <t xml:space="preserve">EC Merger Regulation</t>
  </si>
  <si>
    <t xml:space="preserve">Regulation (EC) 139/2004</t>
  </si>
  <si>
    <t xml:space="preserve">Competition &amp; Single Market</t>
  </si>
  <si>
    <t xml:space="preserve">2002-12-11</t>
  </si>
  <si>
    <t xml:space="preserve">2004-01-20</t>
  </si>
  <si>
    <t xml:space="preserve">2004-01-30</t>
  </si>
  <si>
    <t xml:space="preserve">2004-02-18</t>
  </si>
  <si>
    <t xml:space="preserve">32004R0139</t>
  </si>
  <si>
    <t xml:space="preserve">https://eur-lex.europa.eu/legal-content/EN/TXT/?uri=CELEX:32004R0139</t>
  </si>
  <si>
    <t xml:space="preserve">02004R0139-20040218</t>
  </si>
  <si>
    <t xml:space="preserve">not comparable: proposal COM(2002) 711 not available in EUR-Lex</t>
  </si>
  <si>
    <t xml:space="preserve">IPR Enforcement Directive</t>
  </si>
  <si>
    <t xml:space="preserve">Directive 2004/48/EC</t>
  </si>
  <si>
    <t xml:space="preserve">2003-01-30</t>
  </si>
  <si>
    <t xml:space="preserve">2004-04-29</t>
  </si>
  <si>
    <t xml:space="preserve">2004-07-08</t>
  </si>
  <si>
    <t xml:space="preserve">2004-05-20</t>
  </si>
  <si>
    <t xml:space="preserve">32004L0048</t>
  </si>
  <si>
    <t xml:space="preserve">https://eur-lex.europa.eu/legal-content/EN/TXT/?uri=CELEX:32004L0048</t>
  </si>
  <si>
    <t xml:space="preserve">02004L0048-20040430</t>
  </si>
  <si>
    <t xml:space="preserve">52003PC0046</t>
  </si>
  <si>
    <t xml:space="preserve">Unfair Commercial Practices Directive</t>
  </si>
  <si>
    <t xml:space="preserve">Directive 2005/29/EC</t>
  </si>
  <si>
    <t xml:space="preserve">2003-06-18</t>
  </si>
  <si>
    <t xml:space="preserve">2005-05-11</t>
  </si>
  <si>
    <t xml:space="preserve">2005-06-16</t>
  </si>
  <si>
    <t xml:space="preserve">2005-06-12</t>
  </si>
  <si>
    <t xml:space="preserve">32005L0029</t>
  </si>
  <si>
    <t xml:space="preserve">https://eur-lex.europa.eu/legal-content/EN/TXT/?uri=CELEX:32005L0029</t>
  </si>
  <si>
    <t xml:space="preserve">02005L0029-20260927</t>
  </si>
  <si>
    <t xml:space="preserve">2024-02-28</t>
  </si>
  <si>
    <t xml:space="preserve">52003PC0356</t>
  </si>
  <si>
    <t xml:space="preserve">Common VAT system Directive</t>
  </si>
  <si>
    <t xml:space="preserve">Directive 2006/112/EC</t>
  </si>
  <si>
    <t xml:space="preserve">Finance</t>
  </si>
  <si>
    <t xml:space="preserve">2004-04-15</t>
  </si>
  <si>
    <t xml:space="preserve">2006-11-28</t>
  </si>
  <si>
    <t xml:space="preserve">2006-12-12</t>
  </si>
  <si>
    <t xml:space="preserve">2007-01-01</t>
  </si>
  <si>
    <t xml:space="preserve">32006L0112</t>
  </si>
  <si>
    <t xml:space="preserve">https://eur-lex.europa.eu/legal-content/EN/TXT/?uri=CELEX:32006L0112</t>
  </si>
  <si>
    <t xml:space="preserve">02006L0112-20100811</t>
  </si>
  <si>
    <t xml:space="preserve">2006-12-19</t>
  </si>
  <si>
    <t xml:space="preserve">2025-07-18</t>
  </si>
  <si>
    <t xml:space="preserve">52004PC0246</t>
  </si>
  <si>
    <t xml:space="preserve">not comparable: recast proposal: PDF includes struck-through and correlation material</t>
  </si>
  <si>
    <t xml:space="preserve">Audiovisual Media Services Directive</t>
  </si>
  <si>
    <t xml:space="preserve">Directive 2010/13/EU</t>
  </si>
  <si>
    <t xml:space="preserve">2005-12-13</t>
  </si>
  <si>
    <t xml:space="preserve">2010-03-10</t>
  </si>
  <si>
    <t xml:space="preserve">2010-05-05</t>
  </si>
  <si>
    <t xml:space="preserve">32010L0013</t>
  </si>
  <si>
    <t xml:space="preserve">https://eur-lex.europa.eu/legal-content/EN/TXT/?uri=CELEX:32010L0013</t>
  </si>
  <si>
    <t xml:space="preserve">02010L0013-20250208</t>
  </si>
  <si>
    <t xml:space="preserve">2018-11-14</t>
  </si>
  <si>
    <t xml:space="preserve">2024-04-11</t>
  </si>
  <si>
    <t xml:space="preserve">52009PC0185</t>
  </si>
  <si>
    <t xml:space="preserve">European Statistics Regulation</t>
  </si>
  <si>
    <t xml:space="preserve">Regulation (EC) 223/2009</t>
  </si>
  <si>
    <t xml:space="preserve">2007-10-16</t>
  </si>
  <si>
    <t xml:space="preserve">2009-03-11</t>
  </si>
  <si>
    <t xml:space="preserve">2009-04-02</t>
  </si>
  <si>
    <t xml:space="preserve">2009-04-01</t>
  </si>
  <si>
    <t xml:space="preserve">32009R0223</t>
  </si>
  <si>
    <t xml:space="preserve">https://eur-lex.europa.eu/legal-content/EN/TXT/?uri=CELEX:32009R0223</t>
  </si>
  <si>
    <t xml:space="preserve">02009R0223-20241226</t>
  </si>
  <si>
    <t xml:space="preserve">2015-04-29</t>
  </si>
  <si>
    <t xml:space="preserve">2024-11-27</t>
  </si>
  <si>
    <t xml:space="preserve">52007PC0625</t>
  </si>
  <si>
    <t xml:space="preserve">Toys Safety Directive</t>
  </si>
  <si>
    <t xml:space="preserve">Directive 2009/48/EC</t>
  </si>
  <si>
    <t xml:space="preserve">Trust &amp; Safety</t>
  </si>
  <si>
    <t xml:space="preserve">2008-01-25</t>
  </si>
  <si>
    <t xml:space="preserve">2009-06-18</t>
  </si>
  <si>
    <t xml:space="preserve">2009-07-20</t>
  </si>
  <si>
    <t xml:space="preserve">32009L0048</t>
  </si>
  <si>
    <t xml:space="preserve">https://eur-lex.europa.eu/legal-content/EN/TXT/?uri=CELEX:32009L0048</t>
  </si>
  <si>
    <t xml:space="preserve">02009L0048-20260829</t>
  </si>
  <si>
    <t xml:space="preserve">2012-03-02</t>
  </si>
  <si>
    <t xml:space="preserve">2026-01-28</t>
  </si>
  <si>
    <t xml:space="preserve">52008PC0009</t>
  </si>
  <si>
    <t xml:space="preserve">Consumer Rights Directive</t>
  </si>
  <si>
    <t xml:space="preserve">Directive 2011/83/EU</t>
  </si>
  <si>
    <t xml:space="preserve">2008-10-08</t>
  </si>
  <si>
    <t xml:space="preserve">2011-11-22</t>
  </si>
  <si>
    <t xml:space="preserve">2011-12-12</t>
  </si>
  <si>
    <t xml:space="preserve">32011L0083</t>
  </si>
  <si>
    <t xml:space="preserve">https://eur-lex.europa.eu/legal-content/EN/TXT/?uri=CELEX:32011L0083</t>
  </si>
  <si>
    <t xml:space="preserve">02011L0083-20260927</t>
  </si>
  <si>
    <t xml:space="preserve">2015-11-25</t>
  </si>
  <si>
    <t xml:space="preserve">52008PC0614</t>
  </si>
  <si>
    <t xml:space="preserve">Administrative cooperation in taxation (DAC)</t>
  </si>
  <si>
    <t xml:space="preserve">Directive 2011/16/EU</t>
  </si>
  <si>
    <t xml:space="preserve">2009-02-02</t>
  </si>
  <si>
    <t xml:space="preserve">2011-02-15</t>
  </si>
  <si>
    <t xml:space="preserve">2011-03-11</t>
  </si>
  <si>
    <t xml:space="preserve">32011L0016</t>
  </si>
  <si>
    <t xml:space="preserve">https://eur-lex.europa.eu/legal-content/EN/TXT/?uri=CELEX:32011L0016</t>
  </si>
  <si>
    <t xml:space="preserve">02011L0016-20260101</t>
  </si>
  <si>
    <t xml:space="preserve">2014-12-09</t>
  </si>
  <si>
    <t xml:space="preserve">2025-04-14</t>
  </si>
  <si>
    <t xml:space="preserve">52009PC0029</t>
  </si>
  <si>
    <t xml:space="preserve">General Data Protection Regulation</t>
  </si>
  <si>
    <t xml:space="preserve">Regulation (EU) 2016/679</t>
  </si>
  <si>
    <t xml:space="preserve">2012-01-25</t>
  </si>
  <si>
    <t xml:space="preserve">2016-04-27</t>
  </si>
  <si>
    <t xml:space="preserve">2016-05-04</t>
  </si>
  <si>
    <t xml:space="preserve">2016-05-24</t>
  </si>
  <si>
    <t xml:space="preserve">32016R0679</t>
  </si>
  <si>
    <t xml:space="preserve">https://eur-lex.europa.eu/legal-content/EN/TXT/?uri=CELEX:32016R0679</t>
  </si>
  <si>
    <t xml:space="preserve">02016R0679-20160504</t>
  </si>
  <si>
    <t xml:space="preserve">52012PC0011</t>
  </si>
  <si>
    <t xml:space="preserve">Law Enforcement Directive</t>
  </si>
  <si>
    <t xml:space="preserve">Directive (EU) 2016/680</t>
  </si>
  <si>
    <t xml:space="preserve">Law Enforcement</t>
  </si>
  <si>
    <t xml:space="preserve">2016-05-05</t>
  </si>
  <si>
    <t xml:space="preserve">32016L0680</t>
  </si>
  <si>
    <t xml:space="preserve">https://eur-lex.europa.eu/legal-content/EN/TXT/?uri=CELEX:32016L0680</t>
  </si>
  <si>
    <t xml:space="preserve">02016L0680-20160504</t>
  </si>
  <si>
    <t xml:space="preserve">52012PC0010</t>
  </si>
  <si>
    <t xml:space="preserve">eIDAS Regulation</t>
  </si>
  <si>
    <t xml:space="preserve">Regulation (EU) 910/2014</t>
  </si>
  <si>
    <t xml:space="preserve">2012-06-04</t>
  </si>
  <si>
    <t xml:space="preserve">2014-07-23</t>
  </si>
  <si>
    <t xml:space="preserve">2014-08-28</t>
  </si>
  <si>
    <t xml:space="preserve">2014-09-17</t>
  </si>
  <si>
    <t xml:space="preserve">32014R0910</t>
  </si>
  <si>
    <t xml:space="preserve">https://eur-lex.europa.eu/legal-content/EN/TXT/?uri=CELEX:32014R0910</t>
  </si>
  <si>
    <t xml:space="preserve">02014R0910-20240520</t>
  </si>
  <si>
    <t xml:space="preserve">2022-12-14</t>
  </si>
  <si>
    <t xml:space="preserve">52012PC0238</t>
  </si>
  <si>
    <t xml:space="preserve">Payment Services Directive 2 (PSD2)</t>
  </si>
  <si>
    <t xml:space="preserve">Directive (EU) 2015/2366</t>
  </si>
  <si>
    <t xml:space="preserve">2013-07-24</t>
  </si>
  <si>
    <t xml:space="preserve">2015-12-23</t>
  </si>
  <si>
    <t xml:space="preserve">2016-01-12</t>
  </si>
  <si>
    <t xml:space="preserve">32015L2366</t>
  </si>
  <si>
    <t xml:space="preserve">https://eur-lex.europa.eu/legal-content/EN/TXT/?uri=CELEX:32015L2366</t>
  </si>
  <si>
    <t xml:space="preserve">02015L2366-20250117</t>
  </si>
  <si>
    <t xml:space="preserve">2024-03-13</t>
  </si>
  <si>
    <t xml:space="preserve">52013PC0547</t>
  </si>
  <si>
    <t xml:space="preserve">Open Internet Access Regulation</t>
  </si>
  <si>
    <t xml:space="preserve">Regulation (EU) 2015/2120</t>
  </si>
  <si>
    <t xml:space="preserve">2013-09-11</t>
  </si>
  <si>
    <t xml:space="preserve">2015-11-26</t>
  </si>
  <si>
    <t xml:space="preserve">2015-11-29</t>
  </si>
  <si>
    <t xml:space="preserve">32015R2120</t>
  </si>
  <si>
    <t xml:space="preserve">https://eur-lex.europa.eu/legal-content/EN/TXT/?uri=CELEX:32015R2120</t>
  </si>
  <si>
    <t xml:space="preserve">02015R2120-20151126</t>
  </si>
  <si>
    <t xml:space="preserve">2018-12-11</t>
  </si>
  <si>
    <t xml:space="preserve">2024-04-29</t>
  </si>
  <si>
    <t xml:space="preserve">52013PC0627</t>
  </si>
  <si>
    <t xml:space="preserve">Technology Transfer Block Exemption</t>
  </si>
  <si>
    <t xml:space="preserve">Regulation (EU) 316/2014</t>
  </si>
  <si>
    <t xml:space="preserve">2013-02-20</t>
  </si>
  <si>
    <t xml:space="preserve">2014-03-21</t>
  </si>
  <si>
    <t xml:space="preserve">2014-03-28</t>
  </si>
  <si>
    <t xml:space="preserve">2014-05-01</t>
  </si>
  <si>
    <t xml:space="preserve">32014R0316</t>
  </si>
  <si>
    <t xml:space="preserve">https://eur-lex.europa.eu/legal-content/EN/TXT/?uri=CELEX:32014R0316</t>
  </si>
  <si>
    <t xml:space="preserve">02014R0316-20140501</t>
  </si>
  <si>
    <t xml:space="preserve">no legislative proposal (Commission act)</t>
  </si>
  <si>
    <t xml:space="preserve">Block exemption: defines a safe harbour ('the exemption shall not apply to...'), so few direct restrictions are counted; no consolidated text with amendments in EUR-Lex; consolidated count = original</t>
  </si>
  <si>
    <t xml:space="preserve">Trade Secrets Directive</t>
  </si>
  <si>
    <t xml:space="preserve">Directive (EU) 2016/943</t>
  </si>
  <si>
    <t xml:space="preserve">2013-11-28</t>
  </si>
  <si>
    <t xml:space="preserve">2016-06-08</t>
  </si>
  <si>
    <t xml:space="preserve">2016-06-15</t>
  </si>
  <si>
    <t xml:space="preserve">2016-07-05</t>
  </si>
  <si>
    <t xml:space="preserve">32016L0943</t>
  </si>
  <si>
    <t xml:space="preserve">https://eur-lex.europa.eu/legal-content/EN/TXT/?uri=CELEX:32016L0943</t>
  </si>
  <si>
    <t xml:space="preserve">02016L0943-20160615</t>
  </si>
  <si>
    <t xml:space="preserve">52013PC0813</t>
  </si>
  <si>
    <t xml:space="preserve">Digital Content Directive</t>
  </si>
  <si>
    <t xml:space="preserve">Directive (EU) 2019/770</t>
  </si>
  <si>
    <t xml:space="preserve">2015-12-09</t>
  </si>
  <si>
    <t xml:space="preserve">2019-05-20</t>
  </si>
  <si>
    <t xml:space="preserve">2019-05-22</t>
  </si>
  <si>
    <t xml:space="preserve">2019-06-11</t>
  </si>
  <si>
    <t xml:space="preserve">32019L0770</t>
  </si>
  <si>
    <t xml:space="preserve">https://eur-lex.europa.eu/legal-content/EN/TXT/?uri=CELEX:32019L0770</t>
  </si>
  <si>
    <t xml:space="preserve">02019L0770-20190522</t>
  </si>
  <si>
    <t xml:space="preserve">52015PC0634</t>
  </si>
  <si>
    <t xml:space="preserve">Sale of Goods Directive</t>
  </si>
  <si>
    <t xml:space="preserve">Directive (EU) 2019/771</t>
  </si>
  <si>
    <t xml:space="preserve">32019L0771</t>
  </si>
  <si>
    <t xml:space="preserve">https://eur-lex.europa.eu/legal-content/EN/TXT/?uri=CELEX:32019L0771</t>
  </si>
  <si>
    <t xml:space="preserve">02019L0771-20260731</t>
  </si>
  <si>
    <t xml:space="preserve">2024-06-13</t>
  </si>
  <si>
    <t xml:space="preserve">52015PC0635</t>
  </si>
  <si>
    <t xml:space="preserve">Company Law Directive</t>
  </si>
  <si>
    <t xml:space="preserve">Directive (EU) 2017/1132</t>
  </si>
  <si>
    <t xml:space="preserve">2015-12-03</t>
  </si>
  <si>
    <t xml:space="preserve">2017-06-14</t>
  </si>
  <si>
    <t xml:space="preserve">2017-06-30</t>
  </si>
  <si>
    <t xml:space="preserve">2017-07-20</t>
  </si>
  <si>
    <t xml:space="preserve">32017L1132</t>
  </si>
  <si>
    <t xml:space="preserve">https://eur-lex.europa.eu/legal-content/EN/TXT/?uri=CELEX:32017L1132</t>
  </si>
  <si>
    <t xml:space="preserve">02017L1132-20220812</t>
  </si>
  <si>
    <t xml:space="preserve">2019-06-20</t>
  </si>
  <si>
    <t xml:space="preserve">2024-12-19</t>
  </si>
  <si>
    <t xml:space="preserve">52015PC0616</t>
  </si>
  <si>
    <t xml:space="preserve">Geo-blocking Regulation</t>
  </si>
  <si>
    <t xml:space="preserve">Regulation (EU) 2018/302</t>
  </si>
  <si>
    <t xml:space="preserve">2016-05-25</t>
  </si>
  <si>
    <t xml:space="preserve">2018-02-28</t>
  </si>
  <si>
    <t xml:space="preserve">2018-03-02</t>
  </si>
  <si>
    <t xml:space="preserve">2018-03-22</t>
  </si>
  <si>
    <t xml:space="preserve">32018R0302</t>
  </si>
  <si>
    <t xml:space="preserve">https://eur-lex.europa.eu/legal-content/EN/TXT/?uri=CELEX:32018R0302</t>
  </si>
  <si>
    <t xml:space="preserve">02018R0302-20180302</t>
  </si>
  <si>
    <t xml:space="preserve">52016PC0289</t>
  </si>
  <si>
    <t xml:space="preserve">Consumer Protection Cooperation Regulation</t>
  </si>
  <si>
    <t xml:space="preserve">Regulation (EU) 2017/2394</t>
  </si>
  <si>
    <t xml:space="preserve">2017-12-12</t>
  </si>
  <si>
    <t xml:space="preserve">2017-12-27</t>
  </si>
  <si>
    <t xml:space="preserve">2018-01-16</t>
  </si>
  <si>
    <t xml:space="preserve">32017R2394</t>
  </si>
  <si>
    <t xml:space="preserve">https://eur-lex.europa.eu/legal-content/EN/TXT/?uri=CELEX:32017R2394</t>
  </si>
  <si>
    <t xml:space="preserve">02017R2394-20260731</t>
  </si>
  <si>
    <t xml:space="preserve">52016PC0283</t>
  </si>
  <si>
    <t xml:space="preserve">European Electronic Communications Code</t>
  </si>
  <si>
    <t xml:space="preserve">Directive (EU) 2018/1972</t>
  </si>
  <si>
    <t xml:space="preserve">2016-09-14</t>
  </si>
  <si>
    <t xml:space="preserve">2018-12-17</t>
  </si>
  <si>
    <t xml:space="preserve">2018-12-20</t>
  </si>
  <si>
    <t xml:space="preserve">32018L1972</t>
  </si>
  <si>
    <t xml:space="preserve">https://eur-lex.europa.eu/legal-content/EN/TXT/?uri=CELEX:32018L1972</t>
  </si>
  <si>
    <t xml:space="preserve">02018L1972-20241018</t>
  </si>
  <si>
    <t xml:space="preserve">52016PC0590</t>
  </si>
  <si>
    <t xml:space="preserve">Copyright in the Digital Single Market Directive</t>
  </si>
  <si>
    <t xml:space="preserve">Directive (EU) 2019/790</t>
  </si>
  <si>
    <t xml:space="preserve">2019-05-17</t>
  </si>
  <si>
    <t xml:space="preserve">2019-06-06</t>
  </si>
  <si>
    <t xml:space="preserve">32019L0790</t>
  </si>
  <si>
    <t xml:space="preserve">https://eur-lex.europa.eu/legal-content/EN/TXT/?uri=CELEX:32019L0790</t>
  </si>
  <si>
    <t xml:space="preserve">02019L0790-20190517</t>
  </si>
  <si>
    <t xml:space="preserve">52016PC0593</t>
  </si>
  <si>
    <t xml:space="preserve">Satellite and Cable II Directive</t>
  </si>
  <si>
    <t xml:space="preserve">Directive (EU) 2019/789</t>
  </si>
  <si>
    <t xml:space="preserve">32019L0789</t>
  </si>
  <si>
    <t xml:space="preserve">https://eur-lex.europa.eu/legal-content/EN/TXT/?uri=CELEX:32019L0789</t>
  </si>
  <si>
    <t xml:space="preserve">02019L0789-20190517</t>
  </si>
  <si>
    <t xml:space="preserve">52016PC0594</t>
  </si>
  <si>
    <t xml:space="preserve">Data protection by EU institutions Regulation</t>
  </si>
  <si>
    <t xml:space="preserve">Regulation (EU) 2018/1725</t>
  </si>
  <si>
    <t xml:space="preserve">2017-01-10</t>
  </si>
  <si>
    <t xml:space="preserve">2018-10-23</t>
  </si>
  <si>
    <t xml:space="preserve">2018-11-21</t>
  </si>
  <si>
    <t xml:space="preserve">32018R1725</t>
  </si>
  <si>
    <t xml:space="preserve">https://eur-lex.europa.eu/legal-content/EN/TXT/?uri=CELEX:32018R1725</t>
  </si>
  <si>
    <t xml:space="preserve">02018R1725-20181121</t>
  </si>
  <si>
    <t xml:space="preserve">52017PC0008</t>
  </si>
  <si>
    <t xml:space="preserve">Single Digital Gateway Regulation</t>
  </si>
  <si>
    <t xml:space="preserve">Regulation (EU) 2018/1724</t>
  </si>
  <si>
    <t xml:space="preserve">2017-05-02</t>
  </si>
  <si>
    <t xml:space="preserve">2018-10-02</t>
  </si>
  <si>
    <t xml:space="preserve">32018R1724</t>
  </si>
  <si>
    <t xml:space="preserve">https://eur-lex.europa.eu/legal-content/EN/TXT/?uri=CELEX:32018R1724</t>
  </si>
  <si>
    <t xml:space="preserve">02018R1724-20260520</t>
  </si>
  <si>
    <t xml:space="preserve">2022-05-30</t>
  </si>
  <si>
    <t xml:space="preserve">2025-10-22</t>
  </si>
  <si>
    <t xml:space="preserve">52017PC0256</t>
  </si>
  <si>
    <t xml:space="preserve">Cybersecurity Act</t>
  </si>
  <si>
    <t xml:space="preserve">Regulation (EU) 2019/881</t>
  </si>
  <si>
    <t xml:space="preserve">Cybersecurity</t>
  </si>
  <si>
    <t xml:space="preserve">2019-06-07</t>
  </si>
  <si>
    <t xml:space="preserve">2019-06-27</t>
  </si>
  <si>
    <t xml:space="preserve">32019R0881</t>
  </si>
  <si>
    <t xml:space="preserve">https://eur-lex.europa.eu/legal-content/EN/TXT/?uri=CELEX:32019R0881</t>
  </si>
  <si>
    <t xml:space="preserve">02019R0881-20250204</t>
  </si>
  <si>
    <t xml:space="preserve">52017PC0477</t>
  </si>
  <si>
    <t xml:space="preserve">Free Flow of Non-Personal Data Regulation</t>
  </si>
  <si>
    <t xml:space="preserve">Regulation (EU) 2018/1807</t>
  </si>
  <si>
    <t xml:space="preserve">2018-11-28</t>
  </si>
  <si>
    <t xml:space="preserve">2018-12-18</t>
  </si>
  <si>
    <t xml:space="preserve">32018R1807</t>
  </si>
  <si>
    <t xml:space="preserve">https://eur-lex.europa.eu/legal-content/EN/TXT/?uri=CELEX:32018R1807</t>
  </si>
  <si>
    <t xml:space="preserve">52017PC0495</t>
  </si>
  <si>
    <t xml:space="preserve">FDI Screening Regulation</t>
  </si>
  <si>
    <t xml:space="preserve">Regulation (EU) 2019/452</t>
  </si>
  <si>
    <t xml:space="preserve">2019-03-19</t>
  </si>
  <si>
    <t xml:space="preserve">2019-03-21</t>
  </si>
  <si>
    <t xml:space="preserve">2019-04-10</t>
  </si>
  <si>
    <t xml:space="preserve">32019R0452</t>
  </si>
  <si>
    <t xml:space="preserve">https://eur-lex.europa.eu/legal-content/EN/TXT/?uri=CELEX:32019R0452</t>
  </si>
  <si>
    <t xml:space="preserve">02019R0452-20211223</t>
  </si>
  <si>
    <t xml:space="preserve">2020-07-13</t>
  </si>
  <si>
    <t xml:space="preserve">2021-09-29</t>
  </si>
  <si>
    <t xml:space="preserve">52017PC0487</t>
  </si>
  <si>
    <t xml:space="preserve">Non-cash payment fraud Directive</t>
  </si>
  <si>
    <t xml:space="preserve">Directive (EU) 2019/713</t>
  </si>
  <si>
    <t xml:space="preserve">2019-05-10</t>
  </si>
  <si>
    <t xml:space="preserve">2019-05-30</t>
  </si>
  <si>
    <t xml:space="preserve">32019L0713</t>
  </si>
  <si>
    <t xml:space="preserve">https://eur-lex.europa.eu/legal-content/EN/TXT/?uri=CELEX:32019L0713</t>
  </si>
  <si>
    <t xml:space="preserve">52017PC0489</t>
  </si>
  <si>
    <t xml:space="preserve">Market Surveillance Regulation</t>
  </si>
  <si>
    <t xml:space="preserve">Regulation (EU) 2019/1020</t>
  </si>
  <si>
    <t xml:space="preserve">2017-12-19</t>
  </si>
  <si>
    <t xml:space="preserve">2019-06-25</t>
  </si>
  <si>
    <t xml:space="preserve">2019-07-15</t>
  </si>
  <si>
    <t xml:space="preserve">32019R1020</t>
  </si>
  <si>
    <t xml:space="preserve">https://eur-lex.europa.eu/legal-content/EN/TXT/?uri=CELEX:32019R1020</t>
  </si>
  <si>
    <t xml:space="preserve">02019R1020-20260812</t>
  </si>
  <si>
    <t xml:space="preserve">2023-07-12</t>
  </si>
  <si>
    <t xml:space="preserve">2026-07-08</t>
  </si>
  <si>
    <t xml:space="preserve">52017PC0795</t>
  </si>
  <si>
    <t xml:space="preserve">E-evidence Regulation</t>
  </si>
  <si>
    <t xml:space="preserve">Regulation (EU) 2023/1543</t>
  </si>
  <si>
    <t xml:space="preserve">2018-04-17</t>
  </si>
  <si>
    <t xml:space="preserve">2023-07-28</t>
  </si>
  <si>
    <t xml:space="preserve">2023-08-17</t>
  </si>
  <si>
    <t xml:space="preserve">32023R1543</t>
  </si>
  <si>
    <t xml:space="preserve">https://eur-lex.europa.eu/legal-content/EN/TXT/?uri=CELEX:32023R1543</t>
  </si>
  <si>
    <t xml:space="preserve">02023R1543-20230728</t>
  </si>
  <si>
    <t xml:space="preserve">52018PC0225</t>
  </si>
  <si>
    <t xml:space="preserve">Open Data Directive (PSI)</t>
  </si>
  <si>
    <t xml:space="preserve">Directive (EU) 2019/1024</t>
  </si>
  <si>
    <t xml:space="preserve">2018-04-25</t>
  </si>
  <si>
    <t xml:space="preserve">2019-06-26</t>
  </si>
  <si>
    <t xml:space="preserve">2019-07-16</t>
  </si>
  <si>
    <t xml:space="preserve">32019L1024</t>
  </si>
  <si>
    <t xml:space="preserve">https://eur-lex.europa.eu/legal-content/EN/TXT/?uri=CELEX:32019L1024</t>
  </si>
  <si>
    <t xml:space="preserve">52018PC0234</t>
  </si>
  <si>
    <t xml:space="preserve">Platform-to-Business (P2B) Regulation</t>
  </si>
  <si>
    <t xml:space="preserve">Regulation (EU) 2019/1150</t>
  </si>
  <si>
    <t xml:space="preserve">2018-04-26</t>
  </si>
  <si>
    <t xml:space="preserve">2019-07-11</t>
  </si>
  <si>
    <t xml:space="preserve">2019-07-31</t>
  </si>
  <si>
    <t xml:space="preserve">32019R1150</t>
  </si>
  <si>
    <t xml:space="preserve">https://eur-lex.europa.eu/legal-content/EN/TXT/?uri=CELEX:32019R1150</t>
  </si>
  <si>
    <t xml:space="preserve">02019R1150-20190711</t>
  </si>
  <si>
    <t xml:space="preserve">52018PC0238</t>
  </si>
  <si>
    <t xml:space="preserve">Digital Europe Programme</t>
  </si>
  <si>
    <t xml:space="preserve">Regulation (EU) 2021/694</t>
  </si>
  <si>
    <t xml:space="preserve">Research &amp; Innovation</t>
  </si>
  <si>
    <t xml:space="preserve">2018-06-06</t>
  </si>
  <si>
    <t xml:space="preserve">2021-04-29</t>
  </si>
  <si>
    <t xml:space="preserve">2021-05-11</t>
  </si>
  <si>
    <t xml:space="preserve">2021-05-12</t>
  </si>
  <si>
    <t xml:space="preserve">32021R0694</t>
  </si>
  <si>
    <t xml:space="preserve">https://eur-lex.europa.eu/legal-content/EN/TXT/?uri=CELEX:32021R0694</t>
  </si>
  <si>
    <t xml:space="preserve">02021R0694-20251223</t>
  </si>
  <si>
    <t xml:space="preserve">2023-09-13</t>
  </si>
  <si>
    <t xml:space="preserve">2025-12-19</t>
  </si>
  <si>
    <t xml:space="preserve">52018PC0434</t>
  </si>
  <si>
    <t xml:space="preserve">InvestEU Programme</t>
  </si>
  <si>
    <t xml:space="preserve">Regulation (EU) 2021/523</t>
  </si>
  <si>
    <t xml:space="preserve">Industrial Policy</t>
  </si>
  <si>
    <t xml:space="preserve">2021-03-24</t>
  </si>
  <si>
    <t xml:space="preserve">2021-03-26</t>
  </si>
  <si>
    <t xml:space="preserve">32021R0523</t>
  </si>
  <si>
    <t xml:space="preserve">https://eur-lex.europa.eu/legal-content/EN/TXT/?uri=CELEX:32021R0523</t>
  </si>
  <si>
    <t xml:space="preserve">02021R0523-20251224</t>
  </si>
  <si>
    <t xml:space="preserve">2024-02-29</t>
  </si>
  <si>
    <t xml:space="preserve">2025-12-16</t>
  </si>
  <si>
    <t xml:space="preserve">52020PC0403</t>
  </si>
  <si>
    <t xml:space="preserve">Connecting Europe Facility</t>
  </si>
  <si>
    <t xml:space="preserve">Regulation (EU) 2021/1153</t>
  </si>
  <si>
    <t xml:space="preserve">2021-07-07</t>
  </si>
  <si>
    <t xml:space="preserve">2021-07-14</t>
  </si>
  <si>
    <t xml:space="preserve">32021R1153</t>
  </si>
  <si>
    <t xml:space="preserve">https://eur-lex.europa.eu/legal-content/EN/TXT/?uri=CELEX:32021R1153</t>
  </si>
  <si>
    <t xml:space="preserve">02021R1153-20251224</t>
  </si>
  <si>
    <t xml:space="preserve">52018PC0438</t>
  </si>
  <si>
    <t xml:space="preserve">Horizon Europe</t>
  </si>
  <si>
    <t xml:space="preserve">Regulation (EU) 2021/695</t>
  </si>
  <si>
    <t xml:space="preserve">2018-06-07</t>
  </si>
  <si>
    <t xml:space="preserve">2021-04-28</t>
  </si>
  <si>
    <t xml:space="preserve">32021R0695</t>
  </si>
  <si>
    <t xml:space="preserve">https://eur-lex.europa.eu/legal-content/EN/TXT/?uri=CELEX:32021R0695</t>
  </si>
  <si>
    <t xml:space="preserve">02021R0695-20251224</t>
  </si>
  <si>
    <t xml:space="preserve">52018PC0435</t>
  </si>
  <si>
    <t xml:space="preserve">Single Market Programme</t>
  </si>
  <si>
    <t xml:space="preserve">Regulation (EU) 2021/690</t>
  </si>
  <si>
    <t xml:space="preserve">2021-05-03</t>
  </si>
  <si>
    <t xml:space="preserve">32021R0690</t>
  </si>
  <si>
    <t xml:space="preserve">https://eur-lex.europa.eu/legal-content/EN/TXT/?uri=CELEX:32021R0690</t>
  </si>
  <si>
    <t xml:space="preserve">02021R0690-20210503</t>
  </si>
  <si>
    <t xml:space="preserve">52018PC0441</t>
  </si>
  <si>
    <t xml:space="preserve">European Cybersecurity Competence Centre</t>
  </si>
  <si>
    <t xml:space="preserve">Regulation (EU) 2021/887</t>
  </si>
  <si>
    <t xml:space="preserve">2018-09-12</t>
  </si>
  <si>
    <t xml:space="preserve">2021-05-20</t>
  </si>
  <si>
    <t xml:space="preserve">2021-06-08</t>
  </si>
  <si>
    <t xml:space="preserve">2021-06-28</t>
  </si>
  <si>
    <t xml:space="preserve">32021R0887</t>
  </si>
  <si>
    <t xml:space="preserve">https://eur-lex.europa.eu/legal-content/EN/TXT/?uri=CELEX:32021R0887</t>
  </si>
  <si>
    <t xml:space="preserve">52018PC0630</t>
  </si>
  <si>
    <t xml:space="preserve">Terrorist Content Online Regulation</t>
  </si>
  <si>
    <t xml:space="preserve">Regulation (EU) 2021/784</t>
  </si>
  <si>
    <t xml:space="preserve">2021-05-17</t>
  </si>
  <si>
    <t xml:space="preserve">2021-06-06</t>
  </si>
  <si>
    <t xml:space="preserve">32021R0784</t>
  </si>
  <si>
    <t xml:space="preserve">https://eur-lex.europa.eu/legal-content/EN/TXT/?uri=CELEX:32021R0784</t>
  </si>
  <si>
    <t xml:space="preserve">02021R0784-20210517</t>
  </si>
  <si>
    <t xml:space="preserve">52018PC0640</t>
  </si>
  <si>
    <t xml:space="preserve">Recovery and Resilience Facility</t>
  </si>
  <si>
    <t xml:space="preserve">Regulation (EU) 2021/241</t>
  </si>
  <si>
    <t xml:space="preserve">2020-05-28</t>
  </si>
  <si>
    <t xml:space="preserve">2021-02-12</t>
  </si>
  <si>
    <t xml:space="preserve">2021-02-18</t>
  </si>
  <si>
    <t xml:space="preserve">2021-02-19</t>
  </si>
  <si>
    <t xml:space="preserve">32021R0241</t>
  </si>
  <si>
    <t xml:space="preserve">https://eur-lex.europa.eu/legal-content/EN/TXT/?uri=CELEX:32021R0241</t>
  </si>
  <si>
    <t xml:space="preserve">02021R0241-20240301</t>
  </si>
  <si>
    <t xml:space="preserve">2023-02-27</t>
  </si>
  <si>
    <t xml:space="preserve">52020PC0408</t>
  </si>
  <si>
    <t xml:space="preserve">Temporary CSAM Derogation Regulation</t>
  </si>
  <si>
    <t xml:space="preserve">Regulation (EU) 2021/1232</t>
  </si>
  <si>
    <t xml:space="preserve">2020-09-10</t>
  </si>
  <si>
    <t xml:space="preserve">2021-07-30</t>
  </si>
  <si>
    <t xml:space="preserve">2021-08-02</t>
  </si>
  <si>
    <t xml:space="preserve">32021R1232</t>
  </si>
  <si>
    <t xml:space="preserve">https://eur-lex.europa.eu/legal-content/EN/TXT/?uri=CELEX:32021R1232</t>
  </si>
  <si>
    <t xml:space="preserve">02021R1232-20240515</t>
  </si>
  <si>
    <t xml:space="preserve">52020PC0568</t>
  </si>
  <si>
    <t xml:space="preserve">EuroHPC Joint Undertaking Regulation</t>
  </si>
  <si>
    <t xml:space="preserve">Regulation (EU) 2021/1173</t>
  </si>
  <si>
    <t xml:space="preserve">2020-09-18</t>
  </si>
  <si>
    <t xml:space="preserve">2021-07-13</t>
  </si>
  <si>
    <t xml:space="preserve">2021-07-19</t>
  </si>
  <si>
    <t xml:space="preserve">2021-08-08</t>
  </si>
  <si>
    <t xml:space="preserve">32021R1173</t>
  </si>
  <si>
    <t xml:space="preserve">https://eur-lex.europa.eu/legal-content/EN/TXT/?uri=CELEX:32021R1173</t>
  </si>
  <si>
    <t xml:space="preserve">02021R1173-20260120</t>
  </si>
  <si>
    <t xml:space="preserve">2024-06-17</t>
  </si>
  <si>
    <t xml:space="preserve">2026-01-16</t>
  </si>
  <si>
    <t xml:space="preserve">52020PC0569</t>
  </si>
  <si>
    <t xml:space="preserve">DLT Pilot Regime Regulation</t>
  </si>
  <si>
    <t xml:space="preserve">Regulation (EU) 2022/858</t>
  </si>
  <si>
    <t xml:space="preserve">2020-09-24</t>
  </si>
  <si>
    <t xml:space="preserve">2022-06-02</t>
  </si>
  <si>
    <t xml:space="preserve">2022-06-22</t>
  </si>
  <si>
    <t xml:space="preserve">32022R0858</t>
  </si>
  <si>
    <t xml:space="preserve">https://eur-lex.europa.eu/legal-content/EN/TXT/?uri=CELEX:32022R0858</t>
  </si>
  <si>
    <t xml:space="preserve">02022R0858-20220602</t>
  </si>
  <si>
    <t xml:space="preserve">52020PC0594</t>
  </si>
  <si>
    <t xml:space="preserve">Markets in Crypto-Assets (MiCA)</t>
  </si>
  <si>
    <t xml:space="preserve">Regulation (EU) 2023/1114</t>
  </si>
  <si>
    <t xml:space="preserve">2023-05-31</t>
  </si>
  <si>
    <t xml:space="preserve">2023-06-09</t>
  </si>
  <si>
    <t xml:space="preserve">2023-06-29</t>
  </si>
  <si>
    <t xml:space="preserve">32023R1114</t>
  </si>
  <si>
    <t xml:space="preserve">https://eur-lex.europa.eu/legal-content/EN/TXT/?uri=CELEX:32023R1114</t>
  </si>
  <si>
    <t xml:space="preserve">02023R1114-20240109</t>
  </si>
  <si>
    <t xml:space="preserve">2023-12-13</t>
  </si>
  <si>
    <t xml:space="preserve">52020PC0593</t>
  </si>
  <si>
    <t xml:space="preserve">Digital Operational Resilience Act (DORA)</t>
  </si>
  <si>
    <t xml:space="preserve">Regulation (EU) 2022/2554</t>
  </si>
  <si>
    <t xml:space="preserve">2022-12-27</t>
  </si>
  <si>
    <t xml:space="preserve">2023-01-16</t>
  </si>
  <si>
    <t xml:space="preserve">32022R2554</t>
  </si>
  <si>
    <t xml:space="preserve">https://eur-lex.europa.eu/legal-content/EN/TXT/?uri=CELEX:32022R2554</t>
  </si>
  <si>
    <t xml:space="preserve">02022R2554-20221227</t>
  </si>
  <si>
    <t xml:space="preserve">52020PC0595</t>
  </si>
  <si>
    <t xml:space="preserve">Data Governance Act</t>
  </si>
  <si>
    <t xml:space="preserve">Regulation (EU) 2022/868</t>
  </si>
  <si>
    <t xml:space="preserve">2020-11-25</t>
  </si>
  <si>
    <t xml:space="preserve">2022-06-03</t>
  </si>
  <si>
    <t xml:space="preserve">2022-06-23</t>
  </si>
  <si>
    <t xml:space="preserve">32022R0868</t>
  </si>
  <si>
    <t xml:space="preserve">https://eur-lex.europa.eu/legal-content/EN/TXT/?uri=CELEX:32022R0868</t>
  </si>
  <si>
    <t xml:space="preserve">02022R0868-20220603</t>
  </si>
  <si>
    <t xml:space="preserve">52020PC0767</t>
  </si>
  <si>
    <t xml:space="preserve">Digital Markets Act</t>
  </si>
  <si>
    <t xml:space="preserve">Regulation (EU) 2022/1925</t>
  </si>
  <si>
    <t xml:space="preserve">2020-12-15</t>
  </si>
  <si>
    <t xml:space="preserve">2022-09-14</t>
  </si>
  <si>
    <t xml:space="preserve">2022-10-12</t>
  </si>
  <si>
    <t xml:space="preserve">2022-11-01</t>
  </si>
  <si>
    <t xml:space="preserve">32022R1925</t>
  </si>
  <si>
    <t xml:space="preserve">https://eur-lex.europa.eu/legal-content/EN/TXT/?uri=CELEX:32022R1925</t>
  </si>
  <si>
    <t xml:space="preserve">02022R1925-20221012</t>
  </si>
  <si>
    <t xml:space="preserve">52020PC0842</t>
  </si>
  <si>
    <t xml:space="preserve">Digital Services Act</t>
  </si>
  <si>
    <t xml:space="preserve">Regulation (EU) 2022/2065</t>
  </si>
  <si>
    <t xml:space="preserve">2022-10-27</t>
  </si>
  <si>
    <t xml:space="preserve">2022-11-16</t>
  </si>
  <si>
    <t xml:space="preserve">32022R2065</t>
  </si>
  <si>
    <t xml:space="preserve">https://eur-lex.europa.eu/legal-content/EN/TXT/?uri=CELEX:32022R2065</t>
  </si>
  <si>
    <t xml:space="preserve">02022R2065-20221027</t>
  </si>
  <si>
    <t xml:space="preserve">52020PC0825</t>
  </si>
  <si>
    <t xml:space="preserve">NIS 2 Directive</t>
  </si>
  <si>
    <t xml:space="preserve">Directive (EU) 2022/2555</t>
  </si>
  <si>
    <t xml:space="preserve">2020-12-16</t>
  </si>
  <si>
    <t xml:space="preserve">32022L2555</t>
  </si>
  <si>
    <t xml:space="preserve">https://eur-lex.europa.eu/legal-content/EN/TXT/?uri=CELEX:32022L2555</t>
  </si>
  <si>
    <t xml:space="preserve">02022L2555-20221227</t>
  </si>
  <si>
    <t xml:space="preserve">52020PC0823</t>
  </si>
  <si>
    <t xml:space="preserve">Joint Undertakings under Horizon Europe</t>
  </si>
  <si>
    <t xml:space="preserve">Regulation (EU) 2021/2085</t>
  </si>
  <si>
    <t xml:space="preserve">2021-02-23</t>
  </si>
  <si>
    <t xml:space="preserve">2021-11-19</t>
  </si>
  <si>
    <t xml:space="preserve">2021-11-30</t>
  </si>
  <si>
    <t xml:space="preserve">32021R2085</t>
  </si>
  <si>
    <t xml:space="preserve">https://eur-lex.europa.eu/legal-content/EN/TXT/?uri=CELEX:32021R2085</t>
  </si>
  <si>
    <t xml:space="preserve">02021R2085-20230921</t>
  </si>
  <si>
    <t xml:space="preserve">2023-07-25</t>
  </si>
  <si>
    <t xml:space="preserve">52021PC0087</t>
  </si>
  <si>
    <t xml:space="preserve">Roaming Regulation</t>
  </si>
  <si>
    <t xml:space="preserve">Regulation (EU) 2022/612</t>
  </si>
  <si>
    <t xml:space="preserve">2021-02-24</t>
  </si>
  <si>
    <t xml:space="preserve">2022-04-06</t>
  </si>
  <si>
    <t xml:space="preserve">2022-04-13</t>
  </si>
  <si>
    <t xml:space="preserve">2022-07-01</t>
  </si>
  <si>
    <t xml:space="preserve">32022R0612</t>
  </si>
  <si>
    <t xml:space="preserve">https://eur-lex.europa.eu/legal-content/EN/TXT/?uri=CELEX:32022R0612</t>
  </si>
  <si>
    <t xml:space="preserve">02022R0612-20220413</t>
  </si>
  <si>
    <t xml:space="preserve">52021PC0085</t>
  </si>
  <si>
    <t xml:space="preserve">Artificial Intelligence Act</t>
  </si>
  <si>
    <t xml:space="preserve">Regulation (EU) 2024/1689</t>
  </si>
  <si>
    <t xml:space="preserve">2021-04-21</t>
  </si>
  <si>
    <t xml:space="preserve">2024-07-12</t>
  </si>
  <si>
    <t xml:space="preserve">2024-08-01</t>
  </si>
  <si>
    <t xml:space="preserve">32024R1689</t>
  </si>
  <si>
    <t xml:space="preserve">https://eur-lex.europa.eu/legal-content/EN/TXT/?uri=CELEX:32024R1689</t>
  </si>
  <si>
    <t xml:space="preserve">02024R1689-20260727</t>
  </si>
  <si>
    <t xml:space="preserve">52021PC0206</t>
  </si>
  <si>
    <t xml:space="preserve">Machinery Regulation</t>
  </si>
  <si>
    <t xml:space="preserve">Regulation (EU) 2023/1230</t>
  </si>
  <si>
    <t xml:space="preserve">2023-06-14</t>
  </si>
  <si>
    <t xml:space="preserve">2023-07-19</t>
  </si>
  <si>
    <t xml:space="preserve">32023R1230</t>
  </si>
  <si>
    <t xml:space="preserve">https://eur-lex.europa.eu/legal-content/EN/TXT/?uri=CELEX:32023R1230</t>
  </si>
  <si>
    <t xml:space="preserve">02023R1230-20260727</t>
  </si>
  <si>
    <t xml:space="preserve">2024-10-09</t>
  </si>
  <si>
    <t xml:space="preserve">52021PC0202</t>
  </si>
  <si>
    <t xml:space="preserve">Foreign Subsidies Regulation</t>
  </si>
  <si>
    <t xml:space="preserve">Regulation (EU) 2022/2560</t>
  </si>
  <si>
    <t xml:space="preserve">2021-05-05</t>
  </si>
  <si>
    <t xml:space="preserve">2022-12-23</t>
  </si>
  <si>
    <t xml:space="preserve">2023-01-12</t>
  </si>
  <si>
    <t xml:space="preserve">32022R2560</t>
  </si>
  <si>
    <t xml:space="preserve">https://eur-lex.europa.eu/legal-content/EN/TXT/?uri=CELEX:32022R2560</t>
  </si>
  <si>
    <t xml:space="preserve">02022R2560-20221223</t>
  </si>
  <si>
    <t xml:space="preserve">52021PC0223</t>
  </si>
  <si>
    <t xml:space="preserve">General Product Safety Regulation</t>
  </si>
  <si>
    <t xml:space="preserve">Regulation (EU) 2023/988</t>
  </si>
  <si>
    <t xml:space="preserve">2021-06-30</t>
  </si>
  <si>
    <t xml:space="preserve">2023-05-10</t>
  </si>
  <si>
    <t xml:space="preserve">2023-05-23</t>
  </si>
  <si>
    <t xml:space="preserve">2023-06-12</t>
  </si>
  <si>
    <t xml:space="preserve">32023R0988</t>
  </si>
  <si>
    <t xml:space="preserve">https://eur-lex.europa.eu/legal-content/EN/TXT/?uri=CELEX:32023R0988</t>
  </si>
  <si>
    <t xml:space="preserve">02023R0988-20260529</t>
  </si>
  <si>
    <t xml:space="preserve">52021PC0346</t>
  </si>
  <si>
    <t xml:space="preserve">Anti-Money Laundering Regulation</t>
  </si>
  <si>
    <t xml:space="preserve">Regulation (EU) 2024/1624</t>
  </si>
  <si>
    <t xml:space="preserve">2021-07-20</t>
  </si>
  <si>
    <t xml:space="preserve">2024-05-31</t>
  </si>
  <si>
    <t xml:space="preserve">2024-06-19</t>
  </si>
  <si>
    <t xml:space="preserve">2024-07-09</t>
  </si>
  <si>
    <t xml:space="preserve">32024R1624</t>
  </si>
  <si>
    <t xml:space="preserve">https://eur-lex.europa.eu/legal-content/EN/TXT/?uri=CELEX:32024R1624</t>
  </si>
  <si>
    <t xml:space="preserve">02024R1624-20240619</t>
  </si>
  <si>
    <t xml:space="preserve">52021PC0420</t>
  </si>
  <si>
    <t xml:space="preserve">Vertical Block Exemption Regulation</t>
  </si>
  <si>
    <t xml:space="preserve">Regulation (EU) 2022/720</t>
  </si>
  <si>
    <t xml:space="preserve">2021-07-09</t>
  </si>
  <si>
    <t xml:space="preserve">2022-05-10</t>
  </si>
  <si>
    <t xml:space="preserve">2022-05-11</t>
  </si>
  <si>
    <t xml:space="preserve">2022-06-01</t>
  </si>
  <si>
    <t xml:space="preserve">32022R0720</t>
  </si>
  <si>
    <t xml:space="preserve">https://eur-lex.europa.eu/legal-content/EN/TXT/?uri=CELEX:32022R0720</t>
  </si>
  <si>
    <t xml:space="preserve">02022R0720-20220511</t>
  </si>
  <si>
    <t xml:space="preserve">2024-01-19</t>
  </si>
  <si>
    <t xml:space="preserve">Digital Decade Policy Programme Decision</t>
  </si>
  <si>
    <t xml:space="preserve">Decision (EU) 2022/2481</t>
  </si>
  <si>
    <t xml:space="preserve">2021-09-15</t>
  </si>
  <si>
    <t xml:space="preserve">2022-12-19</t>
  </si>
  <si>
    <t xml:space="preserve">2023-01-08</t>
  </si>
  <si>
    <t xml:space="preserve">32022D2481</t>
  </si>
  <si>
    <t xml:space="preserve">https://eur-lex.europa.eu/legal-content/EN/TXT/?uri=CELEX:32022D2481</t>
  </si>
  <si>
    <t xml:space="preserve">52021PC0574</t>
  </si>
  <si>
    <t xml:space="preserve">Political Advertising Regulation</t>
  </si>
  <si>
    <t xml:space="preserve">Regulation (EU) 2024/900</t>
  </si>
  <si>
    <t xml:space="preserve">2021-11-25</t>
  </si>
  <si>
    <t xml:space="preserve">2024-03-20</t>
  </si>
  <si>
    <t xml:space="preserve">2024-04-09</t>
  </si>
  <si>
    <t xml:space="preserve">32024R0900</t>
  </si>
  <si>
    <t xml:space="preserve">https://eur-lex.europa.eu/legal-content/EN/TXT/?uri=CELEX:32024R0900</t>
  </si>
  <si>
    <t xml:space="preserve">02024R0900-20240320</t>
  </si>
  <si>
    <t xml:space="preserve">52021PC0731</t>
  </si>
  <si>
    <t xml:space="preserve">Digitalisation of judicial cooperation Regulation</t>
  </si>
  <si>
    <t xml:space="preserve">Regulation (EU) 2023/2844</t>
  </si>
  <si>
    <t xml:space="preserve">2021-12-01</t>
  </si>
  <si>
    <t xml:space="preserve">2023-12-27</t>
  </si>
  <si>
    <t xml:space="preserve">2024-01-16</t>
  </si>
  <si>
    <t xml:space="preserve">32023R2844</t>
  </si>
  <si>
    <t xml:space="preserve">https://eur-lex.europa.eu/legal-content/EN/TXT/?uri=CELEX:32023R2844</t>
  </si>
  <si>
    <t xml:space="preserve">02023R2844-20231227</t>
  </si>
  <si>
    <t xml:space="preserve">52021PC0759</t>
  </si>
  <si>
    <t xml:space="preserve">Platform Work Directive</t>
  </si>
  <si>
    <t xml:space="preserve">Directive (EU) 2024/2831</t>
  </si>
  <si>
    <t xml:space="preserve">2021-12-09</t>
  </si>
  <si>
    <t xml:space="preserve">2024-11-11</t>
  </si>
  <si>
    <t xml:space="preserve">2024-12-01</t>
  </si>
  <si>
    <t xml:space="preserve">32024L2831</t>
  </si>
  <si>
    <t xml:space="preserve">https://eur-lex.europa.eu/legal-content/EN/TXT/?uri=CELEX:32024L2831</t>
  </si>
  <si>
    <t xml:space="preserve">02024L2831-20241111</t>
  </si>
  <si>
    <t xml:space="preserve">52021PC0762</t>
  </si>
  <si>
    <t xml:space="preserve">European Chips Act</t>
  </si>
  <si>
    <t xml:space="preserve">Regulation (EU) 2023/1781</t>
  </si>
  <si>
    <t xml:space="preserve">2022-02-08</t>
  </si>
  <si>
    <t xml:space="preserve">2023-09-18</t>
  </si>
  <si>
    <t xml:space="preserve">2023-09-21</t>
  </si>
  <si>
    <t xml:space="preserve">32023R1781</t>
  </si>
  <si>
    <t xml:space="preserve">https://eur-lex.europa.eu/legal-content/EN/TXT/?uri=CELEX:32023R1781</t>
  </si>
  <si>
    <t xml:space="preserve">52022PC0046</t>
  </si>
  <si>
    <t xml:space="preserve">Union Secure Connectivity Programme</t>
  </si>
  <si>
    <t xml:space="preserve">Regulation (EU) 2023/588</t>
  </si>
  <si>
    <t xml:space="preserve">2022-02-15</t>
  </si>
  <si>
    <t xml:space="preserve">2023-03-15</t>
  </si>
  <si>
    <t xml:space="preserve">2023-03-17</t>
  </si>
  <si>
    <t xml:space="preserve">2023-03-20</t>
  </si>
  <si>
    <t xml:space="preserve">32023R0588</t>
  </si>
  <si>
    <t xml:space="preserve">https://eur-lex.europa.eu/legal-content/EN/TXT/?uri=CELEX:32023R0588</t>
  </si>
  <si>
    <t xml:space="preserve">52022PC0057</t>
  </si>
  <si>
    <t xml:space="preserve">Data Act</t>
  </si>
  <si>
    <t xml:space="preserve">Regulation (EU) 2023/2854</t>
  </si>
  <si>
    <t xml:space="preserve">2022-02-23</t>
  </si>
  <si>
    <t xml:space="preserve">2023-12-22</t>
  </si>
  <si>
    <t xml:space="preserve">2024-01-11</t>
  </si>
  <si>
    <t xml:space="preserve">32023R2854</t>
  </si>
  <si>
    <t xml:space="preserve">https://eur-lex.europa.eu/legal-content/EN/TXT/?uri=CELEX:32023R2854</t>
  </si>
  <si>
    <t xml:space="preserve">02023R2854-20231222</t>
  </si>
  <si>
    <t xml:space="preserve">52022PC0068</t>
  </si>
  <si>
    <t xml:space="preserve">Violence Against Women Directive</t>
  </si>
  <si>
    <t xml:space="preserve">Directive (EU) 2024/1385</t>
  </si>
  <si>
    <t xml:space="preserve">2022-03-08</t>
  </si>
  <si>
    <t xml:space="preserve">2024-05-14</t>
  </si>
  <si>
    <t xml:space="preserve">2024-05-24</t>
  </si>
  <si>
    <t xml:space="preserve">32024L1385</t>
  </si>
  <si>
    <t xml:space="preserve">https://eur-lex.europa.eu/legal-content/EN/TXT/?uri=CELEX:32024L1385</t>
  </si>
  <si>
    <t xml:space="preserve">52022PC0105</t>
  </si>
  <si>
    <t xml:space="preserve">Cybersecurity Regulation (EU institutions)</t>
  </si>
  <si>
    <t xml:space="preserve">Regulation (EU) 2023/2841</t>
  </si>
  <si>
    <t xml:space="preserve">2022-03-22</t>
  </si>
  <si>
    <t xml:space="preserve">2023-12-18</t>
  </si>
  <si>
    <t xml:space="preserve">2024-01-07</t>
  </si>
  <si>
    <t xml:space="preserve">32023R2841</t>
  </si>
  <si>
    <t xml:space="preserve">https://eur-lex.europa.eu/legal-content/EN/TXT/?uri=CELEX:32023R2841</t>
  </si>
  <si>
    <t xml:space="preserve">02023R2841-20231218</t>
  </si>
  <si>
    <t xml:space="preserve">52022PC0122</t>
  </si>
  <si>
    <t xml:space="preserve">Information Security Regulation</t>
  </si>
  <si>
    <t xml:space="preserve">2022/0084(COD)</t>
  </si>
  <si>
    <t xml:space="preserve">proposal</t>
  </si>
  <si>
    <t xml:space="preserve">proposed</t>
  </si>
  <si>
    <t xml:space="preserve">52022PC0119</t>
  </si>
  <si>
    <t xml:space="preserve">Commission proposal (COM)</t>
  </si>
  <si>
    <t xml:space="preserve">https://eur-lex.europa.eu/legal-content/EN/TXT/?uri=CELEX:52022PC0119</t>
  </si>
  <si>
    <t xml:space="preserve">row is itself a proposal</t>
  </si>
  <si>
    <t xml:space="preserve">Ecodesign for Sustainable Products Regulation</t>
  </si>
  <si>
    <t xml:space="preserve">Regulation (EU) 2024/1781</t>
  </si>
  <si>
    <t xml:space="preserve">2022-03-30</t>
  </si>
  <si>
    <t xml:space="preserve">2024-06-28</t>
  </si>
  <si>
    <t xml:space="preserve">2024-07-18</t>
  </si>
  <si>
    <t xml:space="preserve">32024R1781</t>
  </si>
  <si>
    <t xml:space="preserve">https://eur-lex.europa.eu/legal-content/EN/TXT/?uri=CELEX:32024R1781</t>
  </si>
  <si>
    <t xml:space="preserve">02024R1781-20240628</t>
  </si>
  <si>
    <t xml:space="preserve">52022PC0142</t>
  </si>
  <si>
    <t xml:space="preserve">European Health Data Space</t>
  </si>
  <si>
    <t xml:space="preserve">Regulation (EU) 2025/327</t>
  </si>
  <si>
    <t xml:space="preserve">2022-05-03</t>
  </si>
  <si>
    <t xml:space="preserve">2025-02-11</t>
  </si>
  <si>
    <t xml:space="preserve">2025-03-05</t>
  </si>
  <si>
    <t xml:space="preserve">2025-03-25</t>
  </si>
  <si>
    <t xml:space="preserve">32025R0327</t>
  </si>
  <si>
    <t xml:space="preserve">https://eur-lex.europa.eu/legal-content/EN/TXT/?uri=CELEX:32025R0327</t>
  </si>
  <si>
    <t xml:space="preserve">02025R0327-20250305</t>
  </si>
  <si>
    <t xml:space="preserve">52022PC0197</t>
  </si>
  <si>
    <t xml:space="preserve">Child Sexual Abuse Regulation (CSAR)</t>
  </si>
  <si>
    <t xml:space="preserve">2022/0155(COD)</t>
  </si>
  <si>
    <t xml:space="preserve">proposal (listed in the cell of its enacted predecessor)</t>
  </si>
  <si>
    <t xml:space="preserve">52022PC0209</t>
  </si>
  <si>
    <t xml:space="preserve">https://eur-lex.europa.eu/legal-content/EN/TXT/?uri=CELEX:52022PC0209</t>
  </si>
  <si>
    <t xml:space="preserve">Cyber Resilience Act</t>
  </si>
  <si>
    <t xml:space="preserve">Regulation (EU) 2024/2847</t>
  </si>
  <si>
    <t xml:space="preserve">2022-09-15</t>
  </si>
  <si>
    <t xml:space="preserve">2024-11-20</t>
  </si>
  <si>
    <t xml:space="preserve">2024-12-10</t>
  </si>
  <si>
    <t xml:space="preserve">32024R2847</t>
  </si>
  <si>
    <t xml:space="preserve">https://eur-lex.europa.eu/legal-content/EN/TXT/?uri=CELEX:32024R2847</t>
  </si>
  <si>
    <t xml:space="preserve">02024R2847-20241120</t>
  </si>
  <si>
    <t xml:space="preserve">52022PC0454</t>
  </si>
  <si>
    <t xml:space="preserve">European Media Freedom Act</t>
  </si>
  <si>
    <t xml:space="preserve">Regulation (EU) 2024/1083</t>
  </si>
  <si>
    <t xml:space="preserve">2022-09-16</t>
  </si>
  <si>
    <t xml:space="preserve">2024-04-17</t>
  </si>
  <si>
    <t xml:space="preserve">2024-05-07</t>
  </si>
  <si>
    <t xml:space="preserve">32024R1083</t>
  </si>
  <si>
    <t xml:space="preserve">https://eur-lex.europa.eu/legal-content/EN/TXT/?uri=CELEX:32024R1083</t>
  </si>
  <si>
    <t xml:space="preserve">02024R1083-20240417</t>
  </si>
  <si>
    <t xml:space="preserve">52022PC0457</t>
  </si>
  <si>
    <t xml:space="preserve">Single Market Emergency Instrument (IMERA)</t>
  </si>
  <si>
    <t xml:space="preserve">Regulation (EU) 2024/2747</t>
  </si>
  <si>
    <t xml:space="preserve">2022-09-19</t>
  </si>
  <si>
    <t xml:space="preserve">2024-11-08</t>
  </si>
  <si>
    <t xml:space="preserve">2024-11-28</t>
  </si>
  <si>
    <t xml:space="preserve">32024R2747</t>
  </si>
  <si>
    <t xml:space="preserve">https://eur-lex.europa.eu/legal-content/EN/TXT/?uri=CELEX:32024R2747</t>
  </si>
  <si>
    <t xml:space="preserve">02024R2747-20241108</t>
  </si>
  <si>
    <t xml:space="preserve">52022PC0459</t>
  </si>
  <si>
    <t xml:space="preserve">Product Liability Directive</t>
  </si>
  <si>
    <t xml:space="preserve">Directive (EU) 2024/2853</t>
  </si>
  <si>
    <t xml:space="preserve">2022-09-28</t>
  </si>
  <si>
    <t xml:space="preserve">2024-11-18</t>
  </si>
  <si>
    <t xml:space="preserve">2024-12-08</t>
  </si>
  <si>
    <t xml:space="preserve">32024L2853</t>
  </si>
  <si>
    <t xml:space="preserve">https://eur-lex.europa.eu/legal-content/EN/TXT/?uri=CELEX:32024L2853</t>
  </si>
  <si>
    <t xml:space="preserve">02024L2853-20241118</t>
  </si>
  <si>
    <t xml:space="preserve">52022PC0495</t>
  </si>
  <si>
    <t xml:space="preserve">Horizontal Block Exemption Regulations</t>
  </si>
  <si>
    <t xml:space="preserve">Regulations (EU) 2023/1066, 2023/1067</t>
  </si>
  <si>
    <t xml:space="preserve">2022-03-01</t>
  </si>
  <si>
    <t xml:space="preserve">2023-06-01</t>
  </si>
  <si>
    <t xml:space="preserve">2023-06-02</t>
  </si>
  <si>
    <t xml:space="preserve">2023-07-01</t>
  </si>
  <si>
    <t xml:space="preserve">32023R1066;32023R1067</t>
  </si>
  <si>
    <t xml:space="preserve">https://eur-lex.europa.eu/legal-content/EN/TXT/?uri=CELEX:32023R1066 ; https://eur-lex.europa.eu/legal-content/EN/TXT/?uri=CELEX:32023R1067</t>
  </si>
  <si>
    <t xml:space="preserve">02023R1066-20230602;02023R1067-20230602</t>
  </si>
  <si>
    <t xml:space="preserve">Interoperable Europe Act</t>
  </si>
  <si>
    <t xml:space="preserve">Regulation (EU) 2024/903</t>
  </si>
  <si>
    <t xml:space="preserve">2022-11-18</t>
  </si>
  <si>
    <t xml:space="preserve">2024-03-22</t>
  </si>
  <si>
    <t xml:space="preserve">32024R0903</t>
  </si>
  <si>
    <t xml:space="preserve">https://eur-lex.europa.eu/legal-content/EN/TXT/?uri=CELEX:32024R0903</t>
  </si>
  <si>
    <t xml:space="preserve">52022PC0720</t>
  </si>
  <si>
    <t xml:space="preserve">Design Directive</t>
  </si>
  <si>
    <t xml:space="preserve">Directive (EU) 2024/2823</t>
  </si>
  <si>
    <t xml:space="preserve">2022-11-28</t>
  </si>
  <si>
    <t xml:space="preserve">32024L2823</t>
  </si>
  <si>
    <t xml:space="preserve">https://eur-lex.europa.eu/legal-content/EN/TXT/?uri=CELEX:32024L2823</t>
  </si>
  <si>
    <t xml:space="preserve">02024L2823-20241118</t>
  </si>
  <si>
    <t xml:space="preserve">52022PC0667</t>
  </si>
  <si>
    <t xml:space="preserve">VAT in the Digital Age (ViDA)</t>
  </si>
  <si>
    <t xml:space="preserve">2022/0407(CNS)</t>
  </si>
  <si>
    <t xml:space="preserve">2022-12-08</t>
  </si>
  <si>
    <t xml:space="preserve">2025-03-11</t>
  </si>
  <si>
    <t xml:space="preserve">32025L0516</t>
  </si>
  <si>
    <t xml:space="preserve">https://eur-lex.europa.eu/legal-content/EN/TXT/?uri=CELEX:32025L0516</t>
  </si>
  <si>
    <t xml:space="preserve">02025L0516-20250325</t>
  </si>
  <si>
    <t xml:space="preserve">52022PC0701</t>
  </si>
  <si>
    <t xml:space="preserve">Adopted after CEPS snapshot: Council Directive (EU) 2025/516 (11 Mar 2025); no consolidated text with amendments in EUR-Lex; consolidated count = original</t>
  </si>
  <si>
    <t xml:space="preserve">Gigabit Infrastructure Act</t>
  </si>
  <si>
    <t xml:space="preserve">Regulation (EU) 2024/1309</t>
  </si>
  <si>
    <t xml:space="preserve">2023-02-23</t>
  </si>
  <si>
    <t xml:space="preserve">2024-05-08</t>
  </si>
  <si>
    <t xml:space="preserve">2024-05-11</t>
  </si>
  <si>
    <t xml:space="preserve">32024R1309</t>
  </si>
  <si>
    <t xml:space="preserve">https://eur-lex.europa.eu/legal-content/EN/TXT/?uri=CELEX:32024R1309</t>
  </si>
  <si>
    <t xml:space="preserve">02024R1309-20240508</t>
  </si>
  <si>
    <t xml:space="preserve">52023PC0094</t>
  </si>
  <si>
    <t xml:space="preserve">Critical Raw Materials Act</t>
  </si>
  <si>
    <t xml:space="preserve">Regulation (EU) 2024/1252</t>
  </si>
  <si>
    <t xml:space="preserve">2023-03-16</t>
  </si>
  <si>
    <t xml:space="preserve">2024-05-03</t>
  </si>
  <si>
    <t xml:space="preserve">2024-05-23</t>
  </si>
  <si>
    <t xml:space="preserve">32024R1252</t>
  </si>
  <si>
    <t xml:space="preserve">https://eur-lex.europa.eu/legal-content/EN/TXT/?uri=CELEX:32024R1252</t>
  </si>
  <si>
    <t xml:space="preserve">02024R1252-20240503</t>
  </si>
  <si>
    <t xml:space="preserve">52023PC0160</t>
  </si>
  <si>
    <t xml:space="preserve">Net-Zero Industry Act</t>
  </si>
  <si>
    <t xml:space="preserve">Regulation (EU) 2024/1735</t>
  </si>
  <si>
    <t xml:space="preserve">2024-06-29</t>
  </si>
  <si>
    <t xml:space="preserve">32024R1735</t>
  </si>
  <si>
    <t xml:space="preserve">https://eur-lex.europa.eu/legal-content/EN/TXT/?uri=CELEX:32024R1735</t>
  </si>
  <si>
    <t xml:space="preserve">02024R1735-20250817</t>
  </si>
  <si>
    <t xml:space="preserve">2025-05-23</t>
  </si>
  <si>
    <t xml:space="preserve">52023PC0161</t>
  </si>
  <si>
    <t xml:space="preserve">Right to Repair Directive</t>
  </si>
  <si>
    <t xml:space="preserve">Directive (EU) 2024/1799</t>
  </si>
  <si>
    <t xml:space="preserve">2023-03-22</t>
  </si>
  <si>
    <t xml:space="preserve">2024-07-10</t>
  </si>
  <si>
    <t xml:space="preserve">2024-07-30</t>
  </si>
  <si>
    <t xml:space="preserve">32024L1799</t>
  </si>
  <si>
    <t xml:space="preserve">https://eur-lex.europa.eu/legal-content/EN/TXT/?uri=CELEX:32024L1799</t>
  </si>
  <si>
    <t xml:space="preserve">02024L1799-20260731</t>
  </si>
  <si>
    <t xml:space="preserve">2026-01-12</t>
  </si>
  <si>
    <t xml:space="preserve">52023PC0155</t>
  </si>
  <si>
    <t xml:space="preserve">Cyber Solidarity Act</t>
  </si>
  <si>
    <t xml:space="preserve">Regulation (EU) 2025/38</t>
  </si>
  <si>
    <t xml:space="preserve">2023-04-18</t>
  </si>
  <si>
    <t xml:space="preserve">2025-01-15</t>
  </si>
  <si>
    <t xml:space="preserve">2025-02-04</t>
  </si>
  <si>
    <t xml:space="preserve">32025R0038</t>
  </si>
  <si>
    <t xml:space="preserve">https://eur-lex.europa.eu/legal-content/EN/TXT/?uri=CELEX:32025R0038</t>
  </si>
  <si>
    <t xml:space="preserve">02025R0038-20250115</t>
  </si>
  <si>
    <t xml:space="preserve">52023PC0209</t>
  </si>
  <si>
    <t xml:space="preserve">Compulsory licensing of patents Regulation</t>
  </si>
  <si>
    <t xml:space="preserve">2023/0129(COD)</t>
  </si>
  <si>
    <t xml:space="preserve">2023-04-27</t>
  </si>
  <si>
    <t xml:space="preserve">2025-12-30</t>
  </si>
  <si>
    <t xml:space="preserve">2026-01-19</t>
  </si>
  <si>
    <t xml:space="preserve">32025R2645</t>
  </si>
  <si>
    <t xml:space="preserve">https://eur-lex.europa.eu/legal-content/EN/TXT/?uri=CELEX:32025R2645</t>
  </si>
  <si>
    <t xml:space="preserve">52023PC0224</t>
  </si>
  <si>
    <t xml:space="preserve">Adopted after CEPS snapshot: Regulation (EU) 2025/2645 (16 Dec 2025)</t>
  </si>
  <si>
    <t xml:space="preserve">Strategic Technologies for Europe Platform (STEP)</t>
  </si>
  <si>
    <t xml:space="preserve">Regulation (EU) 2024/795</t>
  </si>
  <si>
    <t xml:space="preserve">2023-06-20</t>
  </si>
  <si>
    <t xml:space="preserve">2024-03-01</t>
  </si>
  <si>
    <t xml:space="preserve">32024R0795</t>
  </si>
  <si>
    <t xml:space="preserve">https://eur-lex.europa.eu/legal-content/EN/TXT/?uri=CELEX:32024R0795</t>
  </si>
  <si>
    <t xml:space="preserve">02024R0795-20251223</t>
  </si>
  <si>
    <t xml:space="preserve">52023PC0335</t>
  </si>
  <si>
    <t xml:space="preserve">Financial Data Access Regulation (FiDA)</t>
  </si>
  <si>
    <t xml:space="preserve">2023/0205(COD)</t>
  </si>
  <si>
    <t xml:space="preserve">2023-06-28</t>
  </si>
  <si>
    <t xml:space="preserve">52023PC0360</t>
  </si>
  <si>
    <t xml:space="preserve">https://eur-lex.europa.eu/legal-content/EN/TXT/?uri=CELEX:52023PC0360</t>
  </si>
  <si>
    <t xml:space="preserve">Payment Services Regulation (PSR)</t>
  </si>
  <si>
    <t xml:space="preserve">2023/0210(COD)</t>
  </si>
  <si>
    <t xml:space="preserve">agreed</t>
  </si>
  <si>
    <t xml:space="preserve">52023PC0367</t>
  </si>
  <si>
    <t xml:space="preserve">https://eur-lex.europa.eu/legal-content/EN/TXT/?uri=CELEX:52023PC0367</t>
  </si>
  <si>
    <t xml:space="preserve">Provisional agreement 27 Nov 2025; measured on the 2023 Commission proposal (user choice). Council final compromise text ST 8221/26: 431 Council-format pages, 74,497 words of legal text, 588 restrictions (323 on private parties)</t>
  </si>
  <si>
    <t xml:space="preserve">Payment Services Directive 3 (PSD3)</t>
  </si>
  <si>
    <t xml:space="preserve">2023/0209(COD)</t>
  </si>
  <si>
    <t xml:space="preserve">52023PC0366</t>
  </si>
  <si>
    <t xml:space="preserve">https://eur-lex.europa.eu/legal-content/EN/TXT/?uri=CELEX:52023PC0366</t>
  </si>
  <si>
    <t xml:space="preserve">Provisional agreement 27 Nov 2025; measured on the 2023 Commission proposal (user choice). Council final compromise text ST 8222/26: 167 Council-format pages, 30,433 words of legal text, 266 restrictions (56 on private parties)</t>
  </si>
  <si>
    <t xml:space="preserve">Digital Euro Regulation</t>
  </si>
  <si>
    <t xml:space="preserve">2023/0212(COD)</t>
  </si>
  <si>
    <t xml:space="preserve">52023PC0369</t>
  </si>
  <si>
    <t xml:space="preserve">https://eur-lex.europa.eu/legal-content/EN/TXT/?uri=CELEX:52023PC0369</t>
  </si>
  <si>
    <t xml:space="preserve">GDPR Procedural Regulation</t>
  </si>
  <si>
    <t xml:space="preserve">2023/0202(COD)</t>
  </si>
  <si>
    <t xml:space="preserve">2023-07-04</t>
  </si>
  <si>
    <t xml:space="preserve">2025-11-26</t>
  </si>
  <si>
    <t xml:space="preserve">2025-12-12</t>
  </si>
  <si>
    <t xml:space="preserve">2026-01-01</t>
  </si>
  <si>
    <t xml:space="preserve">32025R2518</t>
  </si>
  <si>
    <t xml:space="preserve">https://eur-lex.europa.eu/legal-content/EN/TXT/?uri=CELEX:32025R2518</t>
  </si>
  <si>
    <t xml:space="preserve">52023PC0348</t>
  </si>
  <si>
    <t xml:space="preserve">Adopted after CEPS snapshot: Regulation (EU) 2025/2518 (26 Nov 2025)</t>
  </si>
  <si>
    <t xml:space="preserve">Toys Safety Regulation</t>
  </si>
  <si>
    <t xml:space="preserve">2023/0290(COD)</t>
  </si>
  <si>
    <t xml:space="preserve">32025R2509</t>
  </si>
  <si>
    <t xml:space="preserve">https://eur-lex.europa.eu/legal-content/EN/TXT/?uri=CELEX:32025R2509</t>
  </si>
  <si>
    <t xml:space="preserve">02025R2509-20251212</t>
  </si>
  <si>
    <t xml:space="preserve">52023PC0462</t>
  </si>
  <si>
    <t xml:space="preserve">Adopted after CEPS snapshot: Regulation (EU) 2025/2509 (26 Nov 2025); no consolidated text with amendments in EUR-Lex; consolidated count = original</t>
  </si>
  <si>
    <t xml:space="preserve">Late Payment Regulation</t>
  </si>
  <si>
    <t xml:space="preserve">2023/0323(COD)</t>
  </si>
  <si>
    <t xml:space="preserve">2023-09-12</t>
  </si>
  <si>
    <t xml:space="preserve">52023PC0533</t>
  </si>
  <si>
    <t xml:space="preserve">https://eur-lex.europa.eu/legal-content/EN/TXT/?uri=CELEX:52023PC0533</t>
  </si>
  <si>
    <t xml:space="preserve">Child Sexual Abuse Directive (recast)</t>
  </si>
  <si>
    <t xml:space="preserve">2024/0035(COD)</t>
  </si>
  <si>
    <t xml:space="preserve">2024-02-06</t>
  </si>
  <si>
    <t xml:space="preserve">52024PC0060</t>
  </si>
  <si>
    <t xml:space="preserve">https://eur-lex.europa.eu/legal-content/EN/TXT/?uri=CELEX:52024PC0060</t>
  </si>
  <si>
    <t xml:space="preserve">EU Digital Travel Application Regulation</t>
  </si>
  <si>
    <t xml:space="preserve">2024/0670(COD)</t>
  </si>
  <si>
    <t xml:space="preserve">2024-10-08</t>
  </si>
  <si>
    <t xml:space="preserve">52024PC0670</t>
  </si>
  <si>
    <t xml:space="preserve">https://eur-lex.europa.eu/legal-content/EN/TXT/?uri=CELEX:52024PC0670</t>
  </si>
  <si>
    <t xml:space="preserve">EU Space Act</t>
  </si>
  <si>
    <t xml:space="preserve">COM(2025) 335</t>
  </si>
  <si>
    <t xml:space="preserve">planned</t>
  </si>
  <si>
    <t xml:space="preserve">2025-06-25</t>
  </si>
  <si>
    <t xml:space="preserve">52025PC0335</t>
  </si>
  <si>
    <t xml:space="preserve">https://eur-lex.europa.eu/legal-content/EN/TXT/?uri=CELEX:52025PC0335</t>
  </si>
  <si>
    <t xml:space="preserve">European Standardisation Regulation</t>
  </si>
  <si>
    <t xml:space="preserve">Regulation (EU) 1025/2012</t>
  </si>
  <si>
    <t xml:space="preserve">2011-06-01</t>
  </si>
  <si>
    <t xml:space="preserve">2012-10-25</t>
  </si>
  <si>
    <t xml:space="preserve">2012-12-04</t>
  </si>
  <si>
    <t xml:space="preserve">32012R1025</t>
  </si>
  <si>
    <t xml:space="preserve">https://eur-lex.europa.eu/legal-content/EN/TXT/?uri=CELEX:32012R1025</t>
  </si>
  <si>
    <t xml:space="preserve">02012R1025-20241213</t>
  </si>
  <si>
    <t xml:space="preserve">2013-06-12</t>
  </si>
  <si>
    <t xml:space="preserve">52011PC0315</t>
  </si>
  <si>
    <t xml:space="preserve">Electromagnetic Compatibility Directive</t>
  </si>
  <si>
    <t xml:space="preserve">Directive 2014/30/EU</t>
  </si>
  <si>
    <t xml:space="preserve">2011-11-21</t>
  </si>
  <si>
    <t xml:space="preserve">2014-02-26</t>
  </si>
  <si>
    <t xml:space="preserve">2014-03-29</t>
  </si>
  <si>
    <t xml:space="preserve">2014-04-18</t>
  </si>
  <si>
    <t xml:space="preserve">32014L0030</t>
  </si>
  <si>
    <t xml:space="preserve">https://eur-lex.europa.eu/legal-content/EN/TXT/?uri=CELEX:32014L0030</t>
  </si>
  <si>
    <t xml:space="preserve">02014L0030-20260530</t>
  </si>
  <si>
    <t xml:space="preserve">2018-07-04</t>
  </si>
  <si>
    <t xml:space="preserve">52011PC0765</t>
  </si>
  <si>
    <t xml:space="preserve">Radio Equipment Directive</t>
  </si>
  <si>
    <t xml:space="preserve">Directive 2014/53/EU</t>
  </si>
  <si>
    <t xml:space="preserve">2012-10-17</t>
  </si>
  <si>
    <t xml:space="preserve">2014-04-16</t>
  </si>
  <si>
    <t xml:space="preserve">2014-05-22</t>
  </si>
  <si>
    <t xml:space="preserve">2014-06-11</t>
  </si>
  <si>
    <t xml:space="preserve">32014L0053</t>
  </si>
  <si>
    <t xml:space="preserve">https://eur-lex.europa.eu/legal-content/EN/TXT/?uri=CELEX:32014L0053</t>
  </si>
  <si>
    <t xml:space="preserve">02014L0053-20260530</t>
  </si>
  <si>
    <t xml:space="preserve">52012PC0584</t>
  </si>
  <si>
    <t xml:space="preserve">E-invoicing Directive</t>
  </si>
  <si>
    <t xml:space="preserve">Directive 2014/55/EU</t>
  </si>
  <si>
    <t xml:space="preserve">2013-06-26</t>
  </si>
  <si>
    <t xml:space="preserve">2014-05-06</t>
  </si>
  <si>
    <t xml:space="preserve">2014-05-26</t>
  </si>
  <si>
    <t xml:space="preserve">32014L0055</t>
  </si>
  <si>
    <t xml:space="preserve">https://eur-lex.europa.eu/legal-content/EN/TXT/?uri=CELEX:32014L0055</t>
  </si>
  <si>
    <t xml:space="preserve">02014L0055-20140526</t>
  </si>
  <si>
    <t xml:space="preserve">52013PC0449</t>
  </si>
  <si>
    <t xml:space="preserve">Portability Regulation</t>
  </si>
  <si>
    <t xml:space="preserve">Regulation (EU) 2017/1128</t>
  </si>
  <si>
    <t xml:space="preserve">32017R1128</t>
  </si>
  <si>
    <t xml:space="preserve">https://eur-lex.europa.eu/legal-content/EN/TXT/?uri=CELEX:32017R1128</t>
  </si>
  <si>
    <t xml:space="preserve">02017R1128-20170630</t>
  </si>
  <si>
    <t xml:space="preserve">52015PC0627</t>
  </si>
  <si>
    <t xml:space="preserve">.eu Top-Level Domain Regulation</t>
  </si>
  <si>
    <t xml:space="preserve">Regulation (EU) 2019/517</t>
  </si>
  <si>
    <t xml:space="preserve">2018-04-27</t>
  </si>
  <si>
    <t xml:space="preserve">2019-03-29</t>
  </si>
  <si>
    <t xml:space="preserve">2019-04-18</t>
  </si>
  <si>
    <t xml:space="preserve">32019R0517</t>
  </si>
  <si>
    <t xml:space="preserve">https://eur-lex.europa.eu/legal-content/EN/TXT/?uri=CELEX:32019R0517</t>
  </si>
  <si>
    <t xml:space="preserve">02019R0517-20190329</t>
  </si>
  <si>
    <t xml:space="preserve">52018PC0231</t>
  </si>
  <si>
    <t xml:space="preserve">Interoperability of EU information systems (borders and visa) Regulation</t>
  </si>
  <si>
    <t xml:space="preserve">Regulation (EU) 2019/817</t>
  </si>
  <si>
    <t xml:space="preserve">32019R0817</t>
  </si>
  <si>
    <t xml:space="preserve">https://eur-lex.europa.eu/legal-content/EN/TXT/?uri=CELEX:32019R0817</t>
  </si>
  <si>
    <t xml:space="preserve">02019R0817-20260612</t>
  </si>
  <si>
    <t xml:space="preserve">52017PC0793</t>
  </si>
  <si>
    <t xml:space="preserve">Short-Term Rental Data Regulation</t>
  </si>
  <si>
    <t xml:space="preserve">Regulation (EU) 2024/1028</t>
  </si>
  <si>
    <t xml:space="preserve">2022-11-07</t>
  </si>
  <si>
    <t xml:space="preserve">2024-05-19</t>
  </si>
  <si>
    <t xml:space="preserve">32024R1028</t>
  </si>
  <si>
    <t xml:space="preserve">https://eur-lex.europa.eu/legal-content/EN/TXT/?uri=CELEX:32024R1028</t>
  </si>
  <si>
    <t xml:space="preserve">52022PC0571</t>
  </si>
  <si>
    <t xml:space="preserve">TOTAL (all rows)</t>
  </si>
  <si>
    <t xml:space="preserve">parent_row_id</t>
  </si>
  <si>
    <t xml:space="preserve">parent_name</t>
  </si>
  <si>
    <t xml:space="preserve">parent_celex</t>
  </si>
  <si>
    <t xml:space="preserve">celex</t>
  </si>
  <si>
    <t xml:space="preserve">kind</t>
  </si>
  <si>
    <t xml:space="preserve">eurlex_type</t>
  </si>
  <si>
    <t xml:space="preserve">date</t>
  </si>
  <si>
    <t xml:space="preserve">title</t>
  </si>
  <si>
    <t xml:space="preserve">addressed_to_specific_member_state</t>
  </si>
  <si>
    <t xml:space="preserve">52019XC0927(01)</t>
  </si>
  <si>
    <t xml:space="preserve">guidance</t>
  </si>
  <si>
    <t xml:space="preserve">GUIDELINE_GEN</t>
  </si>
  <si>
    <t xml:space="preserve">2019-09-27</t>
  </si>
  <si>
    <t xml:space="preserve">Commission notice — Guidance on the interpretation and application of Council Directive 93/13/EEC on unfair terms in consumer contracts (Text with EEA relevance.)</t>
  </si>
  <si>
    <t xml:space="preserve">no</t>
  </si>
  <si>
    <t xml:space="preserve">https://eur-lex.europa.eu/legal-content/EN/TXT/?uri=CELEX:52019XC0927(01)</t>
  </si>
  <si>
    <t xml:space="preserve">Guidance is non-binding: restriction counts mostly reflect obligations it restates</t>
  </si>
  <si>
    <t xml:space="preserve">32002R2245</t>
  </si>
  <si>
    <t xml:space="preserve">other Commission/Council act</t>
  </si>
  <si>
    <t xml:space="preserve">REG</t>
  </si>
  <si>
    <t xml:space="preserve">2002-10-21</t>
  </si>
  <si>
    <t xml:space="preserve">Commission Regulation (EC) No 2245/2002 of 21 October 2002 implementing Council Regulation (EC) No 6/2002 on Community designs</t>
  </si>
  <si>
    <t xml:space="preserve">https://eur-lex.europa.eu/legal-content/EN/TXT/?uri=CELEX:32002R2245</t>
  </si>
  <si>
    <t xml:space="preserve">32002R2246</t>
  </si>
  <si>
    <t xml:space="preserve">2002-12-16</t>
  </si>
  <si>
    <t xml:space="preserve">Commission Regulation (EC) No 2246/2002 of 16 December 2002 on the fees payable to the Office for Harmonization in the Internal Market (Trade Marks and Designs) in respect of the registration of Community designs</t>
  </si>
  <si>
    <t xml:space="preserve">https://eur-lex.europa.eu/legal-content/EN/TXT/?uri=CELEX:32002R2246</t>
  </si>
  <si>
    <t xml:space="preserve">32007R0876</t>
  </si>
  <si>
    <t xml:space="preserve">2007-07-24</t>
  </si>
  <si>
    <t xml:space="preserve">Commission Regulation (EC) No 876/2007 of 24 July 2007 amending Regulation (EC) No 2245/2002 implementing Council Regulation (EC) No 6/2002 on Community designs following the accession of the European Community to the Geneva Act of the Hague Agreement concerning the international registration of industrial designs   (Text with EEA relevance)</t>
  </si>
  <si>
    <t xml:space="preserve">https://eur-lex.europa.eu/legal-content/EN/TXT/?uri=CELEX:32007R0876</t>
  </si>
  <si>
    <t xml:space="preserve">32007R0877</t>
  </si>
  <si>
    <t xml:space="preserve">Commission Regulation (EC) No 877/2007 of 24 July 2007 amending Regulation (EC) No 2246/2002 concerning the fees payable to the Office for Harmonization in the Internal Market (Trade Marks and Designs) following the accession of the European Community to the Geneva Act of the Hague Agreement concerning the international registration of industrial designs</t>
  </si>
  <si>
    <t xml:space="preserve">https://eur-lex.europa.eu/legal-content/EN/TXT/?uri=CELEX:32007R0877</t>
  </si>
  <si>
    <t xml:space="preserve">32025R0073</t>
  </si>
  <si>
    <t xml:space="preserve">implementing</t>
  </si>
  <si>
    <t xml:space="preserve">REG_IMPL</t>
  </si>
  <si>
    <t xml:space="preserve">2025-01-17</t>
  </si>
  <si>
    <t xml:space="preserve">Commission Implementing Regulation (EU) 2025/73 of 17 January 2025 amending Regulation (EC) No 2245/2002 implementing Council Regulation (EC) No 6/2002 on Community designs</t>
  </si>
  <si>
    <t xml:space="preserve">https://eur-lex.europa.eu/legal-content/EN/TXT/?uri=CELEX:32025R0073</t>
  </si>
  <si>
    <t xml:space="preserve">32026R0137</t>
  </si>
  <si>
    <t xml:space="preserve">delegated</t>
  </si>
  <si>
    <t xml:space="preserve">REG_DEL</t>
  </si>
  <si>
    <t xml:space="preserve">2026-01-15</t>
  </si>
  <si>
    <t xml:space="preserve">Commission Delegated Regulation (EU) 2026/137 of 15 January 2026 supplementing Council Regulation (EC) No 6/2002 on European Union designs with rules specifying the details of certain proceedings concerning registered designs, and repealing Commission Regulation (EC) No 2245/2002</t>
  </si>
  <si>
    <t xml:space="preserve">https://eur-lex.europa.eu/legal-content/EN/TXT/?uri=CELEX:32026R0137</t>
  </si>
  <si>
    <t xml:space="preserve">32026R0138</t>
  </si>
  <si>
    <t xml:space="preserve">Commission Implementing Regulation (EU) 2026/138 of 15 January 2026 laying down detailed rules for implementing certain provisions of Council Regulation (EC) No 6/2002 on European Union designs</t>
  </si>
  <si>
    <t xml:space="preserve">https://eur-lex.europa.eu/legal-content/EN/TXT/?uri=CELEX:32026R0138</t>
  </si>
  <si>
    <t xml:space="preserve">52021XC1229(06)</t>
  </si>
  <si>
    <t xml:space="preserve">NOTICE</t>
  </si>
  <si>
    <t xml:space="preserve">2021-12-29</t>
  </si>
  <si>
    <t xml:space="preserve">Commission Notice – Guidance on the interpretation and application of Article 6a of Directive 98/6/EC of the European Parliament and of the Council on consumer protection in the indication of the prices of products offered to consumers (Text with EEA relevance)</t>
  </si>
  <si>
    <t xml:space="preserve">https://eur-lex.europa.eu/legal-content/EN/TXT/?uri=CELEX:52021XC1229(06)</t>
  </si>
  <si>
    <t xml:space="preserve">32013R0611</t>
  </si>
  <si>
    <t xml:space="preserve">2013-06-24</t>
  </si>
  <si>
    <t xml:space="preserve">Commission Regulation (EU) No 611/2013 of 24 June 2013 on the measures applicable to the notification of personal data breaches under Directive 2002/58/EC of the European Parliament and of the Council on privacy and electronic communications</t>
  </si>
  <si>
    <t xml:space="preserve">https://eur-lex.europa.eu/legal-content/EN/TXT/?uri=CELEX:32013R0611</t>
  </si>
  <si>
    <t xml:space="preserve">32011D0251</t>
  </si>
  <si>
    <t xml:space="preserve">DEC_IMPL</t>
  </si>
  <si>
    <t xml:space="preserve">2011-04-18</t>
  </si>
  <si>
    <t xml:space="preserve">2011/251/EU: Commission Implementing Decision of 18 April 2011 amending Decision 2009/766/EC on the harmonisation of the 900 MHz and 1800 MHz frequency bands for terrestrial systems capable of providing pan-European electronic communications services in the Community (notified under document C(2011) 2633)  Text with EEA relevance</t>
  </si>
  <si>
    <t xml:space="preserve">https://eur-lex.europa.eu/legal-content/EN/TXT/?uri=CELEX:32011D0251</t>
  </si>
  <si>
    <t xml:space="preserve">32011D0485</t>
  </si>
  <si>
    <t xml:space="preserve">2011-07-29</t>
  </si>
  <si>
    <t xml:space="preserve">Commission Implementing Decision of 29 July 2011 amending Decision 2005/50/EC on the harmonisation of the 24 GHz range radio spectrum band for the time-limited use by automotive short-range radar equipment in the Community (notified under document C(2011) 5444) Text with EEA relevance</t>
  </si>
  <si>
    <t xml:space="preserve">https://eur-lex.europa.eu/legal-content/EN/TXT/?uri=CELEX:32011D0485</t>
  </si>
  <si>
    <t xml:space="preserve">32011D0829</t>
  </si>
  <si>
    <t xml:space="preserve">2011-12-08</t>
  </si>
  <si>
    <t xml:space="preserve">2011/829/EU: Commission Implementing Decision of 8 December 2011 amending Decision 2006/771/EC on harmonisation of the radio spectrum for use by short-range devices (notified under document C(2011) 9030)  Text with EEA relevance</t>
  </si>
  <si>
    <t xml:space="preserve">https://eur-lex.europa.eu/legal-content/EN/TXT/?uri=CELEX:32011D0829</t>
  </si>
  <si>
    <t xml:space="preserve">32012D0688</t>
  </si>
  <si>
    <t xml:space="preserve">2012-11-05</t>
  </si>
  <si>
    <t xml:space="preserve">2012/688/EU: Commission Implementing Decision of 5 November 2012 on the harmonisation of the frequency bands 1920 - 1980  MHz and 2110 - 2170  MHz for terrestrial systems capable of providing electronic communications services in the Union (notified under document C(2012) 7697)  Text with EEA relevance</t>
  </si>
  <si>
    <t xml:space="preserve">https://eur-lex.europa.eu/legal-content/EN/TXT/?uri=CELEX:32012D0688</t>
  </si>
  <si>
    <t xml:space="preserve">32013D0654</t>
  </si>
  <si>
    <t xml:space="preserve">2013-11-12</t>
  </si>
  <si>
    <t xml:space="preserve">2013/654/EU: Commission Implementing Decision of 12 November 2013 amending Decision 2008/294/EC to include additional access technologies and frequency bands for mobile communications services on aircraft (MCA services) (notified under document C(2013) 7491)  Text with EEA relevance</t>
  </si>
  <si>
    <t xml:space="preserve">https://eur-lex.europa.eu/legal-content/EN/TXT/?uri=CELEX:32013D0654</t>
  </si>
  <si>
    <t xml:space="preserve">32013D0752</t>
  </si>
  <si>
    <t xml:space="preserve">2013-12-11</t>
  </si>
  <si>
    <t xml:space="preserve">2013/752/EU: Commission Implementing Decision of 11 December 2013 amending Decision 2006/771/EC on harmonisation of the radio spectrum for use by short-range devices and repealing Decision 2005/928/EC (notified under document C(2013) 8776)  Text with EEA relevance</t>
  </si>
  <si>
    <t xml:space="preserve">https://eur-lex.europa.eu/legal-content/EN/TXT/?uri=CELEX:32013D0752</t>
  </si>
  <si>
    <t xml:space="preserve">32014D0276</t>
  </si>
  <si>
    <t xml:space="preserve">2014-05-02</t>
  </si>
  <si>
    <t xml:space="preserve">2014/276/EU: Commission Implementing Decision of 2 May 2014 on amending Decision 2008/411/EC on the harmonisation of the 3400 - 3800 MHz frequency band for terrestrial systems capable of providing electronic communications services in the Community (notified under document C(2014) 2798)  Text with EEA relevance</t>
  </si>
  <si>
    <t xml:space="preserve">https://eur-lex.europa.eu/legal-content/EN/TXT/?uri=CELEX:32014D0276</t>
  </si>
  <si>
    <t xml:space="preserve">32014D0641</t>
  </si>
  <si>
    <t xml:space="preserve">2014-09-01</t>
  </si>
  <si>
    <t xml:space="preserve">2014/641/EU: Commission Implementing Decision of 1 September 2014 on harmonised technical conditions of radio spectrum use by wireless audio programme making and special events equipment in the Union (notified under document C(2014) 6011)  Text with EEA relevance</t>
  </si>
  <si>
    <t xml:space="preserve">https://eur-lex.europa.eu/legal-content/EN/TXT/?uri=CELEX:32014D0641</t>
  </si>
  <si>
    <t xml:space="preserve">32014D0702</t>
  </si>
  <si>
    <t xml:space="preserve">2014-10-07</t>
  </si>
  <si>
    <t xml:space="preserve">2014/702/EU: Commission Implementing Decision of 7 October 2014 amending Decision 2007/131/EC on allowing the use of the radio spectrum for equipment using ultra-wideband technology in a harmonised manner in the Community (notified under document C(2014) 7083)</t>
  </si>
  <si>
    <t xml:space="preserve">https://eur-lex.europa.eu/legal-content/EN/TXT/?uri=CELEX:32014D0702</t>
  </si>
  <si>
    <t xml:space="preserve">32015D0750</t>
  </si>
  <si>
    <t xml:space="preserve">2015-05-08</t>
  </si>
  <si>
    <t xml:space="preserve">Commission Implementing Decision (EU) 2015/750 of 8 May 2015 on the harmonisation of the 1452-1492 MHz frequency band for terrestrial systems capable of providing electronic communications services in the Union (notified under document C(2015) 3061) (Text with EEA relevance)</t>
  </si>
  <si>
    <t xml:space="preserve">https://eur-lex.europa.eu/legal-content/EN/TXT/?uri=CELEX:32015D0750</t>
  </si>
  <si>
    <t xml:space="preserve">32016D0339</t>
  </si>
  <si>
    <t xml:space="preserve">2016-03-08</t>
  </si>
  <si>
    <t xml:space="preserve">Commission Implementing Decision (EU) 2016/339 of 8 March 2016 on the harmonisation of the 2010-2025 MHz frequency band for portable or mobile wireless video links and cordless cameras used for programme making and special events (notified under document C(2016) 1197) (Text with EEA relevance)</t>
  </si>
  <si>
    <t xml:space="preserve">https://eur-lex.europa.eu/legal-content/EN/TXT/?uri=CELEX:32016D0339</t>
  </si>
  <si>
    <t xml:space="preserve">32016D0687</t>
  </si>
  <si>
    <t xml:space="preserve">2016-04-28</t>
  </si>
  <si>
    <t xml:space="preserve">Commission Implementing Decision (EU) 2016/687 of 28 April 2016 on the harmonisation of the 694-790 MHz frequency band for terrestrial systems capable of providing wireless broadband electronic communications services and for flexible national use in the Union (notified under document C(2016) 2268) (Text with EEA relevance)</t>
  </si>
  <si>
    <t xml:space="preserve">https://eur-lex.europa.eu/legal-content/EN/TXT/?uri=CELEX:32016D0687</t>
  </si>
  <si>
    <t xml:space="preserve">32016D2317</t>
  </si>
  <si>
    <t xml:space="preserve">2016-12-16</t>
  </si>
  <si>
    <t xml:space="preserve">Commission Implementing Decision (EU) 2016/2317 of 16 December 2016 amending Decision 2008/294/EC and Implementing Decision 2013/654/EU, in order to simplify the operation of mobile communications on board aircraft (MCA services) in the Union (notified under document C(2016) 8413) (Text with EEA relevance )</t>
  </si>
  <si>
    <t xml:space="preserve">https://eur-lex.europa.eu/legal-content/EN/TXT/?uri=CELEX:32016D2317</t>
  </si>
  <si>
    <t xml:space="preserve">32017D0191</t>
  </si>
  <si>
    <t xml:space="preserve">2017-02-01</t>
  </si>
  <si>
    <t xml:space="preserve">Commission Implementing Decision (EU) 2017/191 of 1 February 2017 amending Decision 2010/166/EU, in order to introduce new technologies and frequency bands for mobile communication services on board vessels (MCV services) in the European Union (notified under document C(2017) 450) (Text with EEA relevance. )</t>
  </si>
  <si>
    <t xml:space="preserve">https://eur-lex.europa.eu/legal-content/EN/TXT/?uri=CELEX:32017D0191</t>
  </si>
  <si>
    <t xml:space="preserve">32017D1438</t>
  </si>
  <si>
    <t xml:space="preserve">2017-08-04</t>
  </si>
  <si>
    <t xml:space="preserve">Commission Implementing Decision (EU) 2017/1438 of 4 August 2017 amending Decision 2007/131/EC on allowing the use of the radio spectrum for equipment using ultra-wideband technology in a harmonised manner in the Community (notified under document C(2017) 5456) (Text with EEA relevance. )</t>
  </si>
  <si>
    <t xml:space="preserve">https://eur-lex.europa.eu/legal-content/EN/TXT/?uri=CELEX:32017D1438</t>
  </si>
  <si>
    <t xml:space="preserve">32017D1483</t>
  </si>
  <si>
    <t xml:space="preserve">2017-08-08</t>
  </si>
  <si>
    <t xml:space="preserve">Commission Implementing Decision (EU) 2017/1483 of 8 August 2017 amending Decision 2006/771/EC on harmonisation of the radio spectrum for use by short-range devices and repealing Decision 2006/804/EC (notified under document C(2017) 5464) (Text with EEA relevance. )</t>
  </si>
  <si>
    <t xml:space="preserve">https://eur-lex.europa.eu/legal-content/EN/TXT/?uri=CELEX:32017D1483</t>
  </si>
  <si>
    <t xml:space="preserve">32017D2077</t>
  </si>
  <si>
    <t xml:space="preserve">2017-11-10</t>
  </si>
  <si>
    <t xml:space="preserve">Commission Implementing Decision (EU) 2017/2077 of 10 November 2017 amending Decision 2005/50/EC on the harmonisation of the 24 GHz range radio spectrum band for the time-limited use by automotive short-range radar equipment in the Community (notified under document C(2017) 7374) (Text with EEA relevance. )</t>
  </si>
  <si>
    <t xml:space="preserve">https://eur-lex.europa.eu/legal-content/EN/TXT/?uri=CELEX:32017D2077</t>
  </si>
  <si>
    <t xml:space="preserve">32018D0637</t>
  </si>
  <si>
    <t xml:space="preserve">2018-04-20</t>
  </si>
  <si>
    <t xml:space="preserve">Commission Implementing Decision (EU) 2018/637 of 20 April 2018 amending Decision 2009/766/EC on the harmonisation of the 900 MHz and 1800 MHz frequency bands for terrestrial systems capable of providing pan-European electronic communications services in the Community as regards relevant technical conditions for the Internet of Things (notified under document C(2018) 2261) (Text with EEA relevance. )</t>
  </si>
  <si>
    <t xml:space="preserve">https://eur-lex.europa.eu/legal-content/EN/TXT/?uri=CELEX:32018D0637</t>
  </si>
  <si>
    <t xml:space="preserve">32018D0661</t>
  </si>
  <si>
    <t xml:space="preserve">Commission Implementing Decision (EU) 2018/661 of 26 April 2018 amending Implementing Decision (EU) 2015/750 on the harmonisation of the 1452-1492 MHz frequency band for terrestrial systems capable of providing electronic communications services in the Union as regards its extension in the harmonised 1427-1452 MHz and 1492-1517 MHz frequency bands (notified under document C(2018) 2286) (Text with EEA relevance. )</t>
  </si>
  <si>
    <t xml:space="preserve">https://eur-lex.europa.eu/legal-content/EN/TXT/?uri=CELEX:32018D0661</t>
  </si>
  <si>
    <t xml:space="preserve">32018D1538</t>
  </si>
  <si>
    <t xml:space="preserve">2018-10-11</t>
  </si>
  <si>
    <t xml:space="preserve">Commission Implementing Decision (EU) 2018/1538 of 11 October 2018 on the harmonisation of radio spectrum for use by short-range devices within the 874-876 and 915-921 MHz frequency bands (notified under document C(2018) 6535) (Text with EEA relevance.)</t>
  </si>
  <si>
    <t xml:space="preserve">https://eur-lex.europa.eu/legal-content/EN/TXT/?uri=CELEX:32018D1538</t>
  </si>
  <si>
    <t xml:space="preserve">32019D0235</t>
  </si>
  <si>
    <t xml:space="preserve">2019-01-24</t>
  </si>
  <si>
    <t xml:space="preserve">Commission Implementing Decision (EU) 2019/235 of 24 January 2019 on amending Decision 2008/411/EC as regards an update of relevant technical conditions applicable to the 3400-3800 MHz frequency band (notified under document C(2019) 262) (Text with EEA relevance.)</t>
  </si>
  <si>
    <t xml:space="preserve">https://eur-lex.europa.eu/legal-content/EN/TXT/?uri=CELEX:32019D0235</t>
  </si>
  <si>
    <t xml:space="preserve">32019D0784</t>
  </si>
  <si>
    <t xml:space="preserve">2019-05-14</t>
  </si>
  <si>
    <t xml:space="preserve">Commission Implementing Decision (EU) 2019/784 of 14 May 2019 on harmonisation of the 24,25-27,5 GHz frequency band for terrestrial systems capable of providing wireless broadband electronic communications services in the Union (notified under document C(2019) 3450) (Text with EEA relevance.)</t>
  </si>
  <si>
    <t xml:space="preserve">https://eur-lex.europa.eu/legal-content/EN/TXT/?uri=CELEX:32019D0784</t>
  </si>
  <si>
    <t xml:space="preserve">32019D0785</t>
  </si>
  <si>
    <t xml:space="preserve">Commission Implementing Decision (EU) 2019/785 of 14 May 2019 on the harmonisation of radio spectrum for equipment using ultra-wideband technology in the Union and repealing Decision 2007/131/EC (notified under document C(2019) 3461) (Text with EEA relevance.)</t>
  </si>
  <si>
    <t xml:space="preserve">https://eur-lex.europa.eu/legal-content/EN/TXT/?uri=CELEX:32019D0785</t>
  </si>
  <si>
    <t xml:space="preserve">32019D1345</t>
  </si>
  <si>
    <t xml:space="preserve">2019-08-02</t>
  </si>
  <si>
    <t xml:space="preserve">Commission Implementing Decision (EU) 2019/1345 of 2 August 2019 amending Decision 2006/771/EC updating harmonised technical conditions in the area of radio spectrum use for short-range devices (notified under document C(2019) 5660) (Text with EEA relevance.)</t>
  </si>
  <si>
    <t xml:space="preserve">https://eur-lex.europa.eu/legal-content/EN/TXT/?uri=CELEX:32019D1345</t>
  </si>
  <si>
    <t xml:space="preserve">32020D0590</t>
  </si>
  <si>
    <t xml:space="preserve">2020-04-24</t>
  </si>
  <si>
    <t xml:space="preserve">Commission Implementing Decision (EU) 2020/590 of 24 April 2020 amending Decision (EU) 2019/784 as regards an update of relevant technical conditions applicable to the 24,25-27,5 GHz frequency band (notified under document C(2020) 2542) (Text with EEA relevance)</t>
  </si>
  <si>
    <t xml:space="preserve">https://eur-lex.europa.eu/legal-content/EN/TXT/?uri=CELEX:32020D0590</t>
  </si>
  <si>
    <t xml:space="preserve">32020D0667</t>
  </si>
  <si>
    <t xml:space="preserve">2020-05-06</t>
  </si>
  <si>
    <t xml:space="preserve">Commission Implementing Decision (EU) 2020/667 of 6 May 2020 amending Decision 2012/688/EU as regards an update of relevant technical conditions applicable to the frequency bands 1 920-1 980 MHz and 2 110-2 170 MHz (notified under document C(2020) 2816) (Text with EEA relevance)</t>
  </si>
  <si>
    <t xml:space="preserve">https://eur-lex.europa.eu/legal-content/EN/TXT/?uri=CELEX:32020D0667</t>
  </si>
  <si>
    <t xml:space="preserve">32020D0636</t>
  </si>
  <si>
    <t xml:space="preserve">2020-05-08</t>
  </si>
  <si>
    <t xml:space="preserve">Commission Implementing Decision (EU) 2020/636 of 8 May 2020 amending Decision 2008/477/EC as regards an update of relevant technical conditions applicable to the 2 500–2 690 MHz frequency band (notified under document C(2020) 2831) (Text with EEA relevance)</t>
  </si>
  <si>
    <t xml:space="preserve">https://eur-lex.europa.eu/legal-content/EN/TXT/?uri=CELEX:32020D0636</t>
  </si>
  <si>
    <t xml:space="preserve">32020D1426</t>
  </si>
  <si>
    <t xml:space="preserve">2020-10-07</t>
  </si>
  <si>
    <t xml:space="preserve">Commission Implementing Decision (EU) 2020/1426 of 7 October 2020 on the harmonised use of radio spectrum in the 5 875-5 935 MHz frequency band for safety-related applications of intelligent transport systems (ITS) and repealing Decision 2008/671/EC (notified under document C(2020) 6773) (Text with EEA relevance)</t>
  </si>
  <si>
    <t xml:space="preserve">https://eur-lex.europa.eu/legal-content/EN/TXT/?uri=CELEX:32020D1426</t>
  </si>
  <si>
    <t xml:space="preserve">32021D1067</t>
  </si>
  <si>
    <t xml:space="preserve">2021-06-17</t>
  </si>
  <si>
    <t xml:space="preserve">Commission Implementing Decision (EU) 2021/1067 of 17 June 2021 on the harmonised use of radio spectrum in the 5945-6425 MHz frequency band for the implementation of wireless access systems including radio local area networks (WAS/RLANs) (notified under document C(2021) 4240) (Text with EEA relevance)</t>
  </si>
  <si>
    <t xml:space="preserve">https://eur-lex.europa.eu/legal-content/EN/TXT/?uri=CELEX:32021D1067</t>
  </si>
  <si>
    <t xml:space="preserve">32021D1730</t>
  </si>
  <si>
    <t xml:space="preserve">2021-09-28</t>
  </si>
  <si>
    <t xml:space="preserve">Commission Implementing Decision (EU) 2021/1730 of 28 September 2021 on the harmonised use of the paired frequency bands 874,4-880,0 MHz and 919,4-925,0 MHz and of the unpaired frequency band 1900-1910 MHz for Railway Mobile Radio (notified under document C(2021) 6862) (Text with EEA relevance)</t>
  </si>
  <si>
    <t xml:space="preserve">https://eur-lex.europa.eu/legal-content/EN/TXT/?uri=CELEX:32021D1730</t>
  </si>
  <si>
    <t xml:space="preserve">32022D0172</t>
  </si>
  <si>
    <t xml:space="preserve">2022-02-07</t>
  </si>
  <si>
    <t xml:space="preserve">Commission Implementing Decision (EU) 2022/172 of 7 February 2022 amending Implementing Decision (EU) 2018/1538 on the harmonisation of radio spectrum for use by short-range devices within the 874-876 and 915-921 MHz frequency bands (notified under document C(2022) 608) (Text with EEA relevance)</t>
  </si>
  <si>
    <t xml:space="preserve">https://eur-lex.europa.eu/legal-content/EN/TXT/?uri=CELEX:32022D0172</t>
  </si>
  <si>
    <t xml:space="preserve">32022D0173</t>
  </si>
  <si>
    <t xml:space="preserve">Commission Implementing Decision (EU) 2022/173 of 7 February 2022 on the harmonisation of the 900 MHz and 1800 MHz frequency bands for terrestrial systems capable of providing electronic communications services in the Union and repealing Decision 2009/766/EC (notified under document C(2022) 605) (Text with EEA relevance)</t>
  </si>
  <si>
    <t xml:space="preserve">https://eur-lex.europa.eu/legal-content/EN/TXT/?uri=CELEX:32022D0173</t>
  </si>
  <si>
    <t xml:space="preserve">32022D0179</t>
  </si>
  <si>
    <t xml:space="preserve">Commission Implementing Decision (EU) 2022/179 of 8 February 2022 on the harmonised use of radio spectrum in the 5 GHz frequency band for the implementation of wireless access systems including radio local area networks and repealing Decision 2005/513/EC (notified under document C(2022) 628) (Text with EEA relevance)</t>
  </si>
  <si>
    <t xml:space="preserve">https://eur-lex.europa.eu/legal-content/EN/TXT/?uri=CELEX:32022D0179</t>
  </si>
  <si>
    <t xml:space="preserve">32022D0180</t>
  </si>
  <si>
    <t xml:space="preserve">Commission Implementing Decision (EU) 2022/180 of 8 February 2022 amending Decision 2006/771/EC as regards the update of harmonised technical conditions in the area of radio spectrum use for short-range devices (notified under document C(2022) 644) (Text with EEA relevance)</t>
  </si>
  <si>
    <t xml:space="preserve">https://eur-lex.europa.eu/legal-content/EN/TXT/?uri=CELEX:32022D0180</t>
  </si>
  <si>
    <t xml:space="preserve">32022D2307</t>
  </si>
  <si>
    <t xml:space="preserve">2022-11-23</t>
  </si>
  <si>
    <t xml:space="preserve">Commission Implementing Decision (EU) 2022/2307 of 23 November 2022 amending Implementing Decision (EU) 2022/179 as regards designating and making available the 5150-5250 MHz, 5250-5350 MHz and 5470-5725 MHz frequency bands in accordance with the technical conditions set out in the Annex (notified under document C(2022) 8313) (Text with EEA relevance)</t>
  </si>
  <si>
    <t xml:space="preserve">https://eur-lex.europa.eu/legal-content/EN/TXT/?uri=CELEX:32022D2307</t>
  </si>
  <si>
    <t xml:space="preserve">32022D2324</t>
  </si>
  <si>
    <t xml:space="preserve">Commission Implementing Decision (EU) 2022/2324 of 23 November 2022 amending Decision 2008/294/EC, to include additional access technologies and measures for the operation of mobile communications services on aircraft (MCA services) in the Union (notified under document C(2022) 8321) (Text with EEA relevance)</t>
  </si>
  <si>
    <t xml:space="preserve">https://eur-lex.europa.eu/legal-content/EN/TXT/?uri=CELEX:32022D2324</t>
  </si>
  <si>
    <t xml:space="preserve">32024D0340</t>
  </si>
  <si>
    <t xml:space="preserve">2024-01-22</t>
  </si>
  <si>
    <t xml:space="preserve">Commission Implementing Decision (EU) 2024/340 of 22 January 2024 on harmonised conditions for the use of radio spectrum for mobile communication services on board vessels in the Union, repealing Decision 2010/166/EU (notified under document C(2024) 236)</t>
  </si>
  <si>
    <t xml:space="preserve">https://eur-lex.europa.eu/legal-content/EN/TXT/?uri=CELEX:32024D0340</t>
  </si>
  <si>
    <t xml:space="preserve">32024D1467</t>
  </si>
  <si>
    <t xml:space="preserve">2024-05-27</t>
  </si>
  <si>
    <t xml:space="preserve">Commission Implementing Decision (EU) 2024/1467 of 27 May 2024 amending Implementing Decision (EU) 2019/785 on the harmonisation of radio spectrum for equipment using ultra-wideband technology in the Union (notified under document C(2024) 3377)</t>
  </si>
  <si>
    <t xml:space="preserve">https://eur-lex.europa.eu/legal-content/EN/TXT/?uri=CELEX:32024D1467</t>
  </si>
  <si>
    <t xml:space="preserve">32024D1983</t>
  </si>
  <si>
    <t xml:space="preserve">Commission Implementing Decision (EU) 2024/1983 of 18 July 2024 on the harmonisation of the 40,5-43,5 GHz frequency band for terrestrial systems capable of providing wireless broadband electronic communications services in the Union (notified under document C(2024) 1520)</t>
  </si>
  <si>
    <t xml:space="preserve">https://eur-lex.europa.eu/legal-content/EN/TXT/?uri=CELEX:32024D1983</t>
  </si>
  <si>
    <t xml:space="preserve">32024D3157</t>
  </si>
  <si>
    <t xml:space="preserve">2024-12-17</t>
  </si>
  <si>
    <t xml:space="preserve">Commission Implementing Decision (EU) 2024/3157 of 17 December 2024 amending Implementing Decision (EU) 2021/1067 on the harmonised use of radio spectrum in the 5 945–6 425 MHz frequency band for the implementation of wireless access systems including radio local area networks (WAS/RLANs) (notified under document C(2024) 8803)</t>
  </si>
  <si>
    <t xml:space="preserve">https://eur-lex.europa.eu/legal-content/EN/TXT/?uri=CELEX:32024D3157</t>
  </si>
  <si>
    <t xml:space="preserve">32025D0105</t>
  </si>
  <si>
    <t xml:space="preserve">2025-01-22</t>
  </si>
  <si>
    <t xml:space="preserve">Commission Implementing Decision (EU) 2025/105 of 22 January 2025 amending Decision 2006/771/EC updating harmonised technical conditions in the area of radio spectrum use for short-range devices and repealing Implementing Decision 2014/641/EU on harmonised technical conditions of radio spectrum use by wireless audio programme making and special events equipment in the Union (notified under document C(2025) 192)</t>
  </si>
  <si>
    <t xml:space="preserve">https://eur-lex.europa.eu/legal-content/EN/TXT/?uri=CELEX:32025D0105</t>
  </si>
  <si>
    <t xml:space="preserve">32025D0650</t>
  </si>
  <si>
    <t xml:space="preserve">2025-03-26</t>
  </si>
  <si>
    <t xml:space="preserve">Commission Implementing Decision (EU) 2025/650 of 26 March 2025 amending Implementing Decision (EU) 2018/1538 as regards the update of harmonised technical conditions for short-range devices within the 874-876 and 915-921 MHz frequency bands (notified under document C(2025) 1739)</t>
  </si>
  <si>
    <t xml:space="preserve">https://eur-lex.europa.eu/legal-content/EN/TXT/?uri=CELEX:32025D0650</t>
  </si>
  <si>
    <t xml:space="preserve">32025D0913</t>
  </si>
  <si>
    <t xml:space="preserve">2025-05-20</t>
  </si>
  <si>
    <t xml:space="preserve">Commission Implementing Decision (EU) 2025/913 of 20 May 2025 amending Implementing Decision (EU) 2021/1067 as regards an update of technical conditions for the harmonised use of radio spectrum in the 5945–6425 MHz frequency band for the implementation of wireless access systems including radio local area networks (WAS/RLANs) (notified under document C(2025) 3032)</t>
  </si>
  <si>
    <t xml:space="preserve">https://eur-lex.europa.eu/legal-content/EN/TXT/?uri=CELEX:32025D0913</t>
  </si>
  <si>
    <t xml:space="preserve">32025D2425</t>
  </si>
  <si>
    <t xml:space="preserve">2025-12-02</t>
  </si>
  <si>
    <t xml:space="preserve">Commission Implementing Decision (EU) 2025/2425 of 2 December 2025 on the harmonisation of the 3800-4200 MHz frequency band for the shared use by terrestrial wireless broadband systems capable of providing local-area network connectivity in the Union (notified under document C(2025) 8146)</t>
  </si>
  <si>
    <t xml:space="preserve">https://eur-lex.europa.eu/legal-content/EN/TXT/?uri=CELEX:32025D2425</t>
  </si>
  <si>
    <t xml:space="preserve">32026D0291</t>
  </si>
  <si>
    <t xml:space="preserve">2026-02-09</t>
  </si>
  <si>
    <t xml:space="preserve">Commission Implementing Decision (EU) 2026/291 of 9 February 2026 amending Implementing Decision (EU) 2021/1730, as regards additional use cases in the paired 874,4-880 MHz and 919,4-925 MHz frequency bands for Railway Mobile Radio (notified under document C(2026)674)</t>
  </si>
  <si>
    <t xml:space="preserve">https://eur-lex.europa.eu/legal-content/EN/TXT/?uri=CELEX:32026D0291</t>
  </si>
  <si>
    <t xml:space="preserve">32026D0883</t>
  </si>
  <si>
    <t xml:space="preserve">2026-04-21</t>
  </si>
  <si>
    <t xml:space="preserve">Commission Implementing Decision (EU) 2026/883 of 21 April 2026 on the harmonisation of radio spectrum for use by radiodetermination applications in the 116-260 GHz frequency band (notified under document C(2026) 2519)</t>
  </si>
  <si>
    <t xml:space="preserve">https://eur-lex.europa.eu/legal-content/EN/TXT/?uri=CELEX:32026D0883</t>
  </si>
  <si>
    <t xml:space="preserve">32026D1800</t>
  </si>
  <si>
    <t xml:space="preserve">2026-07-24</t>
  </si>
  <si>
    <t xml:space="preserve">Commission Implementing Decision (EU) 2026/1800 of 24 July 2026 amending Implementing Decision (EU) 2020/1426 as regards introducing wider frequency channels in the Union-harmonised 5,9 GHz frequency band for safety-related applications of road intelligent transport systems (notified under document C(2026) 5125)</t>
  </si>
  <si>
    <t xml:space="preserve">https://eur-lex.europa.eu/legal-content/EN/TXT/?uri=CELEX:32026D1800</t>
  </si>
  <si>
    <t xml:space="preserve">52004XC0205(02)</t>
  </si>
  <si>
    <t xml:space="preserve">COMMUNIC</t>
  </si>
  <si>
    <t xml:space="preserve">2004-02-05</t>
  </si>
  <si>
    <t xml:space="preserve">Guidelines on the assessment of horizontal mergers under the Council Regulation on the control of concentrations between undertakings</t>
  </si>
  <si>
    <t xml:space="preserve">https://eur-lex.europa.eu/legal-content/EN/TXT/?uri=CELEX:52004XC0205(02)</t>
  </si>
  <si>
    <t xml:space="preserve">32004R0802</t>
  </si>
  <si>
    <t xml:space="preserve">2004-04-07</t>
  </si>
  <si>
    <t xml:space="preserve">Commission Regulation (EC) No 802/2004 of 7 April 2004 implementing Council Regulation (EC) No 139/2004 on the control of concentrations between undertakings (Text with EEA relevance)</t>
  </si>
  <si>
    <t xml:space="preserve">https://eur-lex.europa.eu/legal-content/EN/TXT/?uri=CELEX:32004R0802</t>
  </si>
  <si>
    <t xml:space="preserve">52008XC1018(03)</t>
  </si>
  <si>
    <t xml:space="preserve">2008-10-18</t>
  </si>
  <si>
    <t xml:space="preserve">Guidelines on the assessment of non-horizontal mergers under the Council Regulation on the control of concentrations between undertakings</t>
  </si>
  <si>
    <t xml:space="preserve">https://eur-lex.europa.eu/legal-content/EN/TXT/?uri=CELEX:52008XC1018(03)</t>
  </si>
  <si>
    <t xml:space="preserve">32008R1033</t>
  </si>
  <si>
    <t xml:space="preserve">2008-10-20</t>
  </si>
  <si>
    <t xml:space="preserve">Commission Regulation (EC) No 1033/2008 of 20 October 2008 amending Regulation (EC) No 802/2004 implementing Council Regulation (EC) No 139/2004 on the control of concentrations between undertakings (Text with EEA relevance)</t>
  </si>
  <si>
    <t xml:space="preserve">https://eur-lex.europa.eu/legal-content/EN/TXT/?uri=CELEX:32008R1033</t>
  </si>
  <si>
    <t xml:space="preserve">32013R1269</t>
  </si>
  <si>
    <t xml:space="preserve">2013-12-05</t>
  </si>
  <si>
    <t xml:space="preserve">Commission Implementing Regulation (EU) No 1269/2013 of 5 December 2013 amending Regulation (EC) No 802/2004 implementing Council Regulation (EC) No 139/2004 on the control of concentrations between undertakings  Text with EEA relevance</t>
  </si>
  <si>
    <t xml:space="preserve">https://eur-lex.europa.eu/legal-content/EN/TXT/?uri=CELEX:32013R1269</t>
  </si>
  <si>
    <t xml:space="preserve">52021XC0331(01)</t>
  </si>
  <si>
    <t xml:space="preserve">2021-03-31</t>
  </si>
  <si>
    <t xml:space="preserve">Communication from the Commission Guidance on the application of the referral mechanism set out in Article 22 of the Merger Regulation to certain categories of cases 2021/C 113/01</t>
  </si>
  <si>
    <t xml:space="preserve">https://eur-lex.europa.eu/legal-content/EN/TXT/?uri=CELEX:52021XC0331(01)</t>
  </si>
  <si>
    <t xml:space="preserve">32023R0914</t>
  </si>
  <si>
    <t xml:space="preserve">2023-04-20</t>
  </si>
  <si>
    <t xml:space="preserve">Commission Implementing Regulation (EU) 2023/914 of 20 April 2023 implementing Council Regulation (EC) No 139/2004 on the control of concentrations between undertakings and repealing Commission Regulation (EC) No 802/2004 (Text with EEA relevance)</t>
  </si>
  <si>
    <t xml:space="preserve">https://eur-lex.europa.eu/legal-content/EN/TXT/?uri=CELEX:32023R0914</t>
  </si>
  <si>
    <t xml:space="preserve">32024R2776</t>
  </si>
  <si>
    <t xml:space="preserve">2024-10-31</t>
  </si>
  <si>
    <t xml:space="preserve">Commission Implementing Regulation (EU) 2024/2776 of 31 October 2024 correcting Implementing Regulation (EU) 2023/914 implementing Council Regulation (EC) No 139/2004 on the control of concentrations between undertakings and repealing Commission Regulation (EC) No 802/2004</t>
  </si>
  <si>
    <t xml:space="preserve">https://eur-lex.europa.eu/legal-content/EN/TXT/?uri=CELEX:32024R2776</t>
  </si>
  <si>
    <t xml:space="preserve">52017DC0708</t>
  </si>
  <si>
    <t xml:space="preserve">2017-11-29</t>
  </si>
  <si>
    <t xml:space="preserve">COMMUNICATION FROM THE COMMISSION TO THE EUROPEAN PARLIAMENT, THE COUNCIL AND THE EUROPEAN ECONOMIC AND SOCIAL COMMITTEE Guidance on certain aspects of Directive 2004/48/EC of the European Parliament and of the Council on the enforcement of intellectual property rights</t>
  </si>
  <si>
    <t xml:space="preserve">https://eur-lex.europa.eu/legal-content/EN/TXT/?uri=CELEX:52017DC0708</t>
  </si>
  <si>
    <t xml:space="preserve">52013DC0138</t>
  </si>
  <si>
    <t xml:space="preserve">2013-03-14</t>
  </si>
  <si>
    <t xml:space="preserve">COMMUNICATION FROM THE COMMISSION TO THE EUROPEAN PARLIAMENT, THE COUNCIL AND THE EUROPEAN ECONOMIC AND SOCIAL COMMITTEE On the application of the Unfair Commercial Practices Directive Achieving a high level of consumer protection Building trust in the Internal Market</t>
  </si>
  <si>
    <t xml:space="preserve">https://eur-lex.europa.eu/legal-content/EN/TXT/?uri=CELEX:52013DC0138</t>
  </si>
  <si>
    <t xml:space="preserve">52021XC1229(05)</t>
  </si>
  <si>
    <t xml:space="preserve">Commission Notice – Guidance on the interpretation and application of Directive 2005/29/EC of the European Parliament and of the Council concerning unfair business-to-consumer commercial practices in the internal market (Text with EEA relevance)</t>
  </si>
  <si>
    <t xml:space="preserve">https://eur-lex.europa.eu/legal-content/EN/TXT/?uri=CELEX:52021XC1229(05)</t>
  </si>
  <si>
    <t xml:space="preserve">32009D0938</t>
  </si>
  <si>
    <t xml:space="preserve">2009-12-07</t>
  </si>
  <si>
    <t xml:space="preserve">Council Implementing Decision of 7 December 2009 authorising the Kingdom of Sweden and the United Kingdom of Great Britain and Northern Ireland to apply a measure derogating from Article 167 of Directive 2006/112/EC on the common system of value added tax</t>
  </si>
  <si>
    <t xml:space="preserve">yes</t>
  </si>
  <si>
    <t xml:space="preserve">https://eur-lex.europa.eu/legal-content/EN/TXT/?uri=CELEX:32009D0938</t>
  </si>
  <si>
    <t xml:space="preserve">32009D0939</t>
  </si>
  <si>
    <t xml:space="preserve">Council Implementing Decision of 7 December 2009 authorising the Republic of Slovenia to apply a measure derogating from Article 167 of Directive 2006/112/EC on the common system of value added tax</t>
  </si>
  <si>
    <t xml:space="preserve">https://eur-lex.europa.eu/legal-content/EN/TXT/?uri=CELEX:32009D0939</t>
  </si>
  <si>
    <t xml:space="preserve">32009D1008</t>
  </si>
  <si>
    <t xml:space="preserve">Council Implementing Decision of 7 December 2009 authorising the Republic of Latvia to extend the application of a measure derogating from Article 193 of Directive 2006/112/EC on the common system of value added tax</t>
  </si>
  <si>
    <t xml:space="preserve">https://eur-lex.europa.eu/legal-content/EN/TXT/?uri=CELEX:32009D1008</t>
  </si>
  <si>
    <t xml:space="preserve">32009D1022</t>
  </si>
  <si>
    <t xml:space="preserve">2009-12-15</t>
  </si>
  <si>
    <t xml:space="preserve">Council Implementing Decision of 15 December 2009 authorising the Republic of Estonia to apply a measure derogating from Article 167 of Directive 2006/112/EC on the common system of value added tax</t>
  </si>
  <si>
    <t xml:space="preserve">https://eur-lex.europa.eu/legal-content/EN/TXT/?uri=CELEX:32009D1022</t>
  </si>
  <si>
    <t xml:space="preserve">32009D1013</t>
  </si>
  <si>
    <t xml:space="preserve">2009-12-22</t>
  </si>
  <si>
    <t xml:space="preserve">Council Implementing Decision of 22 December 2009 authorising the Republic of Austria to continue to apply a measure derogating from Article 168 of Directive 2006/112/EC on the common system of value added tax</t>
  </si>
  <si>
    <t xml:space="preserve">https://eur-lex.europa.eu/legal-content/EN/TXT/?uri=CELEX:32009D1013</t>
  </si>
  <si>
    <t xml:space="preserve">32010D0039</t>
  </si>
  <si>
    <t xml:space="preserve">2010-01-19</t>
  </si>
  <si>
    <t xml:space="preserve">2010/39/EU: Council Implementing Decision of 19 January 2010 authorising the Portuguese Republic to apply a measure derogating from Articles 168, 193 and 250 of Directive 2006/112/EC on the common system of value added tax</t>
  </si>
  <si>
    <t xml:space="preserve">https://eur-lex.europa.eu/legal-content/EN/TXT/?uri=CELEX:32010D0039</t>
  </si>
  <si>
    <t xml:space="preserve">32010D0099</t>
  </si>
  <si>
    <t xml:space="preserve">2010-02-16</t>
  </si>
  <si>
    <t xml:space="preserve">Council Implementing Decision of 16 February 2010 authorising the Republic of Lithuania to extend the application of a measure derogating from Article 193 of Directive 2006/112/EC on the common system of value added tax</t>
  </si>
  <si>
    <t xml:space="preserve">https://eur-lex.europa.eu/legal-content/EN/TXT/?uri=CELEX:32010D0099</t>
  </si>
  <si>
    <t xml:space="preserve">32010D0579</t>
  </si>
  <si>
    <t xml:space="preserve">2010-09-27</t>
  </si>
  <si>
    <t xml:space="preserve">2010/579/EU: Council Implementing Decision of 27 September 2010 authorising the Federal Republic of Germany and the Grand Duchy of Luxembourg to apply a measure derogating from Article 5 of Directive 2006/112/EC on the common system of value added tax</t>
  </si>
  <si>
    <t xml:space="preserve">https://eur-lex.europa.eu/legal-content/EN/TXT/?uri=CELEX:32010D0579</t>
  </si>
  <si>
    <t xml:space="preserve">32010D0580</t>
  </si>
  <si>
    <t xml:space="preserve">2010/580/EU: Council Implementing Decision of 27 September 2010 authorising the Kingdom of the Netherlands to apply a measure derogating from Article 193 of Directive 2006/112/EC on the common system of value added tax</t>
  </si>
  <si>
    <t xml:space="preserve">https://eur-lex.europa.eu/legal-content/EN/TXT/?uri=CELEX:32010D0580</t>
  </si>
  <si>
    <t xml:space="preserve">32010D0581</t>
  </si>
  <si>
    <t xml:space="preserve">2010/581/EU: Council Implementing Decision of 27 September 2010 authorising the Republic of Poland to introduce a special measure derogating from Article 26(1)(a) and Article 168 of Directive 2006/112/EC on the common system of value added tax</t>
  </si>
  <si>
    <t xml:space="preserve">https://eur-lex.europa.eu/legal-content/EN/TXT/?uri=CELEX:32010D0581</t>
  </si>
  <si>
    <t xml:space="preserve">32010D0582</t>
  </si>
  <si>
    <t xml:space="preserve">2010/582/EU: Council Implementing Decision of 27 September 2010 authorising the French Republic and the Italian Republic to introduce a special measure derogating from Article 5 of Directive 2006/112/EC on the common system of value added tax</t>
  </si>
  <si>
    <t xml:space="preserve">https://eur-lex.europa.eu/legal-content/EN/TXT/?uri=CELEX:32010D0582</t>
  </si>
  <si>
    <t xml:space="preserve">32010D0583</t>
  </si>
  <si>
    <t xml:space="preserve">2010/583/EU: Council Implementing Decision of 27 September 2010 authorising Romania to introduce a special measure derogating from Article 193 of Directive 2006/112/EC on the common system of value added tax</t>
  </si>
  <si>
    <t xml:space="preserve">https://eur-lex.europa.eu/legal-content/EN/TXT/?uri=CELEX:32010D0583</t>
  </si>
  <si>
    <t xml:space="preserve">32010D0584</t>
  </si>
  <si>
    <t xml:space="preserve">2010/584/EU: Council Implementing Decision of 27 September 2010 authorising the Republic of Latvia to apply a measure derogating from Article 287 of Directive 2006/112/EC on the common system of value added tax</t>
  </si>
  <si>
    <t xml:space="preserve">https://eur-lex.europa.eu/legal-content/EN/TXT/?uri=CELEX:32010D0584</t>
  </si>
  <si>
    <t xml:space="preserve">32010D0688</t>
  </si>
  <si>
    <t xml:space="preserve">2010-10-15</t>
  </si>
  <si>
    <t xml:space="preserve">Council Implementing Decision of 15 October 2010 authorising the Italian Republic to continue to apply a special measure derogating from Article 285 of Directive 2006/112/EC on the common system of value added tax</t>
  </si>
  <si>
    <t xml:space="preserve">https://eur-lex.europa.eu/legal-content/EN/TXT/?uri=CELEX:32010D0688</t>
  </si>
  <si>
    <t xml:space="preserve">32010D0710</t>
  </si>
  <si>
    <t xml:space="preserve">2010-11-22</t>
  </si>
  <si>
    <t xml:space="preserve">2010/710/EU: Council Implementing Decision of 22 November 2010 authorising Germany, Italy and Austria to introduce a special measure derogating from Article 193 of Directive 2006/112/EC and amending Decision 2007/250/EC to extend the period of validity of the authorisation granted to the United Kingdom</t>
  </si>
  <si>
    <t xml:space="preserve">https://eur-lex.europa.eu/legal-content/EN/TXT/?uri=CELEX:32010D0710</t>
  </si>
  <si>
    <t xml:space="preserve">32010D0748</t>
  </si>
  <si>
    <t xml:space="preserve">2010-11-25</t>
  </si>
  <si>
    <t xml:space="preserve">2010/748/EU: Council Implementing Decision of 29 November 2010 amending Decision 2007/441/EC authorising the Italian Republic to apply measures derogating from Articles 26(1)(a) and 168 of Directive 2006/112/EC on the common system of value added tax</t>
  </si>
  <si>
    <t xml:space="preserve">https://eur-lex.europa.eu/legal-content/EN/TXT/?uri=CELEX:32010D0748</t>
  </si>
  <si>
    <t xml:space="preserve">32011D0037</t>
  </si>
  <si>
    <t xml:space="preserve">2011-01-18</t>
  </si>
  <si>
    <t xml:space="preserve">2011/37/EU: Council Implementing Decision of 18 January 2011 amending Decision 2007/884/EC authorising the United Kingdom to continue to apply a measure derogating from Articles 26(1)(a), 168 and 169 of Directive 2006/112/EC on the common system of value added tax</t>
  </si>
  <si>
    <t xml:space="preserve">https://eur-lex.europa.eu/legal-content/EN/TXT/?uri=CELEX:32011D0037</t>
  </si>
  <si>
    <t xml:space="preserve">32011R0282</t>
  </si>
  <si>
    <t xml:space="preserve">2011-03-15</t>
  </si>
  <si>
    <t xml:space="preserve">Council Implementing Regulation (EU) No 282/2011 of 15 March 2011 laying down implementing measures for Directive 2006/112/EC on the common system of value added tax (recast)</t>
  </si>
  <si>
    <t xml:space="preserve">https://eur-lex.europa.eu/legal-content/EN/TXT/?uri=CELEX:32011R0282</t>
  </si>
  <si>
    <t xml:space="preserve">32011D0335</t>
  </si>
  <si>
    <t xml:space="preserve">2011-05-30</t>
  </si>
  <si>
    <t xml:space="preserve">2011/335/EU: Council Implementing Decision of 30 May 2011 authorising the Republic of Lithuania to apply a measure derogating from Article 287 of Directive 2006/112/EC on the common system of value added tax</t>
  </si>
  <si>
    <t xml:space="preserve">https://eur-lex.europa.eu/legal-content/EN/TXT/?uri=CELEX:32011D0335</t>
  </si>
  <si>
    <t xml:space="preserve">32011D0363</t>
  </si>
  <si>
    <t xml:space="preserve">2011-06-20</t>
  </si>
  <si>
    <t xml:space="preserve">2011/363/EU: Council Implementing Decision of 20 June 2011 authorising Romania to introduce a special measure derogating from Article 193 of Directive 2006/112/EC on the common system of value added tax</t>
  </si>
  <si>
    <t xml:space="preserve">https://eur-lex.europa.eu/legal-content/EN/TXT/?uri=CELEX:32011D0363</t>
  </si>
  <si>
    <t xml:space="preserve">32012D0085</t>
  </si>
  <si>
    <t xml:space="preserve">2012-02-10</t>
  </si>
  <si>
    <t xml:space="preserve">2012/85/EU: Council Implementing Decision of 10 February 2012 authorising Spain and France to introduce a special measure derogating from Article 5 of Directive 2006/112/EC on the common system of value added tax</t>
  </si>
  <si>
    <t xml:space="preserve">https://eur-lex.europa.eu/legal-content/EN/TXT/?uri=CELEX:32012D0085</t>
  </si>
  <si>
    <t xml:space="preserve">32012D0181</t>
  </si>
  <si>
    <t xml:space="preserve">2012-03-26</t>
  </si>
  <si>
    <t xml:space="preserve">2012/181/EU: Council Implementing Decision of 26 March 2012 authorising Romania to introduce a special measure derogating from Article 287 of Directive 2006/112/EC on the common system of value added tax</t>
  </si>
  <si>
    <t xml:space="preserve">https://eur-lex.europa.eu/legal-content/EN/TXT/?uri=CELEX:32012D0181</t>
  </si>
  <si>
    <t xml:space="preserve">32012D0232</t>
  </si>
  <si>
    <t xml:space="preserve">2012-04-26</t>
  </si>
  <si>
    <t xml:space="preserve">2012/232/EU: Council Implementing Decision of 26 April 2012 authorising Romania to apply measures derogating from Article 26(1)(a) and Article 168 of Directive 2006/112/EC on the common system of value added tax</t>
  </si>
  <si>
    <t xml:space="preserve">https://eur-lex.europa.eu/legal-content/EN/TXT/?uri=CELEX:32012D0232</t>
  </si>
  <si>
    <t xml:space="preserve">32012D0447</t>
  </si>
  <si>
    <t xml:space="preserve">2012-07-24</t>
  </si>
  <si>
    <t xml:space="preserve">2012/447/EU: Council Implementing Decision of 24 July 2012 authorising Denmark to introduce a special measure derogating from Article 75 of Directive 2006/112/EC on the common system of value added tax</t>
  </si>
  <si>
    <t xml:space="preserve">https://eur-lex.europa.eu/legal-content/EN/TXT/?uri=CELEX:32012D0447</t>
  </si>
  <si>
    <t xml:space="preserve">32012D0624</t>
  </si>
  <si>
    <t xml:space="preserve">2012-10-04</t>
  </si>
  <si>
    <t xml:space="preserve">2012/624/EU: Council Implementing Decision of 4 October 2012 authorising Hungary to introduce a special measure derogating from Article 193 of Directive 2006/112/EC on the common system of value added tax</t>
  </si>
  <si>
    <t xml:space="preserve">https://eur-lex.europa.eu/legal-content/EN/TXT/?uri=CELEX:32012D0624</t>
  </si>
  <si>
    <t xml:space="preserve">32012R0967</t>
  </si>
  <si>
    <t xml:space="preserve">2012-10-09</t>
  </si>
  <si>
    <t xml:space="preserve">Council Regulation (EU) No 967/2012 of 9 October 2012 amending Implementing Regulation (EU) No 282/2011 as regards the special schemes for non-established taxable persons supplying telecommunications services, broadcasting services or electronic services to non-taxable persons</t>
  </si>
  <si>
    <t xml:space="preserve">https://eur-lex.europa.eu/legal-content/EN/TXT/?uri=CELEX:32012R0967</t>
  </si>
  <si>
    <t xml:space="preserve">32012D0704</t>
  </si>
  <si>
    <t xml:space="preserve">2012-11-13</t>
  </si>
  <si>
    <t xml:space="preserve">2012/704/EU: Council Implementing Decision of 13 November 2012 amending Implementing Decision 2010/99/EU authorising the Republic of Lithuania to extend the application of a measure derogating from Article 193 of Directive 2006/112/EC on the common system of value added tax</t>
  </si>
  <si>
    <t xml:space="preserve">https://eur-lex.europa.eu/legal-content/EN/TXT/?uri=CELEX:32012D0704</t>
  </si>
  <si>
    <t xml:space="preserve">32012D0705</t>
  </si>
  <si>
    <t xml:space="preserve">2012/705/EU: Council Implementing Decision of 13 November 2012 amending Decision 2009/791/EC and Implementing Decision 2009/1013/EU authorising Germany and Austria respectively to continue to apply a measure derogating from Articles 168 and 168a of Directive 2006/112/EC on the common system of value added tax</t>
  </si>
  <si>
    <t xml:space="preserve">https://eur-lex.europa.eu/legal-content/EN/TXT/?uri=CELEX:32012D0705</t>
  </si>
  <si>
    <t xml:space="preserve">32012D0769</t>
  </si>
  <si>
    <t xml:space="preserve">2012/769/EU: Council Implementing Decision of 4 December 2012 amending Decision 2009/790/EC authorising the Republic of Poland to apply a measure derogating from Article 287 of Directive 2006/112/EC on the common system of value added tax</t>
  </si>
  <si>
    <t xml:space="preserve">https://eur-lex.europa.eu/legal-content/EN/TXT/?uri=CELEX:32012D0769</t>
  </si>
  <si>
    <t xml:space="preserve">32012D0794</t>
  </si>
  <si>
    <t xml:space="preserve">2012-12-17</t>
  </si>
  <si>
    <t xml:space="preserve">2012/794/EU: Council Implementing Decision of 17 December 2012 authorising Bulgaria and Romania to apply measures derogating from Article 5 of Directive 2006/112/EC on the common system of value added tax</t>
  </si>
  <si>
    <t xml:space="preserve">https://eur-lex.europa.eu/legal-content/EN/TXT/?uri=CELEX:32012D0794</t>
  </si>
  <si>
    <t xml:space="preserve">32013D0053</t>
  </si>
  <si>
    <t xml:space="preserve">2013-01-22</t>
  </si>
  <si>
    <t xml:space="preserve">2013/53/EU: Council Implementing Decision of 22 January 2013 authorising the Kingdom of Belgium to introduce a special measure derogating from Article 285 of Directive 2006/112/EC on the common system of value added tax</t>
  </si>
  <si>
    <t xml:space="preserve">https://eur-lex.europa.eu/legal-content/EN/TXT/?uri=CELEX:32013D0053</t>
  </si>
  <si>
    <t xml:space="preserve">32013D0054</t>
  </si>
  <si>
    <t xml:space="preserve">2013/54/EU: Council Implementing Decision of 22 January 2013 authorising the Republic of Slovenia to introduce a special measure derogating from Article 287 of Directive 2006/112/EC on the common system of value added tax</t>
  </si>
  <si>
    <t xml:space="preserve">https://eur-lex.europa.eu/legal-content/EN/TXT/?uri=CELEX:32013D0054</t>
  </si>
  <si>
    <t xml:space="preserve">32013D0055</t>
  </si>
  <si>
    <t xml:space="preserve">2013/55/EU: Council Implementing Decision of 22 January 2013 amending Implementing Decision 2009/1008/EU authorising the Republic of Latvia to extend the application of a measure derogating from Article 193 of Directive 2006/112/EC on the common system of value added tax</t>
  </si>
  <si>
    <t xml:space="preserve">https://eur-lex.europa.eu/legal-content/EN/TXT/?uri=CELEX:32013D0055</t>
  </si>
  <si>
    <t xml:space="preserve">32013D0056</t>
  </si>
  <si>
    <t xml:space="preserve">2013/56/EU: Council Implementing Decision of 22 January 2013 amending Implementing Decision 2010/39/EU authorising the Portuguese Republic to apply a measure derogating from Articles 168, 193 and 250 of Directive 2006/112/EC on the common system of value added tax</t>
  </si>
  <si>
    <t xml:space="preserve">https://eur-lex.europa.eu/legal-content/EN/TXT/?uri=CELEX:32013D0056</t>
  </si>
  <si>
    <t xml:space="preserve">32013D0116</t>
  </si>
  <si>
    <t xml:space="preserve">2013-03-05</t>
  </si>
  <si>
    <t xml:space="preserve">2013/116/EU: Council Implementing Decision of 5 March 2013 authorising the Kingdom of the Netherlands to apply a measure derogating from Article 193 of Directive 2006/112/EC on the common system of value added tax</t>
  </si>
  <si>
    <t xml:space="preserve">https://eur-lex.europa.eu/legal-content/EN/TXT/?uri=CELEX:32013D0116</t>
  </si>
  <si>
    <t xml:space="preserve">32013D0191</t>
  </si>
  <si>
    <t xml:space="preserve">2013-04-22</t>
  </si>
  <si>
    <t xml:space="preserve">2013/191/EU: Council Implementing Decision of 22 April 2013 authorising Latvia to introduce a special measure derogating from point (a) of Article 26(1) and Articles 168 and 168a of Directive 2006/112/EC on the common system of value added tax</t>
  </si>
  <si>
    <t xml:space="preserve">https://eur-lex.europa.eu/legal-content/EN/TXT/?uri=CELEX:32013D0191</t>
  </si>
  <si>
    <t xml:space="preserve">32013D0237</t>
  </si>
  <si>
    <t xml:space="preserve">2013-05-14</t>
  </si>
  <si>
    <t xml:space="preserve">2013/237/EU: Council Implementing Decision of 14 May 2013 authorising the Czech Republic and the Republic of Poland to apply special measures derogating from Article 5 of Directive 2006/112/EC on the common system of value added tax</t>
  </si>
  <si>
    <t xml:space="preserve">https://eur-lex.europa.eu/legal-content/EN/TXT/?uri=CELEX:32013D0237</t>
  </si>
  <si>
    <t xml:space="preserve">32013R1042</t>
  </si>
  <si>
    <t xml:space="preserve">2013-10-07</t>
  </si>
  <si>
    <t xml:space="preserve">Council Implementing Regulation (EU) No 1042/2013 of 7 October 2013 amending Implementing Regulation (EU) No 282/2011 as regards the place of supply of services</t>
  </si>
  <si>
    <t xml:space="preserve">https://eur-lex.europa.eu/legal-content/EN/TXT/?uri=CELEX:32013R1042</t>
  </si>
  <si>
    <t xml:space="preserve">32013D0676</t>
  </si>
  <si>
    <t xml:space="preserve">2013-11-15</t>
  </si>
  <si>
    <t xml:space="preserve">2013/676/EU: Council Implementing Decision of 15 November 2013 authorising Romania to continue to apply a special measure derogating from Article 193 of Directive 2006/112/EC on the common system of value added tax</t>
  </si>
  <si>
    <t xml:space="preserve">https://eur-lex.europa.eu/legal-content/EN/TXT/?uri=CELEX:32013D0676</t>
  </si>
  <si>
    <t xml:space="preserve">32013D0677</t>
  </si>
  <si>
    <t xml:space="preserve">2013/677/EU: Council Implementing Decision of 15 November 2013 authorising Luxembourg to introduce a special measure derogating from Article 285 of Directive 2006/112/EC on the common system of value added tax</t>
  </si>
  <si>
    <t xml:space="preserve">https://eur-lex.europa.eu/legal-content/EN/TXT/?uri=CELEX:32013D0677</t>
  </si>
  <si>
    <t xml:space="preserve">32013D0678</t>
  </si>
  <si>
    <t xml:space="preserve">2013/678/EU: Council Implementing Decision of 15 November 2013 authorising the Italian Republic to continue to apply a special measure derogating from Article 285 of Directive 2006/112/EC on the common system of value added tax</t>
  </si>
  <si>
    <t xml:space="preserve">https://eur-lex.europa.eu/legal-content/EN/TXT/?uri=CELEX:32013D0678</t>
  </si>
  <si>
    <t xml:space="preserve">32013D0679</t>
  </si>
  <si>
    <t xml:space="preserve">2013/679/EU: Council Implementing Decision of 15 November 2013 amending Decision 2007/441/EC authorising the Italian Republic to apply measures derogating from Articles 26(1)(a) and 168 of Directive 2006/112/EC on the common system of value added tax</t>
  </si>
  <si>
    <t xml:space="preserve">https://eur-lex.europa.eu/legal-content/EN/TXT/?uri=CELEX:32013D0679</t>
  </si>
  <si>
    <t xml:space="preserve">32013D0680</t>
  </si>
  <si>
    <t xml:space="preserve">2013/680/EU: Council Implementing Decision of 15 November 2013 authorising the Kingdom of Denmark and the Kingdom of Sweden to extend the application of a special measure derogating from Articles 168, 169, 170 and 171 of Directive 2006/112/EC on the common system of value added tax</t>
  </si>
  <si>
    <t xml:space="preserve">https://eur-lex.europa.eu/legal-content/EN/TXT/?uri=CELEX:32013D0680</t>
  </si>
  <si>
    <t xml:space="preserve">32013D0681</t>
  </si>
  <si>
    <t xml:space="preserve">2013/681/EU: Council Implementing Decision of 15 November 2013 amending Decision 2007/884/EC authorising the United Kingdom to continue to apply a measure derogating from Articles 26(1)(a), 168 and 169 of Directive 2006/112/EC on the common system of value added tax</t>
  </si>
  <si>
    <t xml:space="preserve">https://eur-lex.europa.eu/legal-content/EN/TXT/?uri=CELEX:32013D0681</t>
  </si>
  <si>
    <t xml:space="preserve">32013D0769</t>
  </si>
  <si>
    <t xml:space="preserve">2013/769/EU: Commission Implementing Decision of 11 December 2013 refusing the request by Hungary to introduce a Quick Reaction Mechanism special measure derogating from Article 193 of Council Directive 2006/112/EC on the common system of value added tax (notified under document C(2013) 9007)</t>
  </si>
  <si>
    <t xml:space="preserve">https://eur-lex.europa.eu/legal-content/EN/TXT/?uri=CELEX:32013D0769</t>
  </si>
  <si>
    <t xml:space="preserve">32013D0805</t>
  </si>
  <si>
    <t xml:space="preserve">2013-12-17</t>
  </si>
  <si>
    <t xml:space="preserve">2013/805/EU: Council Implementing Decision of 17 December 2013 authorising the Republic of Poland to introduce measures derogating from point (a) of Article 26(1) and Article 168 of Directive 2006/112/EC on the common system of value added tax</t>
  </si>
  <si>
    <t xml:space="preserve">https://eur-lex.europa.eu/legal-content/EN/TXT/?uri=CELEX:32013D0805</t>
  </si>
  <si>
    <t xml:space="preserve">32014R0017</t>
  </si>
  <si>
    <t xml:space="preserve">2014-01-10</t>
  </si>
  <si>
    <t xml:space="preserve">Commission Implementing Regulation (EU) No 17/2014 of 10 January 2014 laying down the standardised form for the notification for a special measure under the Quick Reaction Mechanism against VAT fraud</t>
  </si>
  <si>
    <t xml:space="preserve">https://eur-lex.europa.eu/legal-content/EN/TXT/?uri=CELEX:32014R0017</t>
  </si>
  <si>
    <t xml:space="preserve">32014D0795</t>
  </si>
  <si>
    <t xml:space="preserve">2014-11-07</t>
  </si>
  <si>
    <t xml:space="preserve">2014/795/EU: Council Implementing Decision of 7 November 2014 extending the application of Implementing Decision 2011/335/EU authorising the Republic of Lithuania to apply a measure derogating from Article 287 of Directive 2006/112/EC on the common system of value added tax</t>
  </si>
  <si>
    <t xml:space="preserve">https://eur-lex.europa.eu/legal-content/EN/TXT/?uri=CELEX:32014D0795</t>
  </si>
  <si>
    <t xml:space="preserve">32014D0796</t>
  </si>
  <si>
    <t xml:space="preserve">2014/796/EU: Council Implementing Decision of 7 November 2014 authorising the Republic of Latvia to apply a measure derogating from Article 287 of Directive 2006/112/EC on the common system of value added tax</t>
  </si>
  <si>
    <t xml:space="preserve">https://eur-lex.europa.eu/legal-content/EN/TXT/?uri=CELEX:32014D0796</t>
  </si>
  <si>
    <t xml:space="preserve">32014D0797</t>
  </si>
  <si>
    <t xml:space="preserve">2014/797/EU: Council Implementing Decision of 7 November 2014 authorising the Republic of Estonia to apply a measure derogating from point (a) of Article 26(1) and Articles 168 and 168a of Directive 2006/112/EC on the common system of value added tax</t>
  </si>
  <si>
    <t xml:space="preserve">https://eur-lex.europa.eu/legal-content/EN/TXT/?uri=CELEX:32014D0797</t>
  </si>
  <si>
    <t xml:space="preserve">32014D0931</t>
  </si>
  <si>
    <t xml:space="preserve">2014-12-16</t>
  </si>
  <si>
    <t xml:space="preserve">2014/931/EU: Council Implementing Decision of 16 December 2014 extending the application of Implementing Decision 2012/181/EU authorising Romania to introduce a special measure derogating from Article 287 of Directive 2006/112/EC on the common system of value added tax</t>
  </si>
  <si>
    <t xml:space="preserve">https://eur-lex.europa.eu/legal-content/EN/TXT/?uri=CELEX:32014D0931</t>
  </si>
  <si>
    <t xml:space="preserve">32015D0156</t>
  </si>
  <si>
    <t xml:space="preserve">2015-01-27</t>
  </si>
  <si>
    <t xml:space="preserve">Council Implementing Decision (EU) 2015/156 of 27 January 2015 extending the period of validity of Implementing Decision 2012/232/EU authorising Romania to apply measures derogating from Article 26(1)(a) and Article 168 of Directive 2006/112/EC on the common system of value added tax</t>
  </si>
  <si>
    <t xml:space="preserve">https://eur-lex.europa.eu/legal-content/EN/TXT/?uri=CELEX:32015D0156</t>
  </si>
  <si>
    <t xml:space="preserve">32015D0992</t>
  </si>
  <si>
    <t xml:space="preserve">2015-06-19</t>
  </si>
  <si>
    <t xml:space="preserve">Council Implementing Decision (EU) 2015/992 of 19 June 2015 authorising Denmark to introduce a special measure derogating from Article 75 of Directive 2006/112/EC on the common system of value added tax</t>
  </si>
  <si>
    <t xml:space="preserve">https://eur-lex.europa.eu/legal-content/EN/TXT/?uri=CELEX:32015D0992</t>
  </si>
  <si>
    <t xml:space="preserve">32015D1173</t>
  </si>
  <si>
    <t xml:space="preserve">2015-07-14</t>
  </si>
  <si>
    <t xml:space="preserve">Council Implementing Decision (EU) 2015/1173 of 14 July 2015 amending Decision 2009/790/EC authorising the Republic of Poland to apply a measure derogating from Article 287 of Directive 2006/112/EC on the common system of value added tax</t>
  </si>
  <si>
    <t xml:space="preserve">https://eur-lex.europa.eu/legal-content/EN/TXT/?uri=CELEX:32015D1173</t>
  </si>
  <si>
    <t xml:space="preserve">32015D1401</t>
  </si>
  <si>
    <t xml:space="preserve">Council Implementing Decision (EU) 2015/1401 of 14 July 2015 authorising Italy to introduce a special measure derogating from Articles 206 and 226 of Directive 2006/112/EC on the common system of value added tax</t>
  </si>
  <si>
    <t xml:space="preserve">https://eur-lex.europa.eu/legal-content/EN/TXT/?uri=CELEX:32015D1401</t>
  </si>
  <si>
    <t xml:space="preserve">32015D2089</t>
  </si>
  <si>
    <t xml:space="preserve">2015-11-10</t>
  </si>
  <si>
    <t xml:space="preserve">Council Implementing Decision (EU) 2015/2089 of 10 November 2015 amending Implementing Decision 2013/54/EU authorising the Republic of Slovenia to introduce a special measure derogating from Article 287 of Directive 2006/112/EC on the common system of value added tax</t>
  </si>
  <si>
    <t xml:space="preserve">https://eur-lex.europa.eu/legal-content/EN/TXT/?uri=CELEX:32015D2089</t>
  </si>
  <si>
    <t xml:space="preserve">32015D2109</t>
  </si>
  <si>
    <t xml:space="preserve">2015-11-17</t>
  </si>
  <si>
    <t xml:space="preserve">Council Implementing Decision (EU) 2015/2109 of 17 November 2015 authorising the United Kingdom to apply a special measure derogating from Articles 26(1)(a), 168 and 168a of Directive 2006/112/EC on the common system of value added tax</t>
  </si>
  <si>
    <t xml:space="preserve">https://eur-lex.europa.eu/legal-content/EN/TXT/?uri=CELEX:32015D2109</t>
  </si>
  <si>
    <t xml:space="preserve">32015D2348</t>
  </si>
  <si>
    <t xml:space="preserve">2015-12-10</t>
  </si>
  <si>
    <t xml:space="preserve">Council Implementing Decision (EU) 2015/2348 of 10 December 2015 amending Implementing Decision 2013/53/EU authorising the Kingdom of Belgium to introduce a special measure derogating from Article 285 of Directive 2006/112/EC on the common system of value added tax</t>
  </si>
  <si>
    <t xml:space="preserve">https://eur-lex.europa.eu/legal-content/EN/TXT/?uri=CELEX:32015D2348</t>
  </si>
  <si>
    <t xml:space="preserve">32015D2349</t>
  </si>
  <si>
    <t xml:space="preserve">Council Implementing Decision (EU) 2015/2349 of 10 December 2015 authorising Hungary to apply a measure derogating from Article 193 of Directive 2006/112/EC on the common system of value added tax</t>
  </si>
  <si>
    <t xml:space="preserve">https://eur-lex.europa.eu/legal-content/EN/TXT/?uri=CELEX:32015D2349</t>
  </si>
  <si>
    <t xml:space="preserve">32015D2395</t>
  </si>
  <si>
    <t xml:space="preserve">Council Implementing Decision (EU) 2015/2395 of 10 December 2015 amending Implementing Decision 2010/99/EU authorising the Republic of Lithuania to extend the application of a measure derogating from Article 193 of Directive 2006/112/EC on the common system of value added tax</t>
  </si>
  <si>
    <t xml:space="preserve">https://eur-lex.europa.eu/legal-content/EN/TXT/?uri=CELEX:32015D2395</t>
  </si>
  <si>
    <t xml:space="preserve">32015D2396</t>
  </si>
  <si>
    <t xml:space="preserve">Council Implementing Decision (EU) 2015/2396 of 10 December 2015 amending Implementing Decision 2009/1008/EU authorising the Republic of Latvia to extend the application of a measure derogating from Article 193 of Directive 2006/112/EC on the common system of value added tax</t>
  </si>
  <si>
    <t xml:space="preserve">https://eur-lex.europa.eu/legal-content/EN/TXT/?uri=CELEX:32015D2396</t>
  </si>
  <si>
    <t xml:space="preserve">32015D2428</t>
  </si>
  <si>
    <t xml:space="preserve">Council Implementing Decision (EU) 2015/2428 of 10 December 2015 amending Decision 2009/791/EC and Implementing Decision 2009/1013/EU authorising Germany and Austria respectively to continue to apply a measure derogating from Articles 168 and 168a of Directive 2006/112/EC on the common system of value added tax</t>
  </si>
  <si>
    <t xml:space="preserve">https://eur-lex.europa.eu/legal-content/EN/TXT/?uri=CELEX:32015D2428</t>
  </si>
  <si>
    <t xml:space="preserve">32015D2429</t>
  </si>
  <si>
    <t xml:space="preserve">Council Implementing Decision (EU) 2015/2429 of 10 December 2015 authorising Latvia to introduce a special measure derogating from point (a) of Article 26(1) and Articles 168 and 168a of Directive 2006/112/EC on the common system of value added tax</t>
  </si>
  <si>
    <t xml:space="preserve">https://eur-lex.europa.eu/legal-content/EN/TXT/?uri=CELEX:32015D2429</t>
  </si>
  <si>
    <t xml:space="preserve">32016D1206</t>
  </si>
  <si>
    <t xml:space="preserve">2016-07-18</t>
  </si>
  <si>
    <t xml:space="preserve">Council Implementing Decision (EU) 2016/1206 of 18 July 2016 amending Implementing Decision 2013/676/EU authorising Romania to continue to apply a special measure derogating from Article 193 of Directive 2006/112/EC on the common system of value added tax</t>
  </si>
  <si>
    <t xml:space="preserve">https://eur-lex.europa.eu/legal-content/EN/TXT/?uri=CELEX:32016D1206</t>
  </si>
  <si>
    <t xml:space="preserve">32016D1837</t>
  </si>
  <si>
    <t xml:space="preserve">2016-10-11</t>
  </si>
  <si>
    <t xml:space="preserve">Council Implementing Decision (EU) 2016/1837 of 11 October 2016 authorising the Republic of Poland to continue to apply measures derogating from point (a) of Article 26(1) and Article 168 of Directive 2006/112/EC on the common system of value added tax</t>
  </si>
  <si>
    <t xml:space="preserve">https://eur-lex.europa.eu/legal-content/EN/TXT/?uri=CELEX:32016D1837</t>
  </si>
  <si>
    <t xml:space="preserve">32016D1982</t>
  </si>
  <si>
    <t xml:space="preserve">2016-11-08</t>
  </si>
  <si>
    <t xml:space="preserve">Council Implementing Decision (EU) 2016/1982 of 8 November 2016 amending Decision 2007/441/EC authorising the Italian Republic to apply measures derogating from Articles 26(1)(a) and 168 of Directive 2006/112/EC on the common system of value added tax</t>
  </si>
  <si>
    <t xml:space="preserve">https://eur-lex.europa.eu/legal-content/EN/TXT/?uri=CELEX:32016D1982</t>
  </si>
  <si>
    <t xml:space="preserve">32016D1988</t>
  </si>
  <si>
    <t xml:space="preserve">Council Implementing Decision (EU) 2016/1988 of 8 November 2016 amending Implementing Decision 2013/678/EU authorising the Italian Republic to continue to apply a special measure derogating from Article 285 of Directive 2006/112/EC on the common system of value added tax</t>
  </si>
  <si>
    <t xml:space="preserve">https://eur-lex.europa.eu/legal-content/EN/TXT/?uri=CELEX:32016D1988</t>
  </si>
  <si>
    <t xml:space="preserve">32016D2090</t>
  </si>
  <si>
    <t xml:space="preserve">2016-11-21</t>
  </si>
  <si>
    <t xml:space="preserve">Council Implementing Decision (EU) 2016/2090 of 21 November 2016 amending Decision 2009/790/EC authorising the Republic of Poland to apply a measure derogating from Article 287 of Directive 2006/112/EC on the common system of value added tax</t>
  </si>
  <si>
    <t xml:space="preserve">https://eur-lex.europa.eu/legal-content/EN/TXT/?uri=CELEX:32016D2090</t>
  </si>
  <si>
    <t xml:space="preserve">32016D2265</t>
  </si>
  <si>
    <t xml:space="preserve">2016-12-06</t>
  </si>
  <si>
    <t xml:space="preserve">Council Implementing Decision (EU) 2016/2265 of 6 December 2016 amending Decision 2007/884/EC authorising the United Kingdom to continue to apply a measure derogating from Articles 26(1)(a), 168 and 169 of Directive 2006/112/EC on the common system of value added tax</t>
  </si>
  <si>
    <t xml:space="preserve">https://eur-lex.europa.eu/legal-content/EN/TXT/?uri=CELEX:32016D2265</t>
  </si>
  <si>
    <t xml:space="preserve">32017D0319</t>
  </si>
  <si>
    <t xml:space="preserve">2017-02-21</t>
  </si>
  <si>
    <t xml:space="preserve">Council Implementing Decision (EU) 2017/319 of 21 February 2017 amending Implementing Decision 2013/677/EU authorising Luxembourg to introduce a special measure derogating from Article 285 of Directive 2006/112/EC on the common system of value added tax</t>
  </si>
  <si>
    <t xml:space="preserve">https://eur-lex.europa.eu/legal-content/EN/TXT/?uri=CELEX:32017D0319</t>
  </si>
  <si>
    <t xml:space="preserve">32017D0320</t>
  </si>
  <si>
    <t xml:space="preserve">Council Implementing Decision (EU) 2017/320 of 21 February 2017 authorising France to conclude an agreement with the Swiss Confederation concerning Basel-Mulhouse Airport that includes provisions derogating from Article 5 of Directive 2006/112/EC</t>
  </si>
  <si>
    <t xml:space="preserve">https://eur-lex.europa.eu/legal-content/EN/TXT/?uri=CELEX:32017D0320</t>
  </si>
  <si>
    <t xml:space="preserve">32017D0563</t>
  </si>
  <si>
    <t xml:space="preserve">2017-03-21</t>
  </si>
  <si>
    <t xml:space="preserve">Council Implementing Decision (EU) 2017/563 of 21 March 2017 authorising the Republic of Estonia to apply a special measure derogating from Article 287 of Directive 2006/112/EC on the common system of value added tax</t>
  </si>
  <si>
    <t xml:space="preserve">https://eur-lex.europa.eu/legal-content/EN/TXT/?uri=CELEX:32017D0563</t>
  </si>
  <si>
    <t xml:space="preserve">32017D0784</t>
  </si>
  <si>
    <t xml:space="preserve">2017-04-25</t>
  </si>
  <si>
    <t xml:space="preserve">Council Implementing Decision (EU) 2017/784 of 25 April 2017 authorising the Italian Republic to apply a special measure derogating from Articles 206 and 226 of Directive 2006/112/EC on the common system of value added tax and repealing Implementing Decision (EU) 2015/1401</t>
  </si>
  <si>
    <t xml:space="preserve">https://eur-lex.europa.eu/legal-content/EN/TXT/?uri=CELEX:32017D0784</t>
  </si>
  <si>
    <t xml:space="preserve">32017D1768</t>
  </si>
  <si>
    <t xml:space="preserve">2017-09-25</t>
  </si>
  <si>
    <t xml:space="preserve">Council Implementing Decision (EU) 2017/1768 of 25 September 2017 authorising the Republic of Croatia to introduce a special measure derogating from Article 287 of Directive 2006/112/EC on the common system of value added tax</t>
  </si>
  <si>
    <t xml:space="preserve">https://eur-lex.europa.eu/legal-content/EN/TXT/?uri=CELEX:32017D1768</t>
  </si>
  <si>
    <t xml:space="preserve">32017D1769</t>
  </si>
  <si>
    <t xml:space="preserve">Council Implementing Decision (EU) 2017/1769 of 25 September 2017 authorising the Republic of Poland to conclude with Ukraine an agreement that includes provisions derogating from point (d) of Article 2(1) and Article 5 of Directive 2006/112/EC on the common system of value added tax, as regards the maintenance of road bridges on the Poland-Ukraine border</t>
  </si>
  <si>
    <t xml:space="preserve">https://eur-lex.europa.eu/legal-content/EN/TXT/?uri=CELEX:32017D1769</t>
  </si>
  <si>
    <t xml:space="preserve">32017D1853</t>
  </si>
  <si>
    <t xml:space="preserve">2017-10-10</t>
  </si>
  <si>
    <t xml:space="preserve">Council Implementing Decision (EU) 2017/1853 of 10 October 2017 amending Implementing Decision 2011/335/EU authorising the Republic of Lithuania to apply a measure derogating from Article 287 of Directive 2006/112/EC on the common system of value added tax</t>
  </si>
  <si>
    <t xml:space="preserve">https://eur-lex.europa.eu/legal-content/EN/TXT/?uri=CELEX:32017D1853</t>
  </si>
  <si>
    <t xml:space="preserve">32017D1854</t>
  </si>
  <si>
    <t xml:space="preserve">Council Implementing Decision (EU) 2017/1854 of 10 October 2017 amending Implementing Decision 2014/797/EU authorising the Republic of Estonia to apply a measure derogating from point (a) of Article 26(1) and Articles 168 and 168a of Directive 2006/112/EC on the common system of value added tax</t>
  </si>
  <si>
    <t xml:space="preserve">https://eur-lex.europa.eu/legal-content/EN/TXT/?uri=CELEX:32017D1854</t>
  </si>
  <si>
    <t xml:space="preserve">32017D1855</t>
  </si>
  <si>
    <t xml:space="preserve">Council Implementing Decision (EU) 2017/1855 of 10 October 2017 authorising Romania to apply a special measure derogating from Article 287 of Directive 2006/112/EC on the common system of value added tax</t>
  </si>
  <si>
    <t xml:space="preserve">https://eur-lex.europa.eu/legal-content/EN/TXT/?uri=CELEX:32017D1855</t>
  </si>
  <si>
    <t xml:space="preserve">32017D1856</t>
  </si>
  <si>
    <t xml:space="preserve">Council Implementing Decision (EU) 2017/1856 of 10 October 2017 authorising the Republic of Poland to introduce a special measure derogating from Article 193 of Directive 2006/112/EC on the common system of value added tax</t>
  </si>
  <si>
    <t xml:space="preserve">https://eur-lex.europa.eu/legal-content/EN/TXT/?uri=CELEX:32017D1856</t>
  </si>
  <si>
    <t xml:space="preserve">32017D2012</t>
  </si>
  <si>
    <t xml:space="preserve">2017-11-07</t>
  </si>
  <si>
    <t xml:space="preserve">Council Implementing Decision (EU) 2017/2012 of 7 November 2017 amending Implementing Decision 2012/232/EU authorising Romania to apply measures derogating from Article 26(1)(a) and Article 168 of Directive 2006/112/EC on the common system of value added tax</t>
  </si>
  <si>
    <t xml:space="preserve">https://eur-lex.europa.eu/legal-content/EN/TXT/?uri=CELEX:32017D2012</t>
  </si>
  <si>
    <t xml:space="preserve">32017D2013</t>
  </si>
  <si>
    <t xml:space="preserve">Council Implementing Decision (EU) 2017/2013 of 7 November 2017 authorising the Kingdom of the Netherlands to introduce a special measure derogating from Article 193 of Directive 2006/112/EC on the common system of value added tax</t>
  </si>
  <si>
    <t xml:space="preserve">https://eur-lex.europa.eu/legal-content/EN/TXT/?uri=CELEX:32017D2013</t>
  </si>
  <si>
    <t xml:space="preserve">32017R2459</t>
  </si>
  <si>
    <t xml:space="preserve">2017-12-05</t>
  </si>
  <si>
    <t xml:space="preserve">Council Implementing Regulation (EU) 2017/2459 of 5 December 2017 amending Implementing Regulation (EU) No 282/2011 laying down implementing measures for Directive 2006/112/EC on the common system of value added tax</t>
  </si>
  <si>
    <t xml:space="preserve">https://eur-lex.europa.eu/legal-content/EN/TXT/?uri=CELEX:32017R2459</t>
  </si>
  <si>
    <t xml:space="preserve">32017D2408</t>
  </si>
  <si>
    <t xml:space="preserve">2017-12-18</t>
  </si>
  <si>
    <t xml:space="preserve">Council Implementing Decision (EU) 2017/2408 of 18 December 2017 authorising the Republic of Latvia to apply a special measure derogating from Article 287 of Directive 2006/112/EC on the common system of value added tax</t>
  </si>
  <si>
    <t xml:space="preserve">https://eur-lex.europa.eu/legal-content/EN/TXT/?uri=CELEX:32017D2408</t>
  </si>
  <si>
    <t xml:space="preserve">32018D0279</t>
  </si>
  <si>
    <t xml:space="preserve">2018-02-20</t>
  </si>
  <si>
    <t xml:space="preserve">Council Implementing Decision (EU) 2018/279 of 20 February 2018 authorising Malta to apply a special measure derogating from Article 287 of Directive 2006/112/EC on the common system of value added tax</t>
  </si>
  <si>
    <t xml:space="preserve">https://eur-lex.europa.eu/legal-content/EN/TXT/?uri=CELEX:32018D0279</t>
  </si>
  <si>
    <t xml:space="preserve">32018D0457</t>
  </si>
  <si>
    <t xml:space="preserve">2018-03-13</t>
  </si>
  <si>
    <t xml:space="preserve">Council Implementing Decision (EU) 2018/457 of 13 March 2018 authorising the Republic of Latvia to introduce a special measure derogating from Article 193 of Directive 2006/112/EC on the common system of value added tax</t>
  </si>
  <si>
    <t xml:space="preserve">https://eur-lex.europa.eu/legal-content/EN/TXT/?uri=CELEX:32018D0457</t>
  </si>
  <si>
    <t xml:space="preserve">32018D0485</t>
  </si>
  <si>
    <t xml:space="preserve">2018-03-19</t>
  </si>
  <si>
    <t xml:space="preserve">Council Implementing Decision (EU) 2018/485 of 19 March 2018 authorising Denmark to apply a special measure derogating from Article 75 of Directive 2006/112/EC on the common system of value added tax</t>
  </si>
  <si>
    <t xml:space="preserve">https://eur-lex.europa.eu/legal-content/EN/TXT/?uri=CELEX:32018D0485</t>
  </si>
  <si>
    <t xml:space="preserve">32018D0486</t>
  </si>
  <si>
    <t xml:space="preserve">Council Implementing Decision (EU) 2018/486 of 19 March 2018 authorising Hungary to apply a special measure derogating from Article 193 of Directive 2006/112/EC on the common system of value added tax</t>
  </si>
  <si>
    <t xml:space="preserve">https://eur-lex.europa.eu/legal-content/EN/TXT/?uri=CELEX:32018D0486</t>
  </si>
  <si>
    <t xml:space="preserve">32018D0593</t>
  </si>
  <si>
    <t xml:space="preserve">2018-04-16</t>
  </si>
  <si>
    <t xml:space="preserve">Council Implementing Decision (EU) 2018/593 of 16 April 2018 authorising the Italian Republic to introduce a special measure derogating from Articles 218 and 232 of Directive 2006/112/EC on the common system of value added tax</t>
  </si>
  <si>
    <t xml:space="preserve">https://eur-lex.europa.eu/legal-content/EN/TXT/?uri=CELEX:32018D0593</t>
  </si>
  <si>
    <t xml:space="preserve">32018D0789</t>
  </si>
  <si>
    <t xml:space="preserve">2018-05-25</t>
  </si>
  <si>
    <t xml:space="preserve">Council Implementing Decision (EU) 2018/789 of 25 May 2018 authorising Hungary to introduce a special measure derogating from Article 193 of Directive 2006/112/EC on the common system of value added tax</t>
  </si>
  <si>
    <t xml:space="preserve">https://eur-lex.europa.eu/legal-content/EN/TXT/?uri=CELEX:32018D0789</t>
  </si>
  <si>
    <t xml:space="preserve">32018D0918</t>
  </si>
  <si>
    <t xml:space="preserve">2018-06-22</t>
  </si>
  <si>
    <t xml:space="preserve">Council Implementing Decision (EU) 2018/918 of 22 June 2018 authorising Germany and Poland to introduce a special measure derogating from Article 5 of Directive 2006/112/EC on the common system of value added tax</t>
  </si>
  <si>
    <t xml:space="preserve">https://eur-lex.europa.eu/legal-content/EN/TXT/?uri=CELEX:32018D0918</t>
  </si>
  <si>
    <t xml:space="preserve">32018D1487</t>
  </si>
  <si>
    <t xml:space="preserve">Council Implementing Decision (EU) 2018/1487 of 2 October 2018 amending Implementing Decision 2009/1013/EU authorising the Republic of Austria to continue to apply a measure derogating from Articles 168 and 168a of Directive 2006/112/EC on the common system of value added tax</t>
  </si>
  <si>
    <t xml:space="preserve">https://eur-lex.europa.eu/legal-content/EN/TXT/?uri=CELEX:32018D1487</t>
  </si>
  <si>
    <t xml:space="preserve">32018D1490</t>
  </si>
  <si>
    <t xml:space="preserve">Council Implementing Decision (EU) 2018/1490 of 2 October 2018 authorising Hungary to introduce a special measure derogating from Article 287 of Directive 2006/112/EC on the common system of value added tax</t>
  </si>
  <si>
    <t xml:space="preserve">https://eur-lex.europa.eu/legal-content/EN/TXT/?uri=CELEX:32018D1490</t>
  </si>
  <si>
    <t xml:space="preserve">32018D1492</t>
  </si>
  <si>
    <t xml:space="preserve">Council Implementing Decision (EU) 2018/1492 of 2 October 2018 authorising the Republic of Latvia to introduce a special measure derogating from Article 193 of Directive 2006/112/EC on the common system of value added tax</t>
  </si>
  <si>
    <t xml:space="preserve">https://eur-lex.europa.eu/legal-content/EN/TXT/?uri=CELEX:32018D1492</t>
  </si>
  <si>
    <t xml:space="preserve">32018D1493</t>
  </si>
  <si>
    <t xml:space="preserve">Council Implementing Decision (EU) 2018/1493 of 2 October 2018 authorising Hungary to introduce a special measure derogating from point (a) of Article 26(1) and Articles 168 and 168a of Directive 2006/112/EC on the common system of value added tax</t>
  </si>
  <si>
    <t xml:space="preserve">https://eur-lex.europa.eu/legal-content/EN/TXT/?uri=CELEX:32018D1493</t>
  </si>
  <si>
    <t xml:space="preserve">32018D1700</t>
  </si>
  <si>
    <t xml:space="preserve">2018-11-06</t>
  </si>
  <si>
    <t xml:space="preserve">Council Implementing Decision (EU) 2018/1700 of 6 November 2018 amending Implementing Decision 2013/54/EU authorising the Republic of Slovenia to introduce a special measure derogating from Article 287 of Directive 2006/112/EC on the common system of value added tax</t>
  </si>
  <si>
    <t xml:space="preserve">https://eur-lex.europa.eu/legal-content/EN/TXT/?uri=CELEX:32018D1700</t>
  </si>
  <si>
    <t xml:space="preserve">32018D1904</t>
  </si>
  <si>
    <t xml:space="preserve">2018-12-04</t>
  </si>
  <si>
    <t xml:space="preserve">Council Implementing Decision (EU) 2018/1904 of 4 December 2018 authorising the Netherlands to introduce a special measure derogating from Article 285 of Directive 2006/112/EC on the common system of value added tax</t>
  </si>
  <si>
    <t xml:space="preserve">https://eur-lex.europa.eu/legal-content/EN/TXT/?uri=CELEX:32018D1904</t>
  </si>
  <si>
    <t xml:space="preserve">32018D1918</t>
  </si>
  <si>
    <t xml:space="preserve">Council Implementing Decision (EU) 2018/1918 of 4 December 2018 authorising the United Kingdom to apply a special measure derogating from Articles 16 and 168 of Directive 2006/112/EC on the common system of value added tax</t>
  </si>
  <si>
    <t xml:space="preserve">https://eur-lex.europa.eu/legal-content/EN/TXT/?uri=CELEX:32018D1918</t>
  </si>
  <si>
    <t xml:space="preserve">32018D1919</t>
  </si>
  <si>
    <t xml:space="preserve">Council Implementing Decision (EU) 2018/1919 of 4 December 2018 amending Decision 2009/790/EC authorising the Republic of Poland to apply a measure derogating from Article 287 of Directive 2006/112/EC on the common system of value added tax</t>
  </si>
  <si>
    <t xml:space="preserve">https://eur-lex.europa.eu/legal-content/EN/TXT/?uri=CELEX:32018D1919</t>
  </si>
  <si>
    <t xml:space="preserve">32018D1920</t>
  </si>
  <si>
    <t xml:space="preserve">Council Implementing Decision (EU) 2018/1920 of 4 December 2018 amending Implementing Decision 2010/99/EU authorising the Republic of Lithuania to extend the application of a measure derogating from Article 193 of Directive 2006/112/EC on the common system of value added tax</t>
  </si>
  <si>
    <t xml:space="preserve">https://eur-lex.europa.eu/legal-content/EN/TXT/?uri=CELEX:32018D1920</t>
  </si>
  <si>
    <t xml:space="preserve">32018D1921</t>
  </si>
  <si>
    <t xml:space="preserve">Council Implementing Decision (EU) 2018/1921 of 4 December 2018 amending Implementing Decision 2013/191/EU authorising Latvia to introduce a special measure derogating from point (a) of Article 26(1) and Articles 168 and 168a of Directive 2006/112/EC on the common system of value added tax</t>
  </si>
  <si>
    <t xml:space="preserve">https://eur-lex.europa.eu/legal-content/EN/TXT/?uri=CELEX:32018D1921</t>
  </si>
  <si>
    <t xml:space="preserve">32018R1912</t>
  </si>
  <si>
    <t xml:space="preserve">Council Implementing Regulation (EU) 2018/1912 of 4 December 2018 amending Implementing Regulation (EU) No 282/2011 as regards certain exemptions for intra-Community transactions</t>
  </si>
  <si>
    <t xml:space="preserve">https://eur-lex.europa.eu/legal-content/EN/TXT/?uri=CELEX:32018R1912</t>
  </si>
  <si>
    <t xml:space="preserve">32018D1994</t>
  </si>
  <si>
    <t xml:space="preserve">Council Implementing Decision (EU) 2018/1994 of 11 December 2018 authorising Croatia to introduce a special measure derogating from point (a) of Article 26(1) and Article 168 of Directive 2006/112/EC on the common system of value added tax</t>
  </si>
  <si>
    <t xml:space="preserve">https://eur-lex.europa.eu/legal-content/EN/TXT/?uri=CELEX:32018D1994</t>
  </si>
  <si>
    <t xml:space="preserve">32018D2006</t>
  </si>
  <si>
    <t xml:space="preserve">Council Implementing Decision (EU) 2018/2006 of 11 December 2018 amending Implementing Decision 2009/1008/EU authorising the Republic of Latvia to extend the application of a measure derogating from Article 193 of Directive 2006/112/EC on the common system of value added tax</t>
  </si>
  <si>
    <t xml:space="preserve">https://eur-lex.europa.eu/legal-content/EN/TXT/?uri=CELEX:32018D2006</t>
  </si>
  <si>
    <t xml:space="preserve">32018D2060</t>
  </si>
  <si>
    <t xml:space="preserve">Council Implementing Decision (EU) 2018/2060 of 20 December 2018 amending Decision 2009/791/EC authorising Germany to continue to apply a measure derogating from Articles 168 and 168a of Directive 2006/112/EC on the common system of value added tax</t>
  </si>
  <si>
    <t xml:space="preserve">https://eur-lex.europa.eu/legal-content/EN/TXT/?uri=CELEX:32018D2060</t>
  </si>
  <si>
    <t xml:space="preserve">32018D2077</t>
  </si>
  <si>
    <t xml:space="preserve">Council Implementing Decision (EU) 2018/2077 of 20 December 2018 amending Implementing Decision 2013/53/EU authorising the Kingdom of Belgium to introduce a special measure derogating from Article 285 of Directive 2006/112/EC on the common system of value added tax</t>
  </si>
  <si>
    <t xml:space="preserve">https://eur-lex.europa.eu/legal-content/EN/TXT/?uri=CELEX:32018D2077</t>
  </si>
  <si>
    <t xml:space="preserve">32019D0309</t>
  </si>
  <si>
    <t xml:space="preserve">2019-02-18</t>
  </si>
  <si>
    <t xml:space="preserve">Council Implementing Decision (EU) 2019/309 of 18 February 2019 authorising Lithuania to introduce a special measure derogating from Article 193 of Directive 2006/112/EC on the common system of value added tax</t>
  </si>
  <si>
    <t xml:space="preserve">https://eur-lex.europa.eu/legal-content/EN/TXT/?uri=CELEX:32019D0309</t>
  </si>
  <si>
    <t xml:space="preserve">32019D0310</t>
  </si>
  <si>
    <t xml:space="preserve">Council Implementing Decision (EU) 2019/310 of 18 February 2019 authorising Poland to introduce a special measure derogating from Article 226 of Directive 2006/112/EC on the common system of value added tax</t>
  </si>
  <si>
    <t xml:space="preserve">https://eur-lex.europa.eu/legal-content/EN/TXT/?uri=CELEX:32019D0310</t>
  </si>
  <si>
    <t xml:space="preserve">32019D1592</t>
  </si>
  <si>
    <t xml:space="preserve">2019-09-24</t>
  </si>
  <si>
    <t xml:space="preserve">Council Implementing Decision (EU) 2019/1592 of 24 September 2019 authorising Portugal to introduce a special measure derogating from Article 193 of Directive 2006/112/EC on the common system of value added tax</t>
  </si>
  <si>
    <t xml:space="preserve">https://eur-lex.europa.eu/legal-content/EN/TXT/?uri=CELEX:32019D1592</t>
  </si>
  <si>
    <t xml:space="preserve">32019D1593</t>
  </si>
  <si>
    <t xml:space="preserve">Council Implementing Decision (EU) 2019/1593 of 24 September 2019 amending Implementing Decision 2013/676/EU authorising Romania to continue to apply a special measure derogating from Article 193 of Directive 2006/112/EC on the common system of value added tax</t>
  </si>
  <si>
    <t xml:space="preserve">https://eur-lex.europa.eu/legal-content/EN/TXT/?uri=CELEX:32019D1593</t>
  </si>
  <si>
    <t xml:space="preserve">32019D1594</t>
  </si>
  <si>
    <t xml:space="preserve">Council Implementing Decision (EU) 2019/1594 of 24 September 2019 amending Implementing Decision 2013/805/EU authorising the Republic of Poland to introduce measures derogating from point (a) of Article 26(1) and Article 168 of Directive 2006/112/EC on the common system of value added tax</t>
  </si>
  <si>
    <t xml:space="preserve">https://eur-lex.europa.eu/legal-content/EN/TXT/?uri=CELEX:32019D1594</t>
  </si>
  <si>
    <t xml:space="preserve">32019D1903</t>
  </si>
  <si>
    <t xml:space="preserve">2019-11-08</t>
  </si>
  <si>
    <t xml:space="preserve">Council Implementing Decision (EU) 2019/1903 of 8 November 2019 authorising Czechia to apply the generalised reverse charge mechanism derogating from Article 193 of Directive 2006/112/EC</t>
  </si>
  <si>
    <t xml:space="preserve">https://eur-lex.europa.eu/legal-content/EN/TXT/?uri=CELEX:32019D1903</t>
  </si>
  <si>
    <t xml:space="preserve">32019R2026</t>
  </si>
  <si>
    <t xml:space="preserve">2019-11-21</t>
  </si>
  <si>
    <t xml:space="preserve">Council Implementing Regulation (EU) 2019/2026 of 21 November 2019 amending Implementing Regulation (EU) No 282/2011 as regards supplies of goods or services facilitated by electronic interfaces and the special schemes for taxable persons supplying services to non-taxable persons, making distance sales of goods and certain domestic supplies of goods</t>
  </si>
  <si>
    <t xml:space="preserve">https://eur-lex.europa.eu/legal-content/EN/TXT/?uri=CELEX:32019R2026</t>
  </si>
  <si>
    <t xml:space="preserve">32019D2138</t>
  </si>
  <si>
    <t xml:space="preserve">2019-12-05</t>
  </si>
  <si>
    <t xml:space="preserve">Council Implementing Decision (EU) 2019/2138 of 5 December 2019 amending Decision 2007/441/EC authorising the Italian Republic to apply measures derogating from Articles 26(1)(a) and 168 of Directive 2006/112/EC on the common system of value added tax</t>
  </si>
  <si>
    <t xml:space="preserve">https://eur-lex.europa.eu/legal-content/EN/TXT/?uri=CELEX:32019D2138</t>
  </si>
  <si>
    <t xml:space="preserve">32019D2244</t>
  </si>
  <si>
    <t xml:space="preserve">2019-12-16</t>
  </si>
  <si>
    <t xml:space="preserve">Council Implementing Decision (EU) 2019/2244 of 16 December 2019 authorising Spain and France to apply a special measure derogating from Article 5 of Directive 2006/112/EC on the common system of value added tax</t>
  </si>
  <si>
    <t xml:space="preserve">https://eur-lex.europa.eu/legal-content/EN/TXT/?uri=CELEX:32019D2244</t>
  </si>
  <si>
    <t xml:space="preserve">32019D2210</t>
  </si>
  <si>
    <t xml:space="preserve">2019-12-19</t>
  </si>
  <si>
    <t xml:space="preserve">Council Implementing Decision (EU) 2019/2210 of 19 December 2019 amending Implementing Decision 2013/677/EU authorising Luxembourg to introduce a special measure derogating from Article 285 of Directive 2006/112/EC on the common system of value added tax</t>
  </si>
  <si>
    <t xml:space="preserve">https://eur-lex.europa.eu/legal-content/EN/TXT/?uri=CELEX:32019D2210</t>
  </si>
  <si>
    <t xml:space="preserve">32019D2230</t>
  </si>
  <si>
    <t xml:space="preserve">Council Implementing Decision (EU) 2019/2230 of 19 December 2019 amending Decision 2007/884/EC authorising the United Kingdom to continue to apply a measure derogating from Articles 26(1)(a), 168 and 169 of Directive 2006/112/EC on the common system of value added tax</t>
  </si>
  <si>
    <t xml:space="preserve">https://eur-lex.europa.eu/legal-content/EN/TXT/?uri=CELEX:32019D2230</t>
  </si>
  <si>
    <t xml:space="preserve">32020D0647</t>
  </si>
  <si>
    <t xml:space="preserve">2020-05-11</t>
  </si>
  <si>
    <t xml:space="preserve">Council Implementing Decision (EU) 2020/647 of 11 May 2020 authorising the Italian Republic to apply a special measure derogating from Article 285 of Directive 2006/112/EC on the common system of value added tax</t>
  </si>
  <si>
    <t xml:space="preserve">https://eur-lex.europa.eu/legal-content/EN/TXT/?uri=CELEX:32020D0647</t>
  </si>
  <si>
    <t xml:space="preserve">32020D0774</t>
  </si>
  <si>
    <t xml:space="preserve">2020-06-08</t>
  </si>
  <si>
    <t xml:space="preserve">Council Implementing Decision (EU) 2020/774 of 8 June 2020 authorising the Republic of Finland to apply a special measure derogating from Article 287 of Directive 2006/112/EC on the common system of value added tax</t>
  </si>
  <si>
    <t xml:space="preserve">https://eur-lex.europa.eu/legal-content/EN/TXT/?uri=CELEX:32020D0774</t>
  </si>
  <si>
    <t xml:space="preserve">32020R1112</t>
  </si>
  <si>
    <t xml:space="preserve">2020-07-20</t>
  </si>
  <si>
    <t xml:space="preserve">Council Implementing Regulation (EU) 2020/1112 of 20 July 2020 amending Implementing Regulation (EU) 2019/2026 as regards the dates of application in response to the COVID-19 pandemic</t>
  </si>
  <si>
    <t xml:space="preserve">https://eur-lex.europa.eu/legal-content/EN/TXT/?uri=CELEX:32020R1112</t>
  </si>
  <si>
    <t xml:space="preserve">32020D1088</t>
  </si>
  <si>
    <t xml:space="preserve">2020-07-22</t>
  </si>
  <si>
    <t xml:space="preserve">Council Implementing Decision (EU) 2020/1088 of 22 July 2020 amending Implementing Decision (EU) 2018/485 authorising Denmark to apply a special measure derogating from Article 75 of Directive 2006/112/EC on the common system of value added tax</t>
  </si>
  <si>
    <t xml:space="preserve">https://eur-lex.europa.eu/legal-content/EN/TXT/?uri=CELEX:32020D1088</t>
  </si>
  <si>
    <t xml:space="preserve">32020D1105</t>
  </si>
  <si>
    <t xml:space="preserve">2020-07-24</t>
  </si>
  <si>
    <t xml:space="preserve">Council Implementing Decision (EU) 2020/1105 of 24 July 2020 amending Implementing Decision (EU) 2017/784 authorising the Italian Republic to apply a special measure derogating from Articles 206 and 226 of Directive 2006/112/EC on the common system of value added tax</t>
  </si>
  <si>
    <t xml:space="preserve">https://eur-lex.europa.eu/legal-content/EN/TXT/?uri=CELEX:32020D1105</t>
  </si>
  <si>
    <t xml:space="preserve">32020D1260</t>
  </si>
  <si>
    <t xml:space="preserve">2020-09-04</t>
  </si>
  <si>
    <t xml:space="preserve">Council Implementing Decision (EU) 2020/1260 of 4 September 2020 amending Implementing Decision (EU) 2017/1855 authorising Romania to apply a special measure derogating from Article 287 of Directive 2006/112/EC on the common system of value added tax</t>
  </si>
  <si>
    <t xml:space="preserve">https://eur-lex.europa.eu/legal-content/EN/TXT/?uri=CELEX:32020D1260</t>
  </si>
  <si>
    <t xml:space="preserve">32020D1261</t>
  </si>
  <si>
    <t xml:space="preserve">Council Implementing Decision (EU) 2020/1261 of 4 September 2020 amending Implementing Decision (EU) 2017/2408 authorising the Republic of Latvia to apply a special measure derogating from Article 287 of Directive 2006/112/EC on the common system of value added tax</t>
  </si>
  <si>
    <t xml:space="preserve">https://eur-lex.europa.eu/legal-content/EN/TXT/?uri=CELEX:32020D1261</t>
  </si>
  <si>
    <t xml:space="preserve">32020D1262</t>
  </si>
  <si>
    <t xml:space="preserve">Council Implementing Decision (EU) 2020/1262 of 4 September 2020 amending Implementing Decision 2012/232/EU authorising Romania to apply measures derogating from Article 26(1)(a) and Article 168 of Directive 2006/112/EC on the common system of value added tax</t>
  </si>
  <si>
    <t xml:space="preserve">https://eur-lex.europa.eu/legal-content/EN/TXT/?uri=CELEX:32020D1262</t>
  </si>
  <si>
    <t xml:space="preserve">32020D1277</t>
  </si>
  <si>
    <t xml:space="preserve">2020-09-09</t>
  </si>
  <si>
    <t xml:space="preserve">Council Implementing Decision (EU) 2020/1277 of 9 September 2020 amending Implementing Decision 2013/680/EU authorising the Kingdom of Denmark and the Kingdom of Sweden to extend the application of a special measure derogating from Articles 168, 169, 170 and 171 of Directive 2006/112/EC on the common system of value added tax</t>
  </si>
  <si>
    <t xml:space="preserve">https://eur-lex.europa.eu/legal-content/EN/TXT/?uri=CELEX:32020D1277</t>
  </si>
  <si>
    <t xml:space="preserve">32020D1661</t>
  </si>
  <si>
    <t xml:space="preserve">2020-11-03</t>
  </si>
  <si>
    <t xml:space="preserve">Council Implementing Decision (EU) 2020/1661 of 3 November 2020 amending Implementing Decision (EU) 2017/1768 authorising the Republic of Croatia to introduce a special measure derogating from Article 287 of Directive 2006/112/EC on the common system of value added tax</t>
  </si>
  <si>
    <t xml:space="preserve">https://eur-lex.europa.eu/legal-content/EN/TXT/?uri=CELEX:32020D1661</t>
  </si>
  <si>
    <t xml:space="preserve">32020D1662</t>
  </si>
  <si>
    <t xml:space="preserve">Council Implementing Decision (EU) 2020/1662 of 3 November 2020 amending Implementing Decision (EU) 2018/279 authorising Malta to apply a special measure derogating from Article 287 of Directive 2006/112/EC on the common system of value added tax</t>
  </si>
  <si>
    <t xml:space="preserve">https://eur-lex.europa.eu/legal-content/EN/TXT/?uri=CELEX:32020D1662</t>
  </si>
  <si>
    <t xml:space="preserve">32020D2189</t>
  </si>
  <si>
    <t xml:space="preserve">2020-12-18</t>
  </si>
  <si>
    <t xml:space="preserve">Council Implementing Decision (EU) 2020/2189 of 18 December 2020 authorising the Netherlands to introduce a special measure derogating from Articles 168 and 168a of Directive 2006/112/EC on the common system of value added tax</t>
  </si>
  <si>
    <t xml:space="preserve">https://eur-lex.europa.eu/legal-content/EN/TXT/?uri=CELEX:32020D2189</t>
  </si>
  <si>
    <t xml:space="preserve">32021D0086</t>
  </si>
  <si>
    <t xml:space="preserve">2021-01-22</t>
  </si>
  <si>
    <t xml:space="preserve">Council Implementing Decision (EU) 2021/86 of 22 January 2021 authorising the Republic of Lithuania to apply a special measure derogating from Article 287 of Directive 2006/112/EC on the common system of value added tax</t>
  </si>
  <si>
    <t xml:space="preserve">https://eur-lex.europa.eu/legal-content/EN/TXT/?uri=CELEX:32021D0086</t>
  </si>
  <si>
    <t xml:space="preserve">32021D0358</t>
  </si>
  <si>
    <t xml:space="preserve">2021-02-22</t>
  </si>
  <si>
    <t xml:space="preserve">Council Implementing Decision (EU) 2021/358 of 22 February 2021 amending Implementing Decision (EU) 2017/563 authorising the Republic of Estonia to apply a special measure derogating from Article 287 of Directive 2006/112/EC on the common system of value added tax</t>
  </si>
  <si>
    <t xml:space="preserve">https://eur-lex.europa.eu/legal-content/EN/TXT/?uri=CELEX:32021D0358</t>
  </si>
  <si>
    <t xml:space="preserve">32021D0512</t>
  </si>
  <si>
    <t xml:space="preserve">2021-03-22</t>
  </si>
  <si>
    <t xml:space="preserve">Council Implementing Decision (EU) 2021/512 of 22 March 2021 authorising the United Kingdom to apply, in respect of Northern Ireland, a special measure derogating from Articles 16 and 168 of Directive 2006/112/EC on the common system of value added tax</t>
  </si>
  <si>
    <t xml:space="preserve">https://eur-lex.europa.eu/legal-content/EN/TXT/?uri=CELEX:32021D0512</t>
  </si>
  <si>
    <t xml:space="preserve">32021D0753</t>
  </si>
  <si>
    <t xml:space="preserve">2021-05-06</t>
  </si>
  <si>
    <t xml:space="preserve">Council Implementing Decision (EU) 2021/753 of 6 May 2021 authorising Malta to apply a special measure derogating from Article 287 of Directive 2006/112/EC on the common system of value added tax, and repealing Implementing Decision (EU) 2018/279</t>
  </si>
  <si>
    <t xml:space="preserve">https://eur-lex.europa.eu/legal-content/EN/TXT/?uri=CELEX:32021D0753</t>
  </si>
  <si>
    <t xml:space="preserve">32021D0942</t>
  </si>
  <si>
    <t xml:space="preserve">2021-06-10</t>
  </si>
  <si>
    <t xml:space="preserve">Commission Implementing Decision (EU) 2021/942 of 10 June 2021 laying down rules for the application of Council Directive 2006/112/EC as regards the establishment of the list of third countries with which the Union has concluded an agreement on mutual assistance similar in scope to Council Directive 2010/24/EU and Council Regulation (EU) No 904/2010</t>
  </si>
  <si>
    <t xml:space="preserve">https://eur-lex.europa.eu/legal-content/EN/TXT/?uri=CELEX:32021D0942</t>
  </si>
  <si>
    <t xml:space="preserve">32021D1774</t>
  </si>
  <si>
    <t xml:space="preserve">2021-10-05</t>
  </si>
  <si>
    <t xml:space="preserve">Council Implementing Decision (EU) 2021/1774 of 5 October 2021 amending Implementing Decision (EU) 2018/1493 authorising Hungary to introduce a special measure derogating from point (a) of Article 26(1) and Articles 168 and 168a of Directive 2006/112/EC on the common system of value added tax</t>
  </si>
  <si>
    <t xml:space="preserve">https://eur-lex.europa.eu/legal-content/EN/TXT/?uri=CELEX:32021D1774</t>
  </si>
  <si>
    <t xml:space="preserve">32021D1775</t>
  </si>
  <si>
    <t xml:space="preserve">Council Implementing Decision (EU) 2021/1775 of 5 October 2021 amending Implementing Decision (EU) 2018/789 authorising Hungary to introduce a special measure derogating from Article 193 of Directive 2006/112/EC on the common system of value added tax</t>
  </si>
  <si>
    <t xml:space="preserve">https://eur-lex.europa.eu/legal-content/EN/TXT/?uri=CELEX:32021D1775</t>
  </si>
  <si>
    <t xml:space="preserve">32021D1776</t>
  </si>
  <si>
    <t xml:space="preserve">Council Implementing Decision (EU) 2021/1776 of 5 October 2021 amending Decision 2009/791/EC authorising the Federal Republic of Germany to continue to apply a measure derogating from Article 168 of Directive 2006/112/EC on the common system of value added tax</t>
  </si>
  <si>
    <t xml:space="preserve">https://eur-lex.europa.eu/legal-content/EN/TXT/?uri=CELEX:32021D1776</t>
  </si>
  <si>
    <t xml:space="preserve">32021D1778</t>
  </si>
  <si>
    <t xml:space="preserve">Council Implementing Decision (EU) 2021/1778 of 5 October 2021 authorising the Federal Republic of Germany to apply a special measure derogating from Article 193 of Directive 2006/112/EC on the common system of value added tax</t>
  </si>
  <si>
    <t xml:space="preserve">https://eur-lex.europa.eu/legal-content/EN/TXT/?uri=CELEX:32021D1778</t>
  </si>
  <si>
    <t xml:space="preserve">32021D1779</t>
  </si>
  <si>
    <t xml:space="preserve">Council Implementing Decision (EU) 2021/1779 of 5 October 2021 amending Implementing Decision 2009/1013/EU authorising the Republic of Austria to continue to apply a measure derogating from Article 168 of Directive 2006/112/EC on the common system of value added tax</t>
  </si>
  <si>
    <t xml:space="preserve">https://eur-lex.europa.eu/legal-content/EN/TXT/?uri=CELEX:32021D1779</t>
  </si>
  <si>
    <t xml:space="preserve">32021D1780</t>
  </si>
  <si>
    <t xml:space="preserve">Council Implementing Decision (EU) 2021/1780 of 5 October 2021 amending Decision 2009/790/EC authorising the Republic of Poland to apply a measure derogating from Article 287 of Directive 2006/112/EC on the common system of value added tax</t>
  </si>
  <si>
    <t xml:space="preserve">https://eur-lex.europa.eu/legal-content/EN/TXT/?uri=CELEX:32021D1780</t>
  </si>
  <si>
    <t xml:space="preserve">32021D1968</t>
  </si>
  <si>
    <t xml:space="preserve">2021-11-09</t>
  </si>
  <si>
    <t xml:space="preserve">Council Implementing Decision (EU) 2021/1968 of 9 November 2021 amending Implementing Decision (EU) 2015/2429 authorising Latvia to introduce a special measure derogating from point (a) of Article 26(1) and Articles 168 and 168a of Directive 2006/112/EC on the common system of value added tax</t>
  </si>
  <si>
    <t xml:space="preserve">https://eur-lex.europa.eu/legal-content/EN/TXT/?uri=CELEX:32021D1968</t>
  </si>
  <si>
    <t xml:space="preserve">32021D1997</t>
  </si>
  <si>
    <t xml:space="preserve">2021-11-15</t>
  </si>
  <si>
    <t xml:space="preserve">Council Implementing Decision (EU) 2021/1997 of 15 November 2021 amending Implementing Decision (EU) 2018/1994 authorising Croatia to introduce a special measure derogating from point (a) of Article 26(1) and Article 168 of Directive 2006/112/EC on the common system of value added tax</t>
  </si>
  <si>
    <t xml:space="preserve">https://eur-lex.europa.eu/legal-content/EN/TXT/?uri=CELEX:32021D1997</t>
  </si>
  <si>
    <t xml:space="preserve">32021D1998</t>
  </si>
  <si>
    <t xml:space="preserve">Council Implementing Decision (EU) 2021/1998 of 15 November 2021 authorising Estonia to apply a measure derogating from Article 26(1), point (a), and Articles 168 and 168a of Directive 2006/112/EC on the common system of value added tax</t>
  </si>
  <si>
    <t xml:space="preserve">https://eur-lex.europa.eu/legal-content/EN/TXT/?uri=CELEX:32021D1998</t>
  </si>
  <si>
    <t xml:space="preserve">32021D2251</t>
  </si>
  <si>
    <t xml:space="preserve">2021-12-13</t>
  </si>
  <si>
    <t xml:space="preserve">Council Implementing Decision (EU) 2021/2251 of 13 December 2021 amending Implementing Decision (EU) 2018/593 authorising the Italian Republic to introduce a special measure derogating from Articles 218 and 232 of Directive 2006/112/EC on the common system of value added tax</t>
  </si>
  <si>
    <t xml:space="preserve">https://eur-lex.europa.eu/legal-content/EN/TXT/?uri=CELEX:32021D2251</t>
  </si>
  <si>
    <t xml:space="preserve">32022D0073</t>
  </si>
  <si>
    <t xml:space="preserve">2022-01-18</t>
  </si>
  <si>
    <t xml:space="preserve">Council Implementing Decision (EU) 2022/73 of 18 January 2022 amending Implementing Decision (EU) 2018/1490 as regards authorisation to Hungary to apply for a further period the special measure derogating from Article 287 of Directive 2006/112/EC on the common system of value added tax</t>
  </si>
  <si>
    <t xml:space="preserve">https://eur-lex.europa.eu/legal-content/EN/TXT/?uri=CELEX:32022D0073</t>
  </si>
  <si>
    <t xml:space="preserve">32022D0081</t>
  </si>
  <si>
    <t xml:space="preserve">Council Implementing Decision (EU) 2022/81 of 18 January 2022 amending Implementing Decision 2009/1008/EU authorising the Republic of Latvia to extend the application of a measure derogating from Article 193 of Directive 2006/112/EC on the common system of value added tax</t>
  </si>
  <si>
    <t xml:space="preserve">https://eur-lex.europa.eu/legal-content/EN/TXT/?uri=CELEX:32022D0081</t>
  </si>
  <si>
    <t xml:space="preserve">32022D0088</t>
  </si>
  <si>
    <t xml:space="preserve">Council Implementing Decision (EU) 2022/88 of 18 January 2022 amending Implementing Decision 2013/53/EU as regards authorisation to the Kingdom of Belgium to apply for a further period the special measure derogating from Article 285 of Directive 2006/112/EC on the common system of value added tax</t>
  </si>
  <si>
    <t xml:space="preserve">https://eur-lex.europa.eu/legal-content/EN/TXT/?uri=CELEX:32022D0088</t>
  </si>
  <si>
    <t xml:space="preserve">32022D0133</t>
  </si>
  <si>
    <t xml:space="preserve">2022-01-25</t>
  </si>
  <si>
    <t xml:space="preserve">Council Implementing Decision (EU) 2022/133 of 25 January 2022 authorising France to introduce a special measure derogating from Articles 218 and 232 of Directive 2006/112/EC on the common system of value added tax</t>
  </si>
  <si>
    <t xml:space="preserve">https://eur-lex.europa.eu/legal-content/EN/TXT/?uri=CELEX:32022D0133</t>
  </si>
  <si>
    <t xml:space="preserve">32022R0432</t>
  </si>
  <si>
    <t xml:space="preserve">2022-03-15</t>
  </si>
  <si>
    <t xml:space="preserve">Council Implementing Regulation (EU) 2022/432 of 15 March 2022 amending Implementing Regulation (EU) No 282/2011 as regards the VAT and/or excise duty exemption certificate</t>
  </si>
  <si>
    <t xml:space="preserve">https://eur-lex.europa.eu/legal-content/EN/TXT/?uri=CELEX:32022R0432</t>
  </si>
  <si>
    <t xml:space="preserve">32022D0464</t>
  </si>
  <si>
    <t xml:space="preserve">2022-03-21</t>
  </si>
  <si>
    <t xml:space="preserve">Council Implementing Decision (EU) 2022/464 of 21 March 2022 amending Implementing Decision 2013/54/EU as regards the authorisation granted to the Republic of Slovenia to continue to apply the special measure derogating from Article 287 of Directive 2006/112/EC on the common system of value added tax</t>
  </si>
  <si>
    <t xml:space="preserve">https://eur-lex.europa.eu/legal-content/EN/TXT/?uri=CELEX:32022D0464</t>
  </si>
  <si>
    <t xml:space="preserve">32022D0559</t>
  </si>
  <si>
    <t xml:space="preserve">2022-04-05</t>
  </si>
  <si>
    <t xml:space="preserve">Council Implementing Decision (EU) 2022/559 of 5 April 2022 amending Implementing Decision (EU) 2019/310 as regards the authorisation granted to Poland to continue to apply the special measure derogating from Article 226 of Directive 2006/112/EC on the common system of value added tax</t>
  </si>
  <si>
    <t xml:space="preserve">https://eur-lex.europa.eu/legal-content/EN/TXT/?uri=CELEX:32022D0559</t>
  </si>
  <si>
    <t xml:space="preserve">32022D0865</t>
  </si>
  <si>
    <t xml:space="preserve">2022-05-24</t>
  </si>
  <si>
    <t xml:space="preserve">Council Implementing Decision (EU) 2022/865 of 24 May 2022 authorising the Czech Republic to introduce a special measure derogating from Article 287 of Directive 2006/112/EC on the common system of value added tax</t>
  </si>
  <si>
    <t xml:space="preserve">https://eur-lex.europa.eu/legal-content/EN/TXT/?uri=CELEX:32022D0865</t>
  </si>
  <si>
    <t xml:space="preserve">32022D1003</t>
  </si>
  <si>
    <t xml:space="preserve">2022-06-17</t>
  </si>
  <si>
    <t xml:space="preserve">Council Implementing Decision (EU) 2022/1003 of 17 June 2022 authorising the Republic of Poland to apply a special measure derogating from Articles 218 and 232 of Directive 2006/112/EC on the common system of value added tax</t>
  </si>
  <si>
    <t xml:space="preserve">https://eur-lex.europa.eu/legal-content/EN/TXT/?uri=CELEX:32022D1003</t>
  </si>
  <si>
    <t xml:space="preserve">32022D1661</t>
  </si>
  <si>
    <t xml:space="preserve">2022-09-26</t>
  </si>
  <si>
    <t xml:space="preserve">Council Implementing Decision (EU) 2022/1661 of 26 September 2022 amending Implementing Decision 2013/677/EU authorising Luxembourg to introduce a special measure derogating from Article 285 of Directive 2006/112/EC on the common system of value added tax</t>
  </si>
  <si>
    <t xml:space="preserve">https://eur-lex.europa.eu/legal-content/EN/TXT/?uri=CELEX:32022D1661</t>
  </si>
  <si>
    <t xml:space="preserve">32022D2254</t>
  </si>
  <si>
    <t xml:space="preserve">2022-11-14</t>
  </si>
  <si>
    <t xml:space="preserve">Council Implementing Decision (EU) 2022/2254 of 14 November 2022 authorising Bulgaria to introduce a special measure derogating from Article 287 of Directive 2006/112/EC on the common system of value added tax</t>
  </si>
  <si>
    <t xml:space="preserve">https://eur-lex.europa.eu/legal-content/EN/TXT/?uri=CELEX:32022D2254</t>
  </si>
  <si>
    <t xml:space="preserve">32022D2385</t>
  </si>
  <si>
    <t xml:space="preserve">2022-12-06</t>
  </si>
  <si>
    <t xml:space="preserve">Council Implementing Decision (EU) 2022/2385 of 6 December 2022 amending Implementing Decision 2013/805/EU authorising the Republic of Poland to introduce measures derogating from point (a) of Article 26(1) and Article 168 of Directive 2006/112/EC on the common system of value added tax</t>
  </si>
  <si>
    <t xml:space="preserve">https://eur-lex.europa.eu/legal-content/EN/TXT/?uri=CELEX:32022D2385</t>
  </si>
  <si>
    <t xml:space="preserve">32022D2411</t>
  </si>
  <si>
    <t xml:space="preserve">Council Implementing Decision (EU) 2022/2411 of 6 December 2022 amending Decision 2007/441/EC authorising the Italian Republic to apply measures derogating from Articles 26(1)(a) and 168 of Directive 2006/112/EC on the common system of value added tax</t>
  </si>
  <si>
    <t xml:space="preserve">https://eur-lex.europa.eu/legal-content/EN/TXT/?uri=CELEX:32022D2411</t>
  </si>
  <si>
    <t xml:space="preserve">32022D2542</t>
  </si>
  <si>
    <t xml:space="preserve">Council Implementing Decision (EU) 2022/2542 of 19 December 2022 amending Implementing Decision (EU) 2018/1904 authorising the Netherlands to introduce a special measure derogating from Article 285 of Directive 2006/112/EC on the common system of value added tax</t>
  </si>
  <si>
    <t xml:space="preserve">https://eur-lex.europa.eu/legal-content/EN/TXT/?uri=CELEX:32022D2542</t>
  </si>
  <si>
    <t xml:space="preserve">32023D0218</t>
  </si>
  <si>
    <t xml:space="preserve">2023-01-30</t>
  </si>
  <si>
    <t xml:space="preserve">Council Implementing Decision (EU) 2023/218 of 30 January 2023 amending Implementing Decision 2013/676/EU authorising Romania to continue to apply a special measure derogating from Article 193 of Directive 2006/112/EC on the common system of value added tax</t>
  </si>
  <si>
    <t xml:space="preserve">https://eur-lex.europa.eu/legal-content/EN/TXT/?uri=CELEX:32023D0218</t>
  </si>
  <si>
    <t xml:space="preserve">32023D0664</t>
  </si>
  <si>
    <t xml:space="preserve">2023-03-21</t>
  </si>
  <si>
    <t xml:space="preserve">Council Implementing Decision (EU) 2023/664 of 21 March 2023 authorising the Italian Republic to apply a special measure derogating from Article 285 of Directive 2006/112/EC on the common system of value added tax and repealing Implementing Decision (EU) 2020/647</t>
  </si>
  <si>
    <t xml:space="preserve">https://eur-lex.europa.eu/legal-content/EN/TXT/?uri=CELEX:32023D0664</t>
  </si>
  <si>
    <t xml:space="preserve">32023D1025</t>
  </si>
  <si>
    <t xml:space="preserve">2023-05-22</t>
  </si>
  <si>
    <t xml:space="preserve">Council Implementing Decision (EU) 2023/1025 of 22 May 2023 authorising Hungary to apply a special measure derogating from Article 287 of Directive 2006/112/EC on the common system of value added tax, and repealing Implementing Decision (EU) 2018/1490</t>
  </si>
  <si>
    <t xml:space="preserve">https://eur-lex.europa.eu/legal-content/EN/TXT/?uri=CELEX:32023D1025</t>
  </si>
  <si>
    <t xml:space="preserve">32023D1551</t>
  </si>
  <si>
    <t xml:space="preserve">Council Implementing Decision (EU) 2023/1551 of 25 July 2023 authorising Germany to introduce a special measure derogating from Articles 218 and 232 of Directive 2006/112/EC on the common system of value added tax</t>
  </si>
  <si>
    <t xml:space="preserve">https://eur-lex.europa.eu/legal-content/EN/TXT/?uri=CELEX:32023D1551</t>
  </si>
  <si>
    <t xml:space="preserve">32023D1552</t>
  </si>
  <si>
    <t xml:space="preserve">Council Implementing Decision (EU) 2023/1552 of 25 July 2023 amending Implementing Decision (EU) 2017/784 as regards the period of authorisation for, and the scope of, the special measure derogating from Articles 206 and 226 of Directive 2006/112/EC on the common system of value added tax taken by Italy</t>
  </si>
  <si>
    <t xml:space="preserve">https://eur-lex.europa.eu/legal-content/EN/TXT/?uri=CELEX:32023D1552</t>
  </si>
  <si>
    <t xml:space="preserve">32023D1553</t>
  </si>
  <si>
    <t xml:space="preserve">Council Implementing Decision (EU) 2023/1553 of 25 July 2023 authorising Romania to introduce a special measure derogating from Articles 218 and 232 of Directive 2006/112/EC on the common system of value added tax</t>
  </si>
  <si>
    <t xml:space="preserve">https://eur-lex.europa.eu/legal-content/EN/TXT/?uri=CELEX:32023D1553</t>
  </si>
  <si>
    <t xml:space="preserve">32023D2094</t>
  </si>
  <si>
    <t xml:space="preserve">2023-09-25</t>
  </si>
  <si>
    <t xml:space="preserve">Council Implementing Decision (EU) 2023/2094 of 25 September 2023 amending Implementing Decision (EU) 2018/485 as regards an extension of the authorisation for Denmark to apply a special measure derogating from Article 75 of Directive 2006/112/EC on the common system of value added tax</t>
  </si>
  <si>
    <t xml:space="preserve">https://eur-lex.europa.eu/legal-content/EN/TXT/?uri=CELEX:32023D2094</t>
  </si>
  <si>
    <t xml:space="preserve">32023D2907</t>
  </si>
  <si>
    <t xml:space="preserve">2023-12-21</t>
  </si>
  <si>
    <t xml:space="preserve">Council Implementing Decision (EU) 2023/2907 of 21 December 2023 amending Implementing Decision (EU) 2021/512 authorising the United Kingdom to apply, in respect of Northern Ireland, a special measure derogating from Articles 16 and 168 of Directive 2006/112/EC on the common system of value added tax as regards an extension of the authorisation</t>
  </si>
  <si>
    <t xml:space="preserve">https://eur-lex.europa.eu/legal-content/EN/TXT/?uri=CELEX:32023D2907</t>
  </si>
  <si>
    <t xml:space="preserve">32024D1641</t>
  </si>
  <si>
    <t xml:space="preserve">Council Implementing Decision (EU) 2024/1641 of 24 May 2024 authorising Romania to apply special measures derogating from Article 26(1), point (a), and Article 168 of Directive 2006/112/EC on the common system of value added tax</t>
  </si>
  <si>
    <t xml:space="preserve">https://eur-lex.europa.eu/legal-content/EN/TXT/?uri=CELEX:32024D1641</t>
  </si>
  <si>
    <t xml:space="preserve">32024D2680</t>
  </si>
  <si>
    <t xml:space="preserve">Council Implementing Decision (EU) 2024/2680 of 8 October 2024 amending Implementing Decision (EU) 2021/1778 authorising Germany to continue to apply a special measure derogating from Article 193 of Directive 2006/112/EC on the common system of value added tax</t>
  </si>
  <si>
    <t xml:space="preserve">https://eur-lex.europa.eu/legal-content/EN/TXT/?uri=CELEX:32024D2680</t>
  </si>
  <si>
    <t xml:space="preserve">32024D2884</t>
  </si>
  <si>
    <t xml:space="preserve">2024-11-05</t>
  </si>
  <si>
    <t xml:space="preserve">Council Implementing Decision (EU) 2024/2884 of 5 November 2024 amending Implementing Decision (EU) 2018/1994 authorising Croatia to introduce a special measure derogating from point (a) of Article 26(1) and Articles 168 and 168a of Directive 2006/112/EC on the common system of value added tax</t>
  </si>
  <si>
    <t xml:space="preserve">https://eur-lex.europa.eu/legal-content/EN/TXT/?uri=CELEX:32024D2884</t>
  </si>
  <si>
    <t xml:space="preserve">32024D2885</t>
  </si>
  <si>
    <t xml:space="preserve">Council Implementing Decision (EU) 2024/2885 of 5 November 2024 amending Decision 2009/791/EC authorising the Federal Republic of Germany to continue to apply a measure derogating from Articles 168 and 168a of Directive 2006/112/EC on the common system of value added tax</t>
  </si>
  <si>
    <t xml:space="preserve">https://eur-lex.europa.eu/legal-content/EN/TXT/?uri=CELEX:32024D2885</t>
  </si>
  <si>
    <t xml:space="preserve">32024D3013</t>
  </si>
  <si>
    <t xml:space="preserve">Council Implementing Decision (EU) 2024/3013 of 28 November 2024 amending Implementing Decision 2009/1013/EU authorising the Republic of Austria to continue to apply a measure derogating from Articles 168 and 168a of Directive 2006/112/EC on the common system of value added tax</t>
  </si>
  <si>
    <t xml:space="preserve">https://eur-lex.europa.eu/legal-content/EN/TXT/?uri=CELEX:32024D3013</t>
  </si>
  <si>
    <t xml:space="preserve">32024D3150</t>
  </si>
  <si>
    <t xml:space="preserve">Council Implementing Decision (EU) 2024/3150 of 10 December 2024 amending Implementing Decision (EU) 2018/593 authorising the Italian Republic to introduce a special measure derogating from Articles 218 and 232 of Directive 2006/112/EC on the common system of value added tax</t>
  </si>
  <si>
    <t xml:space="preserve">https://eur-lex.europa.eu/legal-content/EN/TXT/?uri=CELEX:32024D3150</t>
  </si>
  <si>
    <t xml:space="preserve">32024D3205</t>
  </si>
  <si>
    <t xml:space="preserve">Council Implementing Decision (EU) 2024/3205 of 10 December 2024 amending Implementing Decision (EU) 2018/1493 authorising Hungary to introduce a special measure derogating from point (a) of Article 26(1) and Articles 168 and 168a of Directive 2006/112/EC on the common system of value added tax</t>
  </si>
  <si>
    <t xml:space="preserve">https://eur-lex.europa.eu/legal-content/EN/TXT/?uri=CELEX:32024D3205</t>
  </si>
  <si>
    <t xml:space="preserve">32024D3206</t>
  </si>
  <si>
    <t xml:space="preserve">Council Implementing Decision (EU) 2024/3206 of 10 December 2024 amending Implementing Decision (EU) 2015/2429 authorising Latvia to introduce a special measure derogating from point (a) of Article 26(1) and Articles 168 and 168a of Directive 2006/112/EC on the common system of value added tax</t>
  </si>
  <si>
    <t xml:space="preserve">https://eur-lex.europa.eu/legal-content/EN/TXT/?uri=CELEX:32024D3206</t>
  </si>
  <si>
    <t xml:space="preserve">32024D3207</t>
  </si>
  <si>
    <t xml:space="preserve">2024-12-12</t>
  </si>
  <si>
    <t xml:space="preserve">Council Implementing Decision (EU) 2024/3207 of 12 December 2024 amending Implementing Decision 2009/1008/EU authorising the Republic of Latvia to extend the application of a measure derogating from Article 193 of Directive 2006/112/EC on the common system of value added tax</t>
  </si>
  <si>
    <t xml:space="preserve">https://eur-lex.europa.eu/legal-content/EN/TXT/?uri=CELEX:32024D3207</t>
  </si>
  <si>
    <t xml:space="preserve">32024D3209</t>
  </si>
  <si>
    <t xml:space="preserve">Council Implementing Decision (EU) 2024/3209 of 12 December 2024 amending Implementing Decision (EU) 2018/789 authorising Hungary to introduce a special measure derogating from Article 193 of Directive 2006/112/EC on the common system of value added tax</t>
  </si>
  <si>
    <t xml:space="preserve">https://eur-lex.europa.eu/legal-content/EN/TXT/?uri=CELEX:32024D3209</t>
  </si>
  <si>
    <t xml:space="preserve">32025D0373</t>
  </si>
  <si>
    <t xml:space="preserve">2025-02-18</t>
  </si>
  <si>
    <t xml:space="preserve">Council Implementing Decision (EU) 2025/373 of 18 February 2025 amending Implementing Decision (EU) 2019/310 as regards the authorisation granted to Poland to continue to apply the special measure derogating from Article 226 of Directive 2006/112/EC on the common system of value added tax</t>
  </si>
  <si>
    <t xml:space="preserve">https://eur-lex.europa.eu/legal-content/EN/TXT/?uri=CELEX:32025D0373</t>
  </si>
  <si>
    <t xml:space="preserve">32025R0428</t>
  </si>
  <si>
    <t xml:space="preserve">Council Implementing Regulation (EU) 2025/428 of 18 February 2025 amending Implementing Regulation (EU) No 282/2011 as regards the electronic value added tax exemption certificate</t>
  </si>
  <si>
    <t xml:space="preserve">https://eur-lex.europa.eu/legal-content/EN/TXT/?uri=CELEX:32025R0428</t>
  </si>
  <si>
    <t xml:space="preserve">32025D0502</t>
  </si>
  <si>
    <t xml:space="preserve">Council Implementing Decision (EU) 2025/502 of 5 March 2025 authorising Greece to introduce a special measure derogating from Articles 218 and 232 of Directive 2006/112/EC on the common system of value added tax</t>
  </si>
  <si>
    <t xml:space="preserve">https://eur-lex.europa.eu/legal-content/EN/TXT/?uri=CELEX:32025D0502</t>
  </si>
  <si>
    <t xml:space="preserve">32025R0518</t>
  </si>
  <si>
    <t xml:space="preserve">Council Implementing Regulation (EU) 2025/518 of 11 March 2025 amending Implementing Regulation (EU) No 282/2011 as regards information requirements for certain VAT schemes</t>
  </si>
  <si>
    <t xml:space="preserve">https://eur-lex.europa.eu/legal-content/EN/TXT/?uri=CELEX:32025R0518</t>
  </si>
  <si>
    <t xml:space="preserve">32025D0539</t>
  </si>
  <si>
    <t xml:space="preserve">2025-03-18</t>
  </si>
  <si>
    <t xml:space="preserve">Council Implementing Decision (EU) 2025/539 of 18 March 2025 authorising Estonia to apply a special measure derogating from Article 26(1), point (a), and Articles 168 and 168a of Directive 2006/112/EC on the common system of value added tax</t>
  </si>
  <si>
    <t xml:space="preserve">https://eur-lex.europa.eu/legal-content/EN/TXT/?uri=CELEX:32025D0539</t>
  </si>
  <si>
    <t xml:space="preserve">32025D0852</t>
  </si>
  <si>
    <t xml:space="preserve">Council Implementing Decision (EU) 2025/852 of 14 April 2025 authorising the Slovak Republic to introduce a special measure derogating from Article 26(1), point (a), and Articles 168 and 168a of Directive 2006/112/EC on the common system of value added tax</t>
  </si>
  <si>
    <t xml:space="preserve">https://eur-lex.europa.eu/legal-content/EN/TXT/?uri=CELEX:32025D0852</t>
  </si>
  <si>
    <t xml:space="preserve">32025D1986</t>
  </si>
  <si>
    <t xml:space="preserve">2025-09-22</t>
  </si>
  <si>
    <t xml:space="preserve">Council Implementing Decision (EU) 2025/1986 of 22 September 2025 amending Implementing Decision 2013/805/EU authorising the Republic of Poland to introduce measures derogating from point (a) of Article 26(1) and Article 168 of Directive 2006/112/EC on the common system of value added tax</t>
  </si>
  <si>
    <t xml:space="preserve">https://eur-lex.europa.eu/legal-content/EN/TXT/?uri=CELEX:32025D1986</t>
  </si>
  <si>
    <t xml:space="preserve">32025D2529</t>
  </si>
  <si>
    <t xml:space="preserve">2025-12-08</t>
  </si>
  <si>
    <t xml:space="preserve">Council Implementing Decision (EU) 2025/2529 of 8 December 2025 amending Decision 2007/441/EC authorising the Italian Republic to apply measures derogating from Articles 26(1)(a) and 168 of Directive 2006/112/EC on the common system of value added tax</t>
  </si>
  <si>
    <t xml:space="preserve">https://eur-lex.europa.eu/legal-content/EN/TXT/?uri=CELEX:32025D2529</t>
  </si>
  <si>
    <t xml:space="preserve">32026D1728</t>
  </si>
  <si>
    <t xml:space="preserve">2026-07-10</t>
  </si>
  <si>
    <t xml:space="preserve">Council Implementing Decision (EU) 2026/1728 of 10 July 2026 amending Implementing Decision (EU) 2017/784 authorising the Italian Republic to apply a special measure derogating from Articles 206 and 226 of Directive 2006/112/EC on the common system of value added tax</t>
  </si>
  <si>
    <t xml:space="preserve">https://eur-lex.europa.eu/legal-content/EN/TXT/?uri=CELEX:32026D1728</t>
  </si>
  <si>
    <t xml:space="preserve">52020XC0707(02)</t>
  </si>
  <si>
    <t xml:space="preserve">2020-07-07</t>
  </si>
  <si>
    <t xml:space="preserve">Communication from the Commission Guidelines on the practical application of the essential functionality criterion of the definition of a ‘video-sharing platform service’ under the Audiovisual Media Services Directive 2020/C 223/02</t>
  </si>
  <si>
    <t xml:space="preserve">https://eur-lex.europa.eu/legal-content/EN/TXT/?uri=CELEX:52020XC0707(02)</t>
  </si>
  <si>
    <t xml:space="preserve">52020XC0707(03)</t>
  </si>
  <si>
    <t xml:space="preserve">Communication from the Commission Guidelines pursuant to Article 13(7) of the Audiovisual Media Services Directive on the calculation of the share of European works in on-demand catalogues and on the definition of low audience and low turnover 2020/C 223/03</t>
  </si>
  <si>
    <t xml:space="preserve">https://eur-lex.europa.eu/legal-content/EN/TXT/?uri=CELEX:52020XC0707(03)</t>
  </si>
  <si>
    <t xml:space="preserve">52023XC0223(01)</t>
  </si>
  <si>
    <t xml:space="preserve">Communication from the Commission Guidelines pursuant to Article 33a(3) of the Audiovisual Media Services Directive on the scope of Member States' reports concerning measures for the promotion and development of media literacy skills 2023/C 66/02</t>
  </si>
  <si>
    <t xml:space="preserve">https://eur-lex.europa.eu/legal-content/EN/TXT/?uri=CELEX:52023XC0223(01)</t>
  </si>
  <si>
    <t xml:space="preserve">32010R0520</t>
  </si>
  <si>
    <t xml:space="preserve">2010-06-16</t>
  </si>
  <si>
    <t xml:space="preserve">Commission Regulation (EU) No 520/2010 of 16 June 2010 amending Regulation (EC) No 831/2002 concerning access to confidential data for scientific purposes as regards the available surveys and statistical data sources  (Text with EEA relevance)</t>
  </si>
  <si>
    <t xml:space="preserve">https://eur-lex.europa.eu/legal-content/EN/TXT/?uri=CELEX:32010R0520</t>
  </si>
  <si>
    <t xml:space="preserve">32013R0557</t>
  </si>
  <si>
    <t xml:space="preserve">2013-06-17</t>
  </si>
  <si>
    <t xml:space="preserve">Commission Regulation (EU) No 557/2013 of 17 June 2013 implementing Regulation (EC) No 223/2009 of the European Parliament and of the Council on European Statistics as regards access to confidential data for scientific purposes and repealing Commission Regulation (EC) No 831/2002  Text with EEA relevance</t>
  </si>
  <si>
    <t xml:space="preserve">https://eur-lex.europa.eu/legal-content/EN/TXT/?uri=CELEX:32013R0557</t>
  </si>
  <si>
    <t xml:space="preserve">32018R1799</t>
  </si>
  <si>
    <t xml:space="preserve">Commission Implementing Regulation (EU) 2018/1799 of 21 November 2018 on the establishment of a temporary direct statistical action for the dissemination of selected topics of the 2021 population and housing census geocoded to a 1 km2 grid (Text with EEA relevance.)</t>
  </si>
  <si>
    <t xml:space="preserve">https://eur-lex.europa.eu/legal-content/EN/TXT/?uri=CELEX:32018R1799</t>
  </si>
  <si>
    <t xml:space="preserve">32012L0007</t>
  </si>
  <si>
    <t xml:space="preserve">DIR</t>
  </si>
  <si>
    <t xml:space="preserve">Commission Directive 2012/7/EU of 2 March 2012 amending, for the purpose of adaptation to technical progress, part III of Annex II to Directive 2009/48/EC of the European Parliament and of the Council relating to toy safety  Text with EEA relevance</t>
  </si>
  <si>
    <t xml:space="preserve">https://eur-lex.europa.eu/legal-content/EN/TXT/?uri=CELEX:32012L0007</t>
  </si>
  <si>
    <t xml:space="preserve">32013R0681</t>
  </si>
  <si>
    <t xml:space="preserve">2013-07-17</t>
  </si>
  <si>
    <t xml:space="preserve">Commission Regulation (EU) No 681/2013 of 17 July 2013 amending part III of Annex II to Directive 2009/48/EC of the European Parliament and of the Council on the safety of toys  Text with EEA relevance</t>
  </si>
  <si>
    <t xml:space="preserve">https://eur-lex.europa.eu/legal-content/EN/TXT/?uri=CELEX:32013R0681</t>
  </si>
  <si>
    <t xml:space="preserve">32014L0079</t>
  </si>
  <si>
    <t xml:space="preserve">2014-06-20</t>
  </si>
  <si>
    <t xml:space="preserve">Commission Directive 2014/79/EU of 20 June 2014 amending Appendix C of Annex II to Directive 2009/48/EC of the European Parliament and of the Council on the safety of toys, as regards TCEP, TCPP and TDCP  Text with EEA relevance</t>
  </si>
  <si>
    <t xml:space="preserve">https://eur-lex.europa.eu/legal-content/EN/TXT/?uri=CELEX:32014L0079</t>
  </si>
  <si>
    <t xml:space="preserve">32014L0081</t>
  </si>
  <si>
    <t xml:space="preserve">2014-06-23</t>
  </si>
  <si>
    <t xml:space="preserve">Commission Directive 2014/81/EU of 23 June 2014 amending Appendix C of Annex II to Directive 2009/48/EC of the European Parliament and of the Council on the safety of toys, as regards bisphenol A  Text with EEA relevance</t>
  </si>
  <si>
    <t xml:space="preserve">https://eur-lex.europa.eu/legal-content/EN/TXT/?uri=CELEX:32014L0081</t>
  </si>
  <si>
    <t xml:space="preserve">32014L0084</t>
  </si>
  <si>
    <t xml:space="preserve">2014-06-30</t>
  </si>
  <si>
    <t xml:space="preserve">Commission Directive 2014/84/EU of 30 June 2014 amending Appendix A of Annex II to Directive 2009/48/EC of the European Parliament and of the Council on the safety of toys, as regards nickel  Text with EEA relevance</t>
  </si>
  <si>
    <t xml:space="preserve">https://eur-lex.europa.eu/legal-content/EN/TXT/?uri=CELEX:32014L0084</t>
  </si>
  <si>
    <t xml:space="preserve">32015L2115</t>
  </si>
  <si>
    <t xml:space="preserve">2015-11-23</t>
  </si>
  <si>
    <t xml:space="preserve">Commission Directive (EU) 2015/2115 of 23 November 2015 amending, for the purpose of adopting specific limit values for chemicals used in toys, Appendix C to Annex II to Directive 2009/48/EC of the European Parliament and of the Council on the safety of toys, as regards formamide (Text with EEA relevance)</t>
  </si>
  <si>
    <t xml:space="preserve">https://eur-lex.europa.eu/legal-content/EN/TXT/?uri=CELEX:32015L2115</t>
  </si>
  <si>
    <t xml:space="preserve">32015L2116</t>
  </si>
  <si>
    <t xml:space="preserve">Commission Directive (EU) 2015/2116 of 23 November 2015 amending, for the purpose of adopting specific limit values for chemicals used in toys, Appendix C to Annex II to Directive 2009/48/EC of the European Parliament and of the Council on the safety of toys, as regards benzisothiazolinone (Text with EEA relevance)</t>
  </si>
  <si>
    <t xml:space="preserve">https://eur-lex.europa.eu/legal-content/EN/TXT/?uri=CELEX:32015L2116</t>
  </si>
  <si>
    <t xml:space="preserve">32015L2117</t>
  </si>
  <si>
    <t xml:space="preserve">Commission Directive (EU) 2015/2117 of 23 November 2015 amending, for the purpose of adopting specific limit values for chemicals used in toys, Appendix C to Annex II to Directive 2009/48/EC of the European Parliament and of the Council on the safety of toys, as regards chloromethylisothiazolinone and methylisothiazolinone, both individually and in a ratio of 3:1 (Text with EEA relevance)</t>
  </si>
  <si>
    <t xml:space="preserve">https://eur-lex.europa.eu/legal-content/EN/TXT/?uri=CELEX:32015L2117</t>
  </si>
  <si>
    <t xml:space="preserve">32017L0738</t>
  </si>
  <si>
    <t xml:space="preserve">2017-03-27</t>
  </si>
  <si>
    <t xml:space="preserve">Council Directive (EU) 2017/738 of 27 March 2017 amending, for the purpose of adapting to technical progress, Annex II to Directive 2009/48/EC of the European Parliament and of the Council on the safety of toys, as regards lead (Text with EEA relevance. )</t>
  </si>
  <si>
    <t xml:space="preserve">https://eur-lex.europa.eu/legal-content/EN/TXT/?uri=CELEX:32017L0738</t>
  </si>
  <si>
    <t xml:space="preserve">32017L0774</t>
  </si>
  <si>
    <t xml:space="preserve">2017-05-03</t>
  </si>
  <si>
    <t xml:space="preserve">Commission Directive (EU) 2017/774 of 3 May 2017 amending, for the purpose of adopting specific limit values for chemicals used in toys, Appendix C to Annex II to Directive 2009/48/EC of the European Parliament and of the Council on the safety of toys, as regards phenol (Text with EEA relevance. )</t>
  </si>
  <si>
    <t xml:space="preserve">https://eur-lex.europa.eu/legal-content/EN/TXT/?uri=CELEX:32017L0774</t>
  </si>
  <si>
    <t xml:space="preserve">32017L0898</t>
  </si>
  <si>
    <t xml:space="preserve">2017-05-24</t>
  </si>
  <si>
    <t xml:space="preserve">Commission Directive (EU) 2017/898 of 24 May 2017 amending, for the purpose of adopting specific limit values for chemicals used in toys, Appendix C to Annex II to Directive 2009/48/EC of the European Parliament and of the Council on the safety of toys, as regards bisphenol A (Text with EEA relevance. )</t>
  </si>
  <si>
    <t xml:space="preserve">https://eur-lex.europa.eu/legal-content/EN/TXT/?uri=CELEX:32017L0898</t>
  </si>
  <si>
    <t xml:space="preserve">32018L0725</t>
  </si>
  <si>
    <t xml:space="preserve">2018-05-16</t>
  </si>
  <si>
    <t xml:space="preserve">Commission Directive (EU) 2018/725 of 16 May 2018 amending, for the purpose of adaptation to technical and scientific developments, point 13 of part III of Annex II to Directive 2009/48/EC of the European Parliament and of the Council on the safety of toys, as regards chromium VI</t>
  </si>
  <si>
    <t xml:space="preserve">https://eur-lex.europa.eu/legal-content/EN/TXT/?uri=CELEX:32018L0725</t>
  </si>
  <si>
    <t xml:space="preserve">32019L1922</t>
  </si>
  <si>
    <t xml:space="preserve">2019-11-18</t>
  </si>
  <si>
    <t xml:space="preserve">Commission Directive (EU) 2019/1922 of 18 November 2019 amending, for the purposes of adaptation to technical and scientific developments, point 13 of part III of Annex II to Directive 2009/48/EC of the European Parliament and of the Council on the safety of toys, as regards aluminium (Text with EEA relevance)</t>
  </si>
  <si>
    <t xml:space="preserve">https://eur-lex.europa.eu/legal-content/EN/TXT/?uri=CELEX:32019L1922</t>
  </si>
  <si>
    <t xml:space="preserve">32019L1929</t>
  </si>
  <si>
    <t xml:space="preserve">2019-11-19</t>
  </si>
  <si>
    <t xml:space="preserve">Commission Directive (EU) 2019/1929 of 19 November 2019 amending Appendix C to Annex II to Directive 2009/48/EC of the European Parliament and of the Council for the purpose of adopting specific limit values for chemicals used in certain toys, as regards formaldehyde (Text with EEA relevance)</t>
  </si>
  <si>
    <t xml:space="preserve">https://eur-lex.europa.eu/legal-content/EN/TXT/?uri=CELEX:32019L1929</t>
  </si>
  <si>
    <t xml:space="preserve">32020L2088</t>
  </si>
  <si>
    <t xml:space="preserve">2020-12-11</t>
  </si>
  <si>
    <t xml:space="preserve">Commission Directive (EU) 2020/2088 of 11 December 2020 amending Annex II to Directive 2009/48/EC of the European Parliament and of the Council as regards the labelling of allergenic fragrances in toys (Text with EEA relevance)</t>
  </si>
  <si>
    <t xml:space="preserve">https://eur-lex.europa.eu/legal-content/EN/TXT/?uri=CELEX:32020L2088</t>
  </si>
  <si>
    <t xml:space="preserve">32020L2089</t>
  </si>
  <si>
    <t xml:space="preserve">Commission Directive (EU) 2020/2089 of 11 December 2020 amending Annex II to Directive 2009/48/EC of the European Parliament and of the Council as regards the prohibition of allergenic fragrances in toys (Text with EEA relevance)</t>
  </si>
  <si>
    <t xml:space="preserve">https://eur-lex.europa.eu/legal-content/EN/TXT/?uri=CELEX:32020L2089</t>
  </si>
  <si>
    <t xml:space="preserve">32021L0903</t>
  </si>
  <si>
    <t xml:space="preserve">2021-06-03</t>
  </si>
  <si>
    <t xml:space="preserve">Commission Directive (EU) 2021/903 of 3 June 2021 amending Directive 2009/48/EC of the European Parliament and of the Council as regards specific limit values for aniline in certain toys (Text with EEA relevance)</t>
  </si>
  <si>
    <t xml:space="preserve">https://eur-lex.europa.eu/legal-content/EN/TXT/?uri=CELEX:32021L0903</t>
  </si>
  <si>
    <t xml:space="preserve">32025D1785</t>
  </si>
  <si>
    <t xml:space="preserve">2025-09-09</t>
  </si>
  <si>
    <t xml:space="preserve">Commission Implementing Decision (EU) 2025/1785 of 9 September 2025 amending Implementing Decision (EU) 2023/740 as regards the harmonised standards for certain ride-on toys (wave rollers) drafted in support of Directive 2009/48/EC of the European Parliament and of the Council</t>
  </si>
  <si>
    <t xml:space="preserve">https://eur-lex.europa.eu/legal-content/EN/TXT/?uri=CELEX:32025D1785</t>
  </si>
  <si>
    <t xml:space="preserve">32026L0192</t>
  </si>
  <si>
    <t xml:space="preserve">Commission Directive (EU) 2026/192 of 28 January 2026 amending Appendix A of Annex II to Directive 2009/48/EC of the European Parliament and of the Council on the safety of toys, as regards cobalt</t>
  </si>
  <si>
    <t xml:space="preserve">https://eur-lex.europa.eu/legal-content/EN/TXT/?uri=CELEX:32026L0192</t>
  </si>
  <si>
    <t xml:space="preserve">52021XC1229(04)</t>
  </si>
  <si>
    <t xml:space="preserve">Commission notice Guidance on the interpretation and application of Directive 2011/83/EU of the European Parliament and of the Council on consumer rights (Text with EEA relevance) 2021/C 525/01</t>
  </si>
  <si>
    <t xml:space="preserve">https://eur-lex.europa.eu/legal-content/EN/TXT/?uri=CELEX:52021XC1229(04)</t>
  </si>
  <si>
    <t xml:space="preserve">32025R1960</t>
  </si>
  <si>
    <t xml:space="preserve">2025-09-25</t>
  </si>
  <si>
    <t xml:space="preserve">Commission Implementing Regulation (EU) 2025/1960 of 25 September 2025 on the design and content of the harmonised notice on the legal guarantee of conformity and of the harmonised label for the commercial guarantee of durability</t>
  </si>
  <si>
    <t xml:space="preserve">https://eur-lex.europa.eu/legal-content/EN/TXT/?uri=CELEX:32025R1960</t>
  </si>
  <si>
    <t xml:space="preserve">32012R1156</t>
  </si>
  <si>
    <t xml:space="preserve">2012-12-06</t>
  </si>
  <si>
    <t xml:space="preserve">Commission Implementing Regulation (EU) No 1156/2012 of 6 December 2012 laying down detailed rules for implementing certain provisions of Council Directive 2011/16/EU on administrative cooperation in the field of taxation</t>
  </si>
  <si>
    <t xml:space="preserve">https://eur-lex.europa.eu/legal-content/EN/TXT/?uri=CELEX:32012R1156</t>
  </si>
  <si>
    <t xml:space="preserve">32014R1353</t>
  </si>
  <si>
    <t xml:space="preserve">2014-12-15</t>
  </si>
  <si>
    <t xml:space="preserve">Commission Implementing Regulation (EU) No 1353/2014 of 15 December 2014 amending Implementing Regulation (EU) No 1156/2012 laying down detailed rules for implementing certain provisions of Council Directive 2011/16/EU on administrative cooperation in the field of taxation</t>
  </si>
  <si>
    <t xml:space="preserve">https://eur-lex.europa.eu/legal-content/EN/TXT/?uri=CELEX:32014R1353</t>
  </si>
  <si>
    <t xml:space="preserve">32015R2378</t>
  </si>
  <si>
    <t xml:space="preserve">2015-12-15</t>
  </si>
  <si>
    <t xml:space="preserve">Commission Implementing Regulation (EU) 2015/2378 of 15 December 2015 laying down detailed rules for implementing certain provisions of Council Directive 2011/16/EU on administrative cooperation in the field of taxation and repealing Implementing Regulation (EU) No 1156/2012</t>
  </si>
  <si>
    <t xml:space="preserve">https://eur-lex.europa.eu/legal-content/EN/TXT/?uri=CELEX:32015R2378</t>
  </si>
  <si>
    <t xml:space="preserve">32016R1963</t>
  </si>
  <si>
    <t xml:space="preserve">2016-11-09</t>
  </si>
  <si>
    <t xml:space="preserve">Commission Implementing Regulation (EU) 2016/1963 of 9 November 2016 amending Implementing Regulation (EU) 2015/2378 as regards standard forms and linguistic arrangements to be used in relation to Council Directives (EU) 2015/2376 and (EU) 2016/881</t>
  </si>
  <si>
    <t xml:space="preserve">https://eur-lex.europa.eu/legal-content/EN/TXT/?uri=CELEX:32016R1963</t>
  </si>
  <si>
    <t xml:space="preserve">32018R0099</t>
  </si>
  <si>
    <t xml:space="preserve">2018-01-22</t>
  </si>
  <si>
    <t xml:space="preserve">Commission Implementing Regulation (EU) 2018/99 of 22 January 2018 amending Implementing Regulation (EU) 2015/2378 as regards the form and conditions of communication for the yearly assessment of the effectiveness of the automatic exchange of information and the list of statistical data to be provided by Member States for the purposes of evaluating of Council Directive 2011/16/EU</t>
  </si>
  <si>
    <t xml:space="preserve">https://eur-lex.europa.eu/legal-content/EN/TXT/?uri=CELEX:32018R0099</t>
  </si>
  <si>
    <t xml:space="preserve">32019R0532</t>
  </si>
  <si>
    <t xml:space="preserve">2019-03-28</t>
  </si>
  <si>
    <t xml:space="preserve">Commission Implementing Regulation (EU) 2019/532 of 28 March 2019 amending Implementing Regulation (EU) 2015/2378 as regards the standard forms, including linguistic arrangements, for the mandatory automatic exchange of information on reportable cross-border arrangements</t>
  </si>
  <si>
    <t xml:space="preserve">https://eur-lex.europa.eu/legal-content/EN/TXT/?uri=CELEX:32019R0532</t>
  </si>
  <si>
    <t xml:space="preserve">32022R1467</t>
  </si>
  <si>
    <t xml:space="preserve">2022-09-05</t>
  </si>
  <si>
    <t xml:space="preserve">Commission Implementing Regulation (EU) 2022/1467 of 5 September 2022 amending Implementing Regulation (EU) 2015/2378 as regards the standard forms and computerised formats to be used in relation to Council Directive 2011/16/EU and the list of statistical data to be provided by Member States for the purposes of evaluating that Directive</t>
  </si>
  <si>
    <t xml:space="preserve">https://eur-lex.europa.eu/legal-content/EN/TXT/?uri=CELEX:32022R1467</t>
  </si>
  <si>
    <t xml:space="preserve">32023R0823</t>
  </si>
  <si>
    <t xml:space="preserve">2023-04-13</t>
  </si>
  <si>
    <t xml:space="preserve">Commission Implementing Regulation (EU) 2023/823 of 13 April 2023 laying down detailed rules for implementing certain provisions of Council Directive 2011/16/EU as regards the assessment and determination of equivalence of information in an agreement between the competent authorities of a Member State and a non-Union jurisdiction</t>
  </si>
  <si>
    <t xml:space="preserve">https://eur-lex.europa.eu/legal-content/EN/TXT/?uri=CELEX:32023R0823</t>
  </si>
  <si>
    <t xml:space="preserve">32023R2389</t>
  </si>
  <si>
    <t xml:space="preserve">2023-09-29</t>
  </si>
  <si>
    <t xml:space="preserve">Commission Implementing Regulation (EU) 2023/2389 of 29 September 2023 determining that the information to be automatically exchanged pursuant to the agreement to be concluded between the competent authorities of Finland and the United Kingdom is equivalent to the information specified in certain provisions of Council Directive 2011/16/EU</t>
  </si>
  <si>
    <t xml:space="preserve">https://eur-lex.europa.eu/legal-content/EN/TXT/?uri=CELEX:32023R2389</t>
  </si>
  <si>
    <t xml:space="preserve">32023R2693</t>
  </si>
  <si>
    <t xml:space="preserve">2023-11-30</t>
  </si>
  <si>
    <t xml:space="preserve">Commission Implementing Regulation (EU) 2023/2693 of 30 November 2023 determining that the information to be automatically exchanged pursuant to the agreement signed by the competent authorities of New Zealand and certain Member States is equivalent to the information specified in certain provisions of Council Directive 2011/16/EU</t>
  </si>
  <si>
    <t xml:space="preserve">https://eur-lex.europa.eu/legal-content/EN/TXT/?uri=CELEX:32023R2693</t>
  </si>
  <si>
    <t xml:space="preserve">32024R0432</t>
  </si>
  <si>
    <t xml:space="preserve">2024-02-02</t>
  </si>
  <si>
    <t xml:space="preserve">Commission Implementing Regulation (EU) 2024/432 of 2 February 2024 determining that the information to be automatically exchanged pursuant to the agreement signed by the competent authorities of Canada and certain Member States is equivalent to the information specified in certain provisions of Council Directive 2011/16/EU</t>
  </si>
  <si>
    <t xml:space="preserve">https://eur-lex.europa.eu/legal-content/EN/TXT/?uri=CELEX:32024R0432</t>
  </si>
  <si>
    <t xml:space="preserve">32025R0648</t>
  </si>
  <si>
    <t xml:space="preserve">2025-04-02</t>
  </si>
  <si>
    <t xml:space="preserve">Commission Implementing Regulation (EU) 2025/648 of 2 April 2025 on amending Implementing Regulation (EU) 2015/2378 as regards the standard forms and computerised formats to be used for the mandatory automatic exchange of information in relation to the Council Directive 2011/16/EU as amended by Council Directive (EU) 2021/514 and the list of statistical data to be provided by Member States for the purposes of evaluating Council Directive 2011/16/EU as amended by Council Directive (EU) 2021/514</t>
  </si>
  <si>
    <t xml:space="preserve">https://eur-lex.europa.eu/legal-content/EN/TXT/?uri=CELEX:32025R0648</t>
  </si>
  <si>
    <t xml:space="preserve">32025R1325</t>
  </si>
  <si>
    <t xml:space="preserve">2025-07-07</t>
  </si>
  <si>
    <t xml:space="preserve">Commission Implementing Regulation (EU) 2025/1325 of 7 July 2025 amending Implementing Regulation (EU) 2015/2378 as regards the standard forms and computerised formats to be used for the mandatory automatic exchange of information under Council Directive 2011/16/EU as amended by Council Directive (EU) 2025/872</t>
  </si>
  <si>
    <t xml:space="preserve">https://eur-lex.europa.eu/legal-content/EN/TXT/?uri=CELEX:32025R1325</t>
  </si>
  <si>
    <t xml:space="preserve">32025R2263</t>
  </si>
  <si>
    <t xml:space="preserve">2025-11-12</t>
  </si>
  <si>
    <t xml:space="preserve">Commission Implementing Regulation (EU) 2025/2263 of 12 November 2025 amending Implementing Regulation (EU) 2015/2378 as regards the standard forms and computerised formats for the mandatory automatic exchange of information on reportable crypto-assets, the communication of the yearly assessment and the list of statistical data to be provided by Member States under Council Directive 2011/16/EU</t>
  </si>
  <si>
    <t xml:space="preserve">https://eur-lex.europa.eu/legal-content/EN/TXT/?uri=CELEX:32025R2263</t>
  </si>
  <si>
    <t xml:space="preserve">52018DC0043</t>
  </si>
  <si>
    <t xml:space="preserve">2018-01-24</t>
  </si>
  <si>
    <t xml:space="preserve">COMMUNICATION FROM THE COMMISSION TO THE EUROPEAN PARLIAMENT AND THE COUNCIL Stronger protection, new opportunities - Commission guidance on the direct application of the General Data Protection Regulation as of 25 May 2018</t>
  </si>
  <si>
    <t xml:space="preserve">https://eur-lex.europa.eu/legal-content/EN/TXT/?uri=CELEX:52018DC0043</t>
  </si>
  <si>
    <t xml:space="preserve">32019D0419</t>
  </si>
  <si>
    <t xml:space="preserve">2019-01-23</t>
  </si>
  <si>
    <t xml:space="preserve">Commission Implementing Decision (EU) 2019/419 of 23 January 2019 pursuant to Regulation (EU) 2016/679 of the European Parliament and of the Council on the adequate protection of personal data by Japan under the Act on the Protection of Personal Information (Text with EEA relevance)</t>
  </si>
  <si>
    <t xml:space="preserve">https://eur-lex.europa.eu/legal-content/EN/TXT/?uri=CELEX:32019D0419</t>
  </si>
  <si>
    <t xml:space="preserve">52020DC0264</t>
  </si>
  <si>
    <t xml:space="preserve">2020-06-24</t>
  </si>
  <si>
    <t xml:space="preserve">COMMUNICATION FROM THE COMMISSION TO THE EUROPEAN PARLIAMENT AND THE COUNCIL Data protection as a pillar of citizens’ empowerment and the EU’s approach to the digital transition - two years of application of the General Data Protection Regulation</t>
  </si>
  <si>
    <t xml:space="preserve">https://eur-lex.europa.eu/legal-content/EN/TXT/?uri=CELEX:52020DC0264</t>
  </si>
  <si>
    <t xml:space="preserve">32021D0914</t>
  </si>
  <si>
    <t xml:space="preserve">2021-06-04</t>
  </si>
  <si>
    <t xml:space="preserve">Commission Implementing Decision (EU) 2021/914 of 4 June 2021 on standard contractual clauses for the transfer of personal data to third countries pursuant to Regulation (EU) 2016/679 of the European Parliament and of the Council (Text with EEA relevance)</t>
  </si>
  <si>
    <t xml:space="preserve">https://eur-lex.europa.eu/legal-content/EN/TXT/?uri=CELEX:32021D0914</t>
  </si>
  <si>
    <t xml:space="preserve">32021D0915</t>
  </si>
  <si>
    <t xml:space="preserve">Commission Implementing Decision (EU) 2021/915 of 4 June 2021 on standard contractual clauses between controllers and processors under Article 28(7) of Regulation (EU) 2016/679 of the European Parliament and of the Council and Article 29(7) of Regulation (EU) 2018/1725 of the European Parliament and of the Council (Text with EEA relevance)</t>
  </si>
  <si>
    <t xml:space="preserve">https://eur-lex.europa.eu/legal-content/EN/TXT/?uri=CELEX:32021D0915</t>
  </si>
  <si>
    <t xml:space="preserve">32021D1772</t>
  </si>
  <si>
    <t xml:space="preserve">Commission Implementing Decision (EU) 2021/1772 of 28 June 2021 pursuant to Regulation (EU) 2016/679 of the European Parliament and of the Council on the adequate protection of personal data by the United Kingdom (notified under document C(2021)4800) (Text with EEA relevance)</t>
  </si>
  <si>
    <t xml:space="preserve">https://eur-lex.europa.eu/legal-content/EN/TXT/?uri=CELEX:32021D1772</t>
  </si>
  <si>
    <t xml:space="preserve">32022D0254</t>
  </si>
  <si>
    <t xml:space="preserve">2021-12-17</t>
  </si>
  <si>
    <t xml:space="preserve">Commission Implementing Decision (EU) 2022/254 of 17 December 2021 pursuant to Regulation (EU) 2016/679 of the European Parliament and of the Council on the adequate protection of personal data by the Republic of Korea under the Personal Information Protection Act (notified under document C(2021) 9316) (Text with EEA relevance)</t>
  </si>
  <si>
    <t xml:space="preserve">https://eur-lex.europa.eu/legal-content/EN/TXT/?uri=CELEX:32022D0254</t>
  </si>
  <si>
    <t xml:space="preserve">32023D0975</t>
  </si>
  <si>
    <t xml:space="preserve">2023-05-15</t>
  </si>
  <si>
    <t xml:space="preserve">Commission Implementing Decision (EU) 2023/975 of 15 May 2023 amending Commission Implementing Decision (EU) 2019/417 laying down guidelines for the management of the European Union Rapid Information System ‘RAPEX’ established under Article 12 of Directive 2001/95/EC of the European Parliament and of the Council on general product safety and its notification system (notified under document C(2023) 2817) (Text with EEA relevance)</t>
  </si>
  <si>
    <t xml:space="preserve">https://eur-lex.europa.eu/legal-content/EN/TXT/?uri=CELEX:32023D0975</t>
  </si>
  <si>
    <t xml:space="preserve">32023D1795</t>
  </si>
  <si>
    <t xml:space="preserve">2023-07-10</t>
  </si>
  <si>
    <t xml:space="preserve">Commission Implementing Decision EU 2023/1795 of 10 July 2023 pursuant to Regulation (EU) 2016/679 of the European Parliament and of the Council on the adequate level of protection of personal data under the EU-US Data Privacy Framework (notified under document C(2023)4745) (Text with EEA relevance)</t>
  </si>
  <si>
    <t xml:space="preserve">https://eur-lex.europa.eu/legal-content/EN/TXT/?uri=CELEX:32023D1795</t>
  </si>
  <si>
    <t xml:space="preserve">32025D1226</t>
  </si>
  <si>
    <t xml:space="preserve">2025-06-24</t>
  </si>
  <si>
    <t xml:space="preserve">Commission Implementing Decision (EU) 2025/1226 of 24 June 2025 amending Implementing Decision (EU) 2021/1772 pursuant to Regulation (EU) 2016/679 of the European Parliament and of the Council on the adequate protection of personal data by the United Kingdom (notified under document C(2025) 3928)</t>
  </si>
  <si>
    <t xml:space="preserve">https://eur-lex.europa.eu/legal-content/EN/TXT/?uri=CELEX:32025D1226</t>
  </si>
  <si>
    <t xml:space="preserve">32025D1382</t>
  </si>
  <si>
    <t xml:space="preserve">2025-07-15</t>
  </si>
  <si>
    <t xml:space="preserve">Commission Implementing Decision (EU) 2025/1382 of 15 July 2025 pursuant to Regulation (EU) 2016/679 of the European Parliament and of the Council on the adequate protection of personal data by the European Patent Organisation (notified under document C(2025) 4626)</t>
  </si>
  <si>
    <t xml:space="preserve">https://eur-lex.europa.eu/legal-content/EN/TXT/?uri=CELEX:32025D1382</t>
  </si>
  <si>
    <t xml:space="preserve">32025D2574</t>
  </si>
  <si>
    <t xml:space="preserve">Commission Implementing Decision (EU) 2025/2574 of 19 December 2025 amending Commission Implementing Decision (EU) 2021/1772 pursuant to Regulation (EU) 2016/679 of the European Parliament and of the Council on the adequate protection of personal data by the United Kingdom (notified under document C(2025) 8771)</t>
  </si>
  <si>
    <t xml:space="preserve">https://eur-lex.europa.eu/legal-content/EN/TXT/?uri=CELEX:32025D2574</t>
  </si>
  <si>
    <t xml:space="preserve">32026D0179</t>
  </si>
  <si>
    <t xml:space="preserve">2026-01-26</t>
  </si>
  <si>
    <t xml:space="preserve">Commission Implementing Decision (EU) 2026/179 of 26 January 2026 pursuant to Regulation (EU) 2016/679 of the European Parliament and of the Council on the adequate level of protection of personal data by Brazil (notified under document C(2026) 373)</t>
  </si>
  <si>
    <t xml:space="preserve">https://eur-lex.europa.eu/legal-content/EN/TXT/?uri=CELEX:32026D0179</t>
  </si>
  <si>
    <t xml:space="preserve">32021D1773</t>
  </si>
  <si>
    <t xml:space="preserve">Commission Implementing Decision (EU) 2021/1773 of 28 June 2021 pursuant to Directive (EU) 2016/680 of the European Parliament and of the Council on the adequate protection of personal data by the United Kingdom (notified under document C(2021) 4801)</t>
  </si>
  <si>
    <t xml:space="preserve">https://eur-lex.europa.eu/legal-content/EN/TXT/?uri=CELEX:32021D1773</t>
  </si>
  <si>
    <t xml:space="preserve">32025D1225</t>
  </si>
  <si>
    <t xml:space="preserve">Commission Implementing Decision (EU) 2025/1225 of 24 June 2025 amending Implementing Decision (EU) 2021/1773 pursuant to Directive (EU) 2016/680 of the European Parliament and of the Council on the adequate protection of personal data by the United Kingdom (notified under document C(2025) 3898)</t>
  </si>
  <si>
    <t xml:space="preserve">https://eur-lex.europa.eu/legal-content/EN/TXT/?uri=CELEX:32025D1225</t>
  </si>
  <si>
    <t xml:space="preserve">32025D2571</t>
  </si>
  <si>
    <t xml:space="preserve">Commission Implementing Decision (EU) 2025/2571 of 19 December 2025 amending Commission Implementing Decision (EU) 2021/1773 pursuant to Directive (EU) 2016/680 of the European Parliament and of the Council on the adequate protection of personal data by the United Kingdom (notified under document C(2025) 8782)</t>
  </si>
  <si>
    <t xml:space="preserve">https://eur-lex.europa.eu/legal-content/EN/TXT/?uri=CELEX:32025D2571</t>
  </si>
  <si>
    <t xml:space="preserve">32015D0296</t>
  </si>
  <si>
    <t xml:space="preserve">2015-02-24</t>
  </si>
  <si>
    <t xml:space="preserve">Commission Implementing Decision (EU) 2015/296 of 24 February 2015 establishing procedural arrangements for cooperation between Member States on electronic identification pursuant to Article 12(7) of Regulation (EU) No 910/2014 of the European Parliament and of the Council on electronic identification and trust services for electronic transactions in the internal market  Text with EEA relevance</t>
  </si>
  <si>
    <t xml:space="preserve">https://eur-lex.europa.eu/legal-content/EN/TXT/?uri=CELEX:32015D0296</t>
  </si>
  <si>
    <t xml:space="preserve">32015R0806</t>
  </si>
  <si>
    <t xml:space="preserve">2015-05-22</t>
  </si>
  <si>
    <t xml:space="preserve">Commission Implementing Regulation (EU) 2015/806 of 22 May 2015 laying down specifications relating to the form of the EU trust mark for qualified trust services (Text with EEA relevance)</t>
  </si>
  <si>
    <t xml:space="preserve">https://eur-lex.europa.eu/legal-content/EN/TXT/?uri=CELEX:32015R0806</t>
  </si>
  <si>
    <t xml:space="preserve">32015D1505</t>
  </si>
  <si>
    <t xml:space="preserve">2015-09-08</t>
  </si>
  <si>
    <t xml:space="preserve">Commission Implementing Decision (EU) 2015/1505 of 8 September 2015 laying down technical specifications and formats relating to trusted lists pursuant to Article 22(5) of Regulation (EU) No 910/2014 of the European Parliament and of the Council on electronic identification and trust services for electronic transactions in the internal market (Text with EEA relevance)</t>
  </si>
  <si>
    <t xml:space="preserve">https://eur-lex.europa.eu/legal-content/EN/TXT/?uri=CELEX:32015D1505</t>
  </si>
  <si>
    <t xml:space="preserve">32015D1506</t>
  </si>
  <si>
    <t xml:space="preserve">Commission Implementing Decision (EU) 2015/1506 of 8 September 2015 laying down specifications relating to formats of advanced electronic signatures and advanced seals to be recognised by public sector bodies pursuant to Articles 27(5) and 37(5) of Regulation (EU) No 910/2014 of the European Parliament and of the Council on electronic identification and trust services for electronic transactions in the internal market (Text with EEA relevance)</t>
  </si>
  <si>
    <t xml:space="preserve">https://eur-lex.europa.eu/legal-content/EN/TXT/?uri=CELEX:32015D1506</t>
  </si>
  <si>
    <t xml:space="preserve">32015R1501</t>
  </si>
  <si>
    <t xml:space="preserve">Commission Implementing Regulation (EU) 2015/1501 of 8 September 2015 on the interoperability framework pursuant to Article 12(8) of Regulation (EU) No 910/2014 of the European Parliament and of the Council on electronic identification and trust services for electronic transactions in the internal market (Text with EEA relevance)</t>
  </si>
  <si>
    <t xml:space="preserve">https://eur-lex.europa.eu/legal-content/EN/TXT/?uri=CELEX:32015R1501</t>
  </si>
  <si>
    <t xml:space="preserve">32015R1502</t>
  </si>
  <si>
    <t xml:space="preserve">Commission Implementing Regulation (EU) 2015/1502 of 8 September 2015 on setting out minimum technical specifications and procedures for assurance levels for electronic identification means pursuant to Article 8(3) of Regulation (EU) No 910/2014 of the European Parliament and of the Council on electronic identification and trust services for electronic transactions in the internal market (Text with EEA relevance)</t>
  </si>
  <si>
    <t xml:space="preserve">https://eur-lex.europa.eu/legal-content/EN/TXT/?uri=CELEX:32015R1502</t>
  </si>
  <si>
    <t xml:space="preserve">32015D1984</t>
  </si>
  <si>
    <t xml:space="preserve">2015-11-03</t>
  </si>
  <si>
    <t xml:space="preserve">Commission Implementing Decision (EU) 2015/1984 of 3 November 2015 defining the circumstances, formats and procedures of notification pursuant to Article 9(5) of Regulation (EU) No 910/2014 of the European Parliament and of the Council on electronic identification and trust services for electronic transactions in the internal market (notified under document C(2015) 7369) (Text with EEA relevance)</t>
  </si>
  <si>
    <t xml:space="preserve">https://eur-lex.europa.eu/legal-content/EN/TXT/?uri=CELEX:32015D1984</t>
  </si>
  <si>
    <t xml:space="preserve">32016D0650</t>
  </si>
  <si>
    <t xml:space="preserve">2016-04-25</t>
  </si>
  <si>
    <t xml:space="preserve">Commission Implementing Decision (EU) 2016/650 of 25 April 2016 laying down standards for the security assessment of qualified signature and seal creation devices pursuant to Articles 30(3) and 39(2) of Regulation (EU) No 910/2014 of the European Parliament and of the Council on electronic identification and trust services for electronic transactions in the internal market (Text with EEA relevance)</t>
  </si>
  <si>
    <t xml:space="preserve">https://eur-lex.europa.eu/legal-content/EN/TXT/?uri=CELEX:32016D0650</t>
  </si>
  <si>
    <t xml:space="preserve">32022R0960</t>
  </si>
  <si>
    <t xml:space="preserve">2022-06-20</t>
  </si>
  <si>
    <t xml:space="preserve">Commission Implementing Regulation (EU) 2022/960 of 20 June 2022 correcting the Czech language version of Implementing Regulation (EU) 2015/1502 on setting out minimum technical specifications and procedures for assurance levels for electronic identification means pursuant to Article 8(3) of Regulation (EU) No 910/2014 of the European Parliament and of the Council on electronic identification and trust services for electronic transactions in the internal market (Text with EEA relevance)</t>
  </si>
  <si>
    <t xml:space="preserve">https://eur-lex.europa.eu/legal-content/EN/TXT/?uri=CELEX:32022R0960</t>
  </si>
  <si>
    <t xml:space="preserve">32024R2977</t>
  </si>
  <si>
    <t xml:space="preserve">Commission Implementing Regulation (EU) 2024/2977 of 28 November 2024 laying down rules for the application of Regulation (EU) No 910/2014 of the European Parliament and of the Council as regards person identification data and electronic attestations of attributes issued to European Digital Identity Wallets</t>
  </si>
  <si>
    <t xml:space="preserve">https://eur-lex.europa.eu/legal-content/EN/TXT/?uri=CELEX:32024R2977</t>
  </si>
  <si>
    <t xml:space="preserve">32024R2979</t>
  </si>
  <si>
    <t xml:space="preserve">Commission Implementing Regulation (EU) 2024/2979 of 28 November 2024 laying down rules for the application of Regulation (EU) No 910/2014 of the European Parliament and of the Council as regards the integrity and core functionalities of European Digital Identity Wallets</t>
  </si>
  <si>
    <t xml:space="preserve">https://eur-lex.europa.eu/legal-content/EN/TXT/?uri=CELEX:32024R2979</t>
  </si>
  <si>
    <t xml:space="preserve">32024R2980</t>
  </si>
  <si>
    <t xml:space="preserve">Commission Implementing Regulation (EU) 2024/2980 of 28 November 2024 laying down rules for the application of Regulation (EU) No 910/2014 of the European Parliament and of the Council as regards notifications to the Commission concerning the European Digital Identity Wallet ecosystem</t>
  </si>
  <si>
    <t xml:space="preserve">https://eur-lex.europa.eu/legal-content/EN/TXT/?uri=CELEX:32024R2980</t>
  </si>
  <si>
    <t xml:space="preserve">32024R2981</t>
  </si>
  <si>
    <t xml:space="preserve">Commission Implementing Regulation (EU) 2024/2981 of 28 November 2024 laying down rules for the application of Regulation (EU) No 910/2014 of the European Parliament and the Council as regards the certification of European Digital Identity Wallets</t>
  </si>
  <si>
    <t xml:space="preserve">https://eur-lex.europa.eu/legal-content/EN/TXT/?uri=CELEX:32024R2981</t>
  </si>
  <si>
    <t xml:space="preserve">32024R2982</t>
  </si>
  <si>
    <t xml:space="preserve">Commission Implementing Regulation (EU) 2024/2982 of 28 November 2024 laying down rules for the application of Regulation (EU) No 910/2014 of the European Parliament and of the Council as regards protocols and interfaces to be supported by the European Digital Identity Framework</t>
  </si>
  <si>
    <t xml:space="preserve">https://eur-lex.europa.eu/legal-content/EN/TXT/?uri=CELEX:32024R2982</t>
  </si>
  <si>
    <t xml:space="preserve">32025R0846</t>
  </si>
  <si>
    <t xml:space="preserve">2025-05-06</t>
  </si>
  <si>
    <t xml:space="preserve">Commission Implementing Regulation (EU) 2025/846 of 6 May 2025 laying down rules for the application of Regulation (EU) No 910/2014 of the European Parliament and of the Council as regards cross-border identity matching of natural persons</t>
  </si>
  <si>
    <t xml:space="preserve">https://eur-lex.europa.eu/legal-content/EN/TXT/?uri=CELEX:32025R0846</t>
  </si>
  <si>
    <t xml:space="preserve">32025R0847</t>
  </si>
  <si>
    <t xml:space="preserve">Commission Implementing Regulation (EU) 2025/847 of 6 May 2025 laying down rules for the application of Regulation (EU) No 910/2014 of the European Parliament and of the Council as regards reactions to security breaches of European Digital Identity Wallets</t>
  </si>
  <si>
    <t xml:space="preserve">https://eur-lex.europa.eu/legal-content/EN/TXT/?uri=CELEX:32025R0847</t>
  </si>
  <si>
    <t xml:space="preserve">32025R0848</t>
  </si>
  <si>
    <t xml:space="preserve">Commission Implementing Regulation (EU) 2025/848 of 6 May 2025 laying down rules for the application of Regulation (EU) No 910/2014 of the European Parliament and of the Council as regards the registration of wallet-relying parties</t>
  </si>
  <si>
    <t xml:space="preserve">https://eur-lex.europa.eu/legal-content/EN/TXT/?uri=CELEX:32025R0848</t>
  </si>
  <si>
    <t xml:space="preserve">32025R0849</t>
  </si>
  <si>
    <t xml:space="preserve">Commission Implementing Regulation (EU) 2025/849 of 6 May 2025 laying down rules for the application of Regulation (EU) No 910/2014 of the European Parliament and of the Council as regards the submission of information to the Commission and to the Cooperation Group for the list of certified European Digital Identity Wallets</t>
  </si>
  <si>
    <t xml:space="preserve">https://eur-lex.europa.eu/legal-content/EN/TXT/?uri=CELEX:32025R0849</t>
  </si>
  <si>
    <t xml:space="preserve">32025R1566</t>
  </si>
  <si>
    <t xml:space="preserve">2025-07-29</t>
  </si>
  <si>
    <t xml:space="preserve">Commission Implementing Regulation (EU) 2025/1566 of 29 July 2025 laying down rules for the application of Regulation (EU) No 910/2014 of the European Parliament and of the Council as regards reference standards for the verification of the identity and attributes of the person to whom the qualified certificate or the qualified electronic attestation of attributes is to be issued</t>
  </si>
  <si>
    <t xml:space="preserve">https://eur-lex.europa.eu/legal-content/EN/TXT/?uri=CELEX:32025R1566</t>
  </si>
  <si>
    <t xml:space="preserve">32025R1567</t>
  </si>
  <si>
    <t xml:space="preserve">Commission Implementing Regulation (EU) 2025/1567 of 29 July 2025 laying down rules for the application of Regulation (EU) No 910/2014 of the European Parliament and of the Council as regards the management of remote qualified electronic signature creation devices and of remote qualified electronic seal creation devices as qualified trust services</t>
  </si>
  <si>
    <t xml:space="preserve">https://eur-lex.europa.eu/legal-content/EN/TXT/?uri=CELEX:32025R1567</t>
  </si>
  <si>
    <t xml:space="preserve">32025R1568</t>
  </si>
  <si>
    <t xml:space="preserve">Commission Implementing Regulation (EU) 2025/1568 of 29 July 2025 laying down rules for the application of Regulation (EU) No 910/2014 of the European Parliament and of the Council as regards procedural arrangements for peer reviews of electronic identification schemes and for cooperation on the organisation of such reviews within the Cooperation Group and repealing Commission Implementing Decision (EU) 2015/296</t>
  </si>
  <si>
    <t xml:space="preserve">https://eur-lex.europa.eu/legal-content/EN/TXT/?uri=CELEX:32025R1568</t>
  </si>
  <si>
    <t xml:space="preserve">32025R1569</t>
  </si>
  <si>
    <t xml:space="preserve">Commission Implementing Regulation (EU) 2025/1569 of 29 July 2025 laying down rules for the application of Regulation (EU) No 910/2014 of the European Parliament and of the Council as regards qualified electronic attestations of attributes and electronic attestations of attributes provided by or on behalf of a public sector body responsible for an authentic source</t>
  </si>
  <si>
    <t xml:space="preserve">https://eur-lex.europa.eu/legal-content/EN/TXT/?uri=CELEX:32025R1569</t>
  </si>
  <si>
    <t xml:space="preserve">32025R1570</t>
  </si>
  <si>
    <t xml:space="preserve">Commission Implementing Regulation (EU) 2025/1570 of 29 July 2025 laying down rules for the application of Regulation (EU) No 910/2014 of the European Parliament and of the Council as regards notification of information on certified qualified electronic signature creation devices and certified qualified electronic seal creation devices</t>
  </si>
  <si>
    <t xml:space="preserve">https://eur-lex.europa.eu/legal-content/EN/TXT/?uri=CELEX:32025R1570</t>
  </si>
  <si>
    <t xml:space="preserve">32025R1571</t>
  </si>
  <si>
    <t xml:space="preserve">Commission Implementing Regulation (EU) 2025/1571 of 29 July 2025 laying down rules for the application of Regulation (EU) No 910/2014 of the European Parliament and of the Council as regards the formats and procedures for annual reports by supervisory bodies</t>
  </si>
  <si>
    <t xml:space="preserve">https://eur-lex.europa.eu/legal-content/EN/TXT/?uri=CELEX:32025R1571</t>
  </si>
  <si>
    <t xml:space="preserve">32025R1572</t>
  </si>
  <si>
    <t xml:space="preserve">Commission Implementing Regulation (EU) 2025/1572 of 29 July 2025 laying down rules for the application of Regulation (EU) No 910/2014 of the European Parliament and of the Council as regards the format and procedures for notification of intention and verification with regard to the initiation of qualified trust services</t>
  </si>
  <si>
    <t xml:space="preserve">https://eur-lex.europa.eu/legal-content/EN/TXT/?uri=CELEX:32025R1572</t>
  </si>
  <si>
    <t xml:space="preserve">32025R1929</t>
  </si>
  <si>
    <t xml:space="preserve">2025-09-29</t>
  </si>
  <si>
    <t xml:space="preserve">Commission Implementing Regulation (EU) 2025/1929 of 29 September 2025 laying down rules for the application of Regulation (EU) No 910/2014 of the European Parliament and of the Council as regards the binding of date and time to data and establishing the accuracy of the time sources for the provision of qualified electronic time stamps</t>
  </si>
  <si>
    <t xml:space="preserve">https://eur-lex.europa.eu/legal-content/EN/TXT/?uri=CELEX:32025R1929</t>
  </si>
  <si>
    <t xml:space="preserve">32025R1942</t>
  </si>
  <si>
    <t xml:space="preserve">Commission Implementing Regulation (EU) 2025/1942 of 29 September 2025 laying down rules for the application of Regulation (EU) No 910/2014 of the European Parliament and of the Council as regards qualified validation services for qualified electronic signatures and qualified validation services for qualified electronic seals</t>
  </si>
  <si>
    <t xml:space="preserve">https://eur-lex.europa.eu/legal-content/EN/TXT/?uri=CELEX:32025R1942</t>
  </si>
  <si>
    <t xml:space="preserve">32025R1943</t>
  </si>
  <si>
    <t xml:space="preserve">Commission Implementing Regulation (EU) 2025/1943 of 29 September 2025 laying down rules for the application of Regulation (EU) No 910/2014 of the European Parliament and of the Council as regards reference standards for qualified certificates for electronic signatures and qualified certificates for electronic seals</t>
  </si>
  <si>
    <t xml:space="preserve">https://eur-lex.europa.eu/legal-content/EN/TXT/?uri=CELEX:32025R1943</t>
  </si>
  <si>
    <t xml:space="preserve">32025R1944</t>
  </si>
  <si>
    <t xml:space="preserve">Commission Implementing Regulation (EU) 2025/1944 of 29 September 2025 laying down rules for the application of Regulation (EU) No 910/2014 of the European Parliament and of the Council as regards reference standards for processes for sending and receiving data in qualified electronic registered delivery services and as regards interoperability of those services</t>
  </si>
  <si>
    <t xml:space="preserve">https://eur-lex.europa.eu/legal-content/EN/TXT/?uri=CELEX:32025R1944</t>
  </si>
  <si>
    <t xml:space="preserve">32025R1945</t>
  </si>
  <si>
    <t xml:space="preserve">Commission Implementing Regulation (EU) 2025/1945 of 29 September 2025 laying down rules for the application of Regulation (EU) No 910/2014 of the European Parliament and of the Council as regards the validation of qualified electronic signatures and of qualified electronic seals and the validation of advanced electronic signatures based on qualified certificates and of advanced electronic seals based on qualified certificates</t>
  </si>
  <si>
    <t xml:space="preserve">https://eur-lex.europa.eu/legal-content/EN/TXT/?uri=CELEX:32025R1945</t>
  </si>
  <si>
    <t xml:space="preserve">32025R1946</t>
  </si>
  <si>
    <t xml:space="preserve">Commission Implementing Regulation (EU) 2025/1946 of 29 September 2025 laying down rules for the application of Regulation (EU) No 910/2014 of the European Parliament and of the Council as regards qualified preservation services for qualified electronic signatures and for qualified electronic seals</t>
  </si>
  <si>
    <t xml:space="preserve">https://eur-lex.europa.eu/legal-content/EN/TXT/?uri=CELEX:32025R1946</t>
  </si>
  <si>
    <t xml:space="preserve">32025D2164</t>
  </si>
  <si>
    <t xml:space="preserve">2025-10-27</t>
  </si>
  <si>
    <t xml:space="preserve">Commission Implementing Decision (EU) 2025/2164 of 27 October 2025 amending Implementing Decision (EU) 2015/1505 as regards the version of the standard on which the common template for the trusted lists is based</t>
  </si>
  <si>
    <t xml:space="preserve">https://eur-lex.europa.eu/legal-content/EN/TXT/?uri=CELEX:32025D2164</t>
  </si>
  <si>
    <t xml:space="preserve">32025R2160</t>
  </si>
  <si>
    <t xml:space="preserve">Commission Implementing Regulation (EU) 2025/2160 of 27 October 2025 laying down rules for the application of Regulation (EU) No 910/2014 of the European Parliament and of the Council as regards reference standards, specifications and procedures for the management of risks to the provision of non-qualified trust services</t>
  </si>
  <si>
    <t xml:space="preserve">https://eur-lex.europa.eu/legal-content/EN/TXT/?uri=CELEX:32025R2160</t>
  </si>
  <si>
    <t xml:space="preserve">32025R2162</t>
  </si>
  <si>
    <t xml:space="preserve">Commission Implementing Regulation (EU) 2025/2162 of 27 October 2025 laying down rules for the application of Regulation (EU) No 910/2014 of the European Parliament and the Council as regards the accreditation of conformity assessment bodies performing the assessment of qualified trust service providers and the qualified trust services they provide, the conformity assessment report and the conformity assessment scheme</t>
  </si>
  <si>
    <t xml:space="preserve">https://eur-lex.europa.eu/legal-content/EN/TXT/?uri=CELEX:32025R2162</t>
  </si>
  <si>
    <t xml:space="preserve">32025R2527</t>
  </si>
  <si>
    <t xml:space="preserve">Commission Implementing Regulation (EU) 2025/2527 of 16 December 2025 laying down rules for the application of Regulation (EU) No 910/2014 of the European Parliament and of the Council as regards reference standards for qualified certificates for website authentication</t>
  </si>
  <si>
    <t xml:space="preserve">https://eur-lex.europa.eu/legal-content/EN/TXT/?uri=CELEX:32025R2527</t>
  </si>
  <si>
    <t xml:space="preserve">32025R2530</t>
  </si>
  <si>
    <t xml:space="preserve">Commission Implementing Regulation (EU) 2025/2530 of 16 December 2025 laying down rules for the application of Regulation (EU) No 910/2014 of the European Parliament and of the Council as regards requirements for qualified trust service providers providing qualified trust services</t>
  </si>
  <si>
    <t xml:space="preserve">https://eur-lex.europa.eu/legal-content/EN/TXT/?uri=CELEX:32025R2530</t>
  </si>
  <si>
    <t xml:space="preserve">32025R2531</t>
  </si>
  <si>
    <t xml:space="preserve">Commission Implementing Regulation (EU) 2025/2531 of 16 December 2025 laying down rules for the application of Regulation (EU) No 910/2014 of the European Parliament and of the Council as regards reference standards and specifications for qualified electronic ledgers</t>
  </si>
  <si>
    <t xml:space="preserve">https://eur-lex.europa.eu/legal-content/EN/TXT/?uri=CELEX:32025R2531</t>
  </si>
  <si>
    <t xml:space="preserve">32025R2532</t>
  </si>
  <si>
    <t xml:space="preserve">Commission Implementing Regulation (EU) 2025/2532 of 16 December 2025 laying down rules for the application of Regulation (EU) No 910/2014 of the European Parliament and of the Council as regards reference standards and specifications for qualified electronic archiving services</t>
  </si>
  <si>
    <t xml:space="preserve">https://eur-lex.europa.eu/legal-content/EN/TXT/?uri=CELEX:32025R2532</t>
  </si>
  <si>
    <t xml:space="preserve">32026R0248</t>
  </si>
  <si>
    <t xml:space="preserve">2026-02-02</t>
  </si>
  <si>
    <t xml:space="preserve">Commission Implementing Regulation (EU) 2026/248 of 2 February 2026 laying down rules for the application of Regulation (EU) No 910/2014 of the European Parliament and of the Council as regards the formats of advanced electronic signatures and advanced electronic seals to be recognised by public sector bodies and repealing Commission Implementing Decision (EU) 2015/1506</t>
  </si>
  <si>
    <t xml:space="preserve">https://eur-lex.europa.eu/legal-content/EN/TXT/?uri=CELEX:32026R0248</t>
  </si>
  <si>
    <t xml:space="preserve">32026R0798</t>
  </si>
  <si>
    <t xml:space="preserve">2026-04-07</t>
  </si>
  <si>
    <t xml:space="preserve">Commission Implementing Regulation (EU) 2026/798 of 7 April 2026 laying down rules for the application of Regulation (EU) No 910/2014 of the European Parliament and of the Council as regards reference standards and specifications for the remote onboarding of users to the European Digital Identity Wallets by electronic identification means conforming to assurance level substantial in conjunction with additional remote onboarding procedures where the combination meets the requirements of assurance level high</t>
  </si>
  <si>
    <t xml:space="preserve">https://eur-lex.europa.eu/legal-content/EN/TXT/?uri=CELEX:32026R0798</t>
  </si>
  <si>
    <t xml:space="preserve">32026R1730</t>
  </si>
  <si>
    <t xml:space="preserve">2026-07-15</t>
  </si>
  <si>
    <t xml:space="preserve">Commission Implementing Regulation (EU) 2026/1730 of 15 July 2026 amending Implementing Regulation (EU) 2025/848 as regards applicable standards and specifications</t>
  </si>
  <si>
    <t xml:space="preserve">https://eur-lex.europa.eu/legal-content/EN/TXT/?uri=CELEX:32026R1730</t>
  </si>
  <si>
    <t xml:space="preserve">32026R1731</t>
  </si>
  <si>
    <t xml:space="preserve">Commission Implementing Regulation (EU) 2026/1731 of 15 July 2026 amending Implementing Regulations (EU) 2024/2977, (EU) 2024/2979, (EU) 2024/2980 and (EU) 2024/2982 as regards applicable standards and specifications</t>
  </si>
  <si>
    <t xml:space="preserve">https://eur-lex.europa.eu/legal-content/EN/TXT/?uri=CELEX:32026R1731</t>
  </si>
  <si>
    <t xml:space="preserve">32026R1735</t>
  </si>
  <si>
    <t xml:space="preserve">Commission Implementing Regulation (EU) 2026/1735 of 15 July 2026 amending Implementing Regulation (EU) 2025/1569 as regards applicable standards and specifications</t>
  </si>
  <si>
    <t xml:space="preserve">https://eur-lex.europa.eu/legal-content/EN/TXT/?uri=CELEX:32026R1735</t>
  </si>
  <si>
    <t xml:space="preserve">32017R2055</t>
  </si>
  <si>
    <t xml:space="preserve">2017-06-23</t>
  </si>
  <si>
    <t xml:space="preserve">Commission Delegated Regulation (EU) 2017/2055 of 23 June 2017 supplementing Directive (EU) 2015/2366 of the European Parliament and of the Council with regard to regulatory technical standards for the cooperation and exchange of information between competent authorities relating to the exercise of the right of establishment and the freedom to provide services of payment institutions (Text with EEA relevance. )</t>
  </si>
  <si>
    <t xml:space="preserve">https://eur-lex.europa.eu/legal-content/EN/TXT/?uri=CELEX:32017R2055</t>
  </si>
  <si>
    <t xml:space="preserve">32018R0389</t>
  </si>
  <si>
    <t xml:space="preserve">2017-11-27</t>
  </si>
  <si>
    <t xml:space="preserve">Commission Delegated Regulation (EU) 2018/389 of 27 November 2017 supplementing Directive (EU) 2015/2366 of the European Parliament and of the Council with regard to regulatory technical standards for strong customer authentication and common and secure open standards of communication (Text with EEA relevance. )</t>
  </si>
  <si>
    <t xml:space="preserve">https://eur-lex.europa.eu/legal-content/EN/TXT/?uri=CELEX:32018R0389</t>
  </si>
  <si>
    <t xml:space="preserve">32019R0410</t>
  </si>
  <si>
    <t xml:space="preserve">2018-11-29</t>
  </si>
  <si>
    <t xml:space="preserve">Commission Implementing Regulation (EU) 2019/410 of 29 November 2018 laying down implementing technical standards with regard to the details and structure of the information to be notified, in the field of payment services, by competent authorities to the European Banking Authority pursuant to Directive (EU) 2015/2366 of the European Parliament and of the Council (Text with EEA relevance.)</t>
  </si>
  <si>
    <t xml:space="preserve">https://eur-lex.europa.eu/legal-content/EN/TXT/?uri=CELEX:32019R0410</t>
  </si>
  <si>
    <t xml:space="preserve">32019R0411</t>
  </si>
  <si>
    <t xml:space="preserve">Commission Delegated Regulation (EU) 2019/411 of 29 November 2018 supplementing Directive (EU) 2015/2366 of the European Parliament and of the Council with regard to regulatory technical standards setting technical requirements on development, operation and maintenance of the electronic central register within the field of payment services and on access to the information contained therein (Text with EEA relevance.)</t>
  </si>
  <si>
    <t xml:space="preserve">https://eur-lex.europa.eu/legal-content/EN/TXT/?uri=CELEX:32019R0411</t>
  </si>
  <si>
    <t xml:space="preserve">32020R1423</t>
  </si>
  <si>
    <t xml:space="preserve">2019-03-14</t>
  </si>
  <si>
    <t xml:space="preserve">Commission Delegated Regulation (EU) 2020/1423 of 14 March 2019 on supplementing Directive (EU) 2015/2366 of the European Parliament and of the Council with regard to regulatory technical standards on the criteria for appointing central contact points within the field of payment services and on the functions of those central contact points (Text with EEA relevance)</t>
  </si>
  <si>
    <t xml:space="preserve">https://eur-lex.europa.eu/legal-content/EN/TXT/?uri=CELEX:32020R1423</t>
  </si>
  <si>
    <t xml:space="preserve">32021R1722</t>
  </si>
  <si>
    <t xml:space="preserve">2021-07-18</t>
  </si>
  <si>
    <t xml:space="preserve">Commission Delegated Regulation (EU) 2021/1722 of 18 June 2021 supplementing Directive (EU) 2015/2366 of the European Parliament and of the Council with regard to regulatory technical standards specifying the framework for cooperation and the exchange of information between competent authorities of the home and the host Member States in the context of supervision of payment institutions and electronic money institutions exercising cross-border provision of payment services (Text with EEA relevance)</t>
  </si>
  <si>
    <t xml:space="preserve">https://eur-lex.europa.eu/legal-content/EN/TXT/?uri=CELEX:32021R1722</t>
  </si>
  <si>
    <t xml:space="preserve">32022R2360</t>
  </si>
  <si>
    <t xml:space="preserve">2022-08-03</t>
  </si>
  <si>
    <t xml:space="preserve">Commission Delegated Regulation (EU) 2022/2360 of 3 August 2022 amending the regulatory technical standards laid down in Delegated Regulation (EU) 2018/389 as regards the 90-day exemption for account access (Text with EEA relevance)</t>
  </si>
  <si>
    <t xml:space="preserve">https://eur-lex.europa.eu/legal-content/EN/TXT/?uri=CELEX:32022R2360</t>
  </si>
  <si>
    <t xml:space="preserve">32023R1650</t>
  </si>
  <si>
    <t xml:space="preserve">2023-08-15</t>
  </si>
  <si>
    <t xml:space="preserve">Commission Delegated Regulation (EU) 2023/1650 of 15 May 2023 correcting the Swedish language version of Delegated Regulation (EU) 2018/389 supplementing Directive (EU) 2015/2366 of the European Parliament and of the Council with regard to regulatory technical standards for strong customer authentication and common and secure open standards of communication (Text with EEA relevance)</t>
  </si>
  <si>
    <t xml:space="preserve">https://eur-lex.europa.eu/legal-content/EN/TXT/?uri=CELEX:32023R1650</t>
  </si>
  <si>
    <t xml:space="preserve">32025R0212</t>
  </si>
  <si>
    <t xml:space="preserve">2024-09-13</t>
  </si>
  <si>
    <t xml:space="preserve">Commission Delegated Regulation (EU) 2025/212 of 13 September 2024 correcting Commission Delegated Regulation (EU) 2017/2055 supplementing Directive (EU) 2015/2366 of the European Parliament and of the Council with regard to regulatory technical standards for the cooperation and exchange of information between competent authorities relating to the exercise of the right of establishment and the freedom to provide services of payment institutions</t>
  </si>
  <si>
    <t xml:space="preserve">https://eur-lex.europa.eu/legal-content/EN/TXT/?uri=CELEX:32025R0212</t>
  </si>
  <si>
    <t xml:space="preserve">32025R2592</t>
  </si>
  <si>
    <t xml:space="preserve">2025-12-17</t>
  </si>
  <si>
    <t xml:space="preserve">Commission Implementing Regulation (EU) 2025/2592 of 17 December 2025 for the application of Regulation (EU) 2015/2120 of the European Parliament and of the Council as regards fair use, based on typical usage patterns, and anti-fraud measures for intra-EU communications</t>
  </si>
  <si>
    <t xml:space="preserve">https://eur-lex.europa.eu/legal-content/EN/TXT/?uri=CELEX:32025R2592</t>
  </si>
  <si>
    <t xml:space="preserve">32020R2244</t>
  </si>
  <si>
    <t xml:space="preserve">2020-12-17</t>
  </si>
  <si>
    <t xml:space="preserve">Commission Implementing Regulation (EU) 2020/2244 of 17 December 2020 laying down rules for the application of Directive (EU) 2017/1132 of the European Parliament and of the Council as regards technical specifications and procedures for the system of interconnection of registers and repealing Commission Implementing Regulation (EU) 2015/884 (Text with EEA relevance)</t>
  </si>
  <si>
    <t xml:space="preserve">https://eur-lex.europa.eu/legal-content/EN/TXT/?uri=CELEX:32020R2244</t>
  </si>
  <si>
    <t xml:space="preserve">32021R1042</t>
  </si>
  <si>
    <t xml:space="preserve">2021-06-18</t>
  </si>
  <si>
    <t xml:space="preserve">Commission Implementing Regulation (EU) 2021/1042 of 18 June 2021 laying down rules for the application of Directive (EU) 2017/1132 of the European Parliament and of the Council as regards technical specifications and procedures for the system of interconnection of registers and repealing Commission Implementing Regulation (EU) 2020/2244 (Text with EEA relevance)</t>
  </si>
  <si>
    <t xml:space="preserve">https://eur-lex.europa.eu/legal-content/EN/TXT/?uri=CELEX:32021R1042</t>
  </si>
  <si>
    <t xml:space="preserve">32019D2213</t>
  </si>
  <si>
    <t xml:space="preserve">2019-12-20</t>
  </si>
  <si>
    <t xml:space="preserve">Commission Implementing Decision (EU) 2019/2213 of 20 December 2019 laying down the practical and operational arrangements for the functioning of the electronic database established pursuant to Regulation (EU) 2017/2394 of the European Parliament and of the Council as respects certain communications under that Regulation (Text with EEA relevance)</t>
  </si>
  <si>
    <t xml:space="preserve">https://eur-lex.europa.eu/legal-content/EN/TXT/?uri=CELEX:32019D2213</t>
  </si>
  <si>
    <t xml:space="preserve">32019R2243</t>
  </si>
  <si>
    <t xml:space="preserve">2019-12-17</t>
  </si>
  <si>
    <t xml:space="preserve">Commission Implementing Regulation (EU) 2019/2243 of 17 Decembre 2019 establishing a template for the contract summary to be used by providers of publicly available electronic communications services pursuant to Directive (EU) 2018/1972 of the European Parliament and of the Council (Text with EEA relevance)</t>
  </si>
  <si>
    <t xml:space="preserve">https://eur-lex.europa.eu/legal-content/EN/TXT/?uri=CELEX:32019R2243</t>
  </si>
  <si>
    <t xml:space="preserve">32020R0911</t>
  </si>
  <si>
    <t xml:space="preserve">2020-06-30</t>
  </si>
  <si>
    <t xml:space="preserve">Commission Implementing Regulation (EU) 2020/911 of 30 June 2020 specifying the characteristics of small-area wireless access points pursuant to Article 57(2) of Directive (EU) 2018/1972 of the European Parliament and the Council establishing the European Electronic Communications Code (Text with EEA relevance)</t>
  </si>
  <si>
    <t xml:space="preserve">https://eur-lex.europa.eu/legal-content/EN/TXT/?uri=CELEX:32020R0911</t>
  </si>
  <si>
    <t xml:space="preserve">32020R1070</t>
  </si>
  <si>
    <t xml:space="preserve">Commission Implementing Regulation (EU) 2020/1070 of 20 July 2020 on specifying the characteristics of small-area wireless access points pursuant to Article 57 paragraph 2 of Directive (EU) 2018/1972 of the European Parliament and the Council establishing the European Electronic Communications Code (Text with EEA relevance)</t>
  </si>
  <si>
    <t xml:space="preserve">https://eur-lex.europa.eu/legal-content/EN/TXT/?uri=CELEX:32020R1070</t>
  </si>
  <si>
    <t xml:space="preserve">32020H2245</t>
  </si>
  <si>
    <t xml:space="preserve">RECO</t>
  </si>
  <si>
    <t xml:space="preserve">Commission Recommendation (EU) 2020/2245 of 18 December 2020 on relevant product and service markets within the electronic communications sector susceptible to ex ante regulation in accordance with Directive (EU) 2018/1972 of the European Parliament and of the Council establishing the European Electronic Communications Code (notified under document C(2020) 8750) (Text with EEA relevance)</t>
  </si>
  <si>
    <t xml:space="preserve">https://eur-lex.europa.eu/legal-content/EN/TXT/?uri=CELEX:32020H2245</t>
  </si>
  <si>
    <t xml:space="preserve">32021R0654</t>
  </si>
  <si>
    <t xml:space="preserve">Commission Delegated Regulation (EU) 2021/654 of 18 December 2020 supplementing Directive (EU) 2018/1972 of the European Parliament and of the Council by setting a single maximum Union-wide mobile voice termination rate and a single maximum Union-wide fixed voice termination rate (Text with EEA relevance)</t>
  </si>
  <si>
    <t xml:space="preserve">https://eur-lex.europa.eu/legal-content/EN/TXT/?uri=CELEX:32021R0654</t>
  </si>
  <si>
    <t xml:space="preserve">32021H0554</t>
  </si>
  <si>
    <t xml:space="preserve">2021-03-30</t>
  </si>
  <si>
    <t xml:space="preserve">Commission Recommendation (EU) 2021/554 of 30 March 2021 on the form, content, time limits and level of detail to be given in notifications under the procedures set in Article 32 of Directive (EU) 2018/1972 of the European Parliament and of the Council establishing the European Electronic Communications Code</t>
  </si>
  <si>
    <t xml:space="preserve">https://eur-lex.europa.eu/legal-content/EN/TXT/?uri=CELEX:32021H0554</t>
  </si>
  <si>
    <t xml:space="preserve">32023D0468</t>
  </si>
  <si>
    <t xml:space="preserve">2022-11-25</t>
  </si>
  <si>
    <t xml:space="preserve">Commission Implementing Decision (EU) 2023/468 of 25 November 2022 amending Decision 2007/116/EC as regards the introduction of an additional reserved number beginning with 116 (notified under document C(2022) 8407)</t>
  </si>
  <si>
    <t xml:space="preserve">https://eur-lex.europa.eu/legal-content/EN/TXT/?uri=CELEX:32023D0468</t>
  </si>
  <si>
    <t xml:space="preserve">32023R0444</t>
  </si>
  <si>
    <t xml:space="preserve">2022-12-16</t>
  </si>
  <si>
    <t xml:space="preserve">Commission Delegated Regulation (EU) 2023/444 of 16 December 2022 supplementing Directive (EU) 2018/1972 of the European Parliament and of the Council with measures to ensure effective access to emergency services through emergency communications to the single European emergency number ‘112’ (Text with EEA relevance)</t>
  </si>
  <si>
    <t xml:space="preserve">https://eur-lex.europa.eu/legal-content/EN/TXT/?uri=CELEX:32023R0444</t>
  </si>
  <si>
    <t xml:space="preserve">32024R2000</t>
  </si>
  <si>
    <t xml:space="preserve">2024-07-24</t>
  </si>
  <si>
    <t xml:space="preserve">Commission Implementing Regulation (EU) 2024/2000 of 24 July 2024 amending Implementing Regulation (EU) 2020/1070 to rationalise reporting on its application and to enable the usage of active antenna systems</t>
  </si>
  <si>
    <t xml:space="preserve">https://eur-lex.europa.eu/legal-content/EN/TXT/?uri=CELEX:32024R2000</t>
  </si>
  <si>
    <t xml:space="preserve">52021DC0288</t>
  </si>
  <si>
    <t xml:space="preserve">COMMUNICATION FROM THE COMMISSION TO THE EUROPEAN PARLIAMENT AND THE COUNCIL Guidance on Article 17 of Directive 2019/790 on Copyright in the Digital Single Market</t>
  </si>
  <si>
    <t xml:space="preserve">https://eur-lex.europa.eu/legal-content/EN/TXT/?uri=CELEX:52021DC0288</t>
  </si>
  <si>
    <t xml:space="preserve">52019XC0731(01)</t>
  </si>
  <si>
    <t xml:space="preserve">Commission notice — Guidelines for the implementation of the single digital gateway Regulation — 2019-2020 work programme</t>
  </si>
  <si>
    <t xml:space="preserve">https://eur-lex.europa.eu/legal-content/EN/TXT/?uri=CELEX:52019XC0731(01)</t>
  </si>
  <si>
    <t xml:space="preserve">32020R1121</t>
  </si>
  <si>
    <t xml:space="preserve">2020-07-29</t>
  </si>
  <si>
    <t xml:space="preserve">Commission Implementing Regulation (EU) 2020/1121 of 29 July 2020 on the collection and sharing of user statistics and feedback on the services of the single digital gateway in accordance with Regulation (EU) 2018/1724 of the European Parliament and of the Council (Text with EEA relevance)</t>
  </si>
  <si>
    <t xml:space="preserve">https://eur-lex.europa.eu/legal-content/EN/TXT/?uri=CELEX:32020R1121</t>
  </si>
  <si>
    <t xml:space="preserve">52021XC0301(02)</t>
  </si>
  <si>
    <t xml:space="preserve">2021-03-01</t>
  </si>
  <si>
    <t xml:space="preserve">Commission Notice Guidelines for the implementation of the single digital gateway Regulation 2021-2022 work programme (Text with EEA relevance) 2021/C 71/02</t>
  </si>
  <si>
    <t xml:space="preserve">https://eur-lex.europa.eu/legal-content/EN/TXT/?uri=CELEX:52021XC0301(02)</t>
  </si>
  <si>
    <t xml:space="preserve">32022R1463</t>
  </si>
  <si>
    <t xml:space="preserve">2022-08-05</t>
  </si>
  <si>
    <t xml:space="preserve">Commission Implementing Regulation (EU) 2022/1463 of 5 August 2022 setting out technical and operational specifications of the technical system for the cross-border automated exchange of evidence and application of the ‘once-only’ principle in accordance with Regulation (EU) 2018/1724 of the European Parliament and of the Council (Text with EEA relevance)</t>
  </si>
  <si>
    <t xml:space="preserve">https://eur-lex.europa.eu/legal-content/EN/TXT/?uri=CELEX:32022R1463</t>
  </si>
  <si>
    <t xml:space="preserve">52023XC0515(02)</t>
  </si>
  <si>
    <t xml:space="preserve">Commission Notice Guidelines for the implementation of the single digital gateway Regulation 2023-2024 work programme 2023/C 172/02</t>
  </si>
  <si>
    <t xml:space="preserve">https://eur-lex.europa.eu/legal-content/EN/TXT/?uri=CELEX:52023XC0515(02)</t>
  </si>
  <si>
    <t xml:space="preserve">52025XC05013</t>
  </si>
  <si>
    <t xml:space="preserve">2025-09-16</t>
  </si>
  <si>
    <t xml:space="preserve">COMMISSION NOTICE – Guidelines for the implementation of the Single Digital Gateway Regulation 2025-2026 work programme</t>
  </si>
  <si>
    <t xml:space="preserve">https://eur-lex.europa.eu/legal-content/EN/TXT/?uri=CELEX:52025XC05013</t>
  </si>
  <si>
    <t xml:space="preserve">32024R0482</t>
  </si>
  <si>
    <t xml:space="preserve">2024-01-31</t>
  </si>
  <si>
    <t xml:space="preserve">Commission Implementing Regulation (EU) 2024/482 of 31 January 2024 laying down rules for the application of Regulation (EU) 2019/881 of the European Parliament and of the Council as regards the adoption of the European Common Criteria-based cybersecurity certification scheme (EUCC)</t>
  </si>
  <si>
    <t xml:space="preserve">https://eur-lex.europa.eu/legal-content/EN/TXT/?uri=CELEX:32024R0482</t>
  </si>
  <si>
    <t xml:space="preserve">32024R3143</t>
  </si>
  <si>
    <t xml:space="preserve">2024-12-18</t>
  </si>
  <si>
    <t xml:space="preserve">Commission Implementing Regulation (EU) 2024/3143 of 18 December 2024 establishing the circumstances, formats and procedures for notifications pursuant to Article 61(5) of Regulation (EU) 2019/881 of the European Parliament and of the Council on ENISA (the European Union Agency for Cybersecurity) and on information and communications technology cybersecurity certification</t>
  </si>
  <si>
    <t xml:space="preserve">https://eur-lex.europa.eu/legal-content/EN/TXT/?uri=CELEX:32024R3143</t>
  </si>
  <si>
    <t xml:space="preserve">32024R3144</t>
  </si>
  <si>
    <t xml:space="preserve">Commission Implementing Regulation (EU) 2024/3144 of 18 December 2024 amending Implementing Regulation (EU) 2024/482 as regards applicable international standards and correcting that Implementing Regulation</t>
  </si>
  <si>
    <t xml:space="preserve">https://eur-lex.europa.eu/legal-content/EN/TXT/?uri=CELEX:32024R3144</t>
  </si>
  <si>
    <t xml:space="preserve">32025R2462</t>
  </si>
  <si>
    <t xml:space="preserve">Commission Implementing Regulation (EU) 2025/2462 of 8 December 2025 amending Implementing Regulation (EU) 2024/482 as regards definitions, ICT product series certification, assurance continuity and state-of-the-art documents</t>
  </si>
  <si>
    <t xml:space="preserve">https://eur-lex.europa.eu/legal-content/EN/TXT/?uri=CELEX:32025R2462</t>
  </si>
  <si>
    <t xml:space="preserve">32025R2540</t>
  </si>
  <si>
    <t xml:space="preserve">2025-12-09</t>
  </si>
  <si>
    <t xml:space="preserve">Commission Implementing Regulation (EU) 2025/2540 of 9 December 2025 laying down rules for the application of Regulation (EU) 2019/881 of the European Parliament and of the Council as regards the establishment of the plan for peer review</t>
  </si>
  <si>
    <t xml:space="preserve">https://eur-lex.europa.eu/legal-content/EN/TXT/?uri=CELEX:32025R2540</t>
  </si>
  <si>
    <t xml:space="preserve">52019DC0250</t>
  </si>
  <si>
    <t xml:space="preserve">2019-05-29</t>
  </si>
  <si>
    <t xml:space="preserve">COMMUNICATION FROM THE COMMISSION TO THE EUROPEAN PARLIAMENT AND THE COUNCIL Guidance on the Regulation on a framework for the free flow of non-personal data in the European Union</t>
  </si>
  <si>
    <t xml:space="preserve">https://eur-lex.europa.eu/legal-content/EN/TXT/?uri=CELEX:52019DC0250</t>
  </si>
  <si>
    <t xml:space="preserve">52020XC0326(03)</t>
  </si>
  <si>
    <t xml:space="preserve">2020-03-26</t>
  </si>
  <si>
    <t xml:space="preserve">Communication from the Commission Guidance to the Member States concerning foreign direct investment and free movement of capital from third countries, and the protection of Europe’s strategic assets, ahead of the application of Regulation (EU) 2019/452 (FDI Screening Regulation) 2020/C 99 I/01</t>
  </si>
  <si>
    <t xml:space="preserve">https://eur-lex.europa.eu/legal-content/EN/TXT/?uri=CELEX:52020XC0326(03)</t>
  </si>
  <si>
    <t xml:space="preserve">32020R1298</t>
  </si>
  <si>
    <t xml:space="preserve">Commission Delegated Regulation (EU) 2020/1298 of 13 July 2020 amending the Annex to Regulation (EU) 2019/452 of the European Parliament and of the Council establishing a framework for the screening of foreign direct investments into the Union</t>
  </si>
  <si>
    <t xml:space="preserve">https://eur-lex.europa.eu/legal-content/EN/TXT/?uri=CELEX:32020R1298</t>
  </si>
  <si>
    <t xml:space="preserve">32021R2126</t>
  </si>
  <si>
    <t xml:space="preserve">Commission Delegated Regulation (EU) 2021/2126 of 29 September 2021 amending the Annex to Regulation (EU) 2019/452 of the European Parliament and of the Council establishing a framework for the screening of foreign direct investments into the Union</t>
  </si>
  <si>
    <t xml:space="preserve">https://eur-lex.europa.eu/legal-content/EN/TXT/?uri=CELEX:32021R2126</t>
  </si>
  <si>
    <t xml:space="preserve">52021XC0323(01)</t>
  </si>
  <si>
    <t xml:space="preserve">2021-03-23</t>
  </si>
  <si>
    <t xml:space="preserve">Commission Notice Guidelines for economic operators and market surveillance authorities on the practical implementation of Article 4 of Regulation (EU) 2019/1020 on market surveillance and compliance of products (Text with EEA relevance) 2021/C 100/01</t>
  </si>
  <si>
    <t xml:space="preserve">https://eur-lex.europa.eu/legal-content/EN/TXT/?uri=CELEX:52021XC0323(01)</t>
  </si>
  <si>
    <t xml:space="preserve">32021R1121</t>
  </si>
  <si>
    <t xml:space="preserve">2021-07-08</t>
  </si>
  <si>
    <t xml:space="preserve">Commission Implementing Regulation (EU) 2021/1121 of 8 July 2021 specifying the details of the statistical data to be submitted by the Member States as regards controls on products entering the Union market with regard to product safety and compliance (Text with EEA relevance)</t>
  </si>
  <si>
    <t xml:space="preserve">https://eur-lex.europa.eu/legal-content/EN/TXT/?uri=CELEX:32021R1121</t>
  </si>
  <si>
    <t xml:space="preserve">32021R2248</t>
  </si>
  <si>
    <t xml:space="preserve">2021-12-16</t>
  </si>
  <si>
    <t xml:space="preserve">Commission Implementing Regulation (EU) 2021/2248 of 16 December 2021 specifying the details of the electronic interface between national customs systems and the information and communication system for market surveillance, and the data to be transmitted by means of that interface (Text with EEA relevance)</t>
  </si>
  <si>
    <t xml:space="preserve">https://eur-lex.europa.eu/legal-content/EN/TXT/?uri=CELEX:32021R2248</t>
  </si>
  <si>
    <t xml:space="preserve">32022R1267</t>
  </si>
  <si>
    <t xml:space="preserve">2022-07-20</t>
  </si>
  <si>
    <t xml:space="preserve">Commission Implementing Regulation (EU) 2022/1267 of 20 July 2022 specifying the procedures for the designation of Union testing facilities for the purposes of market surveillance and verification of product compliance in accordance with Regulation (EU) 2019/1020 of the European Parliament and of the Council</t>
  </si>
  <si>
    <t xml:space="preserve">https://eur-lex.europa.eu/legal-content/EN/TXT/?uri=CELEX:32022R1267</t>
  </si>
  <si>
    <t xml:space="preserve">32023D0733</t>
  </si>
  <si>
    <t xml:space="preserve">2023-04-03</t>
  </si>
  <si>
    <t xml:space="preserve">Commission Implementing Decision (EU) 2023/733 of 3 April 2023 designating Union testing facilities for radio equipment and toys in accordance with Regulation (EU) 2019/1020 of the European Parliament and of the Council</t>
  </si>
  <si>
    <t xml:space="preserve">https://eur-lex.europa.eu/legal-content/EN/TXT/?uri=CELEX:32023D0733</t>
  </si>
  <si>
    <t xml:space="preserve">32023R2712</t>
  </si>
  <si>
    <t xml:space="preserve">2023-12-05</t>
  </si>
  <si>
    <t xml:space="preserve">Commission Implementing Regulation (EU) 2023/2712 of 5 December 2023 laying down rules for the application of Regulation (EU) 2019/1020 of the European Parliament and of the Council as regards the details of the information to be transmitted from national customs systems to the information and communication system for market surveillance concerning products placed under the customs procedure release for free circulation</t>
  </si>
  <si>
    <t xml:space="preserve">https://eur-lex.europa.eu/legal-content/EN/TXT/?uri=CELEX:32023R2712</t>
  </si>
  <si>
    <t xml:space="preserve">32024D1456</t>
  </si>
  <si>
    <t xml:space="preserve">Commission Implementing Decision (EU) 2024/1456 of 27 May 2024 designating a Union testing facility for eco-design and energy labelling in accordance with Regulation (EU) 2019/1020 of the European Parliament and of the Council</t>
  </si>
  <si>
    <t xml:space="preserve">https://eur-lex.europa.eu/legal-content/EN/TXT/?uri=CELEX:32024D1456</t>
  </si>
  <si>
    <t xml:space="preserve">32024R2216</t>
  </si>
  <si>
    <t xml:space="preserve">2024-09-06</t>
  </si>
  <si>
    <t xml:space="preserve">Commission Implementing Regulation (EU) 2024/2216 of 6 September 2024 correcting and amending Implementing Regulation (EU) 2021/2248 specifying the details of the electronic interface between national customs systems and the information and communication system for market surveillance, and the data to be transmitted by means of that interface</t>
  </si>
  <si>
    <t xml:space="preserve">https://eur-lex.europa.eu/legal-content/EN/TXT/?uri=CELEX:32024R2216</t>
  </si>
  <si>
    <t xml:space="preserve">32025D0526</t>
  </si>
  <si>
    <t xml:space="preserve">2025-03-21</t>
  </si>
  <si>
    <t xml:space="preserve">Commission Implementing Decision (EU) 2025/526 of 21 March 2025 designating a Union testing facility for electromagnetic compatibility in accordance with Regulation (EU) 2019/1020 of the European Parliament and of the Council</t>
  </si>
  <si>
    <t xml:space="preserve">https://eur-lex.europa.eu/legal-content/EN/TXT/?uri=CELEX:32025D0526</t>
  </si>
  <si>
    <t xml:space="preserve">32026D1481</t>
  </si>
  <si>
    <t xml:space="preserve">2026-07-02</t>
  </si>
  <si>
    <t xml:space="preserve">Commission Implementing Decision (EU) 2026/1481 of 2 July 2026 designating a Union testing facility for textiles in accordance with Regulation (EU) 2019/1020 of the European Parliament and of the Council</t>
  </si>
  <si>
    <t xml:space="preserve">https://eur-lex.europa.eu/legal-content/EN/TXT/?uri=CELEX:32026D1481</t>
  </si>
  <si>
    <t xml:space="preserve">32025R1550</t>
  </si>
  <si>
    <t xml:space="preserve">2025-07-28</t>
  </si>
  <si>
    <t xml:space="preserve">Commission Implementing Regulation (EU) 2025/1550 of 28 July 2025 establishing the technical specifications and other requirements for the decentralised IT system, referred to in Regulation (EU) 2023/1543 of the European Parliament and of the Council</t>
  </si>
  <si>
    <t xml:space="preserve">https://eur-lex.europa.eu/legal-content/EN/TXT/?uri=CELEX:32025R1550</t>
  </si>
  <si>
    <t xml:space="preserve">32023R0138</t>
  </si>
  <si>
    <t xml:space="preserve">2022-12-21</t>
  </si>
  <si>
    <t xml:space="preserve">Commission Implementing Regulation (EU) 2023/138 of 21 December 2022 laying down a list of specific high-value datasets and the arrangements for their publication and re-use (Text with EEA relevance)</t>
  </si>
  <si>
    <t xml:space="preserve">https://eur-lex.europa.eu/legal-content/EN/TXT/?uri=CELEX:32023R0138</t>
  </si>
  <si>
    <t xml:space="preserve">52020XC1208(01)</t>
  </si>
  <si>
    <t xml:space="preserve">2020-12-08</t>
  </si>
  <si>
    <t xml:space="preserve">Commission Notice Guidelines on ranking transparency pursuant to Regulation (EU) 2019/1150 of the European Parliament and of the Council 2020/C 424/01</t>
  </si>
  <si>
    <t xml:space="preserve">https://eur-lex.europa.eu/legal-content/EN/TXT/?uri=CELEX:52020XC1208(01)</t>
  </si>
  <si>
    <t xml:space="preserve">32023D1534</t>
  </si>
  <si>
    <t xml:space="preserve">2023-07-24</t>
  </si>
  <si>
    <t xml:space="preserve">Commission Implementing Decision (EU) 2023/1534 of 24 July 2023 selecting the entities forming the initial network of European Digital Innovation Hubs in accordance with Regulation (EU) 2021/694 of the European Parliament and of the Council (Text with EEA relevance)</t>
  </si>
  <si>
    <t xml:space="preserve">https://eur-lex.europa.eu/legal-content/EN/TXT/?uri=CELEX:32023D1534</t>
  </si>
  <si>
    <t xml:space="preserve">32021D0626</t>
  </si>
  <si>
    <t xml:space="preserve">2021-04-14</t>
  </si>
  <si>
    <t xml:space="preserve">Commission Implementing Decision (EU) 2021/626 of 14 April 2021 establishing the InvestEU Portal and setting out its technical specifications</t>
  </si>
  <si>
    <t xml:space="preserve">https://eur-lex.europa.eu/legal-content/EN/TXT/?uri=CELEX:32021D0626</t>
  </si>
  <si>
    <t xml:space="preserve">32021R1078</t>
  </si>
  <si>
    <t xml:space="preserve">Commission Delegated Regulation (EU) 2021/1078 of 14 April 2021 supplementing Regulation (EU) 2021/523 of the European Parliament and of the Council by setting out the investment guidelines for the InvestEU Fund</t>
  </si>
  <si>
    <t xml:space="preserve">https://eur-lex.europa.eu/legal-content/EN/TXT/?uri=CELEX:32021R1078</t>
  </si>
  <si>
    <t xml:space="preserve">32021R1702</t>
  </si>
  <si>
    <t xml:space="preserve">2021-07-12</t>
  </si>
  <si>
    <t xml:space="preserve">Commission Delegated Regulation (EU) 2021/1702 of 12 July 2021 supplementing Regulation (EU) 2021/523 of the European Parliament and of the Council by setting out additional elements and detailed rules for the InvestEU Scoreboard</t>
  </si>
  <si>
    <t xml:space="preserve">https://eur-lex.europa.eu/legal-content/EN/TXT/?uri=CELEX:32021R1702</t>
  </si>
  <si>
    <t xml:space="preserve">52021XC0713(02)</t>
  </si>
  <si>
    <t xml:space="preserve">Commission Notice – Technical guidance on sustainability proofing for the InvestEU Fund</t>
  </si>
  <si>
    <t xml:space="preserve">https://eur-lex.europa.eu/legal-content/EN/TXT/?uri=CELEX:52021XC0713(02)</t>
  </si>
  <si>
    <t xml:space="preserve">52021XC0916(03)</t>
  </si>
  <si>
    <t xml:space="preserve">2021-09-16</t>
  </si>
  <si>
    <t xml:space="preserve">Commission Notice — Technical guidance on the climate proofing of infrastructure in the period 2021-2027</t>
  </si>
  <si>
    <t xml:space="preserve">https://eur-lex.europa.eu/legal-content/EN/TXT/?uri=CELEX:52021XC0916(03)</t>
  </si>
  <si>
    <t xml:space="preserve">32022D1980</t>
  </si>
  <si>
    <t xml:space="preserve">Commission Implementing Decision (EU) 2022/1980 of 19 October 2022 amending Implementing Decision (EU) 2021/626 establishing the InvestEU Portal and setting out its technical specifications (Text with EEA relevance)</t>
  </si>
  <si>
    <t xml:space="preserve">https://eur-lex.europa.eu/legal-content/EN/TXT/?uri=CELEX:32022D1980</t>
  </si>
  <si>
    <t xml:space="preserve">32025R1774</t>
  </si>
  <si>
    <t xml:space="preserve">2025-08-28</t>
  </si>
  <si>
    <t xml:space="preserve">Commission Delegated Regulation (EU) 2025/1774 of 28 August 2025 amending Delegated Regulation (EU) 2021/1078 as regards strategic investments in the field of defence set out in the investment guidelines for the InvestEU Fund</t>
  </si>
  <si>
    <t xml:space="preserve">https://eur-lex.europa.eu/legal-content/EN/TXT/?uri=CELEX:32025R1774</t>
  </si>
  <si>
    <t xml:space="preserve">32021R1328</t>
  </si>
  <si>
    <t xml:space="preserve">2021-08-10</t>
  </si>
  <si>
    <t xml:space="preserve">Commission Implementing Regulation (EU) 2021/1328 of 10 August 2021 specifying the infrastructure requirements applicable to certain categories of dual-use infrastructure actions pursuant to Regulation (EU) 2021/1153 of the European Parliament and of the Council</t>
  </si>
  <si>
    <t xml:space="preserve">https://eur-lex.europa.eu/legal-content/EN/TXT/?uri=CELEX:32021R1328</t>
  </si>
  <si>
    <t xml:space="preserve">32022R0342</t>
  </si>
  <si>
    <t xml:space="preserve">2021-12-21</t>
  </si>
  <si>
    <t xml:space="preserve">Commission Delegated Regulation (EU) 2022/342 of 21 December 2021 supplementing Regulation (EU) 2021/1153 of the European Parliament and of the Council with regard to the specific selection criteria and the details of the process for selecting cross-border projects in the field of renewable energy</t>
  </si>
  <si>
    <t xml:space="preserve">https://eur-lex.europa.eu/legal-content/EN/TXT/?uri=CELEX:32022R0342</t>
  </si>
  <si>
    <t xml:space="preserve">32022R2202</t>
  </si>
  <si>
    <t xml:space="preserve">2022-08-29</t>
  </si>
  <si>
    <t xml:space="preserve">Commission Delegated Regulation (EU) 2022/2202 of 29 August 2022 supplementing Regulation (EU) 2021/1153 of the European Parliament and of the Council by establishing a list of selected cross-border projects in the field of renewable energy (Text with EEA relevance)</t>
  </si>
  <si>
    <t xml:space="preserve">https://eur-lex.europa.eu/legal-content/EN/TXT/?uri=CELEX:32022R2202</t>
  </si>
  <si>
    <t xml:space="preserve">32023R2639</t>
  </si>
  <si>
    <t xml:space="preserve">2023-09-19</t>
  </si>
  <si>
    <t xml:space="preserve">Commission Delegated Regulation (EU) 2023/2639 of 19 September 2023 amending Delegated Regulation (EU) 2022/2202 supplementing Regulation (EU) 2021/1153 of the European Parliament and of the Council by establishing a list of selected cross-border projects in the field of renewable energy</t>
  </si>
  <si>
    <t xml:space="preserve">https://eur-lex.europa.eu/legal-content/EN/TXT/?uri=CELEX:32023R2639</t>
  </si>
  <si>
    <t xml:space="preserve">32024R2613</t>
  </si>
  <si>
    <t xml:space="preserve">Commission Delegated Regulation (EU) 2024/2613 of 24 July 2024 amending Delegated Regulation (EU) 2022/2202 supplementing Regulation (EU) 2021/1153 of the European Parliament and of the Council by establishing a list of selected cross-border projects in the field of renewable energy</t>
  </si>
  <si>
    <t xml:space="preserve">https://eur-lex.europa.eu/legal-content/EN/TXT/?uri=CELEX:32024R2613</t>
  </si>
  <si>
    <t xml:space="preserve">32025R2514</t>
  </si>
  <si>
    <t xml:space="preserve">Commission Delegated Regulation (EU) 2025/2514 of 29 July 2025 amending Delegated Regulation (EU) 2022/2202 by updating the list of selected cross-border projects in the field of renewable energy</t>
  </si>
  <si>
    <t xml:space="preserve">https://eur-lex.europa.eu/legal-content/EN/TXT/?uri=CELEX:32025R2514</t>
  </si>
  <si>
    <t xml:space="preserve">32026R1470</t>
  </si>
  <si>
    <t xml:space="preserve">Commission Delegated Regulation (EU) 2026/1470 of 2 July 2026 amending Delegated Regulation (EU) 2022/2202 by updating the list of selected cross-border projects in the field of renewable energy</t>
  </si>
  <si>
    <t xml:space="preserve">https://eur-lex.europa.eu/legal-content/EN/TXT/?uri=CELEX:32026R1470</t>
  </si>
  <si>
    <t xml:space="preserve">32023R2445</t>
  </si>
  <si>
    <t xml:space="preserve">Commission Delegated Regulation (EU) 2023/2445 of 28 July 2023 supplementing Regulation (EU) 2021/690 of the European Parliament and of the Council as regards the establishment of a monitoring and evaluation framework for the Single Market Programme</t>
  </si>
  <si>
    <t xml:space="preserve">https://eur-lex.europa.eu/legal-content/EN/TXT/?uri=CELEX:32023R2445</t>
  </si>
  <si>
    <t xml:space="preserve">52021XC0218(01)</t>
  </si>
  <si>
    <t xml:space="preserve">Commission Notice Technical guidance on the application of ‘do no significant harm’ under the Recovery and Resilience Facility Regulation 2021/C 58/01</t>
  </si>
  <si>
    <t xml:space="preserve">https://eur-lex.europa.eu/legal-content/EN/TXT/?uri=CELEX:52021XC0218(01)</t>
  </si>
  <si>
    <t xml:space="preserve">32021D1095</t>
  </si>
  <si>
    <t xml:space="preserve">2021-07-02</t>
  </si>
  <si>
    <t xml:space="preserve">Commission Implementing Decision (EU) 2021/1095 of 2 July 2021 establishing the methodology for allocating costs related to borrowing and debt management operations under NextGenerationEU</t>
  </si>
  <si>
    <t xml:space="preserve">https://eur-lex.europa.eu/legal-content/EN/TXT/?uri=CELEX:32021D1095</t>
  </si>
  <si>
    <t xml:space="preserve">32021R2105</t>
  </si>
  <si>
    <t xml:space="preserve">Commission Delegated Regulation (EU) 2021/2105 of 28 September 2021 supplementing Regulation (EU) 2021/241 of the European Parliament and of the Council establishing the Recovery and Resilience Facility by defining a methodology for reporting social expenditure</t>
  </si>
  <si>
    <t xml:space="preserve">https://eur-lex.europa.eu/legal-content/EN/TXT/?uri=CELEX:32021R2105</t>
  </si>
  <si>
    <t xml:space="preserve">32021R2106</t>
  </si>
  <si>
    <t xml:space="preserve">Commission Delegated Regulation (EU) 2021/2106 of 28 September 2021 on supplementing Regulation (EU) 2021/241 of the European Parliament and of the Council establishing the Recovery and Resilience Facility by setting out the common indicators and the detailed elements of the recovery and resilience scoreboard</t>
  </si>
  <si>
    <t xml:space="preserve">https://eur-lex.europa.eu/legal-content/EN/TXT/?uri=CELEX:32021R2106</t>
  </si>
  <si>
    <t xml:space="preserve">52023XC00111</t>
  </si>
  <si>
    <t xml:space="preserve">2023-10-11</t>
  </si>
  <si>
    <t xml:space="preserve">Commission Notice – Technical guidance on the application of do no significant harm under the Recovery and Resilience Facility Regulation</t>
  </si>
  <si>
    <t xml:space="preserve">https://eur-lex.europa.eu/legal-content/EN/TXT/?uri=CELEX:52023XC00111</t>
  </si>
  <si>
    <t xml:space="preserve">52026XC02614</t>
  </si>
  <si>
    <t xml:space="preserve">2026-05-04</t>
  </si>
  <si>
    <t xml:space="preserve">COMMISSION NOTICE – Guidelines for Member States on operational aspects related to the final phase and closure of the Recovery and Resilience Facility</t>
  </si>
  <si>
    <t xml:space="preserve">https://eur-lex.europa.eu/legal-content/EN/TXT/?uri=CELEX:52026XC02614</t>
  </si>
  <si>
    <t xml:space="preserve">32024R2916</t>
  </si>
  <si>
    <t xml:space="preserve">2024-11-25</t>
  </si>
  <si>
    <t xml:space="preserve">Commission Implementing Regulation (EU) 2024/2916 of 25 November 2024 laying down a standard form for the data included in the report on the processing of personal data published and reported to the competent supervisory authority and to the Commission by service providers under Regulation (EU) 2021/1232 of the European Parliament and of the Council</t>
  </si>
  <si>
    <t xml:space="preserve">https://eur-lex.europa.eu/legal-content/EN/TXT/?uri=CELEX:32024R2916</t>
  </si>
  <si>
    <t xml:space="preserve">32024R1503</t>
  </si>
  <si>
    <t xml:space="preserve">2024-02-22</t>
  </si>
  <si>
    <t xml:space="preserve">Commission Delegated Regulation (EU) 2024/1503 of 22 February 2024 supplementing Regulation (EU) 2023/1114 of the European Parliament and of the Council by specifying the fees charged by the European Banking Authority to issuers of significant asset-referenced tokens and issuers of significant e-money tokens</t>
  </si>
  <si>
    <t xml:space="preserve">https://eur-lex.europa.eu/legal-content/EN/TXT/?uri=CELEX:32024R1503</t>
  </si>
  <si>
    <t xml:space="preserve">32024R1504</t>
  </si>
  <si>
    <t xml:space="preserve">Commission Delegated Regulation (EU) 2024/1504 of 22 February 2024 supplementing Regulation (EU) 2023/1114 of the European Parliament and of the Council by specifying the procedural rules for the exercise of the power to impose fines or periodic penalty payments by the European Banking Authority on issuers of significant asset-referenced tokens and issuers of significant e-money tokens</t>
  </si>
  <si>
    <t xml:space="preserve">https://eur-lex.europa.eu/legal-content/EN/TXT/?uri=CELEX:32024R1504</t>
  </si>
  <si>
    <t xml:space="preserve">32024R1506</t>
  </si>
  <si>
    <t xml:space="preserve">Commission Delegated Regulation (EU) 2024/1506 of 22 February 2024 supplementing Regulation (EU) 2023/1114 of the European Parliament and of the Council by specifying certain criteria for classifying asset-referenced tokens and e-money tokens as significant</t>
  </si>
  <si>
    <t xml:space="preserve">https://eur-lex.europa.eu/legal-content/EN/TXT/?uri=CELEX:32024R1506</t>
  </si>
  <si>
    <t xml:space="preserve">32024R1507</t>
  </si>
  <si>
    <t xml:space="preserve">Commission Delegated Regulation (EU) 2024/1507 of 22 February 2024 supplementing Regulation (EU) 2023/1114 of the European Parliament and of the Council by specifying the criteria and factors to be taken into account by the European Securities Markets Authority, the European Banking Authority and competent authorities in relation to their intervention powers</t>
  </si>
  <si>
    <t xml:space="preserve">https://eur-lex.europa.eu/legal-content/EN/TXT/?uri=CELEX:32024R1507</t>
  </si>
  <si>
    <t xml:space="preserve">32024R2494</t>
  </si>
  <si>
    <t xml:space="preserve">2024-09-24</t>
  </si>
  <si>
    <t xml:space="preserve">Commission Implementing Regulation (EU) 2024/2494 of 24 September 2024 laying down implementing technical standards for the application of Regulation (EU) 2023/1114 of the European Parliament and of the Council with regard to standard forms, templates and procedures for the cooperation and exchange of information between competent authorities and EBA and ESMA</t>
  </si>
  <si>
    <t xml:space="preserve">https://eur-lex.europa.eu/legal-content/EN/TXT/?uri=CELEX:32024R2494</t>
  </si>
  <si>
    <t xml:space="preserve">32024R2545</t>
  </si>
  <si>
    <t xml:space="preserve">Commission Implementing Regulation (EU) 2024/2545 of 24 September 2024 laying down implementing technical standards for the application of Regulation (EU) 2023/1114 of the European Parliament and of the Council with regard to standard forms, templates and procedures for the cooperation and exchange of information between competent authorities</t>
  </si>
  <si>
    <t xml:space="preserve">https://eur-lex.europa.eu/legal-content/EN/TXT/?uri=CELEX:32024R2545</t>
  </si>
  <si>
    <t xml:space="preserve">32025R0292</t>
  </si>
  <si>
    <t xml:space="preserve">2024-09-26</t>
  </si>
  <si>
    <t xml:space="preserve">Commission Delegated Regulation (EU) 2025/292 of 26 September 2024 supplementing Regulation (EU) 2023/1114 of the European Parliament and of the Council with regard to regulatory technical standards establishing a template document for cooperation arrangements between competent authorities and supervisory authorities of third countries</t>
  </si>
  <si>
    <t xml:space="preserve">https://eur-lex.europa.eu/legal-content/EN/TXT/?uri=CELEX:32025R0292</t>
  </si>
  <si>
    <t xml:space="preserve">32025R0293</t>
  </si>
  <si>
    <t xml:space="preserve">2024-09-30</t>
  </si>
  <si>
    <t xml:space="preserve">Commission Delegated Regulation (EU) 2025/293 of 30 September 2024 supplementing Regulation (EU) 2023/1114 of the European Parliament and of the Council with regard to regulatory technical standards specifying the requirements, templates and procedures for the handling of complaints relating to asset referenced tokens</t>
  </si>
  <si>
    <t xml:space="preserve">https://eur-lex.europa.eu/legal-content/EN/TXT/?uri=CELEX:32025R0293</t>
  </si>
  <si>
    <t xml:space="preserve">32025R0294</t>
  </si>
  <si>
    <t xml:space="preserve">2024-10-01</t>
  </si>
  <si>
    <t xml:space="preserve">Commission Delegated Regulation (EU) 2025/294 of 1 October 2024 supplementing Regulation (EU) 2023/1114 of the European Parliament and of the Council with regard to regulatory technical standards specifying the requirements, templates and procedures for the handling of complaints by the crypto-asset service providers</t>
  </si>
  <si>
    <t xml:space="preserve">https://eur-lex.europa.eu/legal-content/EN/TXT/?uri=CELEX:32025R0294</t>
  </si>
  <si>
    <t xml:space="preserve">32025R0300</t>
  </si>
  <si>
    <t xml:space="preserve">2024-10-10</t>
  </si>
  <si>
    <t xml:space="preserve">Commission Delegated Regulation (EU) 2025/300 of 10 October 2024 supplementing Regulation (EU) 2023/1114 of the European Parliament and of the Council with regard to regulatory technical standards on information to be exchanged between competent authorities</t>
  </si>
  <si>
    <t xml:space="preserve">https://eur-lex.europa.eu/legal-content/EN/TXT/?uri=CELEX:32025R0300</t>
  </si>
  <si>
    <t xml:space="preserve">32025R0296</t>
  </si>
  <si>
    <t xml:space="preserve">Commission Delegated Regulation (EU) 2025/296 of 31 October 2024 supplementing Regulation (EU) 2023/1114 of the European Parliament and of the Council with regard to regulatory technical standards specifying the procedure for the approval of a crypto-asset white paper</t>
  </si>
  <si>
    <t xml:space="preserve">https://eur-lex.europa.eu/legal-content/EN/TXT/?uri=CELEX:32025R0296</t>
  </si>
  <si>
    <t xml:space="preserve">32025R0297</t>
  </si>
  <si>
    <t xml:space="preserve">Commission Delegated Regulation (EU) 2025/297 of 31 October 2024 supplementing Regulation (EU) 2023/1114 of the European Parliament and of the Council with regard to regulatory technical standards specifying the conditions for the establishment and functioning of consultative supervisory colleges</t>
  </si>
  <si>
    <t xml:space="preserve">https://eur-lex.europa.eu/legal-content/EN/TXT/?uri=CELEX:32025R0297</t>
  </si>
  <si>
    <t xml:space="preserve">32025R0298</t>
  </si>
  <si>
    <t xml:space="preserve">Commission Delegated Regulation (EU) 2025/298 of 31 October 2024 supplementing Regulation (EU) 2023/1114 of the European Parliament and of the Council with regard to regulatory technical standards specifying the methodology to estimate the number and value of transactions associated to uses of asset-referenced tokens and of e-money tokens denominated in a currency that is not an official currency of a Member State as a means of exchange</t>
  </si>
  <si>
    <t xml:space="preserve">https://eur-lex.europa.eu/legal-content/EN/TXT/?uri=CELEX:32025R0298</t>
  </si>
  <si>
    <t xml:space="preserve">32025R0299</t>
  </si>
  <si>
    <t xml:space="preserve">Commission Delegated Regulation (EU) 2025/299 of 31 October 2024 supplementing Regulation (EU) 2023/1114 of the European Parliament and of the Council on markets in crypto-assets with regard to regulatory technical standards on continuity and regularity in the performance of crypto-asset services</t>
  </si>
  <si>
    <t xml:space="preserve">https://eur-lex.europa.eu/legal-content/EN/TXT/?uri=CELEX:32025R0299</t>
  </si>
  <si>
    <t xml:space="preserve">32025R0303</t>
  </si>
  <si>
    <t xml:space="preserve">Commission Delegated Regulation (EU) 2025/303 of 31 October 2024 supplementing Regulation (EU) 2023/1114 of the European Parliament and of the Council with regard to regulatory technical standards specifying the information to be included by certain financial entities in the notification of their intention to provide crypto-asset services</t>
  </si>
  <si>
    <t xml:space="preserve">https://eur-lex.europa.eu/legal-content/EN/TXT/?uri=CELEX:32025R0303</t>
  </si>
  <si>
    <t xml:space="preserve">32025R0304</t>
  </si>
  <si>
    <t xml:space="preserve">Commission Implementing Regulation (EU) 2025/304 of 31 October 2024 laying down implementing technical standards for the application of Regulation (EU) 2023/1114 of the European Parliament and of the Council with regard to standard forms, templates and procedures for the notification by certain financial entities of their intention to provide crypto-asset services</t>
  </si>
  <si>
    <t xml:space="preserve">https://eur-lex.europa.eu/legal-content/EN/TXT/?uri=CELEX:32025R0304</t>
  </si>
  <si>
    <t xml:space="preserve">32025R0305</t>
  </si>
  <si>
    <t xml:space="preserve">Commission Delegated Regulation (EU) 2025/305 of 31 October 2024 supplementing Regulation (EU) 2023/1114 of the European Parliament and of the Council with regard to regulatory technical standards specifying the information to be included in an application for authorisation as a crypto-asset service provider</t>
  </si>
  <si>
    <t xml:space="preserve">https://eur-lex.europa.eu/legal-content/EN/TXT/?uri=CELEX:32025R0305</t>
  </si>
  <si>
    <t xml:space="preserve">32025R0306</t>
  </si>
  <si>
    <t xml:space="preserve">Commission Implementing Regulation (EU) 2025/306 of 31 October 2024 laying down implementing technical standards for the application of Regulation (EU) 2023/1114 of the European Parliament and of the Council with regard to standard forms, templates and procedures for the information to be included in the application for authorisation as a crypto-asset service provider</t>
  </si>
  <si>
    <t xml:space="preserve">https://eur-lex.europa.eu/legal-content/EN/TXT/?uri=CELEX:32025R0306</t>
  </si>
  <si>
    <t xml:space="preserve">32024R2861</t>
  </si>
  <si>
    <t xml:space="preserve">2024-11-12</t>
  </si>
  <si>
    <t xml:space="preserve">Commission Implementing Regulation (EU) 2024/2861 of 12 November 2024 laying down implementing technical standards for the application of Regulation (EU) 2023/1114 of the European Parliament and of the Council with regard to the technical means for the appropriate public disclosure of inside information and for delaying the public disclosure of that information</t>
  </si>
  <si>
    <t xml:space="preserve">https://eur-lex.europa.eu/legal-content/EN/TXT/?uri=CELEX:32024R2861</t>
  </si>
  <si>
    <t xml:space="preserve">32024R2902</t>
  </si>
  <si>
    <t xml:space="preserve">Commission Implementing Regulation (EU) 2024/2902 of 20 November 2024 laying down implementing technical standards for the application of Regulation (EU) 2023/1114 of the European Parliament and of the Council with regard to reporting related to asset-referenced tokens and to e-money tokens denominated in a currency that is not an official currency of a Member State</t>
  </si>
  <si>
    <t xml:space="preserve">https://eur-lex.europa.eu/legal-content/EN/TXT/?uri=CELEX:32024R2902</t>
  </si>
  <si>
    <t xml:space="preserve">32025R0417</t>
  </si>
  <si>
    <t xml:space="preserve">Commission Delegated Regulation (EU) 2025/417 of 28 November 2024 supplementing Regulation (EU) 2023/1114 of the European Parliament and of the Council with regard to regulatory technical standards specifying the manner in which crypto-asset service providers operating a trading platform for crypto-assets are to present transparency data</t>
  </si>
  <si>
    <t xml:space="preserve">https://eur-lex.europa.eu/legal-content/EN/TXT/?uri=CELEX:32025R0417</t>
  </si>
  <si>
    <t xml:space="preserve">32024R2984</t>
  </si>
  <si>
    <t xml:space="preserve">2024-11-29</t>
  </si>
  <si>
    <t xml:space="preserve">Commission Implementing Regulation (EU) 2024/2984 of 29 November 2024 laying down implementing technical standards for the application of Regulation (EU) 2023/1114 of the European Parliament and of the Council with regard to forms, formats and templates for the crypto-asset white papers</t>
  </si>
  <si>
    <t xml:space="preserve">https://eur-lex.europa.eu/legal-content/EN/TXT/?uri=CELEX:32024R2984</t>
  </si>
  <si>
    <t xml:space="preserve">32025R0416</t>
  </si>
  <si>
    <t xml:space="preserve">Commission Delegated Regulation (EU) 2025/416 of 29 November 2024 supplementing Regulation (EU) 2023/1114 of the European Parliament and of the Council with regard to regulatory technical standards specifying the content and format of order book records for crypto-asset service providers operating a trading platform for crypto-assets</t>
  </si>
  <si>
    <t xml:space="preserve">https://eur-lex.europa.eu/legal-content/EN/TXT/?uri=CELEX:32025R0416</t>
  </si>
  <si>
    <t xml:space="preserve">32025R0415</t>
  </si>
  <si>
    <t xml:space="preserve">2024-12-13</t>
  </si>
  <si>
    <t xml:space="preserve">Commission Delegated Regulation (EU) 2025/415 of 13 December 2024 supplementing Regulation (EU) 2023/1114 of the European Parliament and of the Council with regard to regulatory technical standards specifying adjustment of own funds requirement and minimum features of stress testing programmes of issuers of asset-referenced tokens or of e-money tokens</t>
  </si>
  <si>
    <t xml:space="preserve">https://eur-lex.europa.eu/legal-content/EN/TXT/?uri=CELEX:32025R0415</t>
  </si>
  <si>
    <t xml:space="preserve">32025R0418</t>
  </si>
  <si>
    <t xml:space="preserve">2024-12-16</t>
  </si>
  <si>
    <t xml:space="preserve">Commission Delegated Regulation (EU) 2025/418 of 16 December 2024 supplementing Regulation (EU) 2023/1114 of the European Parliament and of the Council with regard to regulatory technical standards specifying the minimum content of the governance arrangements on the remuneration policy of issuers of significant asset-referenced or e-money tokens</t>
  </si>
  <si>
    <t xml:space="preserve">https://eur-lex.europa.eu/legal-content/EN/TXT/?uri=CELEX:32025R0418</t>
  </si>
  <si>
    <t xml:space="preserve">32025R0419</t>
  </si>
  <si>
    <t xml:space="preserve">Commission Delegated Regulation (EU) 2025/419 of 16 December 2024 supplementing Regulation (EU) 2023/1114 of the European Parliament and of the Council with regard to regulatory technical standards specifying the procedure and timeframe for an issuer of asset-referenced tokens or of e-money tokens to adjust the amount of its own funds</t>
  </si>
  <si>
    <t xml:space="preserve">https://eur-lex.europa.eu/legal-content/EN/TXT/?uri=CELEX:32025R0419</t>
  </si>
  <si>
    <t xml:space="preserve">32025R0421</t>
  </si>
  <si>
    <t xml:space="preserve">Commission Delegated Regulation (EU) 2025/421 of 16 December 2024 supplementing Regulation (EU) 2023/1114 of the European Parliament and of the Council with regard to regulatory technical standards specifying the data necessary for the classification of crypto-asset white papers and the practical arrangements to ensure that such data is machine-readable</t>
  </si>
  <si>
    <t xml:space="preserve">https://eur-lex.europa.eu/legal-content/EN/TXT/?uri=CELEX:32025R0421</t>
  </si>
  <si>
    <t xml:space="preserve">32025R0422</t>
  </si>
  <si>
    <t xml:space="preserve">Commission Delegated Regulation (EU) 2025/422 of 17 December 2024 supplementing Regulation (EU) 2023/1114 of the European Parliament and of the Council with regard to regulatory technical standards specifying the content, methodologies and presentation of information in respect of sustainability indicators in relation to adverse impacts on the climate and other environment-related adverse impacts</t>
  </si>
  <si>
    <t xml:space="preserve">https://eur-lex.europa.eu/legal-content/EN/TXT/?uri=CELEX:32025R0422</t>
  </si>
  <si>
    <t xml:space="preserve">32025R0413</t>
  </si>
  <si>
    <t xml:space="preserve">Commission Delegated Regulation (EU) 2025/413 of 18 December 2024 supplementing Regulation (EU) 2023/1114 of the European Parliament and of the Council with regard to regulatory technical standards specifying the detailed content of information necessary to carry out the assessment of a proposed acquisition of a qualifying holding in an issuer of an asset-referenced token</t>
  </si>
  <si>
    <t xml:space="preserve">https://eur-lex.europa.eu/legal-content/EN/TXT/?uri=CELEX:32025R0413</t>
  </si>
  <si>
    <t xml:space="preserve">32025R0414</t>
  </si>
  <si>
    <t xml:space="preserve">Commission Delegated Regulation (EU) 2025/414 of 18 December 2024 supplementing Regulation (EU) 2023/1114 of the European Parliament and of the Council with regard to regulatory technical standards specifying the detailed content of information necessary to carry out the assessment of a proposed acquisition of a qualifying holding in a crypto-asset service provider</t>
  </si>
  <si>
    <t xml:space="preserve">https://eur-lex.europa.eu/legal-content/EN/TXT/?uri=CELEX:32025R0414</t>
  </si>
  <si>
    <t xml:space="preserve">32025R1140</t>
  </si>
  <si>
    <t xml:space="preserve">2025-02-27</t>
  </si>
  <si>
    <t xml:space="preserve">Commission Delegated Regulation (EU) 2025/1140 of 27 February 2025 supplementing Regulation (EU) 2023/1114 of the European Parliament and of the Council with regard to regulatory technical standards specifying records to be kept of all crypto-asset services, activities, orders and transactions undertaken</t>
  </si>
  <si>
    <t xml:space="preserve">https://eur-lex.europa.eu/legal-content/EN/TXT/?uri=CELEX:32025R1140</t>
  </si>
  <si>
    <t xml:space="preserve">32025R1141</t>
  </si>
  <si>
    <t xml:space="preserve">Commission Delegated Regulation (EU) 2025/1141 of 27 February 2025 supplementing Regulation (EU) 2023/1114 of the European Parliament and of the Council as regards regulatory technical standards specifying the requirements for policies and procedures on conflicts of interest for issuers of asset-referenced tokens</t>
  </si>
  <si>
    <t xml:space="preserve">https://eur-lex.europa.eu/legal-content/EN/TXT/?uri=CELEX:32025R1141</t>
  </si>
  <si>
    <t xml:space="preserve">32025R1142</t>
  </si>
  <si>
    <t xml:space="preserve">Commission Delegated Regulation (EU) 2025/1142 of 27 February 2025 supplementing Regulation (EU) 2023/1114 of the European Parliament and of the Council with regard to regulatory technical standards specifying the requirements for policies and procedures on conflicts of interest for crypto-asset service providers and the details and methodology for the content of disclosures on conflicts of interest</t>
  </si>
  <si>
    <t xml:space="preserve">https://eur-lex.europa.eu/legal-content/EN/TXT/?uri=CELEX:32025R1142</t>
  </si>
  <si>
    <t xml:space="preserve">32025R0885</t>
  </si>
  <si>
    <t xml:space="preserve">2025-04-29</t>
  </si>
  <si>
    <t xml:space="preserve">Commission Delegated Regulation (EU) 2025/885 of 29 April 2025 supplementing Regulation (EU) 2023/1114 of the European Parliament and of the Council with regard to regulatory technical standards specifying the arrangements, systems and procedures to prevent, detect and report market abuse, the templates to be used for reporting suspected market abuse, and the coordination procedures between the competent authorities for the detection and sanctioning of market abuse in cross-border market abuse situations</t>
  </si>
  <si>
    <t xml:space="preserve">https://eur-lex.europa.eu/legal-content/EN/TXT/?uri=CELEX:32025R0885</t>
  </si>
  <si>
    <t xml:space="preserve">32025R1125</t>
  </si>
  <si>
    <t xml:space="preserve">2025-06-05</t>
  </si>
  <si>
    <t xml:space="preserve">Commission Delegated Regulation (EU) 2025/1125 of 5 June 2025 supplementing Regulation (EU) 2023/1114 of the European Parliament and of the Council with regard to regulatory technical standards specifying the information in an application for authorisation to offer asset-referenced tokens to the public or to seek their admission to trading</t>
  </si>
  <si>
    <t xml:space="preserve">https://eur-lex.europa.eu/legal-content/EN/TXT/?uri=CELEX:32025R1125</t>
  </si>
  <si>
    <t xml:space="preserve">32025R1126</t>
  </si>
  <si>
    <t xml:space="preserve">Commission Implementing Regulation (EU) 2025/1126 of 5 June 2025 laying down implementing technical standards for the application of Regulation (EU) 2023/1114 of the European Parliament and of the Council with regard to the establishment of standard forms, templates and procedures for the information to be included in the application for authorisation to offer asset-referenced tokens to the public and to seek their admission to trading</t>
  </si>
  <si>
    <t xml:space="preserve">https://eur-lex.europa.eu/legal-content/EN/TXT/?uri=CELEX:32025R1126</t>
  </si>
  <si>
    <t xml:space="preserve">32025R1264</t>
  </si>
  <si>
    <t xml:space="preserve">2025-06-27</t>
  </si>
  <si>
    <t xml:space="preserve">Commission Delegated Regulation (EU) 2025/1264 of 27 June 2025 supplementing Regulation (EU) 2023/1114 of the European Parliament and of the Council with regard to regulatory technical standards specifying the minimum contents of the liquidity management policy and procedures for certain issuers of asset-referenced tokens and e-money tokens</t>
  </si>
  <si>
    <t xml:space="preserve">https://eur-lex.europa.eu/legal-content/EN/TXT/?uri=CELEX:32025R1264</t>
  </si>
  <si>
    <t xml:space="preserve">32024R1502</t>
  </si>
  <si>
    <t xml:space="preserve">Commission Delegated Regulation (EU) 2024/1502 of 22 February 2024 supplementing Regulation (EU) 2022/2554 of the European Parliament and of the Council by specifying the criteria for the designation of ICT third-party service providers as critical for financial entities</t>
  </si>
  <si>
    <t xml:space="preserve">https://eur-lex.europa.eu/legal-content/EN/TXT/?uri=CELEX:32024R1502</t>
  </si>
  <si>
    <t xml:space="preserve">32024R1505</t>
  </si>
  <si>
    <t xml:space="preserve">Commission Delegated Regulation (EU) 2024/1505 of 22 February 2024 supplementing Regulation (EU) 2022/2554 of the European Parliament and of the Council by determining the amount of the oversight fees to be charged by the Lead Overseer to critical ICT third-party service providers and the way in which those fees are to be paid</t>
  </si>
  <si>
    <t xml:space="preserve">https://eur-lex.europa.eu/legal-content/EN/TXT/?uri=CELEX:32024R1505</t>
  </si>
  <si>
    <t xml:space="preserve">32024R1772</t>
  </si>
  <si>
    <t xml:space="preserve">Commission Delegated Regulation (EU) 2024/1772 of 13 March 2024 supplementing Regulation (EU) 2022/2554 of the European Parliament and of the Council with regard to regulatory technical standards specifying the criteria for the classification of ICT-related incidents and cyber threats, setting out materiality thresholds and specifying the details of reports of major incidents</t>
  </si>
  <si>
    <t xml:space="preserve">https://eur-lex.europa.eu/legal-content/EN/TXT/?uri=CELEX:32024R1772</t>
  </si>
  <si>
    <t xml:space="preserve">32024R1773</t>
  </si>
  <si>
    <t xml:space="preserve">Commission Delegated Regulation (EU) 2024/1773 of 13 March 2024 supplementing Regulation (EU) 2022/2554 of the European Parliament and of the Council with regard to regulatory technical standards specifying the detailed content of the policy regarding contractual arrangements on the use of ICT services supporting critical or important functions provided by ICT third-party service providers</t>
  </si>
  <si>
    <t xml:space="preserve">https://eur-lex.europa.eu/legal-content/EN/TXT/?uri=CELEX:32024R1773</t>
  </si>
  <si>
    <t xml:space="preserve">32024R1774</t>
  </si>
  <si>
    <t xml:space="preserve">Commission Delegated Regulation (EU) 2024/1774 of 13 March 2024 supplementing Regulation (EU) 2022/2554 of the European Parliament and of the Council with regard to regulatory technical standards specifying ICT risk management tools, methods, processes, and policies and the simplified ICT risk management framework</t>
  </si>
  <si>
    <t xml:space="preserve">https://eur-lex.europa.eu/legal-content/EN/TXT/?uri=CELEX:32024R1774</t>
  </si>
  <si>
    <t xml:space="preserve">32025R0301</t>
  </si>
  <si>
    <t xml:space="preserve">Commission Delegated Regulation (EU) 2025/301 of 23 October 2024 supplementing Regulation (EU) 2022/2554 of the European Parliament and of the Council with regard to regulatory technical standards specifying the content and time limits for the initial notification of, and intermediate and final report on, major ICT-related incidents, and the content of the voluntary notification for significant cyber threats</t>
  </si>
  <si>
    <t xml:space="preserve">https://eur-lex.europa.eu/legal-content/EN/TXT/?uri=CELEX:32025R0301</t>
  </si>
  <si>
    <t xml:space="preserve">32025R0302</t>
  </si>
  <si>
    <t xml:space="preserve">Commission Implementing Regulation (EU) 2025/302 of 23 October 2024 laying down implementing technical standards for the application of Regulation (EU) 2022/2554 of the European Parliament and of the Council with regard to the standard forms, templates, and procedures for financial entities to report a major ICT-related incident and to notify a significant cyber threat</t>
  </si>
  <si>
    <t xml:space="preserve">https://eur-lex.europa.eu/legal-content/EN/TXT/?uri=CELEX:32025R0302</t>
  </si>
  <si>
    <t xml:space="preserve">32025R0295</t>
  </si>
  <si>
    <t xml:space="preserve">2024-10-24</t>
  </si>
  <si>
    <t xml:space="preserve">Commission Delegated Regulation (EU) 2025/295 of 24 October 2024 supplementing Regulation (EU) 2022/2554 of the European Parliament and of the Council with regard to regulatory technical standards on harmonisation of conditions enabling the conduct of the oversight activities</t>
  </si>
  <si>
    <t xml:space="preserve">https://eur-lex.europa.eu/legal-content/EN/TXT/?uri=CELEX:32025R0295</t>
  </si>
  <si>
    <t xml:space="preserve">32024R2956</t>
  </si>
  <si>
    <t xml:space="preserve">Commission Implementing Regulation (EU) 2024/2956 of 29 November 2024 laying down implementing technical standards for the application of Regulation (EU) 2022/2554 of the European Parliament and of the Council with regard to standard templates for the register of information</t>
  </si>
  <si>
    <t xml:space="preserve">https://eur-lex.europa.eu/legal-content/EN/TXT/?uri=CELEX:32024R2956</t>
  </si>
  <si>
    <t xml:space="preserve">32025R0420</t>
  </si>
  <si>
    <t xml:space="preserve">Commission Delegated Regulation (EU) 2025/420 of 16 December 2024 supplementing Regulation (EU) 2022/2554 of the European Parliament and of the Council with regard to regulatory technical standards to specify the criteria for determining the composition of the joint examination team ensuring a balanced participation of staff members from the ESAs and from the relevant competent authorities, their designation, tasks and working arrangements</t>
  </si>
  <si>
    <t xml:space="preserve">https://eur-lex.europa.eu/legal-content/EN/TXT/?uri=CELEX:32025R0420</t>
  </si>
  <si>
    <t xml:space="preserve">32025R1190</t>
  </si>
  <si>
    <t xml:space="preserve">2025-02-13</t>
  </si>
  <si>
    <t xml:space="preserve">Commission Delegated Regulation (EU) 2025/1190 of 13 February 2025 supplementing Regulation (EU) 2022/2554 of the European Parliament and of the Council with regard to regulatory technical standards specifying the criteria used for identifying financial entities required to perform threat-led penetration testing, the requirements and standards governing the use of internal testers, the requirements in relation to the scope, testing methodology and approach for each phase of the testing, results, closure and remediation stages and the type of supervisory and other relevant cooperation needed for the implementation of TLPT and for the facilitation of mutual recognition</t>
  </si>
  <si>
    <t xml:space="preserve">https://eur-lex.europa.eu/legal-content/EN/TXT/?uri=CELEX:32025R1190</t>
  </si>
  <si>
    <t xml:space="preserve">32025R0532</t>
  </si>
  <si>
    <t xml:space="preserve">2025-03-24</t>
  </si>
  <si>
    <t xml:space="preserve">Commission Delegated Regulation (EU) 2025/532 of 24 March 2025 supplementing Regulation (EU) 2022/2554 of the European Parliament and of the Council with regard to regulatory technical standards specifying the elements that a financial entity has to determine and assess when subcontracting ICT services supporting critical or important functions</t>
  </si>
  <si>
    <t xml:space="preserve">https://eur-lex.europa.eu/legal-content/EN/TXT/?uri=CELEX:32025R0532</t>
  </si>
  <si>
    <t xml:space="preserve">32023R1622</t>
  </si>
  <si>
    <t xml:space="preserve">2023-08-09</t>
  </si>
  <si>
    <t xml:space="preserve">Commission Implementing Regulation (EU) 2023/1622 of 9 August 2023 on the design of common logos to identify data intermediation services providers and data altruism organisations recognised in the Union</t>
  </si>
  <si>
    <t xml:space="preserve">https://eur-lex.europa.eu/legal-content/EN/TXT/?uri=CELEX:32023R1622</t>
  </si>
  <si>
    <t xml:space="preserve">32023R0814</t>
  </si>
  <si>
    <t xml:space="preserve">2023-04-14</t>
  </si>
  <si>
    <t xml:space="preserve">Commission Implementing Regulation (EU) 2023/814 of 14 April 2023 on detailed arrangements for the conduct of certain proceedings by the Commission pursuant to Regulation (EU) 2022/1925 of the European Parliament and of the Council (Text with EEA relevance)</t>
  </si>
  <si>
    <t xml:space="preserve">https://eur-lex.europa.eu/legal-content/EN/TXT/?uri=CELEX:32023R0814</t>
  </si>
  <si>
    <t xml:space="preserve">32023R1127</t>
  </si>
  <si>
    <t xml:space="preserve">2023-03-02</t>
  </si>
  <si>
    <t xml:space="preserve">Commission Delegated Regulation (EU) 2023/1127 of 2 March 2023 supplementing Regulation (EU) 2022/2065 of the European Parliament and of the Council with the detailed methodologies and procedures regarding the supervisory fees charged by the Commission on providers of very large online platforms and very large online search engines (Text with EEA relevance)</t>
  </si>
  <si>
    <t xml:space="preserve">https://eur-lex.europa.eu/legal-content/EN/TXT/?uri=CELEX:32023R1127</t>
  </si>
  <si>
    <t xml:space="preserve">32023R1201</t>
  </si>
  <si>
    <t xml:space="preserve">2023-06-21</t>
  </si>
  <si>
    <t xml:space="preserve">Commission Implementing Regulation (EU) 2023/1201 of 21 June 2023 on detailed arrangements for the conduct of certain proceedings by the Commission pursuant to Regulation (EU) 2022/2065 of the European Parliament and of the Council (‘Digital Services Act’)</t>
  </si>
  <si>
    <t xml:space="preserve">https://eur-lex.europa.eu/legal-content/EN/TXT/?uri=CELEX:32023R1201</t>
  </si>
  <si>
    <t xml:space="preserve">32024R0436</t>
  </si>
  <si>
    <t xml:space="preserve">2023-10-20</t>
  </si>
  <si>
    <t xml:space="preserve">Commission Delegated Regulation (EU) 2024/436 of 20 October 2023 supplementing Regulation (EU) 2022/2065 of the European Parliament and of the Council, by laying down rules on the performance of audits for very large online platforms and very large online search engines</t>
  </si>
  <si>
    <t xml:space="preserve">https://eur-lex.europa.eu/legal-content/EN/TXT/?uri=CELEX:32024R0436</t>
  </si>
  <si>
    <t xml:space="preserve">32024R0607</t>
  </si>
  <si>
    <t xml:space="preserve">2024-02-15</t>
  </si>
  <si>
    <t xml:space="preserve">Commission Implementing Regulation (EU) 2024/607 of 15 February 2024 on the practical and operational arrangements for the functioning of the information sharing system pursuant to Regulation (EU) 2022/2065 of the European Parliament and of the Council (Digital Services Act)</t>
  </si>
  <si>
    <t xml:space="preserve">https://eur-lex.europa.eu/legal-content/EN/TXT/?uri=CELEX:32024R0607</t>
  </si>
  <si>
    <t xml:space="preserve">52024XC03014</t>
  </si>
  <si>
    <t xml:space="preserve">2024-04-26</t>
  </si>
  <si>
    <t xml:space="preserve">Communication from the Commission – Commission Guidelines for providers of Very Large Online Platforms and Very Large Online Search Engines on the mitigation of systemic risks for electoral processes pursuant to Article 35(3) of Regulation (EU) 2022/2065</t>
  </si>
  <si>
    <t xml:space="preserve">https://eur-lex.europa.eu/legal-content/EN/TXT/?uri=CELEX:52024XC03014</t>
  </si>
  <si>
    <t xml:space="preserve">32024R2835</t>
  </si>
  <si>
    <t xml:space="preserve">2024-11-04</t>
  </si>
  <si>
    <t xml:space="preserve">Commission Implementing Regulation (EU) 2024/2835 of 4 November 2024 laying down templates concerning the transparency reporting obligations of providers of intermediary services and of providers of online platforms under Regulation (EU) 2022/2065 of the European Parliament and of the Council</t>
  </si>
  <si>
    <t xml:space="preserve">https://eur-lex.europa.eu/legal-content/EN/TXT/?uri=CELEX:32024R2835</t>
  </si>
  <si>
    <t xml:space="preserve">32025R2050</t>
  </si>
  <si>
    <t xml:space="preserve">2025-07-01</t>
  </si>
  <si>
    <t xml:space="preserve">Commission Delegated Regulation (EU) 2025/2050 of 1 July 2025 supplementing Regulation (EU) 2022/2065 of the European Parliament and of the Council by laying down the technical conditions and procedures under which providers of very large online platforms and of very large online search engines are to share data with vetted researchers</t>
  </si>
  <si>
    <t xml:space="preserve">https://eur-lex.europa.eu/legal-content/EN/TXT/?uri=CELEX:32025R2050</t>
  </si>
  <si>
    <t xml:space="preserve">52025XC05519</t>
  </si>
  <si>
    <t xml:space="preserve">2025-10-10</t>
  </si>
  <si>
    <t xml:space="preserve">Communication from the Commission – Guidelines on measures to ensure a high level of privacy, safety and security for minors online, pursuant to Article 28(4) of Regulation (EU) 2022/2065</t>
  </si>
  <si>
    <t xml:space="preserve">https://eur-lex.europa.eu/legal-content/EN/TXT/?uri=CELEX:52025XC05519</t>
  </si>
  <si>
    <t xml:space="preserve">52023XC0914(01)</t>
  </si>
  <si>
    <t xml:space="preserve">GUIDELINE</t>
  </si>
  <si>
    <t xml:space="preserve">2023-09-14</t>
  </si>
  <si>
    <t xml:space="preserve">Communication from the Commission Commission Guidelines on the application of Article 3(4) of Directive (EU) 2022/2555 (NIS 2 Directive) 2023/C 324/02</t>
  </si>
  <si>
    <t xml:space="preserve">https://eur-lex.europa.eu/legal-content/EN/TXT/?uri=CELEX:52023XC0914(01)</t>
  </si>
  <si>
    <t xml:space="preserve">52023XC0918(01)</t>
  </si>
  <si>
    <t xml:space="preserve">Communication from the Commission Commission Guidelines on the application of Article 4 (1) and (2) of Directive (EU) 2022/2555 (NIS 2 Directive) 2023/C 328/02</t>
  </si>
  <si>
    <t xml:space="preserve">https://eur-lex.europa.eu/legal-content/EN/TXT/?uri=CELEX:52023XC0918(01)</t>
  </si>
  <si>
    <t xml:space="preserve">32024H1101</t>
  </si>
  <si>
    <t xml:space="preserve">Commission Recommendation (EU) 2024/1101 of 11 April 2024 on a Coordinated Implementation Roadmap for the transition to Post-Quantum Cryptography</t>
  </si>
  <si>
    <t xml:space="preserve">https://eur-lex.europa.eu/legal-content/EN/TXT/?uri=CELEX:32024H1101</t>
  </si>
  <si>
    <t xml:space="preserve">32024R2690</t>
  </si>
  <si>
    <t xml:space="preserve">2024-10-17</t>
  </si>
  <si>
    <t xml:space="preserve">Commission Implementing Regulation (EU) 2024/2690 of 17 October 2024 laying down rules for the application of Directive (EU) 2022/2555 as regards technical and methodological requirements of cybersecurity risk-management measures and further specification of the cases in which an incident is considered to be significant with regard to DNS service providers, TLD name registries, cloud computing service providers, data centre service providers, content delivery network providers, managed service providers, managed security service providers, providers of online market places, of online search engines and of social networking services platforms, and trust service providers</t>
  </si>
  <si>
    <t xml:space="preserve">https://eur-lex.europa.eu/legal-content/EN/TXT/?uri=CELEX:32024R2690</t>
  </si>
  <si>
    <t xml:space="preserve">32025R0454</t>
  </si>
  <si>
    <t xml:space="preserve">2025-03-07</t>
  </si>
  <si>
    <t xml:space="preserve">Commission Implementing Regulation (EU) 2025/454 of 7 March 2025 laying down the rules for the application of Regulation (EU) 2024/1689 of the European Parliament and of the Council as regards the establishment of a scientific panel of independent experts in the field of artificial intelligence</t>
  </si>
  <si>
    <t xml:space="preserve">https://eur-lex.europa.eu/legal-content/EN/TXT/?uri=CELEX:32025R0454</t>
  </si>
  <si>
    <t xml:space="preserve">32026R1755</t>
  </si>
  <si>
    <t xml:space="preserve">2026-07-20</t>
  </si>
  <si>
    <t xml:space="preserve">Commission Implementing Regulation (EU) 2026/1755 of 20 July 2026 on detailed arrangements for the conduct of certain proceedings by the Commission pursuant to Regulation (EU) 2024/1689 of the European Parliament and of the Council</t>
  </si>
  <si>
    <t xml:space="preserve">https://eur-lex.europa.eu/legal-content/EN/TXT/?uri=CELEX:32026R1755</t>
  </si>
  <si>
    <t xml:space="preserve">32024R1922</t>
  </si>
  <si>
    <t xml:space="preserve">Commission Implementing Regulation (EU) 2024/1922 of 12 July 2024 setting out the template for the collection by the Member States of the data and the information referred to in Article 6(5), points (a) to (d), of Regulation (EU) 2023/1230 of the European Parliament and of the Council</t>
  </si>
  <si>
    <t xml:space="preserve">https://eur-lex.europa.eu/legal-content/EN/TXT/?uri=CELEX:32024R1922</t>
  </si>
  <si>
    <t xml:space="preserve">52024XC06142</t>
  </si>
  <si>
    <t xml:space="preserve">2024-10-14</t>
  </si>
  <si>
    <t xml:space="preserve">Commission Notice – Guidance to the Member States for the collection of the data and the information referred to in Article 6 (5), points (a) to (d), of Regulation (EU) 2023/1230 of the European Parliament and the Council</t>
  </si>
  <si>
    <t xml:space="preserve">https://eur-lex.europa.eu/legal-content/EN/TXT/?uri=CELEX:52024XC06142</t>
  </si>
  <si>
    <t xml:space="preserve">32023R1441</t>
  </si>
  <si>
    <t xml:space="preserve">Commission Implementing Regulation (EU) 2023/1441 of 10 July 2023 on detailed arrangements for the conduct of proceedings by the Commission pursuant to Regulation (EU) 2022/2560 of the European Parliament and of the Council on foreign subsidies distorting the internal market</t>
  </si>
  <si>
    <t xml:space="preserve">https://eur-lex.europa.eu/legal-content/EN/TXT/?uri=CELEX:32023R1441</t>
  </si>
  <si>
    <t xml:space="preserve">32023R2414</t>
  </si>
  <si>
    <t xml:space="preserve">2023-10-25</t>
  </si>
  <si>
    <t xml:space="preserve">Commission Implementing Regulation (EU) 2023/2414 of 25 October 2023 correcting Implementing Regulation (EU) 2023/1441 on detailed arrangements for the conduct of proceedings by the Commission pursuant to Regulation (EU) 2022/2560 of the European Parliament and of the Council on foreign subsidies distorting the internal market</t>
  </si>
  <si>
    <t xml:space="preserve">https://eur-lex.europa.eu/legal-content/EN/TXT/?uri=CELEX:32023R2414</t>
  </si>
  <si>
    <t xml:space="preserve">52026XC00224</t>
  </si>
  <si>
    <t xml:space="preserve">2026-01-13</t>
  </si>
  <si>
    <t xml:space="preserve">Communication from the Commission – Guidelines on the application of certain provisions of Regulation (EU) 2022/2560 of the European Parliament and of the Council on foreign subsidies distorting the internal market</t>
  </si>
  <si>
    <t xml:space="preserve">https://eur-lex.europa.eu/legal-content/EN/TXT/?uri=CELEX:52026XC00224</t>
  </si>
  <si>
    <t xml:space="preserve">32024R1435</t>
  </si>
  <si>
    <t xml:space="preserve">Commission Implementing Regulation (EU) 2024/1435 of 24 May 2024 laying down rules for the application of Regulation (EU) 2023/988 of the European Parliament and of the Council as regards establishing the template for a recall notice</t>
  </si>
  <si>
    <t xml:space="preserve">https://eur-lex.europa.eu/legal-content/EN/TXT/?uri=CELEX:32024R1435</t>
  </si>
  <si>
    <t xml:space="preserve">32024R1459</t>
  </si>
  <si>
    <t xml:space="preserve">Commission Implementing Regulation (EU) 2024/1459 of 27 May 2024 laying down rules for the application of Regulation (EU) 2023/988 of the European Parliament and of the Council as regards the implementation of the interoperable interface of the Safety Gate Portal for providers of online marketplaces</t>
  </si>
  <si>
    <t xml:space="preserve">https://eur-lex.europa.eu/legal-content/EN/TXT/?uri=CELEX:32024R1459</t>
  </si>
  <si>
    <t xml:space="preserve">32024R1740</t>
  </si>
  <si>
    <t xml:space="preserve">2024-06-21</t>
  </si>
  <si>
    <t xml:space="preserve">Commission Implementing Regulation (EU) 2024/1740 of 21 June 2024 laying down the rules for the application of Regulation (EU) 2023/988 of the European Parliament and of the Council as regards the modalities for consumers and other interested parties to inform the Commission of products that might present a risk to the health and safety of consumers and for the transmission of such information to the national authorities concerned</t>
  </si>
  <si>
    <t xml:space="preserve">https://eur-lex.europa.eu/legal-content/EN/TXT/?uri=CELEX:32024R1740</t>
  </si>
  <si>
    <t xml:space="preserve">32024R3173</t>
  </si>
  <si>
    <t xml:space="preserve">2024-08-27</t>
  </si>
  <si>
    <t xml:space="preserve">Commission Delegated Regulation (EU) 2024/3173 of 27 August 2024 supplementing Regulation (EU) 2023/988 supplementing Regulation (EU) 2023/988 of the European Parliament and of the Council with regard to rules on access to and operation of the Safety Gate Rapid Alert System, information to be entered in that System, notification requirements and the criteria for assessment of the level of risk</t>
  </si>
  <si>
    <t xml:space="preserve">https://eur-lex.europa.eu/legal-content/EN/TXT/?uri=CELEX:32024R3173</t>
  </si>
  <si>
    <t xml:space="preserve">32024R2639</t>
  </si>
  <si>
    <t xml:space="preserve">Commission Implementing Regulation (EU) 2024/2639 of 9 October 2024 laying down rules for the application of Regulation (EU) 2023/988 of the European Parliament and of the Council as regards the roles and tasks of the single national contact points of the Safety Gate Rapid Alert System</t>
  </si>
  <si>
    <t xml:space="preserve">https://eur-lex.europa.eu/legal-content/EN/TXT/?uri=CELEX:32024R2639</t>
  </si>
  <si>
    <t xml:space="preserve">32024R2958</t>
  </si>
  <si>
    <t xml:space="preserve">Commission Implementing Regulation (EU) 2024/2958 of 29 November 2024 determining the output indicators relevant for Regulation (EU) 2023/988 of the European Parliament and of the Council on general product safety</t>
  </si>
  <si>
    <t xml:space="preserve">https://eur-lex.europa.eu/legal-content/EN/TXT/?uri=CELEX:32024R2958</t>
  </si>
  <si>
    <t xml:space="preserve">52025XC06233</t>
  </si>
  <si>
    <t xml:space="preserve">2025-11-21</t>
  </si>
  <si>
    <t xml:space="preserve">Commission notice – Guidelines on the application of the EU general product safety legislative framework by businesses</t>
  </si>
  <si>
    <t xml:space="preserve">https://eur-lex.europa.eu/legal-content/EN/TXT/?uri=CELEX:52025XC06233</t>
  </si>
  <si>
    <t xml:space="preserve">52025XC06238</t>
  </si>
  <si>
    <t xml:space="preserve">Commission Notice – Guidelines for the practical implementation of the Safety Business Gateway under Article 27(2) of Regulation (EU) 2023/988</t>
  </si>
  <si>
    <t xml:space="preserve">https://eur-lex.europa.eu/legal-content/EN/TXT/?uri=CELEX:52025XC06238</t>
  </si>
  <si>
    <t xml:space="preserve">52022XC0630(01)</t>
  </si>
  <si>
    <t xml:space="preserve">2022-06-30</t>
  </si>
  <si>
    <t xml:space="preserve">Communication from the Commission COMMISSION NOTICE Guidelines on vertical restraints 2022/C 248/01</t>
  </si>
  <si>
    <t xml:space="preserve">https://eur-lex.europa.eu/legal-content/EN/TXT/?uri=CELEX:52022XC0630(01)</t>
  </si>
  <si>
    <t xml:space="preserve">32023D1353</t>
  </si>
  <si>
    <t xml:space="preserve">2023-06-30</t>
  </si>
  <si>
    <t xml:space="preserve">Commission Implementing Decision (EU) 2023/1353 of 30 June 2023 setting out key performance indicators to measure the progress towards the digital targets established by Article 4(1) of Decision (EU) 2022/2481 of the European Parliament and of the Council</t>
  </si>
  <si>
    <t xml:space="preserve">https://eur-lex.europa.eu/legal-content/EN/TXT/?uri=CELEX:32023D1353</t>
  </si>
  <si>
    <t xml:space="preserve">52023XC0630(01)</t>
  </si>
  <si>
    <t xml:space="preserve">Communication from the Commission Guidance to the Member States on the preparation of the national Digital Decade strategic roadmaps 2023/C 230/04</t>
  </si>
  <si>
    <t xml:space="preserve">https://eur-lex.europa.eu/legal-content/EN/TXT/?uri=CELEX:52023XC0630(01)</t>
  </si>
  <si>
    <t xml:space="preserve">32024D0458</t>
  </si>
  <si>
    <t xml:space="preserve">2024-02-01</t>
  </si>
  <si>
    <t xml:space="preserve">Commission Implementing Decision (EU) 2024/458 of 1 February 2024 on setting up the European Digital Infrastructure Consortium for the Alliance for Language Technologies (ALT-EDIC)</t>
  </si>
  <si>
    <t xml:space="preserve">https://eur-lex.europa.eu/legal-content/EN/TXT/?uri=CELEX:32024D0458</t>
  </si>
  <si>
    <t xml:space="preserve">32024D0459</t>
  </si>
  <si>
    <t xml:space="preserve">Commission Implementing Decision (EU) 2024/459 of 1 February 2024 on setting up the European Digital Infrastructure Consortium for Networked Local Digital Twins towards the CitiVERSE (LDT CitiVERSE EDIC)</t>
  </si>
  <si>
    <t xml:space="preserve">https://eur-lex.europa.eu/legal-content/EN/TXT/?uri=CELEX:32024D0459</t>
  </si>
  <si>
    <t xml:space="preserve">32024D1432</t>
  </si>
  <si>
    <t xml:space="preserve">2024-05-21</t>
  </si>
  <si>
    <t xml:space="preserve">Commission Implementing Decision (EU) 2024/1432 of 21 May 2024 setting up the European Digital Infrastructure Consortium for European Blockchain Partnership and European Blockchain Service Infrastructure (EUROPEUM-EDIC)</t>
  </si>
  <si>
    <t xml:space="preserve">https://eur-lex.europa.eu/legal-content/EN/TXT/?uri=CELEX:32024D1432</t>
  </si>
  <si>
    <t xml:space="preserve">32025D2170</t>
  </si>
  <si>
    <t xml:space="preserve">2025-10-29</t>
  </si>
  <si>
    <t xml:space="preserve">Commission Implementing Decision (EU) 2025/2170 of 29 October 2025 setting up the European Digital Infrastructure Consortium for Digital Commons (DC-EDIC)</t>
  </si>
  <si>
    <t xml:space="preserve">https://eur-lex.europa.eu/legal-content/EN/TXT/?uri=CELEX:32025D2170</t>
  </si>
  <si>
    <t xml:space="preserve">32025D2414</t>
  </si>
  <si>
    <t xml:space="preserve">Commission Implementing Decision (EU) 2025/2414 of 2 December 2025 setting up the European Digital Infrastructure Consortium for Innovative Massive Public Administration interConnected Transformation Services (IMPACTS-EDIC)</t>
  </si>
  <si>
    <t xml:space="preserve">https://eur-lex.europa.eu/legal-content/EN/TXT/?uri=CELEX:32025D2414</t>
  </si>
  <si>
    <t xml:space="preserve">32026D1416</t>
  </si>
  <si>
    <t xml:space="preserve">2026-06-30</t>
  </si>
  <si>
    <t xml:space="preserve">Commission Implementing Decision (EU) 2026/1416 of 30 June 2026 setting up the European Digital Infrastructure Consortium for Cybersecurity Skills Coalition (CSC-EDIC)</t>
  </si>
  <si>
    <t xml:space="preserve">https://eur-lex.europa.eu/legal-content/EN/TXT/?uri=CELEX:32026D1416</t>
  </si>
  <si>
    <t xml:space="preserve">32026D1978</t>
  </si>
  <si>
    <t xml:space="preserve">2026-09-08</t>
  </si>
  <si>
    <t xml:space="preserve">Commission Implementing Decision (EU) 2026/1978 of 8 September 2026 setting up the European Digital Infrastructure Consortium for Agri-Food (EDIC for Agri-Food)</t>
  </si>
  <si>
    <t xml:space="preserve">https://eur-lex.europa.eu/legal-content/EN/TXT/?uri=CELEX:32026D1978</t>
  </si>
  <si>
    <t xml:space="preserve">32025R1410</t>
  </si>
  <si>
    <t xml:space="preserve">2025-07-09</t>
  </si>
  <si>
    <t xml:space="preserve">Commission Implementing Regulation (EU) 2025/1410 of 9 July 2025 on the format, template and technical specifications of the labels and transparency notices of political advertisements in accordance with Articles 11 and 12 of Regulation (EU) 2024/900 of the European Parliament and of the Council</t>
  </si>
  <si>
    <t xml:space="preserve">https://eur-lex.europa.eu/legal-content/EN/TXT/?uri=CELEX:32025R1410</t>
  </si>
  <si>
    <t xml:space="preserve">52025XC05514</t>
  </si>
  <si>
    <t xml:space="preserve">Communication from the Commission – Guidelines to support the implementation of Regulation (EU) 2024/900 on the transparency and targeting of political advertising</t>
  </si>
  <si>
    <t xml:space="preserve">https://eur-lex.europa.eu/legal-content/EN/TXT/?uri=CELEX:52025XC05514</t>
  </si>
  <si>
    <t xml:space="preserve">32026R0818</t>
  </si>
  <si>
    <t xml:space="preserve">2026-04-09</t>
  </si>
  <si>
    <t xml:space="preserve">Commission Implementing Regulation (EU) 2026/818 of 9 April 2026 setting out detailed arrangements for the provision of a common data structure, standardised metadata, standardised authentication and common application programming interface for the European repository for online political advertisements in accordance with Regulation (EU) 2024/900 of the European Parliament and of the Council</t>
  </si>
  <si>
    <t xml:space="preserve">https://eur-lex.europa.eu/legal-content/EN/TXT/?uri=CELEX:32026R0818</t>
  </si>
  <si>
    <t xml:space="preserve">32026R0101</t>
  </si>
  <si>
    <t xml:space="preserve">Commission Implementing Regulation (EU) 2026/101 of 15 January 2026 on setting out the technical specifications and other requirements for the decentralised IT system, as referenced in Regulation (EU) 2023/2844 of the European Parliament and of the Council, in relation to the procedures established by the legal acts listed in points 3 and 4 of Annex I, the legal acts listed in points 1, 10 and 11 of Annex II to that Regulation, and to the procedure established by Article 19a of Regulation (EU) 2020/1784 of the European Parliament and of the Council, as introduced by Article 24(3) of Regulation (EU) 2023/2844 of the European Parliament and of the Council for the electronic service of documents through the European electronic access point</t>
  </si>
  <si>
    <t xml:space="preserve">https://eur-lex.europa.eu/legal-content/EN/TXT/?uri=CELEX:32026R0101</t>
  </si>
  <si>
    <t xml:space="preserve">32026R0102</t>
  </si>
  <si>
    <t xml:space="preserve">Commission Implementing Regulation (EU) 2026/102 of 15 January 2026 on setting out the technical specifications for the European electronic access point, as referenced in Regulation (EU) 2023/2844 of the European Parliament and of the Council</t>
  </si>
  <si>
    <t xml:space="preserve">https://eur-lex.europa.eu/legal-content/EN/TXT/?uri=CELEX:32026R0102</t>
  </si>
  <si>
    <t xml:space="preserve">52024XC04911</t>
  </si>
  <si>
    <t xml:space="preserve">2024-08-20</t>
  </si>
  <si>
    <t xml:space="preserve">Communication from the Commission on the Guidance on the application for an undertaking to obtain the status of integrated production facility and open EU foundry pursuant to Article 15 of the Chips Act Regulation (EU) 2023/1781</t>
  </si>
  <si>
    <t xml:space="preserve">https://eur-lex.europa.eu/legal-content/EN/TXT/?uri=CELEX:52024XC04911</t>
  </si>
  <si>
    <t xml:space="preserve">32023D1053</t>
  </si>
  <si>
    <t xml:space="preserve">2023-05-30</t>
  </si>
  <si>
    <t xml:space="preserve">Commission Implementing Decision (EU) 2023/1053 of 30 May 2023 laying down rules for the application of Regulation (EU) 2023/588 of the European Parliament and of the Council as regards operational requirements for governmental services provided under Union Secure Connectivity Programme and its service portfolio</t>
  </si>
  <si>
    <t xml:space="preserve">https://eur-lex.europa.eu/legal-content/EN/TXT/?uri=CELEX:32023D1053</t>
  </si>
  <si>
    <t xml:space="preserve">32024D1067</t>
  </si>
  <si>
    <t xml:space="preserve">2024-04-12</t>
  </si>
  <si>
    <t xml:space="preserve">Commission Implementing Decision (EU) 2024/1067 of 12 April 2024 laying down rules for the application of Regulation (EU) 2023/588 of the European Parliament and of the Council as regards the location of the control centres belonging to the ground infrastructure of the Union Secure Connectivity Programme</t>
  </si>
  <si>
    <t xml:space="preserve">https://eur-lex.europa.eu/legal-content/EN/TXT/?uri=CELEX:32024D1067</t>
  </si>
  <si>
    <t xml:space="preserve">52025XC05026</t>
  </si>
  <si>
    <t xml:space="preserve">2025-09-15</t>
  </si>
  <si>
    <t xml:space="preserve">Communication from the Commission – Guidance on vehicle data, accompanying Regulation (EU) 2023/2854 of the European Parliament and of the Council (Data Act)</t>
  </si>
  <si>
    <t xml:space="preserve">https://eur-lex.europa.eu/legal-content/EN/TXT/?uri=CELEX:52025XC05026</t>
  </si>
  <si>
    <t xml:space="preserve">32026R0002</t>
  </si>
  <si>
    <t xml:space="preserve">Commission Implementing Regulation (EU) 2026/2 of 9 February 2026 laying down rules for the application of Regulation (EU) 2024/1781 of the European Parliament and of the Council as regards the details and format for the disclosure of information on discarded unsold consumer products</t>
  </si>
  <si>
    <t xml:space="preserve">https://eur-lex.europa.eu/legal-content/EN/TXT/?uri=CELEX:32026R0002</t>
  </si>
  <si>
    <t xml:space="preserve">32026R0296</t>
  </si>
  <si>
    <t xml:space="preserve">Commission Delegated Regulation (EU) 2026/296 of 9 February 2026 supplementing Regulation (EU) 2024/1781 of the European Parliament and of the Council by setting out derogations from the prohibition of destruction of unsold consumer products</t>
  </si>
  <si>
    <t xml:space="preserve">https://eur-lex.europa.eu/legal-content/EN/TXT/?uri=CELEX:32026R0296</t>
  </si>
  <si>
    <t xml:space="preserve">32026R1778</t>
  </si>
  <si>
    <t xml:space="preserve">2026-07-16</t>
  </si>
  <si>
    <t xml:space="preserve">Commission Implementing Regulation (EU) 2026/1778 of 16 July 2026 laying down the implementation arrangements for the digital product passport registry set up under Regulation (EU) 2024/1781 of the European Parliament and of the Council</t>
  </si>
  <si>
    <t xml:space="preserve">https://eur-lex.europa.eu/legal-content/EN/TXT/?uri=CELEX:32026R1778</t>
  </si>
  <si>
    <t xml:space="preserve">32026R0771</t>
  </si>
  <si>
    <t xml:space="preserve">Commission Implementing Regulation (EU) 2026/771 of 7 April 2026 laying down the necessary measures for the establishment and operation of the European Health Data Space Board</t>
  </si>
  <si>
    <t xml:space="preserve">https://eur-lex.europa.eu/legal-content/EN/TXT/?uri=CELEX:32026R0771</t>
  </si>
  <si>
    <t xml:space="preserve">32026R2083</t>
  </si>
  <si>
    <t xml:space="preserve">2026-09-18</t>
  </si>
  <si>
    <t xml:space="preserve">Commission Implementing Regulation (EU) 2026/2083 of 18 September 2026 on MyHealth@EU</t>
  </si>
  <si>
    <t xml:space="preserve">https://eur-lex.europa.eu/legal-content/EN/TXT/?uri=CELEX:32026R2083</t>
  </si>
  <si>
    <t xml:space="preserve">32026R2098</t>
  </si>
  <si>
    <t xml:space="preserve">Commission Implementing Regulation (EU) 2026/2098 of 18 September 2026 laying down the minimum metadata elements and their characteristics to be provided by health data holders for dataset descriptions for the secondary use of electronic health data under Article 77(4) of Regulation (EU) 2025/327 establishing the European Health Data Space</t>
  </si>
  <si>
    <t xml:space="preserve">https://eur-lex.europa.eu/legal-content/EN/TXT/?uri=CELEX:32026R2098</t>
  </si>
  <si>
    <t xml:space="preserve">32026R2099</t>
  </si>
  <si>
    <t xml:space="preserve">2026-09-21</t>
  </si>
  <si>
    <t xml:space="preserve">Commission Implementing Regulation (EU) 2026/2099 of 21 September 2026 on an interoperable, cross-border identification and authentication mechanism for natural persons, health professionals and healthcare providers for the purposes of the cross-border exchange of personal electronic health data</t>
  </si>
  <si>
    <t xml:space="preserve">https://eur-lex.europa.eu/legal-content/EN/TXT/?uri=CELEX:32026R2099</t>
  </si>
  <si>
    <t xml:space="preserve">32025R1535</t>
  </si>
  <si>
    <t xml:space="preserve">Commission Delegated Regulation (EU) 2025/1535 of 29 July 2025 supplementing Regulation (EU) 2024/2847 of the European Parliament and of the Council with regard to an exclusion from the application of that Regulation for certain products with digital elements falling within the scope of Regulation (EU) No 168/2013 of the European Parliament and of the Council</t>
  </si>
  <si>
    <t xml:space="preserve">https://eur-lex.europa.eu/legal-content/EN/TXT/?uri=CELEX:32025R1535</t>
  </si>
  <si>
    <t xml:space="preserve">32025R2392</t>
  </si>
  <si>
    <t xml:space="preserve">2025-11-28</t>
  </si>
  <si>
    <t xml:space="preserve">Commission Implementing Regulation (EU) 2025/2392 of 28 November 2025 on the technical description of the categories of important and critical products with digital elements pursuant to Regulation (EU) 2024/2847 of the European Parliament and of the Council</t>
  </si>
  <si>
    <t xml:space="preserve">https://eur-lex.europa.eu/legal-content/EN/TXT/?uri=CELEX:32025R2392</t>
  </si>
  <si>
    <t xml:space="preserve">32026R0881</t>
  </si>
  <si>
    <t xml:space="preserve">2025-12-11</t>
  </si>
  <si>
    <t xml:space="preserve">Commission Delegated Regulation (EU) 2026/881 of 11 December 2025 supplementing Regulation (EU) 2024/2847 of the European Parliament and of the Council by specifying the terms and conditions for applying the cybersecurity-related grounds in relation to delaying the dissemination of notifications</t>
  </si>
  <si>
    <t xml:space="preserve">https://eur-lex.europa.eu/legal-content/EN/TXT/?uri=CELEX:32026R0881</t>
  </si>
  <si>
    <t xml:space="preserve">52026XC00901</t>
  </si>
  <si>
    <t xml:space="preserve">2026-02-11</t>
  </si>
  <si>
    <t xml:space="preserve">Communication from the Commission – Commission guidelines on the implementation of the declaration functionality for media service providers pursuant to Article 18 (1) of Regulation (EU) 2024/1083 (European Media Freedom Act)</t>
  </si>
  <si>
    <t xml:space="preserve">https://eur-lex.europa.eu/legal-content/EN/TXT/?uri=CELEX:52026XC00901</t>
  </si>
  <si>
    <t xml:space="preserve">32025R1420</t>
  </si>
  <si>
    <t xml:space="preserve">2025-07-17</t>
  </si>
  <si>
    <t xml:space="preserve">Commission Implementing Regulation (EU) 2025/1420 of 17 July 2025 laying down rules for the application of Regulation (EU) 2024/903 of the European Parliament and of the Council, as regards the establishment and the operation of the interoperability regulatory sandboxes</t>
  </si>
  <si>
    <t xml:space="preserve">https://eur-lex.europa.eu/legal-content/EN/TXT/?uri=CELEX:32025R1420</t>
  </si>
  <si>
    <t xml:space="preserve">32025R2194</t>
  </si>
  <si>
    <t xml:space="preserve">2025-10-28</t>
  </si>
  <si>
    <t xml:space="preserve">Commission Implementing Regulation (EU) 2025/2194 of 28 October 2025 establishing a single template to be used by project promoters for the application for recognition of a critical raw material project as a Strategic Project in accordance with Regulation (EU) 2024/1252 of the European Parliament and of the Council</t>
  </si>
  <si>
    <t xml:space="preserve">https://eur-lex.europa.eu/legal-content/EN/TXT/?uri=CELEX:32025R2194</t>
  </si>
  <si>
    <t xml:space="preserve">32026R1116</t>
  </si>
  <si>
    <t xml:space="preserve">2026-05-26</t>
  </si>
  <si>
    <t xml:space="preserve">Commission Implementing Regulation (EU) 2026/1116 of 26 May 2026 listing the products, components and waste streams considered as having a relevant critical raw materials recovery potential under Regulation (EU) 2024/1252</t>
  </si>
  <si>
    <t xml:space="preserve">https://eur-lex.europa.eu/legal-content/EN/TXT/?uri=CELEX:32026R1116</t>
  </si>
  <si>
    <t xml:space="preserve">32025R1477</t>
  </si>
  <si>
    <t xml:space="preserve">2025-05-21</t>
  </si>
  <si>
    <t xml:space="preserve">Commission Delegated Regulation (EU) 2025/1477 of 21 May 2025 supplementing Regulation (EU) 2024/1735 of the European Parliament and of the Council by specifying the rules on the identification of authorised oil and gas producers who are required to contribute to the objective of reaching the Union target for available CO2 injection capacity by 2030, on the calculation of their respective contributions, and on their reporting obligations</t>
  </si>
  <si>
    <t xml:space="preserve">https://eur-lex.europa.eu/legal-content/EN/TXT/?uri=CELEX:32025R1477</t>
  </si>
  <si>
    <t xml:space="preserve">32025D1100</t>
  </si>
  <si>
    <t xml:space="preserve">Commission Implementing Decision (EU) 2025/1100 of 23 May 2025 adopting guidelines for the implementation of certain selection criteria for net-zero strategic projects laid down in Article 13 of Regulation (EU) 2024/1735 of the European Parliament and of the Council</t>
  </si>
  <si>
    <t xml:space="preserve">https://eur-lex.europa.eu/legal-content/EN/TXT/?uri=CELEX:32025D1100</t>
  </si>
  <si>
    <t xml:space="preserve">32025R1176</t>
  </si>
  <si>
    <t xml:space="preserve">Commission Implementing Regulation (EU) 2025/1176 of 23 May 2025 specifying the pre-qualification and award criteria for auctions for the deployment of energy from renewable sources</t>
  </si>
  <si>
    <t xml:space="preserve">https://eur-lex.europa.eu/legal-content/EN/TXT/?uri=CELEX:32025R1176</t>
  </si>
  <si>
    <t xml:space="preserve">32025R1178</t>
  </si>
  <si>
    <t xml:space="preserve">Commission Implementing Regulation (EU) 2025/1178 of 23 May 2025 on laying down rules for the application of Regulation (EU) 2024/1735 of the European Parliament and of the Council as regards the list of net-zero technology final products and their main specific components for the purposes of assessing the contribution to resilience</t>
  </si>
  <si>
    <t xml:space="preserve">https://eur-lex.europa.eu/legal-content/EN/TXT/?uri=CELEX:32025R1178</t>
  </si>
  <si>
    <t xml:space="preserve">32025R1463</t>
  </si>
  <si>
    <t xml:space="preserve">Commission Delegated Regulation (EU) 2025/1463 of 23 May 2025 amending Regulation (EU) 2024/1735 of the European Parliament and of the Council as regards the identification of sub-categories within net-zero technologies and the list of specific components used for those technologies</t>
  </si>
  <si>
    <t xml:space="preserve">https://eur-lex.europa.eu/legal-content/EN/TXT/?uri=CELEX:32025R1463</t>
  </si>
  <si>
    <t xml:space="preserve">52026XC00123</t>
  </si>
  <si>
    <t xml:space="preserve">2026-01-07</t>
  </si>
  <si>
    <t xml:space="preserve">Communication from the Commission – Guidance on the implementation of Article 28 of Regulation (EU) 2024/1735 establishing a framework of measures for strengthening Europe’s net-zero technology manufacturing ecosystem and amending Regulation (EU) 2018/1724 (NZIA)</t>
  </si>
  <si>
    <t xml:space="preserve">https://eur-lex.europa.eu/legal-content/EN/TXT/?uri=CELEX:52026XC00123</t>
  </si>
  <si>
    <t xml:space="preserve">32026R0718</t>
  </si>
  <si>
    <t xml:space="preserve">2026-03-20</t>
  </si>
  <si>
    <t xml:space="preserve">Commission Implementing Regulation (EU) 2026/718 of 20 March 2026 laying down rules for the application of Regulation (EU) 2024/1735 of the European Parliament and of the Council as regards minimum environmental sustainability requirements for public procurement procedures involving certain net-zero technologies</t>
  </si>
  <si>
    <t xml:space="preserve">https://eur-lex.europa.eu/legal-content/EN/TXT/?uri=CELEX:32026R0718</t>
  </si>
  <si>
    <t xml:space="preserve">52026XC04113</t>
  </si>
  <si>
    <t xml:space="preserve">2026-07-29</t>
  </si>
  <si>
    <t xml:space="preserve">Communication from the Commission – Guidance on Article 26 of Regulation (EU) 2024/1735 on establishing a framework of measures for strengthening Europe’s net-zero zero technology manufacturing ecosystem and amending Regulation (EU) 2018/1724</t>
  </si>
  <si>
    <t xml:space="preserve">https://eur-lex.europa.eu/legal-content/EN/TXT/?uri=CELEX:52026XC04113</t>
  </si>
  <si>
    <t xml:space="preserve">52026XC04623</t>
  </si>
  <si>
    <t xml:space="preserve">2026-08-31</t>
  </si>
  <si>
    <t xml:space="preserve">Communication from the Commission – Guidance on the application of Article 25 of Regulation (EU) 2024/1735 of the European Parliament and of the Council on establishing a framework of measures for strengthening Europe’s net-zero technology manufacturing ecosystem and amending Regulation (EU) 2018/1724</t>
  </si>
  <si>
    <t xml:space="preserve">https://eur-lex.europa.eu/legal-content/EN/TXT/?uri=CELEX:52026XC04623</t>
  </si>
  <si>
    <t xml:space="preserve">32026L0074</t>
  </si>
  <si>
    <t xml:space="preserve">DIR_DEL</t>
  </si>
  <si>
    <t xml:space="preserve">Commission Delegated Directive (EU) 2026/74 of 12 January 2026 amending Annex II to Directive (EU) 2024/1799 of the European Parliament and of the Council promoting the repair of goods to include domestic local space heaters as provided in Commission Regulation (EU) 2024/1103 as regards ecodesign requirements for local space heaters and separate related controls</t>
  </si>
  <si>
    <t xml:space="preserve">https://eur-lex.europa.eu/legal-content/EN/TXT/?uri=CELEX:32026L0074</t>
  </si>
  <si>
    <t xml:space="preserve">32026D1354</t>
  </si>
  <si>
    <t xml:space="preserve">2026-06-15</t>
  </si>
  <si>
    <t xml:space="preserve">Council Implementing Decision (EU) 2026/1354 of 15 June 2026 authorising the provision of support from the EU Cybersecurity Reserve to Ukraine</t>
  </si>
  <si>
    <t xml:space="preserve">https://eur-lex.europa.eu/legal-content/EN/TXT/?uri=CELEX:32026D1354</t>
  </si>
  <si>
    <t xml:space="preserve">32026D1725</t>
  </si>
  <si>
    <t xml:space="preserve">Council Implementing Decision (EU) 2026/1725 of 10 July 2026 authorising the provision of support from the EU Cybersecurity Reserve to the Republic of Moldova (Text with EEA relevance)</t>
  </si>
  <si>
    <t xml:space="preserve">https://eur-lex.europa.eu/legal-content/EN/TXT/?uri=CELEX:32026D1725</t>
  </si>
  <si>
    <t xml:space="preserve">52024XC03209</t>
  </si>
  <si>
    <t xml:space="preserve">2024-05-13</t>
  </si>
  <si>
    <t xml:space="preserve">Communication from the Commission – Guidance Note concerning certain provisions of Regulation (EU) 2024/795 establishing the Strategic Technologies for Europe Platform (STEP)</t>
  </si>
  <si>
    <t xml:space="preserve">https://eur-lex.europa.eu/legal-content/EN/TXT/?uri=CELEX:52024XC03209</t>
  </si>
  <si>
    <t xml:space="preserve">52025XC06798</t>
  </si>
  <si>
    <t xml:space="preserve">2025-12-23</t>
  </si>
  <si>
    <t xml:space="preserve">Communication from the Commission – Second Guidance Note on the Strategic Technologies for Europe Platform (STEP) clarifying elements of Regulation (EU) 2024/795 and Commission Communication C/2024/3209</t>
  </si>
  <si>
    <t xml:space="preserve">https://eur-lex.europa.eu/legal-content/EN/TXT/?uri=CELEX:52025XC06798</t>
  </si>
  <si>
    <t xml:space="preserve">32014D0188</t>
  </si>
  <si>
    <t xml:space="preserve">2014-04-03</t>
  </si>
  <si>
    <t xml:space="preserve">(2014/188/EU): Commission Implementing Decision of 3 April 2014 on the identification of ICT technical specifications eligible for referencing in public procurement (notified under document C(2014) 2120)</t>
  </si>
  <si>
    <t xml:space="preserve">https://eur-lex.europa.eu/legal-content/EN/TXT/?uri=CELEX:32014D0188</t>
  </si>
  <si>
    <t xml:space="preserve">32014D0714</t>
  </si>
  <si>
    <t xml:space="preserve">2014-10-13</t>
  </si>
  <si>
    <t xml:space="preserve">2014/714/EU: Commission Implementing Decision of 13 October 2014 to withdraw from the Official Journal of the European Union the reference of harmonised standard EN 1384:2012 ‘Helmets for equestrian activities’ under Regulation (EU) No 1025/2012 of the European Parliament and of the Council (notified under document C(2014) 7236)</t>
  </si>
  <si>
    <t xml:space="preserve">https://eur-lex.europa.eu/legal-content/EN/TXT/?uri=CELEX:32014D0714</t>
  </si>
  <si>
    <t xml:space="preserve">32014D0771</t>
  </si>
  <si>
    <t xml:space="preserve">2014-10-31</t>
  </si>
  <si>
    <t xml:space="preserve">2014/771/EU: Commission Implementing Decision of 31 October 2014 on the identification of Universal Business Language version 2.1 for referencing in public procurement  Text with EEA relevance</t>
  </si>
  <si>
    <t xml:space="preserve">https://eur-lex.europa.eu/legal-content/EN/TXT/?uri=CELEX:32014D0771</t>
  </si>
  <si>
    <t xml:space="preserve">32015D1143</t>
  </si>
  <si>
    <t xml:space="preserve">2015-07-13</t>
  </si>
  <si>
    <t xml:space="preserve">Commission Implementing Decision (EU) 2015/1143 of 13 July 2015 on the publication with a restriction in the Official Journal of the European Union and under national procedures of the reference of standard EN 60335-2-15:2002 on particular requirements for appliances for heating liquids under Directive 2006/95/EC of the European Parliament and of the Council (Text with EEA relevance)</t>
  </si>
  <si>
    <t xml:space="preserve">https://eur-lex.europa.eu/legal-content/EN/TXT/?uri=CELEX:32015D1143</t>
  </si>
  <si>
    <t xml:space="preserve">32015D1194</t>
  </si>
  <si>
    <t xml:space="preserve">2015-07-20</t>
  </si>
  <si>
    <t xml:space="preserve">Commission Implementing Decision (EU) 2015/1194 of 20 July 2015 on the publication with a restriction in the Official Journal of the European Union of the reference of standard EN 12635:2002+A1:2008 on industrial, commercial and garage doors and gates under Directive 2006/42/EC of the European Parliament and of the Council</t>
  </si>
  <si>
    <t xml:space="preserve">https://eur-lex.europa.eu/legal-content/EN/TXT/?uri=CELEX:32015D1194</t>
  </si>
  <si>
    <t xml:space="preserve">32015D2181</t>
  </si>
  <si>
    <t xml:space="preserve">2015-11-24</t>
  </si>
  <si>
    <t xml:space="preserve">Commission Implementing Decision (EU) 2015/2181 of 24 November 2015 on the publication with restriction in the Official Journal of the European Union of the reference to standard EN 795:2012 on ‘Personal fall protection equipment — Anchor devices’ under Regulation (EU) No 1025/2012 of the European Parliament and of the Council (Text with EEA relevance)</t>
  </si>
  <si>
    <t xml:space="preserve">https://eur-lex.europa.eu/legal-content/EN/TXT/?uri=CELEX:32015D2181</t>
  </si>
  <si>
    <t xml:space="preserve">32016D0120</t>
  </si>
  <si>
    <t xml:space="preserve">2016-01-28</t>
  </si>
  <si>
    <t xml:space="preserve">Commission Implementing Decision (EU) 2016/120 of 28 January 2016 on the identification of the extensible Business Reporting Language 2.1 for referencing in public procurement (Text with EEA relevance)</t>
  </si>
  <si>
    <t xml:space="preserve">https://eur-lex.europa.eu/legal-content/EN/TXT/?uri=CELEX:32016D0120</t>
  </si>
  <si>
    <t xml:space="preserve">32016D0209</t>
  </si>
  <si>
    <t xml:space="preserve">2016-02-12</t>
  </si>
  <si>
    <t xml:space="preserve">Commission Implementing Decision (EU) 2016/209 of 12 February 2016 on a standardisation request to the European standardisation organisations as regards Intelligent Transport Systems (ITS) in urban areas in support of Directive 2010/40/EU of the European Parliament and of the Council on the framework for the deployment of Intelligent Transport Systems in the field of road transport and for interfaces with other modes of transport (notified under document C(2016) 808) (Text with EEA relevance)</t>
  </si>
  <si>
    <t xml:space="preserve">https://eur-lex.europa.eu/legal-content/EN/TXT/?uri=CELEX:32016D0209</t>
  </si>
  <si>
    <t xml:space="preserve">32016D1765</t>
  </si>
  <si>
    <t xml:space="preserve">2016-10-03</t>
  </si>
  <si>
    <t xml:space="preserve">Commission Implementing Decision (EU) 2016/1765 of 3 October 2016 on the identification of ICT Technical Specifications for referencing in public procurement (Text with EEA relevance)</t>
  </si>
  <si>
    <t xml:space="preserve">https://eur-lex.europa.eu/legal-content/EN/TXT/?uri=CELEX:32016D1765</t>
  </si>
  <si>
    <t xml:space="preserve">32017D0168</t>
  </si>
  <si>
    <t xml:space="preserve">2017-01-31</t>
  </si>
  <si>
    <t xml:space="preserve">Commission Implementing Decision (EU) 2017/168 of 31 January 2017 on the identification of ‘Internet Engineering Task Force’ Technical Specifications for referencing in public procurement (Text with EEA relevance. )</t>
  </si>
  <si>
    <t xml:space="preserve">https://eur-lex.europa.eu/legal-content/EN/TXT/?uri=CELEX:32017D0168</t>
  </si>
  <si>
    <t xml:space="preserve">32017D1357</t>
  </si>
  <si>
    <t xml:space="preserve">2017-07-19</t>
  </si>
  <si>
    <t xml:space="preserve">Commission Implementing Decision (EU) 2017/1357 of 19 July 2017 on the publication with a restriction in the Official Journal of the European Union of the reference of standard EN 60335-2-9:2003, as last amended by A13:2010, on particular requirements for grills, toasters and similar portable cooking appliances under Regulation (EU) No 1025/2012 of the European Parliament and of the Council (notified under document C(2017) 3168)</t>
  </si>
  <si>
    <t xml:space="preserve">https://eur-lex.europa.eu/legal-content/EN/TXT/?uri=CELEX:32017D1357</t>
  </si>
  <si>
    <t xml:space="preserve">32017D1358</t>
  </si>
  <si>
    <t xml:space="preserve">Commission Implementing Decision (EU) 2017/1358 of 20 July 2017 on the identification of ICT Technical Specifications for referencing in public procurement (Text with EEA relevance. )</t>
  </si>
  <si>
    <t xml:space="preserve">https://eur-lex.europa.eu/legal-content/EN/TXT/?uri=CELEX:32017D1358</t>
  </si>
  <si>
    <t xml:space="preserve">32017D2288</t>
  </si>
  <si>
    <t xml:space="preserve">2017-12-11</t>
  </si>
  <si>
    <t xml:space="preserve">Commission Implementing Decision (EU) 2017/2288 of 11 December 2017 on the identification of ICT Technical Specifications for referencing in public procurement (Text with EEA relevance. )</t>
  </si>
  <si>
    <t xml:space="preserve">https://eur-lex.europa.eu/legal-content/EN/TXT/?uri=CELEX:32017D2288</t>
  </si>
  <si>
    <t xml:space="preserve">32018D2048</t>
  </si>
  <si>
    <t xml:space="preserve">Commission Implementing Decision (EU) 2018/2048 of 20 December 2018 on the harmonised standard for websites and mobile applications drafted in support of Directive (EU) 2016/2102 of the European Parliament and of the Council</t>
  </si>
  <si>
    <t xml:space="preserve">https://eur-lex.europa.eu/legal-content/EN/TXT/?uri=CELEX:32018D2048</t>
  </si>
  <si>
    <t xml:space="preserve">32019D0436</t>
  </si>
  <si>
    <t xml:space="preserve">2019-03-18</t>
  </si>
  <si>
    <t xml:space="preserve">Commission Implementing Decision (EU) 2019/436 of 18 March 2019 on the harmonised standards for machinery drafted in support of Directive 2006/42/EC of the European Parliament and of the Council</t>
  </si>
  <si>
    <t xml:space="preserve">https://eur-lex.europa.eu/legal-content/EN/TXT/?uri=CELEX:32019D0436</t>
  </si>
  <si>
    <t xml:space="preserve">32019D0919</t>
  </si>
  <si>
    <t xml:space="preserve">2019-06-04</t>
  </si>
  <si>
    <t xml:space="preserve">Commission Implementing Decision (EU) 2019/919 of 4 June 2019 on the harmonised standards for recreational craft and personal watercraft drafted in support of Directive 2013/53/EU of the European Parliament and of the Council</t>
  </si>
  <si>
    <t xml:space="preserve">https://eur-lex.europa.eu/legal-content/EN/TXT/?uri=CELEX:32019D0919</t>
  </si>
  <si>
    <t xml:space="preserve">32019D1202</t>
  </si>
  <si>
    <t xml:space="preserve">2019-07-12</t>
  </si>
  <si>
    <t xml:space="preserve">Commission Implementing Decision (EU) 2019/1202 of 12 July 2019 on the harmonised standards for equipment and protective systems intended for use in potentially explosive atmospheres drafted in support of Directive 2014/34/EU of the European Parliament and of the Council</t>
  </si>
  <si>
    <t xml:space="preserve">https://eur-lex.europa.eu/legal-content/EN/TXT/?uri=CELEX:32019D1202</t>
  </si>
  <si>
    <t xml:space="preserve">32019D1217</t>
  </si>
  <si>
    <t xml:space="preserve">2019-07-17</t>
  </si>
  <si>
    <t xml:space="preserve">Commission Implementing Decision (EU) 2019/1217 of 17 July 2019 on the harmonised standards for personal flotation devices — lifejackets drafted in support of Council Directive 89/686/EEC (Text with EEA relevance.)</t>
  </si>
  <si>
    <t xml:space="preserve">https://eur-lex.europa.eu/legal-content/EN/TXT/?uri=CELEX:32019D1217</t>
  </si>
  <si>
    <t xml:space="preserve">32019D1254</t>
  </si>
  <si>
    <t xml:space="preserve">2019-07-22</t>
  </si>
  <si>
    <t xml:space="preserve">Commission Implementing Decision (EU) 2019/1254 of 22 July 2019 on harmonised standards on the safety of toys drafted in support of Directive 2009/48/EC of the European Parliament and of the Council</t>
  </si>
  <si>
    <t xml:space="preserve">https://eur-lex.europa.eu/legal-content/EN/TXT/?uri=CELEX:32019D1254</t>
  </si>
  <si>
    <t xml:space="preserve">32019D1326</t>
  </si>
  <si>
    <t xml:space="preserve">2019-08-05</t>
  </si>
  <si>
    <t xml:space="preserve">Commission Implementing Decision (EU) 2019/1326 of 5 August 2019 on the harmonised standards for electromagnetic compatibility drafted in support of Directive 2014/30/EU of the European Parliament and of the Council</t>
  </si>
  <si>
    <t xml:space="preserve">https://eur-lex.europa.eu/legal-content/EN/TXT/?uri=CELEX:32019D1326</t>
  </si>
  <si>
    <t xml:space="preserve">32019D1616</t>
  </si>
  <si>
    <t xml:space="preserve">Commission Implementing Decision (EU) 2019/1616 of 27 September 2019 on the harmonised standards for pressure equipment drafted in support of Directive 2014/68/EU of the European Parliament and of the Council</t>
  </si>
  <si>
    <t xml:space="preserve">https://eur-lex.europa.eu/legal-content/EN/TXT/?uri=CELEX:32019D1616</t>
  </si>
  <si>
    <t xml:space="preserve">32019D1680</t>
  </si>
  <si>
    <t xml:space="preserve">2019-10-07</t>
  </si>
  <si>
    <t xml:space="preserve">Commission Implementing Decision (EU) 2019/1680 of 7 October 2019 correcting the Czech language version of Implementing Decision (EU) 2019/436 on the harmonised standards for machinery drafted in support of Directive 2006/42/EC of the European Parliament and of the Council</t>
  </si>
  <si>
    <t xml:space="preserve">https://eur-lex.europa.eu/legal-content/EN/TXT/?uri=CELEX:32019D1680</t>
  </si>
  <si>
    <t xml:space="preserve">32019D1728</t>
  </si>
  <si>
    <t xml:space="preserve">2019-10-15</t>
  </si>
  <si>
    <t xml:space="preserve">Commission Implementing Decision (EU) 2019/1728 of 15 October 2019 on harmonised standards for toys drafted in support of Directive 2009/48/EC of the European Parliament and of the Council</t>
  </si>
  <si>
    <t xml:space="preserve">https://eur-lex.europa.eu/legal-content/EN/TXT/?uri=CELEX:32019D1728</t>
  </si>
  <si>
    <t xml:space="preserve">32019D1729</t>
  </si>
  <si>
    <t xml:space="preserve">Commission Implementing Decision (EU) 2019/1729 of 15 October 2019 on the harmonised standard for conformity assessment drafted in support of Regulations (EC) No 765/2008 and (EC) No 1221/2009 of the European Parliament and of the Council, Directive 2006/42/EC of the European Parliament and of the Council and Union acts incorporating the reference provisions of Decision No 768/2008/EC of the European Parliament and of the Council (Text with EEA relevance)</t>
  </si>
  <si>
    <t xml:space="preserve">https://eur-lex.europa.eu/legal-content/EN/TXT/?uri=CELEX:32019D1729</t>
  </si>
  <si>
    <t xml:space="preserve">32019D1863</t>
  </si>
  <si>
    <t xml:space="preserve">2019-11-06</t>
  </si>
  <si>
    <t xml:space="preserve">Commission Implementing Decision (EU) 2019/1863 of 6 November 2019 amending and correcting Implementing Decision (EU) 2019/436 as regards the withdrawal of references of harmonised standards for machinery from the Official Journal of the European Union (Text with EEA relevance)</t>
  </si>
  <si>
    <t xml:space="preserve">https://eur-lex.europa.eu/legal-content/EN/TXT/?uri=CELEX:32019D1863</t>
  </si>
  <si>
    <t xml:space="preserve">32019D1923</t>
  </si>
  <si>
    <t xml:space="preserve">Commission Implementing Decision (EU) 2019/1923 of 18 November 2019 on the harmonised standards for cableway installations drafted in support of Regulation (EU) 2016/424 of the European Parliament and of the Council</t>
  </si>
  <si>
    <t xml:space="preserve">https://eur-lex.europa.eu/legal-content/EN/TXT/?uri=CELEX:32019D1923</t>
  </si>
  <si>
    <t xml:space="preserve">32019D1956</t>
  </si>
  <si>
    <t xml:space="preserve">2019-11-26</t>
  </si>
  <si>
    <t xml:space="preserve">Commission Implementing Decision (EU) 2019/1956 of 26 November 2019 on the harmonised standards for electrical equipment designed for use within certain voltage limits and drafted in support of Directive 2014/35/EU of the European Parliament and of the Council</t>
  </si>
  <si>
    <t xml:space="preserve">https://eur-lex.europa.eu/legal-content/EN/TXT/?uri=CELEX:32019D1956</t>
  </si>
  <si>
    <t xml:space="preserve">32020D0050</t>
  </si>
  <si>
    <t xml:space="preserve">2020-01-21</t>
  </si>
  <si>
    <t xml:space="preserve">Commission Implementing Decision (EU) 2020/50 of 21 January 2020 amending Implementing Decision (EU) 2019/919 on the harmonised standards for recreational craft and personal watercraft drafted in support of Directive 2013/53/EU of the European Parliament and of the Council as regards small craft identification, coding system, hull construction and scantlings for monohulls</t>
  </si>
  <si>
    <t xml:space="preserve">https://eur-lex.europa.eu/legal-content/EN/TXT/?uri=CELEX:32020D0050</t>
  </si>
  <si>
    <t xml:space="preserve">32020D0167</t>
  </si>
  <si>
    <t xml:space="preserve">2020-02-05</t>
  </si>
  <si>
    <t xml:space="preserve">Commission Implementing Decision (EU) 2020/167 of 5 February 2020 on the harmonised standards for radio equipment drafted in support of Directive 2014/53/EU of the European Parliament and of the Council</t>
  </si>
  <si>
    <t xml:space="preserve">https://eur-lex.europa.eu/legal-content/EN/TXT/?uri=CELEX:32020D0167</t>
  </si>
  <si>
    <t xml:space="preserve">32020D0260</t>
  </si>
  <si>
    <t xml:space="preserve">2020-02-25</t>
  </si>
  <si>
    <t xml:space="preserve">Commission Implementing Decision (EU) 2020/260 of 25 February 2020 amending Implementing Decision (EU) 2019/1202 as regards explosion prevention and protection</t>
  </si>
  <si>
    <t xml:space="preserve">https://eur-lex.europa.eu/legal-content/EN/TXT/?uri=CELEX:32020D0260</t>
  </si>
  <si>
    <t xml:space="preserve">32020D0437</t>
  </si>
  <si>
    <t xml:space="preserve">2020-03-24</t>
  </si>
  <si>
    <t xml:space="preserve">Commission Implementing Decision (EU) 2020/437 of 24 March 2020 on the harmonised standards for medical devices drafted in support of Council Directive 93/42/EEC</t>
  </si>
  <si>
    <t xml:space="preserve">https://eur-lex.europa.eu/legal-content/EN/TXT/?uri=CELEX:32020D0437</t>
  </si>
  <si>
    <t xml:space="preserve">32020D0438</t>
  </si>
  <si>
    <t xml:space="preserve">Commission Implementing Decision (EU) 2020/438 of 24 March 2020 on the harmonised standards for active implantable medical devices drafted in support of Council Directive 90/385/EEC</t>
  </si>
  <si>
    <t xml:space="preserve">https://eur-lex.europa.eu/legal-content/EN/TXT/?uri=CELEX:32020D0438</t>
  </si>
  <si>
    <t xml:space="preserve">32020D0439</t>
  </si>
  <si>
    <t xml:space="preserve">Commission Implementing Decision (EU) 2020/439 of 24 March 2020 on the harmonised standards for in vitro diagnostic medical devices drafted in support of Directive 98/79/EC of the European Parliament and of the Council</t>
  </si>
  <si>
    <t xml:space="preserve">https://eur-lex.europa.eu/legal-content/EN/TXT/?uri=CELEX:32020D0439</t>
  </si>
  <si>
    <t xml:space="preserve">32020D0453</t>
  </si>
  <si>
    <t xml:space="preserve">2020-03-27</t>
  </si>
  <si>
    <t xml:space="preserve">Commission Implementing Decision (EU) 2020/453 of 27 March 2020 on the harmonised standards for railway products drafted in support of Directive 2008/57/EC of the European Parliament and of the Council on the interoperability of the rail system within the Community</t>
  </si>
  <si>
    <t xml:space="preserve">https://eur-lex.europa.eu/legal-content/EN/TXT/?uri=CELEX:32020D0453</t>
  </si>
  <si>
    <t xml:space="preserve">32020D0480</t>
  </si>
  <si>
    <t xml:space="preserve">2020-04-01</t>
  </si>
  <si>
    <t xml:space="preserve">Commission Implementing Decision (EU) 2020/480 of 1 April 2020 amending Implementing Decision (EU) 2019/436 on harmonised standards for machinery drafted in support of Directive 2006/42/EC of the European Parliament and of the Council</t>
  </si>
  <si>
    <t xml:space="preserve">https://eur-lex.europa.eu/legal-content/EN/TXT/?uri=CELEX:32020D0480</t>
  </si>
  <si>
    <t xml:space="preserve">32020D0542</t>
  </si>
  <si>
    <t xml:space="preserve">2020-04-16</t>
  </si>
  <si>
    <t xml:space="preserve">Commission Implementing Decision (EU) 2020/542 of 16 April 2020 amending Implementing Decision (EU) 2019/1616 as regards safety devices for protection against excessive pressure, welded steel tubes for pressure purposes, unfired pressure vessels and metallic industrial piping</t>
  </si>
  <si>
    <t xml:space="preserve">https://eur-lex.europa.eu/legal-content/EN/TXT/?uri=CELEX:32020D0542</t>
  </si>
  <si>
    <t xml:space="preserve">32020D0553</t>
  </si>
  <si>
    <t xml:space="preserve">2020-04-21</t>
  </si>
  <si>
    <t xml:space="preserve">Commission Implementing Decision (EU) 2020/553 of 21 April 2020 amending Implementing Decision (EU) 2020/167 as regards harmonised standards for certain international mobile telecommunications cellular networks equipment</t>
  </si>
  <si>
    <t xml:space="preserve">https://eur-lex.europa.eu/legal-content/EN/TXT/?uri=CELEX:32020D0553</t>
  </si>
  <si>
    <t xml:space="preserve">32020D0659</t>
  </si>
  <si>
    <t xml:space="preserve">2020-05-15</t>
  </si>
  <si>
    <t xml:space="preserve">Commission Implementing Decision (EU) 2020/659 of 15 May 2020 on the harmonised standard for the technical documentation required for assessing materials, components and electrical and electronic equipment drafted in support of Directive 2011/65/EU of the European Parliament and of the Council</t>
  </si>
  <si>
    <t xml:space="preserve">https://eur-lex.europa.eu/legal-content/EN/TXT/?uri=CELEX:32020D0659</t>
  </si>
  <si>
    <t xml:space="preserve">32020D0660</t>
  </si>
  <si>
    <t xml:space="preserve">Commission Implementing Decision (EU) 2020/660 of 15 May 2020 amending Implementing Decision (EU) 2019/1326 as regards the electromagnetic compatibility of electromechanical contactors and motor-starters, arc quenching devices, distribution boards intended to be operated by ordinary persons and industrial trucks</t>
  </si>
  <si>
    <t xml:space="preserve">https://eur-lex.europa.eu/legal-content/EN/TXT/?uri=CELEX:32020D0660</t>
  </si>
  <si>
    <t xml:space="preserve">32020D0668</t>
  </si>
  <si>
    <t xml:space="preserve">2020-05-18</t>
  </si>
  <si>
    <t xml:space="preserve">Commission Implementing Decision (EU) 2020/668 of 18 May 2020 on the harmonised standards for personal protective equipment drafted in support of Regulation (EU) 2016/425 of the European Parliament and of the Council</t>
  </si>
  <si>
    <t xml:space="preserve">https://eur-lex.europa.eu/legal-content/EN/TXT/?uri=CELEX:32020D0668</t>
  </si>
  <si>
    <t xml:space="preserve">32020D1146</t>
  </si>
  <si>
    <t xml:space="preserve">2020-07-31</t>
  </si>
  <si>
    <t xml:space="preserve">Commission Implementing Decision (EU) 2020/1146 of 31 July 2020 amending Implementing Decision (EU) 2019/1956 as regards harmonised standards for certain household appliances, thermal-links, equipment in cable networks for television signals, sound signals and interactive services, circuit breakers, arc quenching and welding, installation couplers intended for permanent connection in fixed installations, transformers, reactors, power supply units and combinations, electric vehicle conductive charging system, cable ties and management, control circuit devices, switching elements, emergency lighting, electronic circuits used with luminaires and discharge lamps</t>
  </si>
  <si>
    <t xml:space="preserve">https://eur-lex.europa.eu/legal-content/EN/TXT/?uri=CELEX:32020D1146</t>
  </si>
  <si>
    <t xml:space="preserve">32020D1562</t>
  </si>
  <si>
    <t xml:space="preserve">2020-10-26</t>
  </si>
  <si>
    <t xml:space="preserve">Commission Implementing Decision (EU) 2020/1562 of 26 October 2020 amending Implementing Decision (EU) 2020/167 as regards harmonised standards for certain radio equipment concerning advanced surface movement guidance and control systems, primary surveillance radars, broadcast sound receivers, international mobile telecommunications equipment and fixed radio systems</t>
  </si>
  <si>
    <t xml:space="preserve">https://eur-lex.europa.eu/legal-content/EN/TXT/?uri=CELEX:32020D1562</t>
  </si>
  <si>
    <t xml:space="preserve">32020D1630</t>
  </si>
  <si>
    <t xml:space="preserve">Commission Implementing Decision (EU) 2020/1630 of 3 November 2020 amending Implementing Decision (EU) 2019/1326 as regards the electromagnetic compatibility of industrial, scientific and medical equipment, household appliances, electric tools and similar apparatus, electrical lighting and similar equipment, multimedia equipment, switchgear and controlgear</t>
  </si>
  <si>
    <t xml:space="preserve">https://eur-lex.europa.eu/legal-content/EN/TXT/?uri=CELEX:32020D1630</t>
  </si>
  <si>
    <t xml:space="preserve">32020D1779</t>
  </si>
  <si>
    <t xml:space="preserve">2020-11-27</t>
  </si>
  <si>
    <t xml:space="preserve">Commission Implementing Decision (EU) 2020/1779 of 27 November 2020 amending Implementing Decision (EU) 2019/1956 as regards harmonised standards for certain household and similar appliances, electrical supply track systems for luminaires, luminaires for emergency lighting, switches for household and similar fixed electrical installations, circuit breakers, proximity switches, arc welding power sources and electrical equipment for measurement, control and laboratory use</t>
  </si>
  <si>
    <t xml:space="preserve">https://eur-lex.europa.eu/legal-content/EN/TXT/?uri=CELEX:32020D1779</t>
  </si>
  <si>
    <t xml:space="preserve">32020D1835</t>
  </si>
  <si>
    <t xml:space="preserve">2020-12-03</t>
  </si>
  <si>
    <t xml:space="preserve">Commission Implementing Decision (EU) 2020/1835 of 3 December 2020 on the harmonised standards for accreditation and conformity assessment (Text with EEA relevance)</t>
  </si>
  <si>
    <t xml:space="preserve">https://eur-lex.europa.eu/legal-content/EN/TXT/?uri=CELEX:32020D1835</t>
  </si>
  <si>
    <t xml:space="preserve">32021D0076</t>
  </si>
  <si>
    <t xml:space="preserve">2021-01-26</t>
  </si>
  <si>
    <t xml:space="preserve">Commission Implementing Decision (EU) 2021/76 of 26 January 2021 on harmonised standards for lifts and safety components for lifts drafted in support of Directive 2014/33/EU of the European Parliament and of the Council (Text with EEA relevance)</t>
  </si>
  <si>
    <t xml:space="preserve">https://eur-lex.europa.eu/legal-content/EN/TXT/?uri=CELEX:32021D0076</t>
  </si>
  <si>
    <t xml:space="preserve">32021D0117</t>
  </si>
  <si>
    <t xml:space="preserve">2021-02-01</t>
  </si>
  <si>
    <t xml:space="preserve">Commission Implementing Decision (EU) 2021/117 of 1 February 2021 amending Implementing Decision (EU) 2019/919 as regards harmonised standards for small craft, regarding ventilation of petrol engine and/or petrol tank compartments and electric fans</t>
  </si>
  <si>
    <t xml:space="preserve">https://eur-lex.europa.eu/legal-content/EN/TXT/?uri=CELEX:32021D0117</t>
  </si>
  <si>
    <t xml:space="preserve">32021D0157</t>
  </si>
  <si>
    <t xml:space="preserve">2021-02-09</t>
  </si>
  <si>
    <t xml:space="preserve">Commission Implementing Decision (EU) 2021/157 of 9 February 2021 amending Implementing Decision (EU) 2019/1616 as regards industrial valves, welding procedures, equipment for refrigerating systems and heat pumps, shell boilers, metallic industrial piping, copper and copper alloys, LPG equipment and accessories and safety devices for protection against excessive pressure</t>
  </si>
  <si>
    <t xml:space="preserve">https://eur-lex.europa.eu/legal-content/EN/TXT/?uri=CELEX:32021D0157</t>
  </si>
  <si>
    <t xml:space="preserve">32021D0377</t>
  </si>
  <si>
    <t xml:space="preserve">2021-03-02</t>
  </si>
  <si>
    <t xml:space="preserve">Commission Implementing Decision (EU) 2021/377 of 2 March 2021 amending Implementing Decision (EU) 2019/436 on harmonised standards for machinery drafted in support of Directive 2006/42/EC of the European Parliament and of the Council (Text with EEA relevance)</t>
  </si>
  <si>
    <t xml:space="preserve">https://eur-lex.europa.eu/legal-content/EN/TXT/?uri=CELEX:32021D0377</t>
  </si>
  <si>
    <t xml:space="preserve">32021D0395</t>
  </si>
  <si>
    <t xml:space="preserve">2021-03-04</t>
  </si>
  <si>
    <t xml:space="preserve">Commission Implementing Decision (EU) 2021/395 of 4 March 2021 amending Implementing Decision (EU) 2020/668 as regards harmonised standards on electrostatic properties of protective clothing, protective clothing for firefighters and motorcycle riders, protective clothing for use in snowboarding and worn by operators applying pesticides and for re-entry workers, enhanced visibility equipment for medium risk situations, mountaineering equipment and protective clothing against the thermal hazards of an electric arc</t>
  </si>
  <si>
    <t xml:space="preserve">https://eur-lex.europa.eu/legal-content/EN/TXT/?uri=CELEX:32021D0395</t>
  </si>
  <si>
    <t xml:space="preserve">32021D0455</t>
  </si>
  <si>
    <t xml:space="preserve">2021-03-15</t>
  </si>
  <si>
    <t xml:space="preserve">Commission Implementing Decision (EU) 2021/455 of 15 March 2021 amending Implementing Decision (EU) 2019/1326 as regards harmonised standards for electromagnetic compatibility of control circuit devices and switching elements, and multimedia equipment</t>
  </si>
  <si>
    <t xml:space="preserve">https://eur-lex.europa.eu/legal-content/EN/TXT/?uri=CELEX:32021D0455</t>
  </si>
  <si>
    <t xml:space="preserve">32021D0609</t>
  </si>
  <si>
    <t xml:space="preserve">Commission Implementing Decision (EU) 2021/609 of 14 April 2021 amending Implementing Decision (EU) 2020/439 as regards harmonised standards on packaging for terminally sterilised medical devices and sterilisation of health care products</t>
  </si>
  <si>
    <t xml:space="preserve">https://eur-lex.europa.eu/legal-content/EN/TXT/?uri=CELEX:32021D0609</t>
  </si>
  <si>
    <t xml:space="preserve">32021D0610</t>
  </si>
  <si>
    <t xml:space="preserve">Commission Implementing Decision (EU) 2021/610 of 14 April 2021 amending Implementing Decision (EU) 2020/437 as regards harmonised standards on medical vehicles and their equipment, anaesthetic and respiratory equipment, biological evaluation of medical devices, packaging for terminally sterilised medical devices, sterilisation of health care products, clinical investigation of medical devices for human subjects, non-active surgical implants, medical devices utilising animal tissues and their derivatives, electroacoustics and medical electrical equipment</t>
  </si>
  <si>
    <t xml:space="preserve">https://eur-lex.europa.eu/legal-content/EN/TXT/?uri=CELEX:32021D0610</t>
  </si>
  <si>
    <t xml:space="preserve">32021D0611</t>
  </si>
  <si>
    <t xml:space="preserve">Commission Implementing Decision (EU) 2021/611 of 14 April 2021 amending Implementing Decision (EU) 2020/438 as regards harmonised standards on biological evaluation of medical devices, packaging for terminally sterilised medical devices, sterilisation of health care products and clinical investigation of medical devices for human subjects</t>
  </si>
  <si>
    <t xml:space="preserve">https://eur-lex.europa.eu/legal-content/EN/TXT/?uri=CELEX:32021D0611</t>
  </si>
  <si>
    <t xml:space="preserve">32021D0845</t>
  </si>
  <si>
    <t xml:space="preserve">2021-05-26</t>
  </si>
  <si>
    <t xml:space="preserve">Commission Implementing Decision (EU) 2021/845 of 26 May 2021 amending Implementing Decision (EU) 2019/1202 as regards determination of the spontaneous ignition behaviour of dust accumulations</t>
  </si>
  <si>
    <t xml:space="preserve">https://eur-lex.europa.eu/legal-content/EN/TXT/?uri=CELEX:32021D0845</t>
  </si>
  <si>
    <t xml:space="preserve">32021D0867</t>
  </si>
  <si>
    <t xml:space="preserve">2021-05-28</t>
  </si>
  <si>
    <t xml:space="preserve">Commission Implementing Decision (EU) 2021/867 of 28 May 2021 on harmonised standards for toys drafted in support of Directive 2009/48/EC of the European Parliament and of the Council</t>
  </si>
  <si>
    <t xml:space="preserve">https://eur-lex.europa.eu/legal-content/EN/TXT/?uri=CELEX:32021D0867</t>
  </si>
  <si>
    <t xml:space="preserve">32021D0913</t>
  </si>
  <si>
    <t xml:space="preserve">Commission Implementing Decision (EU) 2021/913 of 3 June 2021 on the harmonised standards for household dishwashers drafted in support of Regulation (EU) 2019/2022 and Delegated Regulation (EU) 2019/2017</t>
  </si>
  <si>
    <t xml:space="preserve">https://eur-lex.europa.eu/legal-content/EN/TXT/?uri=CELEX:32021D0913</t>
  </si>
  <si>
    <t xml:space="preserve">32021D0936</t>
  </si>
  <si>
    <t xml:space="preserve">Commission Implementing Decision (EU) 2021/936 of 3 June 2021 on the harmonised standards for household washing machines and household washer-dryers drafted in support of Regulation (EU) 2019/2023 and Delegated Regulation (EU) 2019/2014</t>
  </si>
  <si>
    <t xml:space="preserve">https://eur-lex.europa.eu/legal-content/EN/TXT/?uri=CELEX:32021D0936</t>
  </si>
  <si>
    <t xml:space="preserve">32021D1015</t>
  </si>
  <si>
    <t xml:space="preserve">Commission Implementing Decision (EU) 2021/1015 of 17 June 2021 amending Implementing Decision (EU) 2019/1956 as regards harmonised standards for refrigerating, ice-cream and ice makers appliances, laboratory equipment for the heating of materials, automatic and semi-automatic laboratory equipment for analysis and other purposes, electrical equipment with ratings related to electrical supply, appliances for skin exposure to ultraviolet and infrared radiation, room heaters, electric irons, stationary cooking ranges, hobs, ovens and similar appliances, fabric steamers, electromechanical control circuit devices, blankets, pads, clothing and similar flexible heating appliances and certain other electrical equipment designed for use within certain voltage limits</t>
  </si>
  <si>
    <t xml:space="preserve">https://eur-lex.europa.eu/legal-content/EN/TXT/?uri=CELEX:32021D1015</t>
  </si>
  <si>
    <t xml:space="preserve">32021D1182</t>
  </si>
  <si>
    <t xml:space="preserve">2021-07-16</t>
  </si>
  <si>
    <t xml:space="preserve">Commission Implementing Decision (EU) 2021/1182 of 16 July 2021 on the harmonised standards for medical devices drafted in support of Regulation (EU) 2017/745 of the European Parliament and of the Council</t>
  </si>
  <si>
    <t xml:space="preserve">https://eur-lex.europa.eu/legal-content/EN/TXT/?uri=CELEX:32021D1182</t>
  </si>
  <si>
    <t xml:space="preserve">32021D1201</t>
  </si>
  <si>
    <t xml:space="preserve">Commission Implementing Decision (EU) 2021/1201 of 16 July 2021 amending Implementing Decision (EU) 2020/668 as regards harmonised standards on hearing protectors</t>
  </si>
  <si>
    <t xml:space="preserve">https://eur-lex.europa.eu/legal-content/EN/TXT/?uri=CELEX:32021D1201</t>
  </si>
  <si>
    <t xml:space="preserve">32021D1195</t>
  </si>
  <si>
    <t xml:space="preserve">Commission Implementing Decision (EU) 2021/1195 of 19 July 2021 on the harmonised standards for in vitro diagnostic medical devices drafted in support of Regulation (EU) 2017/746 of the European Parliament and of the Council</t>
  </si>
  <si>
    <t xml:space="preserve">https://eur-lex.europa.eu/legal-content/EN/TXT/?uri=CELEX:32021D1195</t>
  </si>
  <si>
    <t xml:space="preserve">32021D1196</t>
  </si>
  <si>
    <t xml:space="preserve">Commission Implementing Decision (EU) 2021/1196 of 19 July 2021 amending Implementing Decision (EU) 2020/167 as regards harmonised standards for certain radio equipment concerning ground- and wall-probing radio determination devices, radio frequency identification equipment, radio equipment for Euroloop railway systems, networked short range devices, wireless industrial applications and broadband communication radiolink for ships and off-shore installations</t>
  </si>
  <si>
    <t xml:space="preserve">https://eur-lex.europa.eu/legal-content/EN/TXT/?uri=CELEX:32021D1196</t>
  </si>
  <si>
    <t xml:space="preserve">32021D1220</t>
  </si>
  <si>
    <t xml:space="preserve">2021-07-26</t>
  </si>
  <si>
    <t xml:space="preserve">Commission Implementing Decision (EU) 2021/1220 of 26 July 2021 amending Implementing Decision (EU) 2021/76 as regards harmonised standards on safety rules for the construction and installation of firefighters lifts and behaviour of lifts in the event of fire (Text with EEA relevance)</t>
  </si>
  <si>
    <t xml:space="preserve">https://eur-lex.europa.eu/legal-content/EN/TXT/?uri=CELEX:32021D1220</t>
  </si>
  <si>
    <t xml:space="preserve">32021D1339</t>
  </si>
  <si>
    <t xml:space="preserve">2021-08-11</t>
  </si>
  <si>
    <t xml:space="preserve">Commission Implementing Decision (EU) 2021/1339 of 11 August 2021 amending Implementing Decision (EU) 2018/2048 as regards the harmonised standard for websites and mobile applications (Text with EEA relevance)</t>
  </si>
  <si>
    <t xml:space="preserve">https://eur-lex.europa.eu/legal-content/EN/TXT/?uri=CELEX:32021D1339</t>
  </si>
  <si>
    <t xml:space="preserve">32021D1402</t>
  </si>
  <si>
    <t xml:space="preserve">2021-08-25</t>
  </si>
  <si>
    <t xml:space="preserve">Commission Implementing Decision (EU) 2021/1402 of 25 August 2021 on harmonised standards for gas meters and other measuring instruments drafted in support of Directive 2014/32/EU of the European Parliament and of the Council (Text with EEA relevance)</t>
  </si>
  <si>
    <t xml:space="preserve">https://eur-lex.europa.eu/legal-content/EN/TXT/?uri=CELEX:32021D1402</t>
  </si>
  <si>
    <t xml:space="preserve">32021D1403</t>
  </si>
  <si>
    <t xml:space="preserve">Commission Implementing Decision (EU) 2021/1403 of 25 August 2021 amending Implementing Decision (EU) 2019/1202 as regards harmonised standards for light offshore cranes</t>
  </si>
  <si>
    <t xml:space="preserve">https://eur-lex.europa.eu/legal-content/EN/TXT/?uri=CELEX:32021D1403</t>
  </si>
  <si>
    <t xml:space="preserve">32021D1407</t>
  </si>
  <si>
    <t xml:space="preserve">2021-08-26</t>
  </si>
  <si>
    <t xml:space="preserve">Commission Implementing Decision (EU) 2021/1407 of 26 August 2021 amending Implementing Decision (EU) 2019/919 as regards harmonised standards for fire-resistant fuel hoses, non-fire-resistant fuel hoses, seacocks and through-hull fittings, engine-mounted fuel, oil and electrical components on inboard diesel engines, and steering wheels</t>
  </si>
  <si>
    <t xml:space="preserve">https://eur-lex.europa.eu/legal-content/EN/TXT/?uri=CELEX:32021D1407</t>
  </si>
  <si>
    <t xml:space="preserve">32021D1801</t>
  </si>
  <si>
    <t xml:space="preserve">2021-10-11</t>
  </si>
  <si>
    <t xml:space="preserve">Commission Implementing Decision (EU) 2021/1801 of 11 October 2021 amending Implementing Decision (EU) 2019/1616 as regards harmonised standards for metallic industrial piping, bolting of flanges and their joints and stainless steel steam boilers</t>
  </si>
  <si>
    <t xml:space="preserve">https://eur-lex.europa.eu/legal-content/EN/TXT/?uri=CELEX:32021D1801</t>
  </si>
  <si>
    <t xml:space="preserve">32021D1813</t>
  </si>
  <si>
    <t xml:space="preserve">2021-10-14</t>
  </si>
  <si>
    <t xml:space="preserve">Commission Implementing Decision (EU) 2021/1813 of 14 October 2021 amending Implementing Decision (EU) 2019/436 as regards harmonised standards for aircraft ground support equipment, cranes, mining tools, and other machinery drafted in support of Directive 2006/42/EC of the European Parliament and of the Council and repealing Commission Implementing Decision (EU) 2015/27 (Text with EEA relevance)</t>
  </si>
  <si>
    <t xml:space="preserve">https://eur-lex.europa.eu/legal-content/EN/TXT/?uri=CELEX:32021D1813</t>
  </si>
  <si>
    <t xml:space="preserve">32021D1827</t>
  </si>
  <si>
    <t xml:space="preserve">2021-10-18</t>
  </si>
  <si>
    <t xml:space="preserve">Commission Implementing Decision (EU) 2021/1827 of 18 October 2021 on standards for postal services and the improvement of quality of service in support of Directive 97/67/EC of the European Parliament and of the Council (Text with EEA relevance)</t>
  </si>
  <si>
    <t xml:space="preserve">https://eur-lex.europa.eu/legal-content/EN/TXT/?uri=CELEX:32021D1827</t>
  </si>
  <si>
    <t xml:space="preserve">32021D1992</t>
  </si>
  <si>
    <t xml:space="preserve">Commission Implementing Decision (EU) 2021/1992 of 15 November 2021 on harmonised standards for toys drafted in support of Directive 2009/48/EC of the European Parliament and of the Council</t>
  </si>
  <si>
    <t xml:space="preserve">https://eur-lex.europa.eu/legal-content/EN/TXT/?uri=CELEX:32021D1992</t>
  </si>
  <si>
    <t xml:space="preserve">32021D2173</t>
  </si>
  <si>
    <t xml:space="preserve">2021-12-08</t>
  </si>
  <si>
    <t xml:space="preserve">Commission Implementing Decision (EU) 2021/2173 of 8 December 2021 amending Implementing Decision (EU) 2019/919 as regards harmonised standards for sewage treatment systems, electrically operated bilge pumps, builder’s plate and maximum load capacity of small crafts (Text with EEA relevance)</t>
  </si>
  <si>
    <t xml:space="preserve">https://eur-lex.europa.eu/legal-content/EN/TXT/?uri=CELEX:32021D2173</t>
  </si>
  <si>
    <t xml:space="preserve">32021D2272</t>
  </si>
  <si>
    <t xml:space="preserve">2021-12-20</t>
  </si>
  <si>
    <t xml:space="preserve">Commission Implementing Decision (EU) 2021/2272 of 20 December 2021 amending Implementing Decision (EU) 2019/1616 as regards harmonised standards for seamless and welded stainless steel tubes, steel forgings for pressure purposes at high temperature and with high proof strength, unfired pressure vessels and vehicle fuelling appliances for natural gas vehicles (Text with EEA relevance)</t>
  </si>
  <si>
    <t xml:space="preserve">https://eur-lex.europa.eu/legal-content/EN/TXT/?uri=CELEX:32021D2272</t>
  </si>
  <si>
    <t xml:space="preserve">32021D2273</t>
  </si>
  <si>
    <t xml:space="preserve">Commission Implementing Decision (EU) 2021/2273 of 20 December 2021 amending Implementing Decision (EU) 2019/1956 as regards harmonised standards for laser products, adjustable speed electrical power drive systems, power electronic converter systems and equipment, luminaires, low-voltage switchgear and control gear, uninterruptible power systems (UPS) and certain other electrical equipment designed for use within certain voltage limits (Text with EEA relevance)</t>
  </si>
  <si>
    <t xml:space="preserve">https://eur-lex.europa.eu/legal-content/EN/TXT/?uri=CELEX:32021D2273</t>
  </si>
  <si>
    <t xml:space="preserve">32022D0006</t>
  </si>
  <si>
    <t xml:space="preserve">2022-01-04</t>
  </si>
  <si>
    <t xml:space="preserve">Commission Implementing Decision (EU) 2022/6 of 4 January 2022 amending Implementing Decision (EU) 2021/1182 as regards harmonised standards for biological evaluation of medical devices, sterilisation of health care products, aseptic processing of health care products, quality management systems, symbols to be used with information to be supplied by the manufacturer, processing of health care products and home light therapy equipment</t>
  </si>
  <si>
    <t xml:space="preserve">https://eur-lex.europa.eu/legal-content/EN/TXT/?uri=CELEX:32022D0006</t>
  </si>
  <si>
    <t xml:space="preserve">32022D0015</t>
  </si>
  <si>
    <t xml:space="preserve">2022-01-06</t>
  </si>
  <si>
    <t xml:space="preserve">Commission Implementing Decision (EU) 2022/15 of 6 January 2022 amending Implementing Decision (EU) 2021/1195 as regards harmonised standards for sterilisation of health care products, aseptic processing of health care products, quality management systems, symbols to be used with information to be supplied by the manufacturer and requirements for establishing metrological traceability of values assigned to calibrators, trueness control materials and human samples</t>
  </si>
  <si>
    <t xml:space="preserve">https://eur-lex.europa.eu/legal-content/EN/TXT/?uri=CELEX:32022D0015</t>
  </si>
  <si>
    <t xml:space="preserve">32022D0404</t>
  </si>
  <si>
    <t xml:space="preserve">2022-03-03</t>
  </si>
  <si>
    <t xml:space="preserve">Commission Implementing Decision (EU) 2022/404 of 3 March 2022 amending Implementing Decision (EU) 2019/919 as regards harmonised standards for steering gear – cable over pulley systems (Text with EEA relevance)</t>
  </si>
  <si>
    <t xml:space="preserve">https://eur-lex.europa.eu/legal-content/EN/TXT/?uri=CELEX:32022D0404</t>
  </si>
  <si>
    <t xml:space="preserve">32022D0405</t>
  </si>
  <si>
    <t xml:space="preserve">Commission Implementing Decision (EU) 2022/405 of 3 March 2022 amending Implementing Decision (EU) 2019/1956 as regards harmonised standards for cover plates and cover tapes, luminaires, electrical accessories, powertrack systems, circuit breakers, electrical equipment for measurement, control, and laboratory use, and resistance welding equipment (Text with EEA relevance)</t>
  </si>
  <si>
    <t xml:space="preserve">https://eur-lex.europa.eu/legal-content/EN/TXT/?uri=CELEX:32022D0405</t>
  </si>
  <si>
    <t xml:space="preserve">32022D0406</t>
  </si>
  <si>
    <t xml:space="preserve">Commission Implementing Decision (EU) 2022/406 of 3 March 2022 amending Implementing Decision (EU) 2019/1202 as regards harmonised standards for automatic nozzles for use on fuel dispensers, metering pumps, dispensers and remote pumping units, safe breaks for use on metering pumps and dispensers, shear valves and swivels for use on metering pumps and dispensers, that are used in petrol filling stations (Text with EEA relevance)</t>
  </si>
  <si>
    <t xml:space="preserve">https://eur-lex.europa.eu/legal-content/EN/TXT/?uri=CELEX:32022D0406</t>
  </si>
  <si>
    <t xml:space="preserve">32022D0498</t>
  </si>
  <si>
    <t xml:space="preserve">Commission Implementing Decision (EU) 2022/498 of 22 March 2022 amending Implementing Decision (EU) 2020/167 as regards harmonised standards for avalanche beacons, satellite earth stations and systems, land mobile earth stations, maritime mobile earth stations, IMT cellular networks equipment, fixed radio systems, digital terrestrial TV transmitters, mobile communication on board aircraft systems, multi Gbps radio equipment, broadcast sound receivers, audio frequency induction loop drivers, primary surveillance radars and TETRA radio equipment (Text with EEA relevance)</t>
  </si>
  <si>
    <t xml:space="preserve">https://eur-lex.europa.eu/legal-content/EN/TXT/?uri=CELEX:32022D0498</t>
  </si>
  <si>
    <t xml:space="preserve">32022D0621</t>
  </si>
  <si>
    <t xml:space="preserve">2022-04-07</t>
  </si>
  <si>
    <t xml:space="preserve">Commission Implementing Decision (EU) 2022/621 of 7 April 2022 amending Implementing Decision (EU) 2019/436 as regards harmonised standards for truck mixers, cranes and other machinery drafted in support of Directive 2006/42/EC of the European Parliament and of the Council (Text with EEA relevance)</t>
  </si>
  <si>
    <t xml:space="preserve">https://eur-lex.europa.eu/legal-content/EN/TXT/?uri=CELEX:32022D0621</t>
  </si>
  <si>
    <t xml:space="preserve">32022D0622</t>
  </si>
  <si>
    <t xml:space="preserve">Commission Implementing Decision (EU) 2022/622 of 7 April 2022 amending Implementing Decision (EU) 2019/1326 as regards the harmonised standards for electromagnetic compatibility of electricity metering equipment and circuit breakers for household and similar uses (Text with EEA relevance)</t>
  </si>
  <si>
    <t xml:space="preserve">https://eur-lex.europa.eu/legal-content/EN/TXT/?uri=CELEX:32022D0622</t>
  </si>
  <si>
    <t xml:space="preserve">32022D0713</t>
  </si>
  <si>
    <t xml:space="preserve">2022-05-04</t>
  </si>
  <si>
    <t xml:space="preserve">Commission Implementing Decision (EU) 2022/713 of 4 May 2022 amending Implementing Decision (EU) 2019/1956 as regards harmonised standards for appliances for heating liquids, battery chargers, instantaneous water heaters, thermal-storage room heaters, toilets, multifunctional shower cabinets, skin exposure to ultraviolet and infrared radiation, and other electrical equipment designed for use within certain voltage limits (Text with EEA relevance)</t>
  </si>
  <si>
    <t xml:space="preserve">https://eur-lex.europa.eu/legal-content/EN/TXT/?uri=CELEX:32022D0713</t>
  </si>
  <si>
    <t xml:space="preserve">32022D0729</t>
  </si>
  <si>
    <t xml:space="preserve">Commission Implementing Decision (EU) 2022/729 of 11 May 2022 amending Implementing Decision (EU) 2021/1195 as regards harmonised standards for quality management systems and for application of risk management to medical devices</t>
  </si>
  <si>
    <t xml:space="preserve">https://eur-lex.europa.eu/legal-content/EN/TXT/?uri=CELEX:32022D0729</t>
  </si>
  <si>
    <t xml:space="preserve">32022D0757</t>
  </si>
  <si>
    <t xml:space="preserve">Commission Implementing Decision (EU) 2022/757 of 11 May 2022 amending Implementing Decision (EU) 2021/1182 as regards harmonised standards for quality management systems, sterilisation and application of risk management to medical devices</t>
  </si>
  <si>
    <t xml:space="preserve">https://eur-lex.europa.eu/legal-content/EN/TXT/?uri=CELEX:32022D0757</t>
  </si>
  <si>
    <t xml:space="preserve">32022D0784</t>
  </si>
  <si>
    <t xml:space="preserve">2022-05-17</t>
  </si>
  <si>
    <t xml:space="preserve">Commission Implementing Decision (EU) 2022/784 of 17 May 2022 amending Implementing Decision (EU) 2019/1202 as regards harmonised standards for nozzle, test requirements and dimensions used for the automotive LPG filling system for light and heavy duty vehicles, and for explosion suppression systems (Text with EEA relevance)</t>
  </si>
  <si>
    <t xml:space="preserve">https://eur-lex.europa.eu/legal-content/EN/TXT/?uri=CELEX:32022D0784</t>
  </si>
  <si>
    <t xml:space="preserve">32022D0910</t>
  </si>
  <si>
    <t xml:space="preserve">2022-06-09</t>
  </si>
  <si>
    <t xml:space="preserve">Commission Implementing Decision (EU) 2022/910 of 9 June 2022 amending Implementing Decision (EU) 2019/1326 as regards the harmonised standards for electromagnetic compatibility of low-voltage switches, disconnectors, switch-disconnectors and fuse-combination units, and for external power supply for mobile phones (Text with EEA relevance)</t>
  </si>
  <si>
    <t xml:space="preserve">https://eur-lex.europa.eu/legal-content/EN/TXT/?uri=CELEX:32022D0910</t>
  </si>
  <si>
    <t xml:space="preserve">32022D1029</t>
  </si>
  <si>
    <t xml:space="preserve">2022-06-28</t>
  </si>
  <si>
    <t xml:space="preserve">Commission Implementing Decision (EU) 2022/1029 of 28 June 2022 amending Implementing Decision (EU) 2019/919 as regards harmonised standards for principal data for small craft, liquefied petroleum gas propulsion systems for boats, yachts and other watercraft, and determination of maximum propulsion power rating using manoeuvring speed for craft with a length of hull between 8 m and 24 m (Text with EEA relevance)</t>
  </si>
  <si>
    <t xml:space="preserve">https://eur-lex.europa.eu/legal-content/EN/TXT/?uri=CELEX:32022D1029</t>
  </si>
  <si>
    <t xml:space="preserve">32022D1199</t>
  </si>
  <si>
    <t xml:space="preserve">2022-07-11</t>
  </si>
  <si>
    <t xml:space="preserve">Commission Implementing Decision (EU) 2022/1199 of 11 July 2022 amending Implementing Decision (EU) 2021/76 as regards harmonised standards for lifts with inclined travel path and correcting that Decision as regards harmonised standards for steel wire ropes (Text with EEA relevance)</t>
  </si>
  <si>
    <t xml:space="preserve">https://eur-lex.europa.eu/legal-content/EN/TXT/?uri=CELEX:32022D1199</t>
  </si>
  <si>
    <t xml:space="preserve">32022D1668</t>
  </si>
  <si>
    <t xml:space="preserve">Commission Implementing Decision (EU) 2022/1668 of 28 September 2022 on harmonised standards for equipment and protective systems intended for use in potentially explosive atmospheres drafted in support of Directive 2014/34/EU of the European Parliament and of the Council (Text with EEA relevance)</t>
  </si>
  <si>
    <t xml:space="preserve">https://eur-lex.europa.eu/legal-content/EN/TXT/?uri=CELEX:32022D1668</t>
  </si>
  <si>
    <t xml:space="preserve">32022D1844</t>
  </si>
  <si>
    <t xml:space="preserve">Commission Implementing Decision (EU) 2022/1844 of 28 September 2022 amending Implementing Decision (EU) 2019/1616 as regards harmonised standards for metallic industrial piping, portable fire extinguishers, non-destructive testing, pipe fittings, industrial valves, water-tube boilers, GRP tanks and vessels, expansion joints and valves for the refrigerating systems and heat pumps (Text with EEA relevance)</t>
  </si>
  <si>
    <t xml:space="preserve">https://eur-lex.europa.eu/legal-content/EN/TXT/?uri=CELEX:32022D1844</t>
  </si>
  <si>
    <t xml:space="preserve">32022D1914</t>
  </si>
  <si>
    <t xml:space="preserve">2022-10-06</t>
  </si>
  <si>
    <t xml:space="preserve">Commission Implementing Decision (EU) 2022/1914 of 6 October 2022 amending Implementing Decision (EU) 2020/668 as regards harmonised standards on personal flotation devices – buoyancy aids, lifejackets and accessories (Text with EEA relevance)</t>
  </si>
  <si>
    <t xml:space="preserve">https://eur-lex.europa.eu/legal-content/EN/TXT/?uri=CELEX:32022D1914</t>
  </si>
  <si>
    <t xml:space="preserve">32022D1954</t>
  </si>
  <si>
    <t xml:space="preserve">Commission Implementing Decision (EU) 2022/1954 of 12 October 2022 on harmonised standards for recreational craft and personal watercraft drafted in support of Directive 2013/53/EU of the European Parliament and of the Council (Text with EEA relevance)</t>
  </si>
  <si>
    <t xml:space="preserve">https://eur-lex.europa.eu/legal-content/EN/TXT/?uri=CELEX:32022D1954</t>
  </si>
  <si>
    <t xml:space="preserve">32022D2191</t>
  </si>
  <si>
    <t xml:space="preserve">2022-11-08</t>
  </si>
  <si>
    <t xml:space="preserve">Commission Implementing Decision (EU) 2022/2191 of 8 November 2022 on the harmonised standards for radio equipment drafted in support of Directive 2014/53/EU of the European Parliament and of the Council (Text with EEA relevance)</t>
  </si>
  <si>
    <t xml:space="preserve">https://eur-lex.europa.eu/legal-content/EN/TXT/?uri=CELEX:32022D2191</t>
  </si>
  <si>
    <t xml:space="preserve">32022D2414</t>
  </si>
  <si>
    <t xml:space="preserve">Commission Implementing Decision (EU) 2022/2414 of 6 December 2022 amending Implementing Decision (EU) 2020/668 as regards harmonised standards on requirements, testing and marking of particle filters for respiratory protective devices, general requirements for protective clothing, requirements for eye protectors for squash and eye protectors for racquetball and squash 57 and requirements and test methods for footwear protecting against risks in foundries and during welding and allied processes (Text with EEA relevance)</t>
  </si>
  <si>
    <t xml:space="preserve">https://eur-lex.europa.eu/legal-content/EN/TXT/?uri=CELEX:32022D2414</t>
  </si>
  <si>
    <t xml:space="preserve">32023D0098</t>
  </si>
  <si>
    <t xml:space="preserve">2023-01-09</t>
  </si>
  <si>
    <t xml:space="preserve">Commission Implementing Decision 2023/98 of 9 January 2023 amending Implementing Decision (EU) 2019/1956 as regards harmonised standards for lamp controlgear, luminaires, climatic and environmental testing and other temperature conditioning equipment and power metering and monitoring devices (Text with EEA relevance)</t>
  </si>
  <si>
    <t xml:space="preserve">https://eur-lex.europa.eu/legal-content/EN/TXT/?uri=CELEX:32023D0098</t>
  </si>
  <si>
    <t xml:space="preserve">32023D0600</t>
  </si>
  <si>
    <t xml:space="preserve">2023-03-13</t>
  </si>
  <si>
    <t xml:space="preserve">Commission Implementing Decision (EU) 2023/600 of 13 March 2023 amending Implementing Decision (EU) 2019/1956 as regards harmonised standards for room heaters, aquarium luminaires, circuit-breakers and tumble dryers (Text with EEA relevance)</t>
  </si>
  <si>
    <t xml:space="preserve">https://eur-lex.europa.eu/legal-content/EN/TXT/?uri=CELEX:32023D0600</t>
  </si>
  <si>
    <t xml:space="preserve">32023D0601</t>
  </si>
  <si>
    <t xml:space="preserve">Commission Implementing Decision (EU) 2023/601 of 13 March 2023 amending Implementing Decision (EU) 2022/1668 as regards harmonised standards for design and testing of vacuum cleaners for use in potentially explosive atmospheres and performance requirements of detectors for flammable gases (Text with EEA relevance)</t>
  </si>
  <si>
    <t xml:space="preserve">https://eur-lex.europa.eu/legal-content/EN/TXT/?uri=CELEX:32023D0601</t>
  </si>
  <si>
    <t xml:space="preserve">32023D0740</t>
  </si>
  <si>
    <t xml:space="preserve">2023-04-04</t>
  </si>
  <si>
    <t xml:space="preserve">Commission Implementing Decision (EU) 2023/740 of 4 April 2023 on harmonised standards for toys drafted in support of Directive 2009/48/EC of the European Parliament and of the Council</t>
  </si>
  <si>
    <t xml:space="preserve">https://eur-lex.europa.eu/legal-content/EN/TXT/?uri=CELEX:32023D0740</t>
  </si>
  <si>
    <t xml:space="preserve">32023D0941</t>
  </si>
  <si>
    <t xml:space="preserve">2023-05-02</t>
  </si>
  <si>
    <t xml:space="preserve">Commission Implementing Decision (EU) 2023/941 of 2 May 2023 on harmonised standards for personal protective equipment drafted in support of Regulation (EU) 2016/425 of the European Parliament and of the Council (Text with EEA relevance)</t>
  </si>
  <si>
    <t xml:space="preserve">https://eur-lex.europa.eu/legal-content/EN/TXT/?uri=CELEX:32023D0941</t>
  </si>
  <si>
    <t xml:space="preserve">32023D1060</t>
  </si>
  <si>
    <t xml:space="preserve">Commission Implementing Decision (EU) 2023/1060 of 30 May 2023 on a harmonised standard for test methods and requirements to demonstrate that plastic caps and lids remain attached to beverage containers drafted in support of Directive (EU) 2019/904 of the European Parliament and of the Council (Text with EEA relevance)</t>
  </si>
  <si>
    <t xml:space="preserve">https://eur-lex.europa.eu/legal-content/EN/TXT/?uri=CELEX:32023D1060</t>
  </si>
  <si>
    <t xml:space="preserve">32023D1410</t>
  </si>
  <si>
    <t xml:space="preserve">Commission Implementing Decision (EU) 2023/1410 of 4 July 2023 amending Implementing Decision (EU) 2021/1182 as regards harmonised standards for sterilization of health care products and biological evaluation of medical devices</t>
  </si>
  <si>
    <t xml:space="preserve">https://eur-lex.europa.eu/legal-content/EN/TXT/?uri=CELEX:32023D1410</t>
  </si>
  <si>
    <t xml:space="preserve">32023D1411</t>
  </si>
  <si>
    <t xml:space="preserve">Commission Implementing Decision (EU) 2023/1411 of 4 July 2023 amending Implementing Decision (EU) 2021/1195 as regards a harmonised standard for sterilization of health care products</t>
  </si>
  <si>
    <t xml:space="preserve">https://eur-lex.europa.eu/legal-content/EN/TXT/?uri=CELEX:32023D1411</t>
  </si>
  <si>
    <t xml:space="preserve">32023D1586</t>
  </si>
  <si>
    <t xml:space="preserve">2023-07-26</t>
  </si>
  <si>
    <t xml:space="preserve">Commission Implementing Decision (EU) 2023/1586 of 26 July 2023 on harmonised standards for machinery drafted in support of Directive 2006/42/EC of the European Parliament and of the Council</t>
  </si>
  <si>
    <t xml:space="preserve">https://eur-lex.europa.eu/legal-content/EN/TXT/?uri=CELEX:32023D1586</t>
  </si>
  <si>
    <t xml:space="preserve">32023D1587</t>
  </si>
  <si>
    <t xml:space="preserve">2023-08-01</t>
  </si>
  <si>
    <t xml:space="preserve">Commission Implementing Decision (EU) 2023/1587 of 1 August 2023 amending Implementing Decision (EU) 2022/1668 as regards harmonised standards on performance requirements and test methods for electrical equipment for the detection and measurement of oxygen (Text with EEA relevance)</t>
  </si>
  <si>
    <t xml:space="preserve">https://eur-lex.europa.eu/legal-content/EN/TXT/?uri=CELEX:32023D1587</t>
  </si>
  <si>
    <t xml:space="preserve">32023D1646</t>
  </si>
  <si>
    <t xml:space="preserve">Commission Implementing Decision (EU) 2023/1646 of 17 August 2023 amending Implementing Decision (EU) 2021/76 as regards harmonised standards on safety rules for the construction and installation of lifts (Text with EEA relevance)</t>
  </si>
  <si>
    <t xml:space="preserve">https://eur-lex.europa.eu/legal-content/EN/TXT/?uri=CELEX:32023D1646</t>
  </si>
  <si>
    <t xml:space="preserve">32023D1759</t>
  </si>
  <si>
    <t xml:space="preserve">2023-09-11</t>
  </si>
  <si>
    <t xml:space="preserve">Commission Implementing Decision (EU) 2023/1759 of 11 September 2023 on the harmonised standards for household dishwashers drafted in support of Regulation (EU) 2019/2022 and Delegated Regulation (EU) 2019/2017</t>
  </si>
  <si>
    <t xml:space="preserve">https://eur-lex.europa.eu/legal-content/EN/TXT/?uri=CELEX:32023D1759</t>
  </si>
  <si>
    <t xml:space="preserve">32023D2392</t>
  </si>
  <si>
    <t xml:space="preserve">2023-10-03</t>
  </si>
  <si>
    <t xml:space="preserve">Commission Implementing Decision (EU) 2023/2392 of 3 October 2023 amending Implementing Decision (EU) 2022/2191 as regards harmonised standards for international mobile telecommunications cellular network equipment, transmitting equipment for digital audio broadcasting and digital radio mondiale services, very high frequency maritime survivor locating devices, and satellite earth stations and systems</t>
  </si>
  <si>
    <t xml:space="preserve">https://eur-lex.europa.eu/legal-content/EN/TXT/?uri=CELEX:32023D2392</t>
  </si>
  <si>
    <t xml:space="preserve">32023D2584</t>
  </si>
  <si>
    <t xml:space="preserve">2023-11-15</t>
  </si>
  <si>
    <t xml:space="preserve">Commission Implementing Decision (EU) 2023/2584 of 15 November 2023 on harmonised standards for the interoperability of the rail systems drafted in support of Directive (EU) 2016/797 of the European Parliament and of the Council</t>
  </si>
  <si>
    <t xml:space="preserve">https://eur-lex.europa.eu/legal-content/EN/TXT/?uri=CELEX:32023D2584</t>
  </si>
  <si>
    <t xml:space="preserve">32023D2669</t>
  </si>
  <si>
    <t xml:space="preserve">2023-11-27</t>
  </si>
  <si>
    <t xml:space="preserve">Commission Implementing Decision (EU) 2023/2669 of 27 November 2023 amending Implementing Decision (EU) 2022/2191 as regards harmonised standards for wireless communication devices used next to the ear or in close proximity to the human body</t>
  </si>
  <si>
    <t xml:space="preserve">https://eur-lex.europa.eu/legal-content/EN/TXT/?uri=CELEX:32023D2669</t>
  </si>
  <si>
    <t xml:space="preserve">32023D2723</t>
  </si>
  <si>
    <t xml:space="preserve">2023-12-06</t>
  </si>
  <si>
    <t xml:space="preserve">Commission Implementing Decision (EU) 2023/2723 of 6 December 2023 on harmonised standards for electrical equipment drafted in support of Directive 2014/35/EU of the European Parliament and of the Council</t>
  </si>
  <si>
    <t xml:space="preserve">https://eur-lex.europa.eu/legal-content/EN/TXT/?uri=CELEX:32023D2723</t>
  </si>
  <si>
    <t xml:space="preserve">32023D2752</t>
  </si>
  <si>
    <t xml:space="preserve">2023-12-07</t>
  </si>
  <si>
    <t xml:space="preserve">Commission Implementing Decision (EU) 2023/2752 of 7 December 2023 amending Implementing Decision (EU) 2023/941 as regards harmonised standards for mountaineering equipment, helmets for equestrian activities and gloves drafted in support of Regulation (EU) 2016/425 of the European Parliament and of the Council</t>
  </si>
  <si>
    <t xml:space="preserve">https://eur-lex.europa.eu/legal-content/EN/TXT/?uri=CELEX:32023D2752</t>
  </si>
  <si>
    <t xml:space="preserve">32024D0201</t>
  </si>
  <si>
    <t xml:space="preserve">2024-01-10</t>
  </si>
  <si>
    <t xml:space="preserve">Commission Implementing Decision (EU) 2024/201 of 10 January 2024 amending Implementing Decision (EU) 2022/1954 as regards harmonised standards for remote mechanical steering systems, permanently installed fuel systems and remote hydraulic steering systems</t>
  </si>
  <si>
    <t xml:space="preserve">https://eur-lex.europa.eu/legal-content/EN/TXT/?uri=CELEX:32024D0201</t>
  </si>
  <si>
    <t xml:space="preserve">32024D0224</t>
  </si>
  <si>
    <t xml:space="preserve">Commission Implementing Decision (EU) 2024/224 of 10 January 2024 on the harmonised standards for appliances burning gaseous fuels drafted in support of Regulation (EU) 2016/426 of the European Parliament and of the Council</t>
  </si>
  <si>
    <t xml:space="preserve">https://eur-lex.europa.eu/legal-content/EN/TXT/?uri=CELEX:32024D0224</t>
  </si>
  <si>
    <t xml:space="preserve">32024D0354</t>
  </si>
  <si>
    <t xml:space="preserve">Commission Implementing Decision (EU) 2024/354 of 19 January 2024 on harmonised standards for cableway installations drafted in support of Regulation (EU) 2016/424 of the European Parliament and the Council</t>
  </si>
  <si>
    <t xml:space="preserve">https://eur-lex.europa.eu/legal-content/EN/TXT/?uri=CELEX:32024D0354</t>
  </si>
  <si>
    <t xml:space="preserve">32024D0373</t>
  </si>
  <si>
    <t xml:space="preserve">2024-01-24</t>
  </si>
  <si>
    <t xml:space="preserve">Commission Implementing Decision (EU) 2024/373 of 24 January 2024 on the harmonised standards for inspection of pesticide application equipment in use drafted in support of Directive 2009/128/EC of the European Parliament and of the Council</t>
  </si>
  <si>
    <t xml:space="preserve">https://eur-lex.europa.eu/legal-content/EN/TXT/?uri=CELEX:32024D0373</t>
  </si>
  <si>
    <t xml:space="preserve">32024D0564</t>
  </si>
  <si>
    <t xml:space="preserve">2024-02-14</t>
  </si>
  <si>
    <t xml:space="preserve">Commission Implementing Decision (EU) 2024/564 of 14 February 2024 on harmonised standards for solid fuel boilers and packages of a solid fuel boiler, supplementary heaters, temperature controls and solar devices drafted in support of Delegated Regulation (EU) 2015/1187 and Regulation (EU) 2015/1189</t>
  </si>
  <si>
    <t xml:space="preserve">https://eur-lex.europa.eu/legal-content/EN/TXT/?uri=CELEX:32024D0564</t>
  </si>
  <si>
    <t xml:space="preserve">32024D0581</t>
  </si>
  <si>
    <t xml:space="preserve">2024-02-16</t>
  </si>
  <si>
    <t xml:space="preserve">Commission Implementing Decision (EU) 2024/581 of 16 February 2024 on the harmonised standard for accreditation of medical laboratories drafted in support of Regulation (EC) No 765/2008 of the European Parliament and of the Council</t>
  </si>
  <si>
    <t xml:space="preserve">https://eur-lex.europa.eu/legal-content/EN/TXT/?uri=CELEX:32024D0581</t>
  </si>
  <si>
    <t xml:space="preserve">32024D0815</t>
  </si>
  <si>
    <t xml:space="preserve">2024-03-06</t>
  </si>
  <si>
    <t xml:space="preserve">Commission Implementing Decision (EU) 2024/815 of 6 March 2024 amending Implementing Decision (EU) 2021/1182 as regards harmonised standards for medical gloves for single use, biological evaluation of medical devices, sterilization of health care products, packaging for terminally sterilized medical devices and processing of health care products</t>
  </si>
  <si>
    <t xml:space="preserve">https://eur-lex.europa.eu/legal-content/EN/TXT/?uri=CELEX:32024D0815</t>
  </si>
  <si>
    <t xml:space="preserve">32024D0817</t>
  </si>
  <si>
    <t xml:space="preserve">Commission Implementing Decision (EU) 2024/817 of 6 March 2024 amending Implementing Decision (EU) 2021/1195 as regards harmonised standards for sterilisation of health care products and packaging for terminally sterilised medical devices</t>
  </si>
  <si>
    <t xml:space="preserve">https://eur-lex.europa.eu/legal-content/EN/TXT/?uri=CELEX:32024D0817</t>
  </si>
  <si>
    <t xml:space="preserve">32024D1198</t>
  </si>
  <si>
    <t xml:space="preserve">2024-04-19</t>
  </si>
  <si>
    <t xml:space="preserve">Commission Implementing Decision (EU) 2024/1198 of 19 April 2024 amending Implementing Decision (EU) 2023/2723 as regards harmonised standards for boxes and enclosures for electrical accessories, conduit systems buried underground and low-voltage switchgear and controlgear</t>
  </si>
  <si>
    <t xml:space="preserve">https://eur-lex.europa.eu/legal-content/EN/TXT/?uri=CELEX:32024D1198</t>
  </si>
  <si>
    <t xml:space="preserve">32024D1197</t>
  </si>
  <si>
    <t xml:space="preserve">2024-04-23</t>
  </si>
  <si>
    <t xml:space="preserve">Commission Implementing Decision (EU) 2024/1197 of 23 April 2024 amending Implementing Decision (EU) 2022/1954 as regards harmonised standards for electrical systems – alternating and direct current installations, and bilge-pumping systems</t>
  </si>
  <si>
    <t xml:space="preserve">https://eur-lex.europa.eu/legal-content/EN/TXT/?uri=CELEX:32024D1197</t>
  </si>
  <si>
    <t xml:space="preserve">32024D1329</t>
  </si>
  <si>
    <t xml:space="preserve">Commission Implementing Decision (EU) 2024/1329 of 13 May 2024 amending and correcting Implementing Decision (EU) 2023/1586 as regards harmonised standards for explosion prevention and protection in explosive atmospheres, laser related equipment, safety-related parts of control systems, plastics and rubber machines, refuse collection vehicles, aircraft ground support equipment, driverless industrial trucks and their systems, electrically power assisted cycles, conveyor belts for winter sport or tourist use, pedestrian-propelled trucks, tenoning and profiling woodworking machines, tractors and machinery for agriculture and forestry, commercial vacuum packaging appliances, commercial refrigerating appliances and ice-makers, grass shears and motor-operated pedestrian controlled walk-behind garden machinery</t>
  </si>
  <si>
    <t xml:space="preserve">https://eur-lex.europa.eu/legal-content/EN/TXT/?uri=CELEX:32024D1329</t>
  </si>
  <si>
    <t xml:space="preserve">32024D1589</t>
  </si>
  <si>
    <t xml:space="preserve">2024-06-04</t>
  </si>
  <si>
    <t xml:space="preserve">Commission Implementing Decision (EU) 2024/1589 of 4 June 2024 on the harmonised standards for condensing units for refrigeration drafted in support of Commission Regulation (EU) 2015/1095</t>
  </si>
  <si>
    <t xml:space="preserve">https://eur-lex.europa.eu/legal-content/EN/TXT/?uri=CELEX:32024D1589</t>
  </si>
  <si>
    <t xml:space="preserve">32024D2103</t>
  </si>
  <si>
    <t xml:space="preserve">Commission Implementing Decision (EU) 2024/2103 of 30 July 2024 on harmonised standard for direct remote identification for unmanned aircraft drafted in support of Delegated Regulation (EU) 2019/945</t>
  </si>
  <si>
    <t xml:space="preserve">https://eur-lex.europa.eu/legal-content/EN/TXT/?uri=CELEX:32024D2103</t>
  </si>
  <si>
    <t xml:space="preserve">32024D2387</t>
  </si>
  <si>
    <t xml:space="preserve">2024-09-09</t>
  </si>
  <si>
    <t xml:space="preserve">Commission Implementing Decision (EU) 2024/2387 of 9 September 2024 on the harmonised standards for EU fertilising products drafted in support of Regulation (EU) 2019/1009 of the European Parliament and the Council</t>
  </si>
  <si>
    <t xml:space="preserve">https://eur-lex.europa.eu/legal-content/EN/TXT/?uri=CELEX:32024D2387</t>
  </si>
  <si>
    <t xml:space="preserve">32024D2397</t>
  </si>
  <si>
    <t xml:space="preserve">2024-09-11</t>
  </si>
  <si>
    <t xml:space="preserve">Commission Implementing Decision (EU) 2024/2397 of 11 September 2024 on a harmonised standard for refrigerating appliances with a direct sales function drafted in support of Delegated Regulation (EU) 2019/2018 and Regulation (EU) 2019/2024</t>
  </si>
  <si>
    <t xml:space="preserve">https://eur-lex.europa.eu/legal-content/EN/TXT/?uri=CELEX:32024D2397</t>
  </si>
  <si>
    <t xml:space="preserve">32024D2406</t>
  </si>
  <si>
    <t xml:space="preserve">2024-09-12</t>
  </si>
  <si>
    <t xml:space="preserve">Commission Implementing Decision (EU) 2024/2406 of 12 September 2024 amending Implementing Decision (EU) 2019/1698 on European standards for certain child care articles, children’s furniture, gymnastic equipment and laser products</t>
  </si>
  <si>
    <t xml:space="preserve">https://eur-lex.europa.eu/legal-content/EN/TXT/?uri=CELEX:32024D2406</t>
  </si>
  <si>
    <t xml:space="preserve">32024D2408</t>
  </si>
  <si>
    <t xml:space="preserve">Commission Implementing Decision (EU) 2024/2408 of 13 September 2024 amending Implementing Decision (EU) 2023/1586 as regards harmonised standards for lifting tables, earth-moving machinery, cranes and power operated pedestrian doorsets</t>
  </si>
  <si>
    <t xml:space="preserve">https://eur-lex.europa.eu/legal-content/EN/TXT/?uri=CELEX:32024D2408</t>
  </si>
  <si>
    <t xml:space="preserve">32024D2599</t>
  </si>
  <si>
    <t xml:space="preserve">2024-10-04</t>
  </si>
  <si>
    <t xml:space="preserve">Commission Implementing Decision (EU) 2024/2599 of 4 October 2024 amending Commission Implementing Decision (EU) 2023/941 as regards the harmonised standards for personal fall protection equipment, powered filtering respiratory protective devices, footwear, electrically insulating helmets and eye and face protection for occupational use drafted in support of Regulation (EU) 2016/425 of the European Parliament and of the Council</t>
  </si>
  <si>
    <t xml:space="preserve">https://eur-lex.europa.eu/legal-content/EN/TXT/?uri=CELEX:32024D2599</t>
  </si>
  <si>
    <t xml:space="preserve">32024D2625</t>
  </si>
  <si>
    <t xml:space="preserve">Commission Implementing Decision (EU) 2024/2625 of 8 October 2024 amending Implementing Decision (EU) 2021/1195 as regards harmonised standards for aseptic processing of health care products and clinical performance studies using specimens from human subjects</t>
  </si>
  <si>
    <t xml:space="preserve">https://eur-lex.europa.eu/legal-content/EN/TXT/?uri=CELEX:32024D2625</t>
  </si>
  <si>
    <t xml:space="preserve">32024D2631</t>
  </si>
  <si>
    <t xml:space="preserve">Commission Implementing Decision (EU) 2024/2631 of 8 October 2024 amending Implementing Decision (EU) 2021/1182 as regards the harmonised standard for aseptic processing of health care products</t>
  </si>
  <si>
    <t xml:space="preserve">https://eur-lex.europa.eu/legal-content/EN/TXT/?uri=CELEX:32024D2631</t>
  </si>
  <si>
    <t xml:space="preserve">32024D2638</t>
  </si>
  <si>
    <t xml:space="preserve">Commission Implementing Decision (EU) 2024/2638 of 9 October 2024 on the harmonised standards drafted in support of Regulation (EU) 2016/2281 laying down ecodesign requirements for air heating products, cooling products, high temperature process chillers and fan coil units</t>
  </si>
  <si>
    <t xml:space="preserve">https://eur-lex.europa.eu/legal-content/EN/TXT/?uri=CELEX:32024D2638</t>
  </si>
  <si>
    <t xml:space="preserve">32024D2764</t>
  </si>
  <si>
    <t xml:space="preserve">2024-10-30</t>
  </si>
  <si>
    <t xml:space="preserve">Commission Implementing Decision (EU) 2024/2764 of 30 October 2024 amending Implementing Decision (EU) 2023/2723 as regards harmonised standards for Edison screw lampholders, boxes and enclosures for electrical accessories, stationary circulation pumps, toilet appliances and electric vehicle conductive charging system</t>
  </si>
  <si>
    <t xml:space="preserve">https://eur-lex.europa.eu/legal-content/EN/TXT/?uri=CELEX:32024D2764</t>
  </si>
  <si>
    <t xml:space="preserve">32024D2909</t>
  </si>
  <si>
    <t xml:space="preserve">2024-11-22</t>
  </si>
  <si>
    <t xml:space="preserve">Commission Implementing Decision (EU) 2024/2909 of 22 November 2024 on the harmonised standards for gas boilers drafted in support of Regulation (EU) No 813/2013 and of Delegated Regulation (EU) No 811/2013</t>
  </si>
  <si>
    <t xml:space="preserve">https://eur-lex.europa.eu/legal-content/EN/TXT/?uri=CELEX:32024D2909</t>
  </si>
  <si>
    <t xml:space="preserve">32024D2944</t>
  </si>
  <si>
    <t xml:space="preserve">Commission Implementing Decision (EU) 2024/2944 of 28 November 2024 on the harmonised standards for appliances burning gaseous fuels drafted in support of Regulation (EU) 2016/426 of the European Parliament and of the Council and repealing Commission Implementing Decision (EU) 2024/224</t>
  </si>
  <si>
    <t xml:space="preserve">https://eur-lex.europa.eu/legal-content/EN/TXT/?uri=CELEX:32024D2944</t>
  </si>
  <si>
    <t xml:space="preserve">32025D0072</t>
  </si>
  <si>
    <t xml:space="preserve">Commission Implementing Decision (EU) 2025/72 of 15 January 2025 amending Implementing Decision (EU) 2021/936 as regards harmonised standards for household washing machines and household washer-dryers</t>
  </si>
  <si>
    <t xml:space="preserve">https://eur-lex.europa.eu/legal-content/EN/TXT/?uri=CELEX:32025D0072</t>
  </si>
  <si>
    <t xml:space="preserve">32025D0138</t>
  </si>
  <si>
    <t xml:space="preserve">2025-01-28</t>
  </si>
  <si>
    <t xml:space="preserve">Commission Implementing Decision (EU) 2025/138 of 28 January 2025 amending Implementing Decision (EU) 2022/2191 as regards harmonised standards in support of the essential requirements of Directive 2014/53/EU of the European Parliament and of the Council that relate to cybersecurity, for the categories and classes of radio equipment specified in Delegated Regulation (EU) 2022/30</t>
  </si>
  <si>
    <t xml:space="preserve">https://eur-lex.europa.eu/legal-content/EN/TXT/?uri=CELEX:32025D0138</t>
  </si>
  <si>
    <t xml:space="preserve">32025D0165</t>
  </si>
  <si>
    <t xml:space="preserve">2025-01-30</t>
  </si>
  <si>
    <t xml:space="preserve">Commission Implementing Decision (EU) 2025/165 of 30 January 2025 on the harmonised standards for pressure equipment drafted in support of Directive 2014/68/EU of the European Parliament and of the Council</t>
  </si>
  <si>
    <t xml:space="preserve">https://eur-lex.europa.eu/legal-content/EN/TXT/?uri=CELEX:32025D0165</t>
  </si>
  <si>
    <t xml:space="preserve">32025D0286</t>
  </si>
  <si>
    <t xml:space="preserve">Commission Implementing Decision (EU) 2025/286 of 13 February 2025 amending Implementing Decision (EU) 2023/941 as regards the harmonised standards for hearing protectors, personal fall protection equipment and eye and face protection equipment, drafted in support of Regulation (EU) 2016/425 of the European Parliament and of the Council</t>
  </si>
  <si>
    <t xml:space="preserve">https://eur-lex.europa.eu/legal-content/EN/TXT/?uri=CELEX:32025D0286</t>
  </si>
  <si>
    <t xml:space="preserve">32025D0337</t>
  </si>
  <si>
    <t xml:space="preserve">2025-02-20</t>
  </si>
  <si>
    <t xml:space="preserve">Commission Implementing Decision (EU) 2025/337 of 20 February 2025 on the harmonised standards for pyrotechnic articles drafted in support of Directive 2013/29/EU of the European Parliament and of the Council</t>
  </si>
  <si>
    <t xml:space="preserve">https://eur-lex.europa.eu/legal-content/EN/TXT/?uri=CELEX:32025D0337</t>
  </si>
  <si>
    <t xml:space="preserve">32025D0375</t>
  </si>
  <si>
    <t xml:space="preserve">2025-02-26</t>
  </si>
  <si>
    <t xml:space="preserve">Commission Implementing Decision (EU) 2025/375 of 26 February 2025 amending Implementing Decision (EU) 2021/1402 as regards harmonised standards for gas meters and gas volume conversion devices drafted in support of Directive 2014/32/EU of the European Parliament and of the Council</t>
  </si>
  <si>
    <t xml:space="preserve">https://eur-lex.europa.eu/legal-content/EN/TXT/?uri=CELEX:32025D0375</t>
  </si>
  <si>
    <t xml:space="preserve">32025D0424</t>
  </si>
  <si>
    <t xml:space="preserve">2025-03-04</t>
  </si>
  <si>
    <t xml:space="preserve">Commission Implementing Decision (EU) 2025/424 of 4 March 2025 amending Implementing Decision (EU) 2023/2584 as regards an update of the referenced standards and the addition of new referenced standards</t>
  </si>
  <si>
    <t xml:space="preserve">https://eur-lex.europa.eu/legal-content/EN/TXT/?uri=CELEX:32025D0424</t>
  </si>
  <si>
    <t xml:space="preserve">32025D0533</t>
  </si>
  <si>
    <t xml:space="preserve">Commission Implementing Decision (EU) 2025/533 of 25 March 2025 on a harmonised standard for refrigerating appliances with a direct sales function drafted in support of Delegated Regulation (EU) 2019/2018 and Regulation (EU) 2019/2024</t>
  </si>
  <si>
    <t xml:space="preserve">https://eur-lex.europa.eu/legal-content/EN/TXT/?uri=CELEX:32025D0533</t>
  </si>
  <si>
    <t xml:space="preserve">32025D0597</t>
  </si>
  <si>
    <t xml:space="preserve">2025-03-28</t>
  </si>
  <si>
    <t xml:space="preserve">Commission Implementing Decision (EU) 2025/597 of 28 March 2025 amending Implementing Decision (EU) 2022/1668 as regards harmonised standard on explosion prevention and protection in underground mines - equipment and protective systems for firedamp drainage</t>
  </si>
  <si>
    <t xml:space="preserve">https://eur-lex.europa.eu/legal-content/EN/TXT/?uri=CELEX:32025D0597</t>
  </si>
  <si>
    <t xml:space="preserve">32025D0679</t>
  </si>
  <si>
    <t xml:space="preserve">2025-04-08</t>
  </si>
  <si>
    <t xml:space="preserve">Commission Implementing Decision (EU) 2025/679 of 8 April 2025 amending Implementing Decision (EU) 2021/1195 as regards harmonised standards for sterilization of medical devices</t>
  </si>
  <si>
    <t xml:space="preserve">https://eur-lex.europa.eu/legal-content/EN/TXT/?uri=CELEX:32025D0679</t>
  </si>
  <si>
    <t xml:space="preserve">32025D0681</t>
  </si>
  <si>
    <t xml:space="preserve">Commission Implementing Decision (EU) 2025/681 of 8 April 2025 amending Implementing Decision (EU) 2021/1182 as regards harmonised standards for medical gloves for single use, sterilization of medical devices and patient handling equipment used in ambulances</t>
  </si>
  <si>
    <t xml:space="preserve">https://eur-lex.europa.eu/legal-content/EN/TXT/?uri=CELEX:32025D0681</t>
  </si>
  <si>
    <t xml:space="preserve">32025D0893</t>
  </si>
  <si>
    <t xml:space="preserve">2025-05-14</t>
  </si>
  <si>
    <t xml:space="preserve">Commission Implementing Decision (EU) 2025/893 of 14 May 2025 amending Implementing Decision (EU) 2022/2191 as regards harmonised standards for digital enhanced cordless telecommunications devices, short range devices, satellite systems, broadband and wideband data transmission systems, international mobile telecommunication systems, aeronautical and meteorological radars, 5 and 6 GHz WAS/RLAN equipment, wireless digital video links, and advanced surface movement guidance and control systems</t>
  </si>
  <si>
    <t xml:space="preserve">https://eur-lex.europa.eu/legal-content/EN/TXT/?uri=CELEX:32025D0893</t>
  </si>
  <si>
    <t xml:space="preserve">32025D0895</t>
  </si>
  <si>
    <t xml:space="preserve">Commission Implementing Decision (EU) 2025/895 of 14 May 2025 amending Implementing Decision (EU) 2023/941 as regards the harmonised standards for hearing protectors, personal fall protection equipment, mountaineering equipment, knee protectors, protective clothing against tick bites and electrically insulating helmets, drafted in support of Regulation (EU) 2016/425 of the European Parliament and of the Council</t>
  </si>
  <si>
    <t xml:space="preserve">https://eur-lex.europa.eu/legal-content/EN/TXT/?uri=CELEX:32025D0895</t>
  </si>
  <si>
    <t xml:space="preserve">32025D1457</t>
  </si>
  <si>
    <t xml:space="preserve">2025-07-16</t>
  </si>
  <si>
    <t xml:space="preserve">Commission Implementing Decision (EU) 2025/1457 of 16 July 2025 amending Implementing Decision (EU) 2023/2723 as regards the withdrawal of the reference to harmonised standard EN 60335-2-60:2003 on particular requirements for whirlpool baths and whirlpool spas, and as regards the publication with restriction of the reference to harmonised standards EN 60335-1:2012 on general requirements for household and similar electrical appliances, as well as EN 60335-2-27:2013 on particular requirements for appliances for skin exposure to ultraviolet and infrared radiation</t>
  </si>
  <si>
    <t xml:space="preserve">https://eur-lex.europa.eu/legal-content/EN/TXT/?uri=CELEX:32025D1457</t>
  </si>
  <si>
    <t xml:space="preserve">32025D1464</t>
  </si>
  <si>
    <t xml:space="preserve">Commission Implementing Decision (EU) 2025/1464 of 17 July 2025 on the harmonised standard EN 60335-2-14:2006 on particular requirements for kitchen machines drafted in support of Directive 2014/35/EU of the European Parliament and the Council</t>
  </si>
  <si>
    <t xml:space="preserve">https://eur-lex.europa.eu/legal-content/EN/TXT/?uri=CELEX:32025D1464</t>
  </si>
  <si>
    <t xml:space="preserve">32025D1488</t>
  </si>
  <si>
    <t xml:space="preserve">2025-07-22</t>
  </si>
  <si>
    <t xml:space="preserve">Commission Implementing Decision (EU) 2025/1488 of 22 July 2025 amending Implementing Decision (EU) 2023/2723 as regards harmonised standards for flat flexible cables and charging cables for electric vehicles</t>
  </si>
  <si>
    <t xml:space="preserve">https://eur-lex.europa.eu/legal-content/EN/TXT/?uri=CELEX:32025D1488</t>
  </si>
  <si>
    <t xml:space="preserve">32025D1740</t>
  </si>
  <si>
    <t xml:space="preserve">2025-08-13</t>
  </si>
  <si>
    <t xml:space="preserve">Commission Implementing Decision (EU) 2025/1740 of 13 August 2025 amending Implementing Decision (EU) 2023/1586 as regards harmonised standards for lifts, firefighting and rescue service vehicles, application equipment for coating materials, cranes, hoists, aircraft ground support equipment, supply and circulation equipment for liquid coating materials, power operated doors and gates, garden equipment, food processing equipment and welding equipment</t>
  </si>
  <si>
    <t xml:space="preserve">https://eur-lex.europa.eu/legal-content/EN/TXT/?uri=CELEX:32025D1740</t>
  </si>
  <si>
    <t xml:space="preserve">32025D1741</t>
  </si>
  <si>
    <t xml:space="preserve">Commission Implementing Decision (EU) 2025/1741 of 13 August 2025 amending Implementing Decision (EU) 2022/2191 as regards harmonised standards for wireless digital video links, satellite earth stations and systems, base stations and short range devices</t>
  </si>
  <si>
    <t xml:space="preserve">https://eur-lex.europa.eu/legal-content/EN/TXT/?uri=CELEX:32025D1741</t>
  </si>
  <si>
    <t xml:space="preserve">32025D1793</t>
  </si>
  <si>
    <t xml:space="preserve">2025-09-10</t>
  </si>
  <si>
    <t xml:space="preserve">Commission Implementing Decision (EU) 2025/1793 of 10 September 2025 amending Implementing Decision (EU) 2024/2944 as regards harmonised standards for domestic cooking appliances burning gas, safety and control devices for gas burners and gas burning appliances, thermoelectric flame supervision devices, gas-fired central heating boilers and automatic vent valves for gas burners and gas burning appliances</t>
  </si>
  <si>
    <t xml:space="preserve">https://eur-lex.europa.eu/legal-content/EN/TXT/?uri=CELEX:32025D1793</t>
  </si>
  <si>
    <t xml:space="preserve">32025D1810</t>
  </si>
  <si>
    <t xml:space="preserve">2025-09-11</t>
  </si>
  <si>
    <t xml:space="preserve">Commission Implementing Decision (EU) 2025/1810 of 11 September 2025 amending Implementing Decision (EU) 2022/1668 as regards harmonised standards on application equipment for coating materials, machinery for supply and circulation of liquid coating materials, explosion suppression systems and automatic electrostatic application systems for ignitable liquid coating materials</t>
  </si>
  <si>
    <t xml:space="preserve">https://eur-lex.europa.eu/legal-content/EN/TXT/?uri=CELEX:32025D1810</t>
  </si>
  <si>
    <t xml:space="preserve">32025D1939</t>
  </si>
  <si>
    <t xml:space="preserve">2025-09-24</t>
  </si>
  <si>
    <t xml:space="preserve">Commission Implementing Decision (EU) 2025/1939 of 24 September 2025 amending Implementing Decision (EU) 2021/1402 as regards harmonised standards for thermal energy meters drafted in support of Directive 2014/32/EU of the European Parliament and of the Council</t>
  </si>
  <si>
    <t xml:space="preserve">https://eur-lex.europa.eu/legal-content/EN/TXT/?uri=CELEX:32025D1939</t>
  </si>
  <si>
    <t xml:space="preserve">32025D2026</t>
  </si>
  <si>
    <t xml:space="preserve">2025-10-09</t>
  </si>
  <si>
    <t xml:space="preserve">Commission Implementing Decision (EU) 2025/2026 of 9 October 2025 amending Implementing Decision (EU) 2024/2387 as regards a reference to the harmonised standard EN 17836:2024 Fertilizers – Description of the forms of the physical unit</t>
  </si>
  <si>
    <t xml:space="preserve">https://eur-lex.europa.eu/legal-content/EN/TXT/?uri=CELEX:32025D2026</t>
  </si>
  <si>
    <t xml:space="preserve">32025D2078</t>
  </si>
  <si>
    <t xml:space="preserve">2025-10-17</t>
  </si>
  <si>
    <t xml:space="preserve">Commission Implementing Decision (EU) 2025/2078 of 17 October 2025 amending Implementing Decision (EU) 2021/1182 as regards harmonised standards for surgical clothing and drapes, medical face masks and sterilizers for medical purposes</t>
  </si>
  <si>
    <t xml:space="preserve">https://eur-lex.europa.eu/legal-content/EN/TXT/?uri=CELEX:32025D2078</t>
  </si>
  <si>
    <t xml:space="preserve">32025D2383</t>
  </si>
  <si>
    <t xml:space="preserve">2025-11-25</t>
  </si>
  <si>
    <t xml:space="preserve">Commission Implementing Decision (EU) 2025/2383 of 25 November 2025 amending Implementing Decision (EU) 2021/76 as regards the harmonised standard on safety rules for the construction and installation of lifts regarding the evacuation of persons with disabilities using lifts</t>
  </si>
  <si>
    <t xml:space="preserve">https://eur-lex.europa.eu/legal-content/EN/TXT/?uri=CELEX:32025D2383</t>
  </si>
  <si>
    <t xml:space="preserve">32025D2499</t>
  </si>
  <si>
    <t xml:space="preserve">Commission Implementing Decision (EU) 2025/2499 of 9 December 2025 amending Implementing Decision (EU) 2022/2191 as regards harmonised standards for short range devices and mobile communication on board aircraft systems</t>
  </si>
  <si>
    <t xml:space="preserve">https://eur-lex.europa.eu/legal-content/EN/TXT/?uri=CELEX:32025D2499</t>
  </si>
  <si>
    <t xml:space="preserve">32025D2519</t>
  </si>
  <si>
    <t xml:space="preserve">2025-12-15</t>
  </si>
  <si>
    <t xml:space="preserve">Commission Implementing Decision (EU) 2025/2519 of 15 December 2025 amending Implementing Decision (EU) 2023/740 as regards harmonised standards for olfactory board games, cosmetic kits and gustative games and on migration of certain elements from toys</t>
  </si>
  <si>
    <t xml:space="preserve">https://eur-lex.europa.eu/legal-content/EN/TXT/?uri=CELEX:32025D2519</t>
  </si>
  <si>
    <t xml:space="preserve">32026D0079</t>
  </si>
  <si>
    <t xml:space="preserve">Commission Implementing Decision (EU) 2026/79 of 12 January 2026 amending Commission Implementing Decision (EU) 2025/165 as regards harmonised standards for seamless steel tubes, butt-welding pipe fittings, copper and copper alloys, unfired pressure vessels, flanges and their joints, industrial valves, and safety devices for protection against excessive pressure, drafted in support of Directive 2014/68/EU of the European Parliament and of the Council</t>
  </si>
  <si>
    <t xml:space="preserve">https://eur-lex.europa.eu/legal-content/EN/TXT/?uri=CELEX:32026D0079</t>
  </si>
  <si>
    <t xml:space="preserve">32026D0082</t>
  </si>
  <si>
    <t xml:space="preserve">Commission Implementing Decision (EU) 2026/82 of 13 January 2026 amending Implementing Decision (EU) 2022/1668 as regards harmonised standard on general purpose offshore cranes</t>
  </si>
  <si>
    <t xml:space="preserve">https://eur-lex.europa.eu/legal-content/EN/TXT/?uri=CELEX:32026D0082</t>
  </si>
  <si>
    <t xml:space="preserve">32026D0151</t>
  </si>
  <si>
    <t xml:space="preserve">2026-01-23</t>
  </si>
  <si>
    <t xml:space="preserve">Commission Implementing Decision (EU) 2026/151 of 23 January 2026 on the harmonised standard for blast cabinets drafted in support of Regulation (EU) 2015/1095</t>
  </si>
  <si>
    <t xml:space="preserve">https://eur-lex.europa.eu/legal-content/EN/TXT/?uri=CELEX:32026D0151</t>
  </si>
  <si>
    <t xml:space="preserve">32026D0153</t>
  </si>
  <si>
    <t xml:space="preserve">Commission Implementing Decision (EU) 2026/153 of 23 January 2026 on the harmonised standards for welding equipment drafted in support of Commission Regulation (EU) 2019/1784</t>
  </si>
  <si>
    <t xml:space="preserve">https://eur-lex.europa.eu/legal-content/EN/TXT/?uri=CELEX:32026D0153</t>
  </si>
  <si>
    <t xml:space="preserve">32026D0193</t>
  </si>
  <si>
    <t xml:space="preserve">Commission Implementing Decision (EU) 2026/193 of 28 January 2026 amending Implementing Decision (EU) 2021/1182 as regards harmonised standards for neurosurgical implants, biological evaluation of medical devices, clinical investigation of medical devices for human subjects, non-active surgical implants, sterilization of health care products, biocompatibility evaluation of breathing gas pathways in healthcare applications and small-bore connectors for liquids and gases in healthcare applications</t>
  </si>
  <si>
    <t xml:space="preserve">https://eur-lex.europa.eu/legal-content/EN/TXT/?uri=CELEX:32026D0193</t>
  </si>
  <si>
    <t xml:space="preserve">32026D0197</t>
  </si>
  <si>
    <t xml:space="preserve">Commission Implementing Decision (EU) 2026/197 of 28 January 2026 amending Implementing Decision (EU) 2021/1195 as regards harmonised standards for sterilization of health care products and information supplied by the manufacturer (labelling)</t>
  </si>
  <si>
    <t xml:space="preserve">https://eur-lex.europa.eu/legal-content/EN/TXT/?uri=CELEX:32026D0197</t>
  </si>
  <si>
    <t xml:space="preserve">32026D0375</t>
  </si>
  <si>
    <t xml:space="preserve">2026-02-20</t>
  </si>
  <si>
    <t xml:space="preserve">Commission Implementing Decision (EU) 2026/375 of 20 February 2026 on harmonised standards drafted in support of Regulation (EC) No 765/2008 of the European Parliament and of the Council setting out the requirements for accreditation</t>
  </si>
  <si>
    <t xml:space="preserve">https://eur-lex.europa.eu/legal-content/EN/TXT/?uri=CELEX:32026D0375</t>
  </si>
  <si>
    <t xml:space="preserve">32026D0546</t>
  </si>
  <si>
    <t xml:space="preserve">2026-03-12</t>
  </si>
  <si>
    <t xml:space="preserve">Commission Implementing Decision (EU) 2026/546 of 12 March 2026 amending Implementing Decision (EU) 2023/1586 as regards harmonised standards for packaging machines, rough-terrain trucks, food processing machinery, cranes, cableway installations, agricultural and forestry machinery, lifts, rescue tools, hand-held tools, equipment in railway applications, aircraft ground support equipment, earth-moving machinery and refuse collection vehicles and correcting that Decision</t>
  </si>
  <si>
    <t xml:space="preserve">https://eur-lex.europa.eu/legal-content/EN/TXT/?uri=CELEX:32026D0546</t>
  </si>
  <si>
    <t xml:space="preserve">32026D0550</t>
  </si>
  <si>
    <t xml:space="preserve">Commission Implementing Decision (EU) 2026/550 of 12 March 2026 amending Implementing Decision (EU) 2022/1954 as regards harmonised standards on power measurements and declarations for electric marine propulsion and on protection from falling overboard and means of reboarding</t>
  </si>
  <si>
    <t xml:space="preserve">https://eur-lex.europa.eu/legal-content/EN/TXT/?uri=CELEX:32026D0550</t>
  </si>
  <si>
    <t xml:space="preserve">32026D0760</t>
  </si>
  <si>
    <t xml:space="preserve">2026-04-01</t>
  </si>
  <si>
    <t xml:space="preserve">Commission Implementing Decision (EU) 2026/760 of 1 April 2026 amending Implementing Decision (EU) 2021/1182 as regards harmonised standards for sterilizers for medical purposes – small steam sterilizers, stainless steel steam boilers and electroacoustics – hearing aids</t>
  </si>
  <si>
    <t xml:space="preserve">https://eur-lex.europa.eu/legal-content/EN/TXT/?uri=CELEX:32026D0760</t>
  </si>
  <si>
    <t xml:space="preserve">32026D0803</t>
  </si>
  <si>
    <t xml:space="preserve">2026-04-10</t>
  </si>
  <si>
    <t xml:space="preserve">Commission Implementing Decision (EU) 2026/803 of 10 April 2026 amending Implementing Decision (EU) 2023/2584 as regards an update of the referenced standards and the addition of new referenced standards</t>
  </si>
  <si>
    <t xml:space="preserve">https://eur-lex.europa.eu/legal-content/EN/TXT/?uri=CELEX:32026D0803</t>
  </si>
  <si>
    <t xml:space="preserve">32026D0901</t>
  </si>
  <si>
    <t xml:space="preserve">2026-04-17</t>
  </si>
  <si>
    <t xml:space="preserve">Commission Implementing Decision (EU) 2026/901 of 17 April 2026 on European standards for products drafted in support of Regulation (EU) 2023/988 of the European Parliament and of the Council, and repealing Commission Implementing Decision (EU) 2019/1698</t>
  </si>
  <si>
    <t xml:space="preserve">https://eur-lex.europa.eu/legal-content/EN/TXT/?uri=CELEX:32026D0901</t>
  </si>
  <si>
    <t xml:space="preserve">32026D0989</t>
  </si>
  <si>
    <t xml:space="preserve">Commission Implementing Decision (EU) 2026/989 of 4 May 2026 amending Implementing Decision (EU) 2022/1668 as regards the harmonised standard on overfill prevention devices for static tanks for liquid fuels – Part 1: overfill prevention devices with closure device</t>
  </si>
  <si>
    <t xml:space="preserve">https://eur-lex.europa.eu/legal-content/EN/TXT/?uri=CELEX:32026D0989</t>
  </si>
  <si>
    <t xml:space="preserve">32026D1231</t>
  </si>
  <si>
    <t xml:space="preserve">2026-06-11</t>
  </si>
  <si>
    <t xml:space="preserve">Commission Implementing Decision (EU) 2026/1231 of 11 June 2026 amending Implementing Decision (EU) 2021/1182 as regards harmonised standards for biological evaluation of medical devices, symbols to be used with information to be supplied by the manufacturer, medical electrical equipment, transfusion equipment for medical use, ophthalmic optics, non-active surgical implants, washer-disinfectors, prosthetics and sharps injury protection</t>
  </si>
  <si>
    <t xml:space="preserve">https://eur-lex.europa.eu/legal-content/EN/TXT/?uri=CELEX:32026D1231</t>
  </si>
  <si>
    <t xml:space="preserve">32026D1279</t>
  </si>
  <si>
    <t xml:space="preserve">2026-06-12</t>
  </si>
  <si>
    <t xml:space="preserve">Commission Implementing Decision (EU) 2026/1279 of 12 June 2026 on harmonised standards for personal protective equipment drafted in support of Regulation (EU) 2016/425 of the European Parliament and of the Council and repealing Commission Implementing Decision (EU) 2023/941</t>
  </si>
  <si>
    <t xml:space="preserve">https://eur-lex.europa.eu/legal-content/EN/TXT/?uri=CELEX:32026D1279</t>
  </si>
  <si>
    <t xml:space="preserve">32026D1313</t>
  </si>
  <si>
    <t xml:space="preserve">Commission Implementing Decision (EU) 2026/1313 of 15 June 2026 amending Implementing Decision (EU) 2021/1195 as regards the harmonised standard for symbols to be used with information to be supplied by the manufacturer</t>
  </si>
  <si>
    <t xml:space="preserve">https://eur-lex.europa.eu/legal-content/EN/TXT/?uri=CELEX:32026D1313</t>
  </si>
  <si>
    <t xml:space="preserve">32026D1736</t>
  </si>
  <si>
    <t xml:space="preserve">2026-07-14</t>
  </si>
  <si>
    <t xml:space="preserve">Commission Implementing Decision (EU) 2026/1736 of 14 July 2026 on harmonised standards for digital product passports drafted in support of Regulation (EU) 2024/1781 of the European Parliament and of the Council</t>
  </si>
  <si>
    <t xml:space="preserve">https://eur-lex.europa.eu/legal-content/EN/TXT/?uri=CELEX:32026D1736</t>
  </si>
  <si>
    <t xml:space="preserve">32026D1717</t>
  </si>
  <si>
    <t xml:space="preserve">Commission Implementing Decision (EU) 2026/1717 of 20 July 2026 on the harmonised standards for gas water heaters drafted in support of Regulation (EU) No 814/2013</t>
  </si>
  <si>
    <t xml:space="preserve">https://eur-lex.europa.eu/legal-content/EN/TXT/?uri=CELEX:32026D1717</t>
  </si>
  <si>
    <t xml:space="preserve">32026D1750</t>
  </si>
  <si>
    <t xml:space="preserve">Commission Implementing Decision (EU) 2026/1750 of 20 July 2026 on harmonised standards EN 17476:2021 on LPG vapour pressure appliances incorporating a horizontal cartridge in the chassis and EN 497:2022 on multi purpose boiling burners for outdoor use drafted in support of Regulation (EU) 2016/426 of the European Parliament and the Council</t>
  </si>
  <si>
    <t xml:space="preserve">https://eur-lex.europa.eu/legal-content/EN/TXT/?uri=CELEX:32026D1750</t>
  </si>
  <si>
    <t xml:space="preserve">32026D1967</t>
  </si>
  <si>
    <t xml:space="preserve">2026-09-03</t>
  </si>
  <si>
    <t xml:space="preserve">Commission Implementing Decision (EU) 2026/1967 of 3 September 2026 amending Implementing Decision (EU) 2022/1668 as regards the harmonised standard on explosive atmospheres – Part 28: protection of equipment and transmission systems using optical radiation</t>
  </si>
  <si>
    <t xml:space="preserve">https://eur-lex.europa.eu/legal-content/EN/TXT/?uri=CELEX:32026D1967</t>
  </si>
  <si>
    <t xml:space="preserve">32026D1971</t>
  </si>
  <si>
    <t xml:space="preserve">Commission Implementing Decision (EU) 2026/1971 of 3 September 2026 amending Implementing Decision (EU) 2026/1279 as regards the harmonised standards for protective gloves for hairdressers, protective clothing against rain, and eye and face protection for occupational use drafted in support of Regulation (EU) 2016/425 of the European Parliament and of the Council</t>
  </si>
  <si>
    <t xml:space="preserve">https://eur-lex.europa.eu/legal-content/EN/TXT/?uri=CELEX:32026D1971</t>
  </si>
  <si>
    <t xml:space="preserve">32026D2003</t>
  </si>
  <si>
    <t xml:space="preserve">2026-09-04</t>
  </si>
  <si>
    <t xml:space="preserve">Commission Implementing Decision (EU) 2026/2003 of 4 September 2026 amending Implementing Decision (EU) 2022/2191 as regards harmonised standards for radiodetermination equipment for location tracking applications, cellular communication base station, ultra-wide band devices, material sensing devices, fixed radio systems, tank level probing radar equipment, amplifiers, active antennas, air traffic control sensors, and other radio equipment, and correcting Implementing Decision (EU) 2025/2499</t>
  </si>
  <si>
    <t xml:space="preserve">https://eur-lex.europa.eu/legal-content/EN/TXT/?uri=CELEX:32026D2003</t>
  </si>
  <si>
    <t xml:space="preserve">32026D2015</t>
  </si>
  <si>
    <t xml:space="preserve">Commission Implementing Decision (EU) 2026/2015 of 4 September 2026 amending and repealing Commission Implementing Decision (EU) 2023/1586 as regards harmonised standards for machinery drafted in support of Directive 2006/42/EC of the European Parliament and of the Council</t>
  </si>
  <si>
    <t xml:space="preserve">https://eur-lex.europa.eu/legal-content/EN/TXT/?uri=CELEX:32026D2015</t>
  </si>
  <si>
    <t xml:space="preserve">32026D2032</t>
  </si>
  <si>
    <t xml:space="preserve">2026-09-11</t>
  </si>
  <si>
    <t xml:space="preserve">Commission Implementing Decision (EU) 2026/2032 of 11 September 2026 amending Implementing Decision (EU) 2023/740 as regards harmonised standards for experimental sets for chemistry and related activities, formamide in foam toy materials and certain chlorinated phosphorus flame retardants in toy materials</t>
  </si>
  <si>
    <t xml:space="preserve">https://eur-lex.europa.eu/legal-content/EN/TXT/?uri=CELEX:32026D2032</t>
  </si>
  <si>
    <t xml:space="preserve">32026D2048</t>
  </si>
  <si>
    <t xml:space="preserve">2026-09-14</t>
  </si>
  <si>
    <t xml:space="preserve">Commission Implementing Decision (EU) 2026/2048 of 14 September 2026 on the harmonised standard for batteries drafted in support of Regulation (EU) 2023/1542</t>
  </si>
  <si>
    <t xml:space="preserve">https://eur-lex.europa.eu/legal-content/EN/TXT/?uri=CELEX:32026D2048</t>
  </si>
  <si>
    <t xml:space="preserve">32026D2211</t>
  </si>
  <si>
    <t xml:space="preserve">2026-10-01</t>
  </si>
  <si>
    <t xml:space="preserve">Commission Implementing Decision (EU) 2026/2211 of 1 October 2026 amending Commission Implementing Decision (EU) 2025/165 as regards harmonised standards for refrigerating systems and heat pumps, LPG equipment, cryogenic vessels, and welding and brazing, drafted in support of Directive 2014/68/EU of the European Parliament and of the Council</t>
  </si>
  <si>
    <t xml:space="preserve">https://eur-lex.europa.eu/legal-content/EN/TXT/?uri=CELEX:32026D2211</t>
  </si>
  <si>
    <t xml:space="preserve">32017R1354</t>
  </si>
  <si>
    <t xml:space="preserve">Commission Implementing Regulation (EU) 2017/1354 of 20 July 2017 specifying how to present the information provided for in Article 10(10) of Directive 2014/53/EU of the European Parliament and of the Council (Text with EEA relevance. )</t>
  </si>
  <si>
    <t xml:space="preserve">https://eur-lex.europa.eu/legal-content/EN/TXT/?uri=CELEX:32017R1354</t>
  </si>
  <si>
    <t xml:space="preserve">32019R0320</t>
  </si>
  <si>
    <t xml:space="preserve">2018-12-12</t>
  </si>
  <si>
    <t xml:space="preserve">Commission Delegated Regulation (EU) 2019/320 of 12 December 2018 supplementing of Directive 2014/53/EU of the European Parliament and of the Council with regard to the application of the essential requirements referred to in Article 3(3)(g) of that Directive in order to ensure caller location in emergency communications from mobile devices</t>
  </si>
  <si>
    <t xml:space="preserve">https://eur-lex.europa.eu/legal-content/EN/TXT/?uri=CELEX:32019R0320</t>
  </si>
  <si>
    <t xml:space="preserve">32022R0030</t>
  </si>
  <si>
    <t xml:space="preserve">2021-10-29</t>
  </si>
  <si>
    <t xml:space="preserve">Commission Delegated Regulation (EU) 2022/30 of 29 October 2021 supplementing Directive 2014/53/EU of the European Parliament and of the Council with regard to the application of the essential requirements referred to in Article 3(3), points (d), (e) and (f), of that Directive (Text with EEA relevance)</t>
  </si>
  <si>
    <t xml:space="preserve">https://eur-lex.europa.eu/legal-content/EN/TXT/?uri=CELEX:32022R0030</t>
  </si>
  <si>
    <t xml:space="preserve">32023R1717</t>
  </si>
  <si>
    <t xml:space="preserve">2023-06-27</t>
  </si>
  <si>
    <t xml:space="preserve">Commission Delegated Regulation (EU) 2023/1717 of 27 June 2023 amending Directive 2014/53/EU of the European Parliament and of the Council as regards the technical specifications for the charging receptacle and charging communication protocol for all the categories or classes of radio equipment capable of being recharged by means of wired charging (Text with EEA relevance)</t>
  </si>
  <si>
    <t xml:space="preserve">https://eur-lex.europa.eu/legal-content/EN/TXT/?uri=CELEX:32023R1717</t>
  </si>
  <si>
    <t xml:space="preserve">32023R2444</t>
  </si>
  <si>
    <t xml:space="preserve">2023-07-20</t>
  </si>
  <si>
    <t xml:space="preserve">Commission Delegated Regulation (EU) 2023/2444 of 20 July 2023 amending Delegated Regulation (EU) 2022/30 as regards the date of application of the essential requirements for radio equipment and correcting that Regulation</t>
  </si>
  <si>
    <t xml:space="preserve">https://eur-lex.europa.eu/legal-content/EN/TXT/?uri=CELEX:32023R2444</t>
  </si>
  <si>
    <t xml:space="preserve">32025D1760</t>
  </si>
  <si>
    <t xml:space="preserve">2025-08-19</t>
  </si>
  <si>
    <t xml:space="preserve">Commission Implementing Decision (EU) 2025/1760 of 19 August 2025 determining under Article 41(1) of Directive 2014/53/EU of the European Parliament and of the Council whether a measure taken by France with respect to Apple iPhone 12 A2403 is justified (notified under document C(2025) 5736)</t>
  </si>
  <si>
    <t xml:space="preserve">https://eur-lex.europa.eu/legal-content/EN/TXT/?uri=CELEX:32025D1760</t>
  </si>
  <si>
    <t xml:space="preserve">32026R0339</t>
  </si>
  <si>
    <t xml:space="preserve">2026-02-16</t>
  </si>
  <si>
    <t xml:space="preserve">Commission Delegated Regulation (EU) 2026/339 of 16 February 2026 repealing Delegated Regulation (EU) 2022/30</t>
  </si>
  <si>
    <t xml:space="preserve">https://eur-lex.europa.eu/legal-content/EN/TXT/?uri=CELEX:32026R0339</t>
  </si>
  <si>
    <t xml:space="preserve">32017D1870</t>
  </si>
  <si>
    <t xml:space="preserve">2017-10-16</t>
  </si>
  <si>
    <t xml:space="preserve">Commission Implementing Decision (EU) 2017/1870 of 16 October 2017 on the publication of the reference of the European standard on electronic invoicing and the list of its syntaxes pursuant to Directive 2014/55/EU of the European Parliament and of the Council (Text with EEA relevance. )</t>
  </si>
  <si>
    <t xml:space="preserve">https://eur-lex.europa.eu/legal-content/EN/TXT/?uri=CELEX:32017D1870</t>
  </si>
  <si>
    <t xml:space="preserve">32020R1083</t>
  </si>
  <si>
    <t xml:space="preserve">2020-05-14</t>
  </si>
  <si>
    <t xml:space="preserve">Commission Delegated Regulation (EU) 2020/1083 of 14 May 2020 Supplementing Regulation (EU) 2019/517 of the European Parliament and of the Council by establishing the eligibility and selection criteria and the procedure for the designation of the Registry of the.eu top-level domain name (Text with EEA relevance)</t>
  </si>
  <si>
    <t xml:space="preserve">https://eur-lex.europa.eu/legal-content/EN/TXT/?uri=CELEX:32020R1083</t>
  </si>
  <si>
    <t xml:space="preserve">32020R0857</t>
  </si>
  <si>
    <t xml:space="preserve">2020-06-17</t>
  </si>
  <si>
    <t xml:space="preserve">Commission Implementing Regulation (EU) 2020/857 of 17 June 2020 laying down the principles to be included in the contract between the European Commission and the .eu top-level domain Registry in accordance with Regulation (EU) 2019/517 of the European Parliament and of the Council (Text with EEA relevance)</t>
  </si>
  <si>
    <t xml:space="preserve">https://eur-lex.europa.eu/legal-content/EN/TXT/?uri=CELEX:32020R0857</t>
  </si>
  <si>
    <t xml:space="preserve">32021D1878</t>
  </si>
  <si>
    <t xml:space="preserve">2021-10-25</t>
  </si>
  <si>
    <t xml:space="preserve">Commission Implementing Decision (EU) 2021/1878 of 25 October 2021 on the designation of the .eu top-level domain Registry (Text with EEA relevance)</t>
  </si>
  <si>
    <t xml:space="preserve">https://eur-lex.europa.eu/legal-content/EN/TXT/?uri=CELEX:32021D1878</t>
  </si>
  <si>
    <t xml:space="preserve">32022R1862</t>
  </si>
  <si>
    <t xml:space="preserve">2022-10-04</t>
  </si>
  <si>
    <t xml:space="preserve">Commission Implementing Regulation (EU) 2022/1862 of 4 October 2022 establishing the lists of reserved and blocked domain names under the .eu top-level domain in accordance with Regulation (EU) 2019/517 of the European Parliament and of the Council (Text with EEA relevance)</t>
  </si>
  <si>
    <t xml:space="preserve">https://eur-lex.europa.eu/legal-content/EN/TXT/?uri=CELEX:32022R1862</t>
  </si>
  <si>
    <t xml:space="preserve">32021R2104</t>
  </si>
  <si>
    <t xml:space="preserve">2021-08-19</t>
  </si>
  <si>
    <t xml:space="preserve">Commission Delegated Regulation (EU) 2021/2104 of 19 August 2021 laying down detailed rules on the operation of the web portal, pursuant to Article 49(6) of Regulation (EU) 2019/817 of the European Parliament and of the Council</t>
  </si>
  <si>
    <t xml:space="preserve">https://eur-lex.europa.eu/legal-content/EN/TXT/?uri=CELEX:32021R2104</t>
  </si>
  <si>
    <t xml:space="preserve">32021R2225</t>
  </si>
  <si>
    <t xml:space="preserve">2021-09-21</t>
  </si>
  <si>
    <t xml:space="preserve">Commission Implementing Regulation (EU) 2021/2225 of 16 November 2021 laying down the details of the automated data quality control mechanisms and procedures, the common data quality indicators and the minimum quality standards for storage of data, pursuant to Article 37(4) of Regulation (EU) 2019/817 of the European Parliament and of the Council</t>
  </si>
  <si>
    <t xml:space="preserve">https://eur-lex.europa.eu/legal-content/EN/TXT/?uri=CELEX:32021R2225</t>
  </si>
  <si>
    <t xml:space="preserve">32021R2223</t>
  </si>
  <si>
    <t xml:space="preserve">2021-09-30</t>
  </si>
  <si>
    <t xml:space="preserve">Commission Delegated Regulation (EU) 2021/2223 of 30 September 2021 supplementing Regulation (EU) 2019/817 of the European Parliament and of the Council with detailed rules on the operation of the central repository for reporting and statistics</t>
  </si>
  <si>
    <t xml:space="preserve">https://eur-lex.europa.eu/legal-content/EN/TXT/?uri=CELEX:32021R2223</t>
  </si>
  <si>
    <t xml:space="preserve">32023R0333</t>
  </si>
  <si>
    <t xml:space="preserve">Commission Delegated Regulation (EU) 2023/333 of 11 July 2022 supplementing Regulation (EU) 2019/817 of the European Parliament and of the Council as regards determining cases where identity data are considered as same or similar for the purpose of the multiple identity detection</t>
  </si>
  <si>
    <t xml:space="preserve">https://eur-lex.europa.eu/legal-content/EN/TXT/?uri=CELEX:32023R0333</t>
  </si>
  <si>
    <t xml:space="preserve">32023D0220</t>
  </si>
  <si>
    <t xml:space="preserve">2023-02-01</t>
  </si>
  <si>
    <t xml:space="preserve">Commission Implementing Decision (EU) 2023/220 of 1 February 2023 laying down and developing the universal message format (UMF) standard pursuant to Regulation (EU) 2019/817 of the European Parliament and of the Council</t>
  </si>
  <si>
    <t xml:space="preserve">https://eur-lex.europa.eu/legal-content/EN/TXT/?uri=CELEX:32023D0220</t>
  </si>
  <si>
    <t xml:space="preserve">32024R2106</t>
  </si>
  <si>
    <t xml:space="preserve">2024-07-31</t>
  </si>
  <si>
    <t xml:space="preserve">Commission Implementing Regulation (EU) 2024/2106 of 31 July 2024 amending Implementing Decision C(2021) 5052 laying down technical details for European search portal user profiles, pursuant to Article 8(2) of Regulation (EU) 2019/817 of the European Parliament and of the Council</t>
  </si>
  <si>
    <t xml:space="preserve">https://eur-lex.europa.eu/legal-content/EN/TXT/?uri=CELEX:32024R2106</t>
  </si>
  <si>
    <t xml:space="preserve">32025D0875</t>
  </si>
  <si>
    <t xml:space="preserve">2025-05-13</t>
  </si>
  <si>
    <t xml:space="preserve">Commission Implementing Decision (EU) 2025/875 of 13 May 2025 determining the date on which operations of the shared Biometric Matching Service start pursuant to Regulations (EU) 2019/817 and (EU) 2019/818 of the European Parliament and of the Council</t>
  </si>
  <si>
    <t xml:space="preserve">https://eur-lex.europa.eu/legal-content/EN/TXT/?uri=CELEX:32025D0875</t>
  </si>
  <si>
    <t xml:space="preserve">32026R0327</t>
  </si>
  <si>
    <t xml:space="preserve">2025-12-03</t>
  </si>
  <si>
    <t xml:space="preserve">Commission Delegated Regulation (EU) 2026/327 of 3 December 2025 amending Delegated Regulation (EU) 2023/333 supplementing Regulation (EU) 2019/817 of the European Parliament and of the Council as regards determining cases where identity data are considered as same or similar for the purpose of the multiple identity detection</t>
  </si>
  <si>
    <t xml:space="preserve">https://eur-lex.europa.eu/legal-content/EN/TXT/?uri=CELEX:32026R0327</t>
  </si>
  <si>
    <t xml:space="preserve">32026R0049</t>
  </si>
  <si>
    <t xml:space="preserve">Commission Delegated Regulation (EU) 2026/49 of 11 December 2025 amending Delegated Regulation (EU) 2021/2223 supplementing Regulation (EU) 2019/817 of the European Parliament and of the Council with detailed rules on the operation of the central repository for reporting and statistics</t>
  </si>
  <si>
    <t xml:space="preserve">https://eur-lex.europa.eu/legal-content/EN/TXT/?uri=CELEX:32026R0049</t>
  </si>
  <si>
    <t xml:space="preserve">32026D1155</t>
  </si>
  <si>
    <t xml:space="preserve">2026-05-28</t>
  </si>
  <si>
    <t xml:space="preserve">Commission Implementing Decision (EU) 2026/1155 of 28 May 2026 determining the date from which the European search portal is to start operations pursuant to Regulations (EU) 2019/817 and (EU) 2019/818 of the European Parliament and of the Council</t>
  </si>
  <si>
    <t xml:space="preserve">https://eur-lex.europa.eu/legal-content/EN/TXT/?uri=CELEX:32026D1155</t>
  </si>
  <si>
    <t xml:space="preserve">32026D1156</t>
  </si>
  <si>
    <t xml:space="preserve">Commission Implementing Decision (EU) 2026/1156 of 28 May 2026 determining the date from which the common identity repository is to start operations pursuant to Regulations (EU) 2019/817 and (EU) 2019/818 of the European Parliament and of the Council</t>
  </si>
  <si>
    <t xml:space="preserve">https://eur-lex.europa.eu/legal-content/EN/TXT/?uri=CELEX:32026D1156</t>
  </si>
  <si>
    <t xml:space="preserve">32009L0114</t>
  </si>
  <si>
    <t xml:space="preserve">amendment</t>
  </si>
  <si>
    <t xml:space="preserve">Directive 2009/114/EC of the European Parliament and of the Council of 16 September 2009 amending Council Directive 87/372/EEC on the frequency bands to be reserved for the coordinated introduction of public pan-European cellular digital land-based mobile communications in the Community (Text with EEA relevance)</t>
  </si>
  <si>
    <t xml:space="preserve">https://eur-lex.europa.eu/legal-content/EN/TXT/?uri=CELEX:32009L0114</t>
  </si>
  <si>
    <t xml:space="preserve">31987L0372R(01)</t>
  </si>
  <si>
    <t xml:space="preserve">corrigendum</t>
  </si>
  <si>
    <t xml:space="preserve">1987-07-29</t>
  </si>
  <si>
    <t xml:space="preserve">https://eur-lex.europa.eu/legal-content/EN/TXT/?uri=CELEX:31987L0372R(01)</t>
  </si>
  <si>
    <t xml:space="preserve">31987L0372R(02)</t>
  </si>
  <si>
    <t xml:space="preserve">1987-09-16</t>
  </si>
  <si>
    <t xml:space="preserve">Corrigendum to Council Directive 87/372/EEC of 25 June 1987 on the frequency bands to be reserved for the coordinated introduction of public pan-European cellular digital land-based mobile communications in the Community (OJ No L 196 of 17.7.1987)</t>
  </si>
  <si>
    <t xml:space="preserve">https://eur-lex.europa.eu/legal-content/EN/TXT/?uri=CELEX:31987L0372R(02)</t>
  </si>
  <si>
    <t xml:space="preserve">Directive 2011/83/EU of the European Parliament and of the Council of 25 October 2011 on consumer rights, amending Council Directive 93/13/EEC and Directive 1999/44/EC of the European Parliament and of the Council and repealing Council Directive 85/577/EEC and Directive 97/7/EC of the European Parliament and of the Council Text with EEA relevance</t>
  </si>
  <si>
    <t xml:space="preserve">32019L2161</t>
  </si>
  <si>
    <t xml:space="preserve">Directive (EU) 2019/2161 of the European Parliament and of the Council of 27 November 2019 amending Council Directive 93/13/EEC and Directives 98/6/EC, 2005/29/EC and 2011/83/EU of the European Parliament and of the Council as regards the better enforcement and modernisation of Union consumer protection rules (Text with EEA relevance)</t>
  </si>
  <si>
    <t xml:space="preserve">https://eur-lex.europa.eu/legal-content/EN/TXT/?uri=CELEX:32019L2161</t>
  </si>
  <si>
    <t xml:space="preserve">31993L0013R(01)</t>
  </si>
  <si>
    <t xml:space="preserve">2014-10-09</t>
  </si>
  <si>
    <t xml:space="preserve">https://eur-lex.europa.eu/legal-content/EN/TXT/?uri=CELEX:31993L0013R(01)</t>
  </si>
  <si>
    <t xml:space="preserve">31993L0013R(02)</t>
  </si>
  <si>
    <t xml:space="preserve">2015-06-04</t>
  </si>
  <si>
    <t xml:space="preserve">https://eur-lex.europa.eu/legal-content/EN/TXT/?uri=CELEX:31993L0013R(02)</t>
  </si>
  <si>
    <t xml:space="preserve">31993L0013R(03)</t>
  </si>
  <si>
    <t xml:space="preserve">2016-10-13</t>
  </si>
  <si>
    <t xml:space="preserve">https://eur-lex.europa.eu/legal-content/EN/TXT/?uri=CELEX:31993L0013R(03)</t>
  </si>
  <si>
    <t xml:space="preserve">31993L0013R(04)</t>
  </si>
  <si>
    <t xml:space="preserve">2016-11-10</t>
  </si>
  <si>
    <t xml:space="preserve">https://eur-lex.europa.eu/legal-content/EN/TXT/?uri=CELEX:31993L0013R(04)</t>
  </si>
  <si>
    <t xml:space="preserve">31993L0013R(05)</t>
  </si>
  <si>
    <t xml:space="preserve">2018-06-19</t>
  </si>
  <si>
    <t xml:space="preserve">https://eur-lex.europa.eu/legal-content/EN/TXT/?uri=CELEX:31993L0013R(05)</t>
  </si>
  <si>
    <t xml:space="preserve">31993L0013R(06)</t>
  </si>
  <si>
    <t xml:space="preserve">2019-08-16</t>
  </si>
  <si>
    <t xml:space="preserve">https://eur-lex.europa.eu/legal-content/EN/TXT/?uri=CELEX:31993L0013R(06)</t>
  </si>
  <si>
    <t xml:space="preserve">31993L0013R(07)</t>
  </si>
  <si>
    <t xml:space="preserve">2020-10-29</t>
  </si>
  <si>
    <t xml:space="preserve">https://eur-lex.europa.eu/legal-content/EN/TXT/?uri=CELEX:31993L0013R(07)</t>
  </si>
  <si>
    <t xml:space="preserve">31993L0013R(08)</t>
  </si>
  <si>
    <t xml:space="preserve">2023-01-19</t>
  </si>
  <si>
    <t xml:space="preserve">https://eur-lex.europa.eu/legal-content/EN/TXT/?uri=CELEX:31993L0013R(08)</t>
  </si>
  <si>
    <t xml:space="preserve">31993L0013R(09)</t>
  </si>
  <si>
    <t xml:space="preserve">2023-05-25</t>
  </si>
  <si>
    <t xml:space="preserve">https://eur-lex.europa.eu/legal-content/EN/TXT/?uri=CELEX:31993L0013R(09)</t>
  </si>
  <si>
    <t xml:space="preserve">31993L0013R(10)</t>
  </si>
  <si>
    <t xml:space="preserve">2024-01-17</t>
  </si>
  <si>
    <t xml:space="preserve">https://eur-lex.europa.eu/legal-content/EN/TXT/?uri=CELEX:31993L0013R(10)</t>
  </si>
  <si>
    <t xml:space="preserve">31993L0013R(11)</t>
  </si>
  <si>
    <t xml:space="preserve">2024-08-28</t>
  </si>
  <si>
    <t xml:space="preserve">https://eur-lex.europa.eu/legal-content/EN/TXT/?uri=CELEX:31993L0013R(11)</t>
  </si>
  <si>
    <t xml:space="preserve">31993L0013R(12)</t>
  </si>
  <si>
    <t xml:space="preserve">https://eur-lex.europa.eu/legal-content/EN/TXT/?uri=CELEX:31993L0013R(12)</t>
  </si>
  <si>
    <t xml:space="preserve">31993L0013R(13)</t>
  </si>
  <si>
    <t xml:space="preserve">2026-09-23</t>
  </si>
  <si>
    <t xml:space="preserve">https://eur-lex.europa.eu/legal-content/EN/TXT/?uri=CELEX:31993L0013R(13)</t>
  </si>
  <si>
    <t xml:space="preserve">Directive (EU) 2019/789 of the European Parliament and of the Council of 17 April 2019 laying down rules on the exercise of copyright and related rights applicable to certain online transmissions of broadcasting organisations and retransmissions of television and radio programmes, and amending Council Directive 93/83/EEC (Text with EEA relevance.)</t>
  </si>
  <si>
    <t xml:space="preserve">31993L0083R(01)</t>
  </si>
  <si>
    <t xml:space="preserve">2012-03-17</t>
  </si>
  <si>
    <t xml:space="preserve">https://eur-lex.europa.eu/legal-content/EN/TXT/?uri=CELEX:31993L0083R(01)</t>
  </si>
  <si>
    <t xml:space="preserve">Directive (EU) 2019/790 of the European Parliament and of the Council of 17 April 2019 on copyright and related rights in the Digital Single Market and amending Directives 96/9/EC and 2001/29/EC (Text with EEA relevance.)</t>
  </si>
  <si>
    <t xml:space="preserve">31996L0009R(01)</t>
  </si>
  <si>
    <t xml:space="preserve">2021-02-11</t>
  </si>
  <si>
    <t xml:space="preserve">https://eur-lex.europa.eu/legal-content/EN/TXT/?uri=CELEX:31996L0009R(01)</t>
  </si>
  <si>
    <t xml:space="preserve">32006R1891</t>
  </si>
  <si>
    <t xml:space="preserve">Council Regulation (EC) No 1891/2006 of 18 December 2006 amending Regulations (EC) No 6/2002 and (EC) No 40/94 to give effect to the accession of the European Community to the Geneva Act of the Hague Agreement concerning the international registration of industrial designs</t>
  </si>
  <si>
    <t xml:space="preserve">https://eur-lex.europa.eu/legal-content/EN/TXT/?uri=CELEX:32006R1891</t>
  </si>
  <si>
    <t xml:space="preserve">32024R2822</t>
  </si>
  <si>
    <t xml:space="preserve">Regulation (EU) 2024/2822 of the European Parliament and of the Council of 23 October 2024 amending Council Regulation (EC) No 6/2002 on Community designs and repealing Commission Regulation (EC) No 2246/2002 (Text with EEA relevance)</t>
  </si>
  <si>
    <t xml:space="preserve">https://eur-lex.europa.eu/legal-content/EN/TXT/?uri=CELEX:32024R2822</t>
  </si>
  <si>
    <t xml:space="preserve">32002R0006R(01)</t>
  </si>
  <si>
    <t xml:space="preserve">2002-07-09</t>
  </si>
  <si>
    <t xml:space="preserve">https://eur-lex.europa.eu/legal-content/EN/TXT/?uri=CELEX:32002R0006R(01)</t>
  </si>
  <si>
    <t xml:space="preserve">32002R0006R(02)</t>
  </si>
  <si>
    <t xml:space="preserve">2013-12-31</t>
  </si>
  <si>
    <t xml:space="preserve">https://eur-lex.europa.eu/legal-content/EN/TXT/?uri=CELEX:32002R0006R(02)</t>
  </si>
  <si>
    <t xml:space="preserve">32002R0006R(03)</t>
  </si>
  <si>
    <t xml:space="preserve">2015-01-13</t>
  </si>
  <si>
    <t xml:space="preserve">https://eur-lex.europa.eu/legal-content/EN/TXT/?uri=CELEX:32002R0006R(03)</t>
  </si>
  <si>
    <t xml:space="preserve">32002R0006R(04)</t>
  </si>
  <si>
    <t xml:space="preserve">2016-12-02</t>
  </si>
  <si>
    <t xml:space="preserve">https://eur-lex.europa.eu/legal-content/EN/TXT/?uri=CELEX:32002R0006R(04)</t>
  </si>
  <si>
    <t xml:space="preserve">32002R0006R(05)</t>
  </si>
  <si>
    <t xml:space="preserve">2017-03-01</t>
  </si>
  <si>
    <t xml:space="preserve">https://eur-lex.europa.eu/legal-content/EN/TXT/?uri=CELEX:32002R0006R(05)</t>
  </si>
  <si>
    <t xml:space="preserve">32002R0006R(06)</t>
  </si>
  <si>
    <t xml:space="preserve">2018-03-15</t>
  </si>
  <si>
    <t xml:space="preserve">https://eur-lex.europa.eu/legal-content/EN/TXT/?uri=CELEX:32002R0006R(06)</t>
  </si>
  <si>
    <t xml:space="preserve">32002R0006R(07)</t>
  </si>
  <si>
    <t xml:space="preserve">https://eur-lex.europa.eu/legal-content/EN/TXT/?uri=CELEX:32002R0006R(07)</t>
  </si>
  <si>
    <t xml:space="preserve">32002R0006R(08)</t>
  </si>
  <si>
    <t xml:space="preserve">2020-08-13</t>
  </si>
  <si>
    <t xml:space="preserve">https://eur-lex.europa.eu/legal-content/EN/TXT/?uri=CELEX:32002R0006R(08)</t>
  </si>
  <si>
    <t xml:space="preserve">32002R0006R(09)</t>
  </si>
  <si>
    <t xml:space="preserve">2020-12-10</t>
  </si>
  <si>
    <t xml:space="preserve">https://eur-lex.europa.eu/legal-content/EN/TXT/?uri=CELEX:32002R0006R(09)</t>
  </si>
  <si>
    <t xml:space="preserve">32002R0006R(10)</t>
  </si>
  <si>
    <t xml:space="preserve">2023-03-09</t>
  </si>
  <si>
    <t xml:space="preserve">https://eur-lex.europa.eu/legal-content/EN/TXT/?uri=CELEX:32002R0006R(10)</t>
  </si>
  <si>
    <t xml:space="preserve">32002R0006R(11)</t>
  </si>
  <si>
    <t xml:space="preserve">https://eur-lex.europa.eu/legal-content/EN/TXT/?uri=CELEX:32002R0006R(11)</t>
  </si>
  <si>
    <t xml:space="preserve">32002R0006R(12)</t>
  </si>
  <si>
    <t xml:space="preserve">2025-07-03</t>
  </si>
  <si>
    <t xml:space="preserve">https://eur-lex.europa.eu/legal-content/EN/TXT/?uri=CELEX:32002R0006R(12)</t>
  </si>
  <si>
    <t xml:space="preserve">32002R0006R(13)</t>
  </si>
  <si>
    <t xml:space="preserve">https://eur-lex.europa.eu/legal-content/EN/TXT/?uri=CELEX:32002R0006R(13)</t>
  </si>
  <si>
    <t xml:space="preserve">32002R0006R(15)</t>
  </si>
  <si>
    <t xml:space="preserve">2026-01-09</t>
  </si>
  <si>
    <t xml:space="preserve">https://eur-lex.europa.eu/legal-content/EN/TXT/?uri=CELEX:32002R0006R(15)</t>
  </si>
  <si>
    <t xml:space="preserve">32002R0006R(14)</t>
  </si>
  <si>
    <t xml:space="preserve">https://eur-lex.europa.eu/legal-content/EN/TXT/?uri=CELEX:32002R0006R(14)</t>
  </si>
  <si>
    <t xml:space="preserve">32002R0006R(16)</t>
  </si>
  <si>
    <t xml:space="preserve">2026-01-20</t>
  </si>
  <si>
    <t xml:space="preserve">https://eur-lex.europa.eu/legal-content/EN/TXT/?uri=CELEX:32002R0006R(16)</t>
  </si>
  <si>
    <t xml:space="preserve">32002R0006R(17)</t>
  </si>
  <si>
    <t xml:space="preserve">2026-02-04</t>
  </si>
  <si>
    <t xml:space="preserve">https://eur-lex.europa.eu/legal-content/EN/TXT/?uri=CELEX:32002R0006R(17)</t>
  </si>
  <si>
    <t xml:space="preserve">32002R0006R(18)</t>
  </si>
  <si>
    <t xml:space="preserve">https://eur-lex.europa.eu/legal-content/EN/TXT/?uri=CELEX:32002R0006R(18)</t>
  </si>
  <si>
    <t xml:space="preserve">32002R0006R(19)</t>
  </si>
  <si>
    <t xml:space="preserve">2026-02-12</t>
  </si>
  <si>
    <t xml:space="preserve">https://eur-lex.europa.eu/legal-content/EN/TXT/?uri=CELEX:32002R0006R(19)</t>
  </si>
  <si>
    <t xml:space="preserve">32002R0006R(20)</t>
  </si>
  <si>
    <t xml:space="preserve">2026-03-30</t>
  </si>
  <si>
    <t xml:space="preserve">https://eur-lex.europa.eu/legal-content/EN/TXT/?uri=CELEX:32002R0006R(20)</t>
  </si>
  <si>
    <t xml:space="preserve">31998L0006R(01)</t>
  </si>
  <si>
    <t xml:space="preserve">1998-07-04</t>
  </si>
  <si>
    <t xml:space="preserve">https://eur-lex.europa.eu/legal-content/EN/TXT/?uri=CELEX:31998L0006R(01)</t>
  </si>
  <si>
    <t xml:space="preserve">32017L1564</t>
  </si>
  <si>
    <t xml:space="preserve">Directive (EU) 2017/1564 of the European Parliament and of the Council of 13 September 2017 on certain permitted uses of certain works and other subject matter protected by copyright and related rights for the benefit of persons who are blind, visually impaired or otherwise print-disabled and amending Directive 2001/29/EC on the harmonisation of certain aspects of copyright and related rights in the information society</t>
  </si>
  <si>
    <t xml:space="preserve">https://eur-lex.europa.eu/legal-content/EN/TXT/?uri=CELEX:32017L1564</t>
  </si>
  <si>
    <t xml:space="preserve">32001L0029R(02)</t>
  </si>
  <si>
    <t xml:space="preserve">2002-01-10</t>
  </si>
  <si>
    <t xml:space="preserve">https://eur-lex.europa.eu/legal-content/EN/TXT/?uri=CELEX:32001L0029R(02)</t>
  </si>
  <si>
    <t xml:space="preserve">32001L0029R(01)</t>
  </si>
  <si>
    <t xml:space="preserve">Corrigendum to Directive 2001/29/EC of the European Parliament and of the Council of 22 May 2001 on the harmonisation of certain aspects of copyright and related rights in the information society (OJ L 167 of 22.6.2001)</t>
  </si>
  <si>
    <t xml:space="preserve">https://eur-lex.europa.eu/legal-content/EN/TXT/?uri=CELEX:32001L0029R(01)</t>
  </si>
  <si>
    <t xml:space="preserve">32001L0029R(03)</t>
  </si>
  <si>
    <t xml:space="preserve">2007-08-21</t>
  </si>
  <si>
    <t xml:space="preserve">https://eur-lex.europa.eu/legal-content/EN/TXT/?uri=CELEX:32001L0029R(03)</t>
  </si>
  <si>
    <t xml:space="preserve">32001L0029R(04)</t>
  </si>
  <si>
    <t xml:space="preserve">2008-11-25</t>
  </si>
  <si>
    <t xml:space="preserve">https://eur-lex.europa.eu/legal-content/EN/TXT/?uri=CELEX:32001L0029R(04)</t>
  </si>
  <si>
    <t xml:space="preserve">32001L0029R(05)</t>
  </si>
  <si>
    <t xml:space="preserve">2010-10-06</t>
  </si>
  <si>
    <t xml:space="preserve">https://eur-lex.europa.eu/legal-content/EN/TXT/?uri=CELEX:32001L0029R(05)</t>
  </si>
  <si>
    <t xml:space="preserve">32001L0029R(06)</t>
  </si>
  <si>
    <t xml:space="preserve">2012-02-04</t>
  </si>
  <si>
    <t xml:space="preserve">https://eur-lex.europa.eu/legal-content/EN/TXT/?uri=CELEX:32001L0029R(06)</t>
  </si>
  <si>
    <t xml:space="preserve">32001L0029R(07)</t>
  </si>
  <si>
    <t xml:space="preserve">2014-01-15</t>
  </si>
  <si>
    <t xml:space="preserve">https://eur-lex.europa.eu/legal-content/EN/TXT/?uri=CELEX:32001L0029R(07)</t>
  </si>
  <si>
    <t xml:space="preserve">32001L0029R(08)</t>
  </si>
  <si>
    <t xml:space="preserve">2016-06-25</t>
  </si>
  <si>
    <t xml:space="preserve">https://eur-lex.europa.eu/legal-content/EN/TXT/?uri=CELEX:32001L0029R(08)</t>
  </si>
  <si>
    <t xml:space="preserve">Regulation (EU) 2022/2065 of the European Parliament and of the Council of 19 October 2022 on a Single Market For Digital Services and amending Directive 2000/31/EC (Digital Services Act) (Text with EEA relevance)</t>
  </si>
  <si>
    <t xml:space="preserve">32000L0031R(01)</t>
  </si>
  <si>
    <t xml:space="preserve">2002-10-23</t>
  </si>
  <si>
    <t xml:space="preserve">https://eur-lex.europa.eu/legal-content/EN/TXT/?uri=CELEX:32000L0031R(01)</t>
  </si>
  <si>
    <t xml:space="preserve">32000L0031R(02)</t>
  </si>
  <si>
    <t xml:space="preserve">https://eur-lex.europa.eu/legal-content/EN/TXT/?uri=CELEX:32000L0031R(02)</t>
  </si>
  <si>
    <t xml:space="preserve">32000L0031R(03)</t>
  </si>
  <si>
    <t xml:space="preserve">2024-03-15</t>
  </si>
  <si>
    <t xml:space="preserve">https://eur-lex.europa.eu/legal-content/EN/TXT/?uri=CELEX:32000L0031R(03)</t>
  </si>
  <si>
    <t xml:space="preserve">32000L0031R(04)</t>
  </si>
  <si>
    <t xml:space="preserve">2025-11-20</t>
  </si>
  <si>
    <t xml:space="preserve">https://eur-lex.europa.eu/legal-content/EN/TXT/?uri=CELEX:32000L0031R(04)</t>
  </si>
  <si>
    <t xml:space="preserve">32006L0024</t>
  </si>
  <si>
    <t xml:space="preserve">Directive 2006/24/EC of the European Parliament and of the Council of  15 March 2006  on the retention of data generated or processed in connection with the provision of publicly available electronic communications services or of public communications networks and amending Directive 2002/58/EC</t>
  </si>
  <si>
    <t xml:space="preserve">https://eur-lex.europa.eu/legal-content/EN/TXT/?uri=CELEX:32006L0024</t>
  </si>
  <si>
    <t xml:space="preserve">32009L0136</t>
  </si>
  <si>
    <t xml:space="preserve">Directive 2009/136/EC of the European Parliament and of the Council of 25 November 2009 amending Directive 2002/22/EC on universal service and users’ rights relating to electronic communications networks and services, Directive 2002/58/EC concerning the processing of personal data and the protection of privacy in the electronic communications sector and Regulation (EC) No 2006/2004 on cooperation between national authorities responsible for the enforcement of consumer protection laws (Text with EEA relevance)</t>
  </si>
  <si>
    <t xml:space="preserve">https://eur-lex.europa.eu/legal-content/EN/TXT/?uri=CELEX:32009L0136</t>
  </si>
  <si>
    <t xml:space="preserve">32002L0058R(01)</t>
  </si>
  <si>
    <t xml:space="preserve">2011-04-08</t>
  </si>
  <si>
    <t xml:space="preserve">https://eur-lex.europa.eu/legal-content/EN/TXT/?uri=CELEX:32002L0058R(01)</t>
  </si>
  <si>
    <t xml:space="preserve">32002L0058R(02)</t>
  </si>
  <si>
    <t xml:space="preserve">2014-10-04</t>
  </si>
  <si>
    <t xml:space="preserve">https://eur-lex.europa.eu/legal-content/EN/TXT/?uri=CELEX:32002L0058R(02)</t>
  </si>
  <si>
    <t xml:space="preserve">32002L0058R(03)</t>
  </si>
  <si>
    <t xml:space="preserve">2017-06-08</t>
  </si>
  <si>
    <t xml:space="preserve">https://eur-lex.europa.eu/legal-content/EN/TXT/?uri=CELEX:32002L0058R(03)</t>
  </si>
  <si>
    <t xml:space="preserve">32002L0058R(04)</t>
  </si>
  <si>
    <t xml:space="preserve">https://eur-lex.europa.eu/legal-content/EN/TXT/?uri=CELEX:32002L0058R(04)</t>
  </si>
  <si>
    <t xml:space="preserve">32002D0676R(01)</t>
  </si>
  <si>
    <t xml:space="preserve">2018-09-27</t>
  </si>
  <si>
    <t xml:space="preserve">https://eur-lex.europa.eu/legal-content/EN/TXT/?uri=CELEX:32002D0676R(01)</t>
  </si>
  <si>
    <t xml:space="preserve">32004R0139R(01)</t>
  </si>
  <si>
    <t xml:space="preserve">2004-12-23</t>
  </si>
  <si>
    <t xml:space="preserve">https://eur-lex.europa.eu/legal-content/EN/TXT/?uri=CELEX:32004R0139R(01)</t>
  </si>
  <si>
    <t xml:space="preserve">32004R0139R(02)</t>
  </si>
  <si>
    <t xml:space="preserve">2015-11-21</t>
  </si>
  <si>
    <t xml:space="preserve">https://eur-lex.europa.eu/legal-content/EN/TXT/?uri=CELEX:32004R0139R(02)</t>
  </si>
  <si>
    <t xml:space="preserve">32004R0139R(03)</t>
  </si>
  <si>
    <t xml:space="preserve">2017-04-22</t>
  </si>
  <si>
    <t xml:space="preserve">https://eur-lex.europa.eu/legal-content/EN/TXT/?uri=CELEX:32004R0139R(03)</t>
  </si>
  <si>
    <t xml:space="preserve">32004R0139R(04)</t>
  </si>
  <si>
    <t xml:space="preserve">2021-07-01</t>
  </si>
  <si>
    <t xml:space="preserve">https://eur-lex.europa.eu/legal-content/EN/TXT/?uri=CELEX:32004R0139R(04)</t>
  </si>
  <si>
    <t xml:space="preserve">32004R0139R(05)</t>
  </si>
  <si>
    <t xml:space="preserve">2022-03-31</t>
  </si>
  <si>
    <t xml:space="preserve">https://eur-lex.europa.eu/legal-content/EN/TXT/?uri=CELEX:32004R0139R(05)</t>
  </si>
  <si>
    <t xml:space="preserve">32004R0139R(06)</t>
  </si>
  <si>
    <t xml:space="preserve">2023-01-26</t>
  </si>
  <si>
    <t xml:space="preserve">https://eur-lex.europa.eu/legal-content/EN/TXT/?uri=CELEX:32004R0139R(06)</t>
  </si>
  <si>
    <t xml:space="preserve">32004R0139R(07)</t>
  </si>
  <si>
    <t xml:space="preserve">2023-09-28</t>
  </si>
  <si>
    <t xml:space="preserve">https://eur-lex.europa.eu/legal-content/EN/TXT/?uri=CELEX:32004R0139R(07)</t>
  </si>
  <si>
    <t xml:space="preserve">32004R0139R(08)</t>
  </si>
  <si>
    <t xml:space="preserve">2024-12-20</t>
  </si>
  <si>
    <t xml:space="preserve">https://eur-lex.europa.eu/legal-content/EN/TXT/?uri=CELEX:32004R0139R(08)</t>
  </si>
  <si>
    <t xml:space="preserve">32004L0048R(01)</t>
  </si>
  <si>
    <t xml:space="preserve">2004-06-02</t>
  </si>
  <si>
    <t xml:space="preserve">Corrigendum to Directive 2004/48/EC of the European Parliament and of the Council of 29 April 2004 on the enforcement of intellectual property rights (OJ L 157, 30.4.2004)</t>
  </si>
  <si>
    <t xml:space="preserve">https://eur-lex.europa.eu/legal-content/EN/TXT/?uri=CELEX:32004L0048R(01)</t>
  </si>
  <si>
    <t xml:space="preserve">32004L0048R(02)</t>
  </si>
  <si>
    <t xml:space="preserve">2004-11-26</t>
  </si>
  <si>
    <t xml:space="preserve">https://eur-lex.europa.eu/legal-content/EN/TXT/?uri=CELEX:32004L0048R(02)</t>
  </si>
  <si>
    <t xml:space="preserve">32004L0048R(03)</t>
  </si>
  <si>
    <t xml:space="preserve">2007-08-04</t>
  </si>
  <si>
    <t xml:space="preserve">Corrigendum to Directive 2004/48/EC of the European Parliament and of the Council of 29 April 2004 on the enforcement of intellectual property rights ( OJ L 157, 30.4.2004 . Corrected version in OJ L 195, 2.6.2004 )</t>
  </si>
  <si>
    <t xml:space="preserve">https://eur-lex.europa.eu/legal-content/EN/TXT/?uri=CELEX:32004L0048R(03)</t>
  </si>
  <si>
    <t xml:space="preserve">32004L0048R(04)</t>
  </si>
  <si>
    <t xml:space="preserve">https://eur-lex.europa.eu/legal-content/EN/TXT/?uri=CELEX:32004L0048R(04)</t>
  </si>
  <si>
    <t xml:space="preserve">32024L0825</t>
  </si>
  <si>
    <t xml:space="preserve">Directive (EU) 2024/825 of the European Parliament and of the Council of 28 February 2024 amending Directives 2005/29/EC and 2011/83/EU as regards empowering consumers for the green transition through better protection against unfair practices and through better information (Text with EEA relevance)</t>
  </si>
  <si>
    <t xml:space="preserve">https://eur-lex.europa.eu/legal-content/EN/TXT/?uri=CELEX:32024L0825</t>
  </si>
  <si>
    <t xml:space="preserve">32005L0029R(01)</t>
  </si>
  <si>
    <t xml:space="preserve">2006-04-27</t>
  </si>
  <si>
    <t xml:space="preserve">https://eur-lex.europa.eu/legal-content/EN/TXT/?uri=CELEX:32005L0029R(01)</t>
  </si>
  <si>
    <t xml:space="preserve">32005L0029R(02)</t>
  </si>
  <si>
    <t xml:space="preserve">2009-09-25</t>
  </si>
  <si>
    <t xml:space="preserve">https://eur-lex.europa.eu/legal-content/EN/TXT/?uri=CELEX:32005L0029R(02)</t>
  </si>
  <si>
    <t xml:space="preserve">32005L0029R(03)</t>
  </si>
  <si>
    <t xml:space="preserve">https://eur-lex.europa.eu/legal-content/EN/TXT/?uri=CELEX:32005L0029R(03)</t>
  </si>
  <si>
    <t xml:space="preserve">32005L0029R(04)</t>
  </si>
  <si>
    <t xml:space="preserve">2016-12-07</t>
  </si>
  <si>
    <t xml:space="preserve">https://eur-lex.europa.eu/legal-content/EN/TXT/?uri=CELEX:32005L0029R(04)</t>
  </si>
  <si>
    <t xml:space="preserve">32006L0138</t>
  </si>
  <si>
    <t xml:space="preserve">Council Directive 2006/138/EC of 19 December 2006 amending Directive 2006/112/EC on the common system of value added tax as regards the period of application of the value added tax arrangements applicable to radio and television broadcasting services and certain electronically supplied services</t>
  </si>
  <si>
    <t xml:space="preserve">https://eur-lex.europa.eu/legal-content/EN/TXT/?uri=CELEX:32006L0138</t>
  </si>
  <si>
    <t xml:space="preserve">32007L0075</t>
  </si>
  <si>
    <t xml:space="preserve">2007-12-20</t>
  </si>
  <si>
    <t xml:space="preserve">Council Directive 2007/75/EC of 20 December 2007 amending Directive 2006/112/EC with regard to certain temporary provisions concerning rates of value added tax</t>
  </si>
  <si>
    <t xml:space="preserve">https://eur-lex.europa.eu/legal-content/EN/TXT/?uri=CELEX:32007L0075</t>
  </si>
  <si>
    <t xml:space="preserve">32008L0008</t>
  </si>
  <si>
    <t xml:space="preserve">2008-02-12</t>
  </si>
  <si>
    <t xml:space="preserve">Council Directive 2008/8/EC of 12 February 2008 amending Directive 2006/112/EC as regards the place of supply of services</t>
  </si>
  <si>
    <t xml:space="preserve">https://eur-lex.europa.eu/legal-content/EN/TXT/?uri=CELEX:32008L0008</t>
  </si>
  <si>
    <t xml:space="preserve">32008L0117</t>
  </si>
  <si>
    <t xml:space="preserve">2008-12-16</t>
  </si>
  <si>
    <t xml:space="preserve">Council Directive 2008/117/EC of 16 December 2008 amending Directive 2006/112/EC on the common system of value added tax to combat tax evasion connected with intra-Community transactions</t>
  </si>
  <si>
    <t xml:space="preserve">https://eur-lex.europa.eu/legal-content/EN/TXT/?uri=CELEX:32008L0117</t>
  </si>
  <si>
    <t xml:space="preserve">32009L0047</t>
  </si>
  <si>
    <t xml:space="preserve">2009-05-05</t>
  </si>
  <si>
    <t xml:space="preserve">Council Directive 2009/47/EC of 5 May 2009 amending Directive 2006/112/EC as regards reduced rates of value added tax</t>
  </si>
  <si>
    <t xml:space="preserve">https://eur-lex.europa.eu/legal-content/EN/TXT/?uri=CELEX:32009L0047</t>
  </si>
  <si>
    <t xml:space="preserve">32009L0069</t>
  </si>
  <si>
    <t xml:space="preserve">2009-06-25</t>
  </si>
  <si>
    <t xml:space="preserve">Council Directive 2009/69/EC of 25 June 2009 amending Directive 2006/112/EC on the common system of value added tax as regards tax evasion linked to imports</t>
  </si>
  <si>
    <t xml:space="preserve">https://eur-lex.europa.eu/legal-content/EN/TXT/?uri=CELEX:32009L0069</t>
  </si>
  <si>
    <t xml:space="preserve">32009L0162</t>
  </si>
  <si>
    <t xml:space="preserve">Council Directive 2009/162/EU of 22 December 2009 amending various provisions of Directive 2006/112/EC on the common system of value added tax</t>
  </si>
  <si>
    <t xml:space="preserve">https://eur-lex.europa.eu/legal-content/EN/TXT/?uri=CELEX:32009L0162</t>
  </si>
  <si>
    <t xml:space="preserve">32010L0023</t>
  </si>
  <si>
    <t xml:space="preserve">2010-03-16</t>
  </si>
  <si>
    <t xml:space="preserve">Council Directive 2010/23/EU of 16 March 2010 amending Directive 2006/112/EC on the common system of value added tax, as regards an optional and temporary application of the reverse charge mechanism in relation to supplies of certain services susceptible to fraud</t>
  </si>
  <si>
    <t xml:space="preserve">https://eur-lex.europa.eu/legal-content/EN/TXT/?uri=CELEX:32010L0023</t>
  </si>
  <si>
    <t xml:space="preserve">32010L0045</t>
  </si>
  <si>
    <t xml:space="preserve">2010-07-13</t>
  </si>
  <si>
    <t xml:space="preserve">Council Directive 2010/45/EU of 13 July 2010 amending Directive 2006/112/EC on the common system of value added tax as regards the rules on invoicing</t>
  </si>
  <si>
    <t xml:space="preserve">https://eur-lex.europa.eu/legal-content/EN/TXT/?uri=CELEX:32010L0045</t>
  </si>
  <si>
    <t xml:space="preserve">32010L0088</t>
  </si>
  <si>
    <t xml:space="preserve">2010-12-07</t>
  </si>
  <si>
    <t xml:space="preserve">Council Directive 2010/88/EU of 7 December 2010 amending Directive 2006/112/EC on the common system of value added tax, with regard to the duration of the obligation to respect a minimum standard rate</t>
  </si>
  <si>
    <t xml:space="preserve">https://eur-lex.europa.eu/legal-content/EN/TXT/?uri=CELEX:32010L0088</t>
  </si>
  <si>
    <t xml:space="preserve">32013L0042</t>
  </si>
  <si>
    <t xml:space="preserve">2013-07-22</t>
  </si>
  <si>
    <t xml:space="preserve">Council Directive 2013/42/EU of 22 July 2013 amending Directive 2006/112/EC on the common system of value added tax, as regards a Quick Reaction Mechanism against VAT fraud</t>
  </si>
  <si>
    <t xml:space="preserve">https://eur-lex.europa.eu/legal-content/EN/TXT/?uri=CELEX:32013L0042</t>
  </si>
  <si>
    <t xml:space="preserve">32013L0043</t>
  </si>
  <si>
    <t xml:space="preserve">Council Directive 2013/43/EU of 22 July 2013 amending Directive 2006/112/EC on the common system of value added tax, as regards an optional and temporary application of the reverse charge mechanism in relation to supplies of certain goods and services susceptible to fraud</t>
  </si>
  <si>
    <t xml:space="preserve">https://eur-lex.europa.eu/legal-content/EN/TXT/?uri=CELEX:32013L0043</t>
  </si>
  <si>
    <t xml:space="preserve">32013L0061</t>
  </si>
  <si>
    <t xml:space="preserve">Council Directive 2013/61/EU of 17 December 2013 amending Directives 2006/112/EC and 2008/118/EC as regards the French outermost regions and Mayotte in particular</t>
  </si>
  <si>
    <t xml:space="preserve">https://eur-lex.europa.eu/legal-content/EN/TXT/?uri=CELEX:32013L0061</t>
  </si>
  <si>
    <t xml:space="preserve">32016L0856</t>
  </si>
  <si>
    <t xml:space="preserve">Council Directive (EU) 2016/856 of 25 May 2016 amending Directive 2006/112/EC on the common system of value added tax, as regards the duration of the obligation to respect a minimum standard rate</t>
  </si>
  <si>
    <t xml:space="preserve">https://eur-lex.europa.eu/legal-content/EN/TXT/?uri=CELEX:32016L0856</t>
  </si>
  <si>
    <t xml:space="preserve">32016L1065</t>
  </si>
  <si>
    <t xml:space="preserve">2016-06-27</t>
  </si>
  <si>
    <t xml:space="preserve">Council Directive (EU) 2016/1065 of 27 June 2016 amending Directive 2006/112/EC as regards the treatment of vouchers</t>
  </si>
  <si>
    <t xml:space="preserve">https://eur-lex.europa.eu/legal-content/EN/TXT/?uri=CELEX:32016L1065</t>
  </si>
  <si>
    <t xml:space="preserve">32017L2455</t>
  </si>
  <si>
    <t xml:space="preserve">Council Directive (EU) 2017/2455 of 5 December 2017 amending Directive 2006/112/EC and Directive 2009/132/EC as regards certain value added tax obligations for supplies of services and distance sales of goods</t>
  </si>
  <si>
    <t xml:space="preserve">https://eur-lex.europa.eu/legal-content/EN/TXT/?uri=CELEX:32017L2455</t>
  </si>
  <si>
    <t xml:space="preserve">32018L0912</t>
  </si>
  <si>
    <t xml:space="preserve">Council Directive (EU) 2018/912 of 22 June 2018 amending Directive 2006/112/EC on the common system of value added tax as regards the obligation to respect a minimum standard rate</t>
  </si>
  <si>
    <t xml:space="preserve">https://eur-lex.europa.eu/legal-content/EN/TXT/?uri=CELEX:32018L0912</t>
  </si>
  <si>
    <t xml:space="preserve">32018L1695</t>
  </si>
  <si>
    <t xml:space="preserve">Council Directive (EU) 2018/1695 of 6 November 2018 amending Directive 2006/112/EC on the common system of value added tax as regards the period of application of the optional reverse charge mechanism in relation to supplies of certain goods and services susceptible to fraud and of the Quick Reaction Mechanism against VAT fraud</t>
  </si>
  <si>
    <t xml:space="preserve">https://eur-lex.europa.eu/legal-content/EN/TXT/?uri=CELEX:32018L1695</t>
  </si>
  <si>
    <t xml:space="preserve">32018L1713</t>
  </si>
  <si>
    <t xml:space="preserve">Council Directive (EU) 2018/1713 of 6 November 2018 amending Directive 2006/112/EC as regards rates of value added tax applied to books, newspapers and periodicals</t>
  </si>
  <si>
    <t xml:space="preserve">https://eur-lex.europa.eu/legal-content/EN/TXT/?uri=CELEX:32018L1713</t>
  </si>
  <si>
    <t xml:space="preserve">32018L1910</t>
  </si>
  <si>
    <t xml:space="preserve">Council Directive (EU) 2018/1910 of 4 December 2018 amending Directive 2006/112/EC as regards the harmonisation and simplification of certain rules in the value added tax system for the taxation of trade between Member States</t>
  </si>
  <si>
    <t xml:space="preserve">https://eur-lex.europa.eu/legal-content/EN/TXT/?uri=CELEX:32018L1910</t>
  </si>
  <si>
    <t xml:space="preserve">32018L2057</t>
  </si>
  <si>
    <t xml:space="preserve">Council Directive (EU) 2018/2057 of 20 December 2018 amending Directive 2006/112/EC on the common system of value added tax as regards the temporary application of a generalised reverse charge mechanism in relation to supplies of goods and services above a certain threshold</t>
  </si>
  <si>
    <t xml:space="preserve">https://eur-lex.europa.eu/legal-content/EN/TXT/?uri=CELEX:32018L2057</t>
  </si>
  <si>
    <t xml:space="preserve">32019L0475</t>
  </si>
  <si>
    <t xml:space="preserve">Council Directive (EU) 2019/475 of 18 February 2019 amending Directives 2006/112/EC and 2008/118/EC as regards the inclusion of the Italian municipality of Campione d'Italia and the Italian waters of Lake Lugano in the customs territory of the Union and in the territorial application of Directive 2008/118/EC</t>
  </si>
  <si>
    <t xml:space="preserve">https://eur-lex.europa.eu/legal-content/EN/TXT/?uri=CELEX:32019L0475</t>
  </si>
  <si>
    <t xml:space="preserve">32019L1995</t>
  </si>
  <si>
    <t xml:space="preserve">Council Directive (EU) 2019/1995 of 21 November 2019 amending Directive 2006/112/EC as regards provisions relating to distance sales of goods and certain domestic supplies of goods</t>
  </si>
  <si>
    <t xml:space="preserve">https://eur-lex.europa.eu/legal-content/EN/TXT/?uri=CELEX:32019L1995</t>
  </si>
  <si>
    <t xml:space="preserve">32019L2235</t>
  </si>
  <si>
    <t xml:space="preserve">Council Directive (EU) 2019/2235 of 16 December 2019 amending Directive 2006/112/EC on the common system of value added tax and Directive 2008/118/EC concerning the general arrangements for excise duty as regards defence efforts within the Union framework</t>
  </si>
  <si>
    <t xml:space="preserve">https://eur-lex.europa.eu/legal-content/EN/TXT/?uri=CELEX:32019L2235</t>
  </si>
  <si>
    <t xml:space="preserve">32020L0284</t>
  </si>
  <si>
    <t xml:space="preserve">2020-02-18</t>
  </si>
  <si>
    <t xml:space="preserve">Council Directive (EU) 2020/284 of 18 February 2020 amending Directive 2006/112/EC as regards introducing certain requirements for payment service providers</t>
  </si>
  <si>
    <t xml:space="preserve">https://eur-lex.europa.eu/legal-content/EN/TXT/?uri=CELEX:32020L0284</t>
  </si>
  <si>
    <t xml:space="preserve">32020L0285</t>
  </si>
  <si>
    <t xml:space="preserve">Council Directive (EU) 2020/285 of 18 February 2020 amending Directive 2006/112/EC on the common system of value added tax as regards the special scheme for small enterprises and Regulation (EU) No 904/2010 as regards the administrative cooperation and exchange of information for the purpose of monitoring the correct application of the special scheme for small enterprises</t>
  </si>
  <si>
    <t xml:space="preserve">https://eur-lex.europa.eu/legal-content/EN/TXT/?uri=CELEX:32020L0285</t>
  </si>
  <si>
    <t xml:space="preserve">32020L1756</t>
  </si>
  <si>
    <t xml:space="preserve">2020-11-20</t>
  </si>
  <si>
    <t xml:space="preserve">Council Directive (EU) 2020/1756 of 20 November 2020 amending Directive 2006/112/EC on the common system of value added tax as regards the identification of taxable persons in Northern Ireland</t>
  </si>
  <si>
    <t xml:space="preserve">https://eur-lex.europa.eu/legal-content/EN/TXT/?uri=CELEX:32020L1756</t>
  </si>
  <si>
    <t xml:space="preserve">32020L2020</t>
  </si>
  <si>
    <t xml:space="preserve">2020-12-07</t>
  </si>
  <si>
    <t xml:space="preserve">Council Directive (EU) 2020/2020 of 7 December 2020 amending Directive 2006/112/EC as regards temporary measures in relation to value added tax applicable to COVID-19 vaccines and in vitro diagnostic medical devices in response to the COVID-19 pandemic</t>
  </si>
  <si>
    <t xml:space="preserve">https://eur-lex.europa.eu/legal-content/EN/TXT/?uri=CELEX:32020L2020</t>
  </si>
  <si>
    <t xml:space="preserve">32021L1159</t>
  </si>
  <si>
    <t xml:space="preserve">Council Directive (EU) 2021/1159 of 13 July 2021 amending Directive 2006/112/EC as regards temporary exemptions on importations and on certain supplies, in response to the COVID-19 pandemic</t>
  </si>
  <si>
    <t xml:space="preserve">https://eur-lex.europa.eu/legal-content/EN/TXT/?uri=CELEX:32021L1159</t>
  </si>
  <si>
    <t xml:space="preserve">32022L0542</t>
  </si>
  <si>
    <t xml:space="preserve">Council Directive (EU) 2022/542 of 5 April 2022 amending Directives 2006/112/EC and (EU) 2020/285 as regards rates of value added tax</t>
  </si>
  <si>
    <t xml:space="preserve">https://eur-lex.europa.eu/legal-content/EN/TXT/?uri=CELEX:32022L0542</t>
  </si>
  <si>
    <t xml:space="preserve">32022L0890</t>
  </si>
  <si>
    <t xml:space="preserve">Council Directive (EU) 2022/890 of 3 June 2022 amending Directive 2006/112/EC as regards the extension of the application period of the optional reverse charge mechanism in relation to supplies of certain goods and services susceptible to fraud and of the Quick Reaction Mechanism against VAT fraud</t>
  </si>
  <si>
    <t xml:space="preserve">https://eur-lex.europa.eu/legal-content/EN/TXT/?uri=CELEX:32022L0890</t>
  </si>
  <si>
    <t xml:space="preserve">32025L0425</t>
  </si>
  <si>
    <t xml:space="preserve">Council Directive (EU) 2025/425 of 18 February 2025 amending Directive 2006/112/EC as regards the electronic value added tax exemption certificate</t>
  </si>
  <si>
    <t xml:space="preserve">https://eur-lex.europa.eu/legal-content/EN/TXT/?uri=CELEX:32025L0425</t>
  </si>
  <si>
    <t xml:space="preserve">Council Directive (EU) 2025/516 of 11 March 2025 amending Directive 2006/112/EC as regards VAT rules for the digital age</t>
  </si>
  <si>
    <t xml:space="preserve">32025L1539</t>
  </si>
  <si>
    <t xml:space="preserve">Council Directive (EU) 2025/1539 of 18 July 2025 amending Directive 2006/112/EC as regards VAT rules relating to taxable persons who facilitate distance sales of imported goods and the application of the special scheme for distance sales of goods imported from third territories or third countries and special arrangements for declaration and payment of import VAT</t>
  </si>
  <si>
    <t xml:space="preserve">https://eur-lex.europa.eu/legal-content/EN/TXT/?uri=CELEX:32025L1539</t>
  </si>
  <si>
    <t xml:space="preserve">32006L0112R(06)</t>
  </si>
  <si>
    <t xml:space="preserve">https://eur-lex.europa.eu/legal-content/EN/TXT/?uri=CELEX:32006L0112R(06)</t>
  </si>
  <si>
    <t xml:space="preserve">32006L0112R(02)</t>
  </si>
  <si>
    <t xml:space="preserve">https://eur-lex.europa.eu/legal-content/EN/TXT/?uri=CELEX:32006L0112R(02)</t>
  </si>
  <si>
    <t xml:space="preserve">32006L0112R(03)</t>
  </si>
  <si>
    <t xml:space="preserve">https://eur-lex.europa.eu/legal-content/EN/TXT/?uri=CELEX:32006L0112R(03)</t>
  </si>
  <si>
    <t xml:space="preserve">32006L0112R(04)</t>
  </si>
  <si>
    <t xml:space="preserve">https://eur-lex.europa.eu/legal-content/EN/TXT/?uri=CELEX:32006L0112R(04)</t>
  </si>
  <si>
    <t xml:space="preserve">32006L0112R(05)</t>
  </si>
  <si>
    <t xml:space="preserve">https://eur-lex.europa.eu/legal-content/EN/TXT/?uri=CELEX:32006L0112R(05)</t>
  </si>
  <si>
    <t xml:space="preserve">32006L0112R(01)</t>
  </si>
  <si>
    <t xml:space="preserve">Corrigendum to Council Directive 2006/112/EC of 28 November 2006 on the common system of value added tax ( OJ L 347, 11.12.2006 )</t>
  </si>
  <si>
    <t xml:space="preserve">https://eur-lex.europa.eu/legal-content/EN/TXT/?uri=CELEX:32006L0112R(01)</t>
  </si>
  <si>
    <t xml:space="preserve">32006L0112R(07)</t>
  </si>
  <si>
    <t xml:space="preserve">2009-03-12</t>
  </si>
  <si>
    <t xml:space="preserve">https://eur-lex.europa.eu/legal-content/EN/TXT/?uri=CELEX:32006L0112R(07)</t>
  </si>
  <si>
    <t xml:space="preserve">32006L0112R(08)</t>
  </si>
  <si>
    <t xml:space="preserve">2011-03-19</t>
  </si>
  <si>
    <t xml:space="preserve">https://eur-lex.europa.eu/legal-content/EN/TXT/?uri=CELEX:32006L0112R(08)</t>
  </si>
  <si>
    <t xml:space="preserve">32006L0112R(09)</t>
  </si>
  <si>
    <t xml:space="preserve">https://eur-lex.europa.eu/legal-content/EN/TXT/?uri=CELEX:32006L0112R(09)</t>
  </si>
  <si>
    <t xml:space="preserve">32006L0112R(11)</t>
  </si>
  <si>
    <t xml:space="preserve">2012-09-14</t>
  </si>
  <si>
    <t xml:space="preserve">https://eur-lex.europa.eu/legal-content/EN/TXT/?uri=CELEX:32006L0112R(11)</t>
  </si>
  <si>
    <t xml:space="preserve">32006L0112R(10)</t>
  </si>
  <si>
    <t xml:space="preserve">Corrigendum to Council Directive 2006/112/EC of 28 November 2006 on the common system of value added tax ( OJ L 347, 11.12.2006 )</t>
  </si>
  <si>
    <t xml:space="preserve">https://eur-lex.europa.eu/legal-content/EN/TXT/?uri=CELEX:32006L0112R(10)</t>
  </si>
  <si>
    <t xml:space="preserve">32006L0112R(12)</t>
  </si>
  <si>
    <t xml:space="preserve">https://eur-lex.europa.eu/legal-content/EN/TXT/?uri=CELEX:32006L0112R(12)</t>
  </si>
  <si>
    <t xml:space="preserve">32006L0112R(13)</t>
  </si>
  <si>
    <t xml:space="preserve">2017-12-16</t>
  </si>
  <si>
    <t xml:space="preserve">https://eur-lex.europa.eu/legal-content/EN/TXT/?uri=CELEX:32006L0112R(13)</t>
  </si>
  <si>
    <t xml:space="preserve">32006L0112R(15)</t>
  </si>
  <si>
    <t xml:space="preserve">2018-09-19</t>
  </si>
  <si>
    <t xml:space="preserve">https://eur-lex.europa.eu/legal-content/EN/TXT/?uri=CELEX:32006L0112R(15)</t>
  </si>
  <si>
    <t xml:space="preserve">32006L0112R(14)</t>
  </si>
  <si>
    <t xml:space="preserve">https://eur-lex.europa.eu/legal-content/EN/TXT/?uri=CELEX:32006L0112R(14)</t>
  </si>
  <si>
    <t xml:space="preserve">32006L0112R(16)</t>
  </si>
  <si>
    <t xml:space="preserve">2019-01-10</t>
  </si>
  <si>
    <t xml:space="preserve">https://eur-lex.europa.eu/legal-content/EN/TXT/?uri=CELEX:32006L0112R(16)</t>
  </si>
  <si>
    <t xml:space="preserve">32006L0112R(17)</t>
  </si>
  <si>
    <t xml:space="preserve">https://eur-lex.europa.eu/legal-content/EN/TXT/?uri=CELEX:32006L0112R(17)</t>
  </si>
  <si>
    <t xml:space="preserve">32006L0112R(18)</t>
  </si>
  <si>
    <t xml:space="preserve">2021-08-12</t>
  </si>
  <si>
    <t xml:space="preserve">https://eur-lex.europa.eu/legal-content/EN/TXT/?uri=CELEX:32006L0112R(18)</t>
  </si>
  <si>
    <t xml:space="preserve">32006L0112R(19)</t>
  </si>
  <si>
    <t xml:space="preserve">https://eur-lex.europa.eu/legal-content/EN/TXT/?uri=CELEX:32006L0112R(19)</t>
  </si>
  <si>
    <t xml:space="preserve">32006L0112R(20)</t>
  </si>
  <si>
    <t xml:space="preserve">2023-05-17</t>
  </si>
  <si>
    <t xml:space="preserve">https://eur-lex.europa.eu/legal-content/EN/TXT/?uri=CELEX:32006L0112R(20)</t>
  </si>
  <si>
    <t xml:space="preserve">32006L0112R(21)</t>
  </si>
  <si>
    <t xml:space="preserve">2025-02-05</t>
  </si>
  <si>
    <t xml:space="preserve">https://eur-lex.europa.eu/legal-content/EN/TXT/?uri=CELEX:32006L0112R(21)</t>
  </si>
  <si>
    <t xml:space="preserve">32006L0112R(22)</t>
  </si>
  <si>
    <t xml:space="preserve">https://eur-lex.europa.eu/legal-content/EN/TXT/?uri=CELEX:32006L0112R(22)</t>
  </si>
  <si>
    <t xml:space="preserve">32006L0112R(23)</t>
  </si>
  <si>
    <t xml:space="preserve">2026-07-01</t>
  </si>
  <si>
    <t xml:space="preserve">https://eur-lex.europa.eu/legal-content/EN/TXT/?uri=CELEX:32006L0112R(23)</t>
  </si>
  <si>
    <t xml:space="preserve">32018L1808</t>
  </si>
  <si>
    <t xml:space="preserve">Directive (EU) 2018/1808 of the European Parliament and of the Council of 14 November 2018 amending Directive 2010/13/EU on the coordination of certain provisions laid down by law, regulation or administrative action in Member States concerning the provision of audiovisual media services (Audiovisual Media Services Directive) in view of changing market realities</t>
  </si>
  <si>
    <t xml:space="preserve">https://eur-lex.europa.eu/legal-content/EN/TXT/?uri=CELEX:32018L1808</t>
  </si>
  <si>
    <t xml:space="preserve">Regulation (EU) 2024/1083 of the European Parliament and of the Council of 11 April 2024 establishing a common framework for media services in the internal market and amending Directive 2010/13/EU (European Media Freedom Act) (Text with EEA relevance)</t>
  </si>
  <si>
    <t xml:space="preserve">32010L0013R(01)</t>
  </si>
  <si>
    <t xml:space="preserve">Corrigendum to Directive 2010/13/EU of the European Parliament and of the Council of 10 March 2010 on the coordination of certain provisions laid down by law, regulation or administrative action in Member States concerning the provision of audiovisual media services (Audiovisual Media Services Directive) ( OJ L 95, 15.4.2010 )</t>
  </si>
  <si>
    <t xml:space="preserve">https://eur-lex.europa.eu/legal-content/EN/TXT/?uri=CELEX:32010L0013R(01)</t>
  </si>
  <si>
    <t xml:space="preserve">32010L0013R(02)</t>
  </si>
  <si>
    <t xml:space="preserve">2014-12-04</t>
  </si>
  <si>
    <t xml:space="preserve">https://eur-lex.europa.eu/legal-content/EN/TXT/?uri=CELEX:32010L0013R(02)</t>
  </si>
  <si>
    <t xml:space="preserve">32010L0013R(03)</t>
  </si>
  <si>
    <t xml:space="preserve">2018-09-21</t>
  </si>
  <si>
    <t xml:space="preserve">https://eur-lex.europa.eu/legal-content/EN/TXT/?uri=CELEX:32010L0013R(03)</t>
  </si>
  <si>
    <t xml:space="preserve">32015R0759</t>
  </si>
  <si>
    <t xml:space="preserve">Regulation (EU) 2015/759 of the European Parliament and of the Council of 29 April 2015 amending Regulation (EC) No 223/2009 on European statistics (Text with relevance for the EEA and Switzerland)</t>
  </si>
  <si>
    <t xml:space="preserve">https://eur-lex.europa.eu/legal-content/EN/TXT/?uri=CELEX:32015R0759</t>
  </si>
  <si>
    <t xml:space="preserve">32024R3018</t>
  </si>
  <si>
    <t xml:space="preserve">Regulation (EU) 2024/3018 of the European Parliament and of the Council of 27 November 2024 amending Regulation (EC) No 223/2009 on European statistics (Text with EEA relevance)</t>
  </si>
  <si>
    <t xml:space="preserve">https://eur-lex.europa.eu/legal-content/EN/TXT/?uri=CELEX:32024R3018</t>
  </si>
  <si>
    <t xml:space="preserve">32009R0223R(01)</t>
  </si>
  <si>
    <t xml:space="preserve">https://eur-lex.europa.eu/legal-content/EN/TXT/?uri=CELEX:32009R0223R(01)</t>
  </si>
  <si>
    <t xml:space="preserve">32009R0223R(02)</t>
  </si>
  <si>
    <t xml:space="preserve">2022-07-07</t>
  </si>
  <si>
    <t xml:space="preserve">https://eur-lex.europa.eu/legal-content/EN/TXT/?uri=CELEX:32009R0223R(02)</t>
  </si>
  <si>
    <t xml:space="preserve">32009L0048R(01)</t>
  </si>
  <si>
    <t xml:space="preserve">Corrigendum to Directive 2009/48/EC of the European Parliament and of the Council of 18 June 2009 on the safety of toys ( OJ L 170, 30.6.2009 )</t>
  </si>
  <si>
    <t xml:space="preserve">https://eur-lex.europa.eu/legal-content/EN/TXT/?uri=CELEX:32009L0048R(01)</t>
  </si>
  <si>
    <t xml:space="preserve">32009L0048R(02)</t>
  </si>
  <si>
    <t xml:space="preserve">2019-10-03</t>
  </si>
  <si>
    <t xml:space="preserve">https://eur-lex.europa.eu/legal-content/EN/TXT/?uri=CELEX:32009L0048R(02)</t>
  </si>
  <si>
    <t xml:space="preserve">32009L0048R(03)</t>
  </si>
  <si>
    <t xml:space="preserve">2021-02-04</t>
  </si>
  <si>
    <t xml:space="preserve">https://eur-lex.europa.eu/legal-content/EN/TXT/?uri=CELEX:32009L0048R(03)</t>
  </si>
  <si>
    <t xml:space="preserve">32009L0048R(04)</t>
  </si>
  <si>
    <t xml:space="preserve">https://eur-lex.europa.eu/legal-content/EN/TXT/?uri=CELEX:32009L0048R(04)</t>
  </si>
  <si>
    <t xml:space="preserve">32009L0048R(05)</t>
  </si>
  <si>
    <t xml:space="preserve">https://eur-lex.europa.eu/legal-content/EN/TXT/?uri=CELEX:32009L0048R(05)</t>
  </si>
  <si>
    <t xml:space="preserve">32015L2302</t>
  </si>
  <si>
    <t xml:space="preserve">Directive (EU) 2015/2302 of the European Parliament and of the Council of 25 November 2015 on package travel and linked travel arrangements, amending Regulation (EC) No 2006/2004 and Directive 2011/83/EU of the European Parliament and of the Council and repealing Council Directive 90/314/EEC</t>
  </si>
  <si>
    <t xml:space="preserve">https://eur-lex.europa.eu/legal-content/EN/TXT/?uri=CELEX:32015L2302</t>
  </si>
  <si>
    <t xml:space="preserve">32023L2673</t>
  </si>
  <si>
    <t xml:space="preserve">2023-11-22</t>
  </si>
  <si>
    <t xml:space="preserve">Directive (EU) 2023/2673 of the European Parliament and of the Council of 22 November 2023 amending Directive 2011/83/EU as regards financial services contracts concluded at a distance and repealing Directive 2002/65/EC (Text with EEA relevance)</t>
  </si>
  <si>
    <t xml:space="preserve">https://eur-lex.europa.eu/legal-content/EN/TXT/?uri=CELEX:32023L2673</t>
  </si>
  <si>
    <t xml:space="preserve">32011L0083R(01)</t>
  </si>
  <si>
    <t xml:space="preserve">2014-11-08</t>
  </si>
  <si>
    <t xml:space="preserve">https://eur-lex.europa.eu/legal-content/EN/TXT/?uri=CELEX:32011L0083R(01)</t>
  </si>
  <si>
    <t xml:space="preserve">32011L0083R(02)</t>
  </si>
  <si>
    <t xml:space="preserve">2016-11-30</t>
  </si>
  <si>
    <t xml:space="preserve">https://eur-lex.europa.eu/legal-content/EN/TXT/?uri=CELEX:32011L0083R(02)</t>
  </si>
  <si>
    <t xml:space="preserve">32011L0083R(03)</t>
  </si>
  <si>
    <t xml:space="preserve">2018-05-23</t>
  </si>
  <si>
    <t xml:space="preserve">https://eur-lex.europa.eu/legal-content/EN/TXT/?uri=CELEX:32011L0083R(03)</t>
  </si>
  <si>
    <t xml:space="preserve">32011L0083R(04)</t>
  </si>
  <si>
    <t xml:space="preserve">2019-10-24</t>
  </si>
  <si>
    <t xml:space="preserve">https://eur-lex.europa.eu/legal-content/EN/TXT/?uri=CELEX:32011L0083R(04)</t>
  </si>
  <si>
    <t xml:space="preserve">32011L0083R(05)</t>
  </si>
  <si>
    <t xml:space="preserve">2024-02-09</t>
  </si>
  <si>
    <t xml:space="preserve">https://eur-lex.europa.eu/legal-content/EN/TXT/?uri=CELEX:32011L0083R(05)</t>
  </si>
  <si>
    <t xml:space="preserve">32011L0083R(06)</t>
  </si>
  <si>
    <t xml:space="preserve">https://eur-lex.europa.eu/legal-content/EN/TXT/?uri=CELEX:32011L0083R(06)</t>
  </si>
  <si>
    <t xml:space="preserve">32014L0107</t>
  </si>
  <si>
    <t xml:space="preserve">Council Directive 2014/107/EU of 9 December 2014 amending Directive 2011/16/EU as regards mandatory automatic exchange of information in the field of taxation</t>
  </si>
  <si>
    <t xml:space="preserve">https://eur-lex.europa.eu/legal-content/EN/TXT/?uri=CELEX:32014L0107</t>
  </si>
  <si>
    <t xml:space="preserve">32015L2376</t>
  </si>
  <si>
    <t xml:space="preserve">2015-12-08</t>
  </si>
  <si>
    <t xml:space="preserve">Council Directive (EU) 2015/2376 of 8 December 2015 amending Directive 2011/16/EU as regards mandatory automatic exchange of information in the field of taxation</t>
  </si>
  <si>
    <t xml:space="preserve">https://eur-lex.europa.eu/legal-content/EN/TXT/?uri=CELEX:32015L2376</t>
  </si>
  <si>
    <t xml:space="preserve">32016L0881</t>
  </si>
  <si>
    <t xml:space="preserve">Council Directive (EU) 2016/881 of 25 May 2016 amending Directive 2011/16/EU as regards mandatory automatic exchange of information in the field of taxation</t>
  </si>
  <si>
    <t xml:space="preserve">https://eur-lex.europa.eu/legal-content/EN/TXT/?uri=CELEX:32016L0881</t>
  </si>
  <si>
    <t xml:space="preserve">32016L2258</t>
  </si>
  <si>
    <t xml:space="preserve">Council Directive (EU) 2016/2258 of 6 December 2016 amending Directive 2011/16/EU as regards access to anti-money-laundering information by tax authorities</t>
  </si>
  <si>
    <t xml:space="preserve">https://eur-lex.europa.eu/legal-content/EN/TXT/?uri=CELEX:32016L2258</t>
  </si>
  <si>
    <t xml:space="preserve">32018L0822</t>
  </si>
  <si>
    <t xml:space="preserve">Council Directive (EU) 2018/822 of 25 May 2018 amending Directive 2011/16/EU as regards mandatory automatic exchange of information in the field of taxation in relation to reportable cross-border arrangements</t>
  </si>
  <si>
    <t xml:space="preserve">https://eur-lex.europa.eu/legal-content/EN/TXT/?uri=CELEX:32018L0822</t>
  </si>
  <si>
    <t xml:space="preserve">32020L0876</t>
  </si>
  <si>
    <t xml:space="preserve">Council Directive (EU) 2020/876 of 24 June 2020 amending Directive 2011/16/EU to address the urgent need to defer certain time limits for the filing and exchange of information in the field of taxation because of the COVID-19 pandemic</t>
  </si>
  <si>
    <t xml:space="preserve">https://eur-lex.europa.eu/legal-content/EN/TXT/?uri=CELEX:32020L0876</t>
  </si>
  <si>
    <t xml:space="preserve">32021L0514</t>
  </si>
  <si>
    <t xml:space="preserve">Council Directive (EU) 2021/514 of 22 March 2021 amending Directive 2011/16/EU on administrative cooperation in the field of taxation</t>
  </si>
  <si>
    <t xml:space="preserve">https://eur-lex.europa.eu/legal-content/EN/TXT/?uri=CELEX:32021L0514</t>
  </si>
  <si>
    <t xml:space="preserve">32023L2226</t>
  </si>
  <si>
    <t xml:space="preserve">2023-10-17</t>
  </si>
  <si>
    <t xml:space="preserve">Council Directive (EU) 2023/2226 of 17 October 2023 amending Directive 2011/16/EU on administrative cooperation in the field of taxation</t>
  </si>
  <si>
    <t xml:space="preserve">https://eur-lex.europa.eu/legal-content/EN/TXT/?uri=CELEX:32023L2226</t>
  </si>
  <si>
    <t xml:space="preserve">32025L0872</t>
  </si>
  <si>
    <t xml:space="preserve">Council Directive (EU) 2025/872 of 14 April 2025 amending Directive 2011/16/EU on administrative cooperation in the field of taxation</t>
  </si>
  <si>
    <t xml:space="preserve">https://eur-lex.europa.eu/legal-content/EN/TXT/?uri=CELEX:32025L0872</t>
  </si>
  <si>
    <t xml:space="preserve">32011L0016R(01)</t>
  </si>
  <si>
    <t xml:space="preserve">2012-02-23</t>
  </si>
  <si>
    <t xml:space="preserve">https://eur-lex.europa.eu/legal-content/EN/TXT/?uri=CELEX:32011L0016R(01)</t>
  </si>
  <si>
    <t xml:space="preserve">32011L0016R(02)</t>
  </si>
  <si>
    <t xml:space="preserve">2013-06-14</t>
  </si>
  <si>
    <t xml:space="preserve">https://eur-lex.europa.eu/legal-content/EN/TXT/?uri=CELEX:32011L0016R(02)</t>
  </si>
  <si>
    <t xml:space="preserve">32011L0016R(03)</t>
  </si>
  <si>
    <t xml:space="preserve">https://eur-lex.europa.eu/legal-content/EN/TXT/?uri=CELEX:32011L0016R(03)</t>
  </si>
  <si>
    <t xml:space="preserve">32011L0016R(04)</t>
  </si>
  <si>
    <t xml:space="preserve">2020-08-21</t>
  </si>
  <si>
    <t xml:space="preserve">https://eur-lex.europa.eu/legal-content/EN/TXT/?uri=CELEX:32011L0016R(04)</t>
  </si>
  <si>
    <t xml:space="preserve">32011L0016R(05)</t>
  </si>
  <si>
    <t xml:space="preserve">2020-11-05</t>
  </si>
  <si>
    <t xml:space="preserve">https://eur-lex.europa.eu/legal-content/EN/TXT/?uri=CELEX:32011L0016R(05)</t>
  </si>
  <si>
    <t xml:space="preserve">32016R0679R(01)</t>
  </si>
  <si>
    <t xml:space="preserve">2016-11-22</t>
  </si>
  <si>
    <t xml:space="preserve">https://eur-lex.europa.eu/legal-content/EN/TXT/?uri=CELEX:32016R0679R(01)</t>
  </si>
  <si>
    <t xml:space="preserve">32016R0679R(02)</t>
  </si>
  <si>
    <t xml:space="preserve">Corrigendum to Regulation (EU) 2016/679 of the European Parliament and of the Council of 27 April 2016 on the protection of natural persons with regard to the processing of personal data and on the free movement of such data, and repealing Directive 95/46/EC (General Data Protection Regulation) (OJ L 119, 4.5.2016)</t>
  </si>
  <si>
    <t xml:space="preserve">https://eur-lex.europa.eu/legal-content/EN/TXT/?uri=CELEX:32016R0679R(02)</t>
  </si>
  <si>
    <t xml:space="preserve">32016R0679R(03)</t>
  </si>
  <si>
    <t xml:space="preserve">https://eur-lex.europa.eu/legal-content/EN/TXT/?uri=CELEX:32016R0679R(03)</t>
  </si>
  <si>
    <t xml:space="preserve">32016L0680R(01)</t>
  </si>
  <si>
    <t xml:space="preserve">Corrigendum to Directive (EU) 2016/680 of the European Parliament and of the Council of 27 April 2016 on the protection of natural persons with regard to the processing of personal data by competent authorities for the purposes of the prevention, investigation, detection or prosecution of criminal offences or the execution of criminal penalties, and on the free movement of such data, and repealing Council Framework Decision 2008/977/JHA (OJ L 119, 4.5.2016)</t>
  </si>
  <si>
    <t xml:space="preserve">https://eur-lex.europa.eu/legal-content/EN/TXT/?uri=CELEX:32016L0680R(01)</t>
  </si>
  <si>
    <t xml:space="preserve">32016L0680R(02)</t>
  </si>
  <si>
    <t xml:space="preserve">2019-08-20</t>
  </si>
  <si>
    <t xml:space="preserve">https://eur-lex.europa.eu/legal-content/EN/TXT/?uri=CELEX:32016L0680R(02)</t>
  </si>
  <si>
    <t xml:space="preserve">32016L0680R(03)</t>
  </si>
  <si>
    <t xml:space="preserve">https://eur-lex.europa.eu/legal-content/EN/TXT/?uri=CELEX:32016L0680R(03)</t>
  </si>
  <si>
    <t xml:space="preserve">Directive (EU) 2022/2555 of the European Parliament and of the Council of 14 December 2022 on measures for a high common level of cybersecurity across the Union, amending Regulation (EU) No 910/2014 and Directive (EU) 2018/1972, and repealing Directive (EU) 2016/1148 (NIS 2 Directive) (Text with EEA relevance)</t>
  </si>
  <si>
    <t xml:space="preserve">32024R1183</t>
  </si>
  <si>
    <t xml:space="preserve">Regulation (EU) 2024/1183 of the European Parliament and of the Council of 11 April 2024 amending Regulation (EU) No 910/2014 as regards establishing the European Digital Identity Framework</t>
  </si>
  <si>
    <t xml:space="preserve">https://eur-lex.europa.eu/legal-content/EN/TXT/?uri=CELEX:32024R1183</t>
  </si>
  <si>
    <t xml:space="preserve">32014R0910R(01)</t>
  </si>
  <si>
    <t xml:space="preserve">2014-11-12</t>
  </si>
  <si>
    <t xml:space="preserve">https://eur-lex.europa.eu/legal-content/EN/TXT/?uri=CELEX:32014R0910R(01)</t>
  </si>
  <si>
    <t xml:space="preserve">32014R0910R(02)</t>
  </si>
  <si>
    <t xml:space="preserve">2015-01-29</t>
  </si>
  <si>
    <t xml:space="preserve">https://eur-lex.europa.eu/legal-content/EN/TXT/?uri=CELEX:32014R0910R(02)</t>
  </si>
  <si>
    <t xml:space="preserve">32014R0910R(03)</t>
  </si>
  <si>
    <t xml:space="preserve">2015-02-20</t>
  </si>
  <si>
    <t xml:space="preserve">https://eur-lex.europa.eu/legal-content/EN/TXT/?uri=CELEX:32014R0910R(03)</t>
  </si>
  <si>
    <t xml:space="preserve">32014R0910R(04)</t>
  </si>
  <si>
    <t xml:space="preserve">2015-04-28</t>
  </si>
  <si>
    <t xml:space="preserve">https://eur-lex.europa.eu/legal-content/EN/TXT/?uri=CELEX:32014R0910R(04)</t>
  </si>
  <si>
    <t xml:space="preserve">32014R0910R(05)</t>
  </si>
  <si>
    <t xml:space="preserve">2016-06-14</t>
  </si>
  <si>
    <t xml:space="preserve">https://eur-lex.europa.eu/legal-content/EN/TXT/?uri=CELEX:32014R0910R(05)</t>
  </si>
  <si>
    <t xml:space="preserve">32014R0910R(06)</t>
  </si>
  <si>
    <t xml:space="preserve">2016-10-07</t>
  </si>
  <si>
    <t xml:space="preserve">https://eur-lex.europa.eu/legal-content/EN/TXT/?uri=CELEX:32014R0910R(06)</t>
  </si>
  <si>
    <t xml:space="preserve">32014R0910R(07)</t>
  </si>
  <si>
    <t xml:space="preserve">2016-11-01</t>
  </si>
  <si>
    <t xml:space="preserve">https://eur-lex.europa.eu/legal-content/EN/TXT/?uri=CELEX:32014R0910R(07)</t>
  </si>
  <si>
    <t xml:space="preserve">32014R0910R(08)</t>
  </si>
  <si>
    <t xml:space="preserve">2017-04-20</t>
  </si>
  <si>
    <t xml:space="preserve">https://eur-lex.europa.eu/legal-content/EN/TXT/?uri=CELEX:32014R0910R(08)</t>
  </si>
  <si>
    <t xml:space="preserve">32014R0910R(09)</t>
  </si>
  <si>
    <t xml:space="preserve">2018-04-30</t>
  </si>
  <si>
    <t xml:space="preserve">https://eur-lex.europa.eu/legal-content/EN/TXT/?uri=CELEX:32014R0910R(09)</t>
  </si>
  <si>
    <t xml:space="preserve">32014R0910R(10)</t>
  </si>
  <si>
    <t xml:space="preserve">2024-03-14</t>
  </si>
  <si>
    <t xml:space="preserve">https://eur-lex.europa.eu/legal-content/EN/TXT/?uri=CELEX:32014R0910R(10)</t>
  </si>
  <si>
    <t xml:space="preserve">32014R0910R(11)</t>
  </si>
  <si>
    <t xml:space="preserve">2025-08-04</t>
  </si>
  <si>
    <t xml:space="preserve">https://eur-lex.europa.eu/legal-content/EN/TXT/?uri=CELEX:32014R0910R(11)</t>
  </si>
  <si>
    <t xml:space="preserve">32014R0910R(12)</t>
  </si>
  <si>
    <t xml:space="preserve">2026-01-29</t>
  </si>
  <si>
    <t xml:space="preserve">https://eur-lex.europa.eu/legal-content/EN/TXT/?uri=CELEX:32014R0910R(12)</t>
  </si>
  <si>
    <t xml:space="preserve">32022L2556</t>
  </si>
  <si>
    <t xml:space="preserve">Directive (EU) 2022/2556 of the European Parliament and of the Council of 14 December 2022 amending Directives 2009/65/EC, 2009/138/EC, 2011/61/EU, 2013/36/EU, 2014/59/EU, 2014/65/EU, (EU) 2015/2366 and (EU) 2016/2341 as regards digital operational resilience for the financial sector (Text with EEA relevance)</t>
  </si>
  <si>
    <t xml:space="preserve">https://eur-lex.europa.eu/legal-content/EN/TXT/?uri=CELEX:32022L2556</t>
  </si>
  <si>
    <t xml:space="preserve">32024R0886</t>
  </si>
  <si>
    <t xml:space="preserve">Regulation (EU) 2024/886 of the European Parliament and of the Council of 13 March 2024 amending Regulations (EU) No 260/2012 and (EU) 2021/1230 and Directives 98/26/EC and (EU) 2015/2366 as regards instant credit transfers in euro (Text with EEA relevance)</t>
  </si>
  <si>
    <t xml:space="preserve">https://eur-lex.europa.eu/legal-content/EN/TXT/?uri=CELEX:32024R0886</t>
  </si>
  <si>
    <t xml:space="preserve">32015L2366R(01)</t>
  </si>
  <si>
    <t xml:space="preserve">2016-06-10</t>
  </si>
  <si>
    <t xml:space="preserve">https://eur-lex.europa.eu/legal-content/EN/TXT/?uri=CELEX:32015L2366R(01)</t>
  </si>
  <si>
    <t xml:space="preserve">32015L2366R(02)</t>
  </si>
  <si>
    <t xml:space="preserve">2016-06-28</t>
  </si>
  <si>
    <t xml:space="preserve">https://eur-lex.europa.eu/legal-content/EN/TXT/?uri=CELEX:32015L2366R(02)</t>
  </si>
  <si>
    <t xml:space="preserve">32015L2366R(03)</t>
  </si>
  <si>
    <t xml:space="preserve">2017-01-25</t>
  </si>
  <si>
    <t xml:space="preserve">https://eur-lex.europa.eu/legal-content/EN/TXT/?uri=CELEX:32015L2366R(03)</t>
  </si>
  <si>
    <t xml:space="preserve">32015L2366R(04)</t>
  </si>
  <si>
    <t xml:space="preserve">2018-01-10</t>
  </si>
  <si>
    <t xml:space="preserve">https://eur-lex.europa.eu/legal-content/EN/TXT/?uri=CELEX:32015L2366R(04)</t>
  </si>
  <si>
    <t xml:space="preserve">32015L2366R(05)</t>
  </si>
  <si>
    <t xml:space="preserve">2018-04-23</t>
  </si>
  <si>
    <t xml:space="preserve">Corrigendum to Directive (EU) 2015/2366 of the European Parliament and of the Council of 25 November 2015 on payment services in the internal market, amending Directives 2002/65/EC, 2009/110/EC and 2013/36/EU and Regulation (EU) No 1093/2010 and repealing Directive 2007/64/EC (OJ L 337, 23.12.2015)</t>
  </si>
  <si>
    <t xml:space="preserve">https://eur-lex.europa.eu/legal-content/EN/TXT/?uri=CELEX:32015L2366R(05)</t>
  </si>
  <si>
    <t xml:space="preserve">32015L2366R(06)</t>
  </si>
  <si>
    <t xml:space="preserve">https://eur-lex.europa.eu/legal-content/EN/TXT/?uri=CELEX:32015L2366R(06)</t>
  </si>
  <si>
    <t xml:space="preserve">32015L2366R(07)</t>
  </si>
  <si>
    <t xml:space="preserve">2020-06-16</t>
  </si>
  <si>
    <t xml:space="preserve">https://eur-lex.europa.eu/legal-content/EN/TXT/?uri=CELEX:32015L2366R(07)</t>
  </si>
  <si>
    <t xml:space="preserve">32015L2366R(08)</t>
  </si>
  <si>
    <t xml:space="preserve">2026-06-18</t>
  </si>
  <si>
    <t xml:space="preserve">https://eur-lex.europa.eu/legal-content/EN/TXT/?uri=CELEX:32015L2366R(08)</t>
  </si>
  <si>
    <t xml:space="preserve">32018R1971</t>
  </si>
  <si>
    <t xml:space="preserve">Regulation (EU) 2018/1971 of the European Parliament and of the Council of 11 December 2018 establishing the Body of European Regulators for Electronic Communications (BEREC) and the Agency for Support for BEREC (BEREC Office), amending Regulation (EU) 2015/2120 and repealing Regulation (EC) No 1211/2009 (Text with EEA relevance)</t>
  </si>
  <si>
    <t xml:space="preserve">https://eur-lex.europa.eu/legal-content/EN/TXT/?uri=CELEX:32018R1971</t>
  </si>
  <si>
    <t xml:space="preserve">Regulation (EU) 2024/1309 of the European Parliament and of the Council of 29 April 2024 on measures to reduce the cost of deploying gigabit electronic communications networks, amending Regulation (EU) 2015/2120 and repealing Directive 2014/61/EU (Gigabit Infrastructure Act) (Text with EEA relevance)</t>
  </si>
  <si>
    <t xml:space="preserve">32015R2120R(01)</t>
  </si>
  <si>
    <t xml:space="preserve">2016-02-03</t>
  </si>
  <si>
    <t xml:space="preserve">https://eur-lex.europa.eu/legal-content/EN/TXT/?uri=CELEX:32015R2120R(01)</t>
  </si>
  <si>
    <t xml:space="preserve">32015R2120R(02)</t>
  </si>
  <si>
    <t xml:space="preserve">https://eur-lex.europa.eu/legal-content/EN/TXT/?uri=CELEX:32015R2120R(02)</t>
  </si>
  <si>
    <t xml:space="preserve">32015R2120R(03)</t>
  </si>
  <si>
    <t xml:space="preserve">https://eur-lex.europa.eu/legal-content/EN/TXT/?uri=CELEX:32015R2120R(03)</t>
  </si>
  <si>
    <t xml:space="preserve">32014R0316R(01)</t>
  </si>
  <si>
    <t xml:space="preserve">2014-11-14</t>
  </si>
  <si>
    <t xml:space="preserve">https://eur-lex.europa.eu/legal-content/EN/TXT/?uri=CELEX:32014R0316R(01)</t>
  </si>
  <si>
    <t xml:space="preserve">32014R0316R(02)</t>
  </si>
  <si>
    <t xml:space="preserve">2015-08-21</t>
  </si>
  <si>
    <t xml:space="preserve">https://eur-lex.europa.eu/legal-content/EN/TXT/?uri=CELEX:32014R0316R(02)</t>
  </si>
  <si>
    <t xml:space="preserve">32016L0943R(01)</t>
  </si>
  <si>
    <t xml:space="preserve">https://eur-lex.europa.eu/legal-content/EN/TXT/?uri=CELEX:32016L0943R(01)</t>
  </si>
  <si>
    <t xml:space="preserve">32019L0770R(01)</t>
  </si>
  <si>
    <t xml:space="preserve">https://eur-lex.europa.eu/legal-content/EN/TXT/?uri=CELEX:32019L0770R(01)</t>
  </si>
  <si>
    <t xml:space="preserve">32019L0770R(02)</t>
  </si>
  <si>
    <t xml:space="preserve">2020-03-16</t>
  </si>
  <si>
    <t xml:space="preserve">https://eur-lex.europa.eu/legal-content/EN/TXT/?uri=CELEX:32019L0770R(02)</t>
  </si>
  <si>
    <t xml:space="preserve">32019L0770R(03)</t>
  </si>
  <si>
    <t xml:space="preserve">2022-05-05</t>
  </si>
  <si>
    <t xml:space="preserve">https://eur-lex.europa.eu/legal-content/EN/TXT/?uri=CELEX:32019L0770R(03)</t>
  </si>
  <si>
    <t xml:space="preserve">32019L0770R(04)</t>
  </si>
  <si>
    <t xml:space="preserve">2026-05-27</t>
  </si>
  <si>
    <t xml:space="preserve">https://eur-lex.europa.eu/legal-content/EN/TXT/?uri=CELEX:32019L0770R(04)</t>
  </si>
  <si>
    <t xml:space="preserve">Directive (EU) 2024/1799 of the European Parliament and of the Council of 13 June 2024 on common rules promoting the repair of goods and amending Regulation (EU) 2017/2394 and Directives (EU) 2019/771 and (EU) 2020/1828 (Text with EEA relevance)</t>
  </si>
  <si>
    <t xml:space="preserve">32019L0771R(01)</t>
  </si>
  <si>
    <t xml:space="preserve">https://eur-lex.europa.eu/legal-content/EN/TXT/?uri=CELEX:32019L0771R(01)</t>
  </si>
  <si>
    <t xml:space="preserve">32019L0771R(02)</t>
  </si>
  <si>
    <t xml:space="preserve">2020-03-20</t>
  </si>
  <si>
    <t xml:space="preserve">https://eur-lex.europa.eu/legal-content/EN/TXT/?uri=CELEX:32019L0771R(02)</t>
  </si>
  <si>
    <t xml:space="preserve">32019L0771R(03)</t>
  </si>
  <si>
    <t xml:space="preserve">https://eur-lex.europa.eu/legal-content/EN/TXT/?uri=CELEX:32019L0771R(03)</t>
  </si>
  <si>
    <t xml:space="preserve">32019L1023</t>
  </si>
  <si>
    <t xml:space="preserve">Directive (EU) 2019/1023 of the European Parliament and of the Council of 20 June 2019 on preventive restructuring frameworks, on discharge of debt and disqualifications, and on measures to increase the efficiency of procedures concerning restructuring, insolvency and discharge of debt, and amending Directive (EU) 2017/1132 (Directive on restructuring and insolvency) (Text with EEA relevance.)</t>
  </si>
  <si>
    <t xml:space="preserve">https://eur-lex.europa.eu/legal-content/EN/TXT/?uri=CELEX:32019L1023</t>
  </si>
  <si>
    <t xml:space="preserve">32019L1151</t>
  </si>
  <si>
    <t xml:space="preserve">Directive (EU) 2019/1151 of the European Parliament and of the Council of 20 June 2019 amending Directive (EU) 2017/1132 as regards the use of digital tools and processes in company law (Text with EEA relevance)</t>
  </si>
  <si>
    <t xml:space="preserve">https://eur-lex.europa.eu/legal-content/EN/TXT/?uri=CELEX:32019L1151</t>
  </si>
  <si>
    <t xml:space="preserve">32019L2121</t>
  </si>
  <si>
    <t xml:space="preserve">Directive (EU) 2019/2121 of the European Parliament and of the Council of 27 November 2019 amending Directive (EU) 2017/1132 as regards cross-border conversions, mergers and divisions (Text with EEA relevance)</t>
  </si>
  <si>
    <t xml:space="preserve">https://eur-lex.europa.eu/legal-content/EN/TXT/?uri=CELEX:32019L2121</t>
  </si>
  <si>
    <t xml:space="preserve">32021R0023</t>
  </si>
  <si>
    <t xml:space="preserve">Regulation (EU) 2021/23 of the European Parliament and of the Council of 16 December 2020 on a framework for the recovery and resolution of central counterparties and amending Regulations (EU) No 1095/2010, (EU) No 648/2012, (EU) No 600/2014, (EU) No 806/2014 and (EU) 2015/2365 and Directives 2002/47/EC, 2004/25/EC, 2007/36/EC, 2014/59/EU and (EU) 2017/1132 (Text with EEA relevance)</t>
  </si>
  <si>
    <t xml:space="preserve">https://eur-lex.europa.eu/legal-content/EN/TXT/?uri=CELEX:32021R0023</t>
  </si>
  <si>
    <t xml:space="preserve">32025L0001</t>
  </si>
  <si>
    <t xml:space="preserve">Directive (EU) 2025/1 of the European Parliament and of the Council of 27 November 2024 establishing a framework for the recovery and resolution of insurance and reinsurance undertakings and amending Directives 2002/47/EC, 2004/25/EC, 2007/36/EC, 2014/59/EU and (EU) 2017/1132 and Regulations (EU) No 1094/2010, (EU) No 648/2012, (EU) No 806/2014 and (EU) 2017/1129 (Text with EEA relevance)</t>
  </si>
  <si>
    <t xml:space="preserve">https://eur-lex.europa.eu/legal-content/EN/TXT/?uri=CELEX:32025L0001</t>
  </si>
  <si>
    <t xml:space="preserve">32025L0025</t>
  </si>
  <si>
    <t xml:space="preserve">Directive (EU) 2025/25 of the European Parliament and of the Council of 19 December 2024 amending Directives 2009/102/EC and (EU) 2017/1132 as regards further expanding and upgrading the use of digital tools and processes in company law (Text with EEA relevance)</t>
  </si>
  <si>
    <t xml:space="preserve">https://eur-lex.europa.eu/legal-content/EN/TXT/?uri=CELEX:32025L0025</t>
  </si>
  <si>
    <t xml:space="preserve">32017L1132R(01)</t>
  </si>
  <si>
    <t xml:space="preserve">2018-06-18</t>
  </si>
  <si>
    <t xml:space="preserve">https://eur-lex.europa.eu/legal-content/EN/TXT/?uri=CELEX:32017L1132R(01)</t>
  </si>
  <si>
    <t xml:space="preserve">32017L1132R(02)</t>
  </si>
  <si>
    <t xml:space="preserve">https://eur-lex.europa.eu/legal-content/EN/TXT/?uri=CELEX:32017L1132R(02)</t>
  </si>
  <si>
    <t xml:space="preserve">32017L1132R(03)</t>
  </si>
  <si>
    <t xml:space="preserve">2020-01-09</t>
  </si>
  <si>
    <t xml:space="preserve">https://eur-lex.europa.eu/legal-content/EN/TXT/?uri=CELEX:32017L1132R(03)</t>
  </si>
  <si>
    <t xml:space="preserve">32018R0302R(01)</t>
  </si>
  <si>
    <t xml:space="preserve">2018-03-08</t>
  </si>
  <si>
    <t xml:space="preserve">Corrigendum to Regulation (EU) 2018/302 of the European Parliament and of the Council of 28 February 2018 on addressing unjustified geo-blocking and other forms of discrimination based on customers' nationality, place of residence or place of establishment within the internal market and amending Regulations (EC) No 2006/2004 and (EU) 2017/2394 and Directive 2009/22/EC (OJ L 60 I, 2.3.2018)</t>
  </si>
  <si>
    <t xml:space="preserve">https://eur-lex.europa.eu/legal-content/EN/TXT/?uri=CELEX:32018R0302R(01)</t>
  </si>
  <si>
    <t xml:space="preserve">32018R0302R(02)</t>
  </si>
  <si>
    <t xml:space="preserve">2018-03-27</t>
  </si>
  <si>
    <t xml:space="preserve">https://eur-lex.europa.eu/legal-content/EN/TXT/?uri=CELEX:32018R0302R(02)</t>
  </si>
  <si>
    <t xml:space="preserve">32018R0302R(03)</t>
  </si>
  <si>
    <t xml:space="preserve">2019-01-07</t>
  </si>
  <si>
    <t xml:space="preserve">https://eur-lex.europa.eu/legal-content/EN/TXT/?uri=CELEX:32018R0302R(03)</t>
  </si>
  <si>
    <t xml:space="preserve">Regulation (EU) 2018/302 of the European Parliament and of the Council of 28 February 2018 on addressing unjustified geo-blocking and other forms of discrimination based on customers' nationality, place of residence or place of establishment within the internal market and amending Regulations (EC) No 2006/2004 and (EU) 2017/2394 and Directive 2009/22/EC (Text with EEA relevance. )</t>
  </si>
  <si>
    <t xml:space="preserve">Directive (EU) 2019/771 of the European Parliament and of the Council of 20 May 2019 on certain aspects concerning contracts for the sale of goods, amending Regulation (EU) 2017/2394 and Directive 2009/22/EC, and repealing Directive 1999/44/EC (Text with EEA relevance.)</t>
  </si>
  <si>
    <t xml:space="preserve">Directive (EU) 2019/770 of the European Parliament and of the Council of 20 May 2019 on certain aspects concerning contracts for the supply of digital content and digital services (Text with EEA relevance.)</t>
  </si>
  <si>
    <t xml:space="preserve">Regulation (EU) 2023/2854 of the European Parliament and of the Council of 13 December 2023 on harmonised rules on fair access to and use of data and amending Regulation (EU) 2017/2394 and Directive (EU) 2020/1828 (Data Act) (Text with EEA relevance)</t>
  </si>
  <si>
    <t xml:space="preserve">32024R3228</t>
  </si>
  <si>
    <t xml:space="preserve">Regulation (EU) 2024/3228 of the European Parliament and of the Council of 19 December 2024 repealing Regulation (EU) No 524/2013, and amending Regulations (EU) 2017/2394 and (EU) 2018/1724 with regard to the discontinuation of the European Online Dispute Resolution Platform (Text with EEA relevance)</t>
  </si>
  <si>
    <t xml:space="preserve">https://eur-lex.europa.eu/legal-content/EN/TXT/?uri=CELEX:32024R3228</t>
  </si>
  <si>
    <t xml:space="preserve">32018L1972R(01)</t>
  </si>
  <si>
    <t xml:space="preserve">2019-12-27</t>
  </si>
  <si>
    <t xml:space="preserve">Corrigendum to Directive (EU) 2018/1972 of the European Parliament and of the Council of 11 December 2018 establishing the European Electronic Communications Code (OJ L 321, 17.12.2018)</t>
  </si>
  <si>
    <t xml:space="preserve">https://eur-lex.europa.eu/legal-content/EN/TXT/?uri=CELEX:32018L1972R(01)</t>
  </si>
  <si>
    <t xml:space="preserve">32018L1972R(02)</t>
  </si>
  <si>
    <t xml:space="preserve">https://eur-lex.europa.eu/legal-content/EN/TXT/?uri=CELEX:32018L1972R(02)</t>
  </si>
  <si>
    <t xml:space="preserve">32018L1972R(03)</t>
  </si>
  <si>
    <t xml:space="preserve">2020-06-19</t>
  </si>
  <si>
    <t xml:space="preserve">https://eur-lex.europa.eu/legal-content/EN/TXT/?uri=CELEX:32018L1972R(03)</t>
  </si>
  <si>
    <t xml:space="preserve">32018L1972R(04)</t>
  </si>
  <si>
    <t xml:space="preserve">2020-08-14</t>
  </si>
  <si>
    <t xml:space="preserve">https://eur-lex.europa.eu/legal-content/EN/TXT/?uri=CELEX:32018L1972R(04)</t>
  </si>
  <si>
    <t xml:space="preserve">32018L1972R(05)</t>
  </si>
  <si>
    <t xml:space="preserve">Corrigendum to Directive (EU) 2018/1972 of the European Parliament and of the Council of 11 December 2018 establishing the European Electronic Communications Code (Official Journal of the European Union L 321 of 17 December 2018)</t>
  </si>
  <si>
    <t xml:space="preserve">https://eur-lex.europa.eu/legal-content/EN/TXT/?uri=CELEX:32018L1972R(05)</t>
  </si>
  <si>
    <t xml:space="preserve">32018L1972R(06)</t>
  </si>
  <si>
    <t xml:space="preserve">2025-03-17</t>
  </si>
  <si>
    <t xml:space="preserve">https://eur-lex.europa.eu/legal-content/EN/TXT/?uri=CELEX:32018L1972R(06)</t>
  </si>
  <si>
    <t xml:space="preserve">32018L1972R(07)</t>
  </si>
  <si>
    <t xml:space="preserve">2026-03-02</t>
  </si>
  <si>
    <t xml:space="preserve">https://eur-lex.europa.eu/legal-content/EN/TXT/?uri=CELEX:32018L1972R(07)</t>
  </si>
  <si>
    <t xml:space="preserve">32019L0790R(01)</t>
  </si>
  <si>
    <t xml:space="preserve">https://eur-lex.europa.eu/legal-content/EN/TXT/?uri=CELEX:32019L0790R(01)</t>
  </si>
  <si>
    <t xml:space="preserve">32019L0790R(02)</t>
  </si>
  <si>
    <t xml:space="preserve">2019-10-10</t>
  </si>
  <si>
    <t xml:space="preserve">https://eur-lex.europa.eu/legal-content/EN/TXT/?uri=CELEX:32019L0790R(02)</t>
  </si>
  <si>
    <t xml:space="preserve">32019L0790R(03)</t>
  </si>
  <si>
    <t xml:space="preserve">https://eur-lex.europa.eu/legal-content/EN/TXT/?uri=CELEX:32019L0790R(03)</t>
  </si>
  <si>
    <t xml:space="preserve">32019L0789R(01)</t>
  </si>
  <si>
    <t xml:space="preserve">2019-11-15</t>
  </si>
  <si>
    <t xml:space="preserve">https://eur-lex.europa.eu/legal-content/EN/TXT/?uri=CELEX:32019L0789R(01)</t>
  </si>
  <si>
    <t xml:space="preserve">32018R1725R(01)</t>
  </si>
  <si>
    <t xml:space="preserve">2019-11-11</t>
  </si>
  <si>
    <t xml:space="preserve">https://eur-lex.europa.eu/legal-content/EN/TXT/?uri=CELEX:32018R1725R(01)</t>
  </si>
  <si>
    <t xml:space="preserve">32018R1725R(02)</t>
  </si>
  <si>
    <t xml:space="preserve">2024-12-09</t>
  </si>
  <si>
    <t xml:space="preserve">https://eur-lex.europa.eu/legal-content/EN/TXT/?uri=CELEX:32018R1725R(02)</t>
  </si>
  <si>
    <t xml:space="preserve">32018R1725R(03)</t>
  </si>
  <si>
    <t xml:space="preserve">2026-04-28</t>
  </si>
  <si>
    <t xml:space="preserve">https://eur-lex.europa.eu/legal-content/EN/TXT/?uri=CELEX:32018R1725R(03)</t>
  </si>
  <si>
    <t xml:space="preserve">Regulation (EU) 2022/868 of the European Parliament and of the Council of 30 May 2022 on European data governance and amending Regulation (EU) 2018/1724 (Data Governance Act) (Text with EEA relevance)</t>
  </si>
  <si>
    <t xml:space="preserve">Regulation (EU) 2024/1252 of the European Parliament and of the Council of 11 April 2024 establishing a framework for ensuring a secure and sustainable supply of critical raw materials and amending Regulations (EU) No 168/2013, (EU) 2018/858, (EU) 2018/1724 and (EU) 2019/1020 (Text with EEA relevance)</t>
  </si>
  <si>
    <t xml:space="preserve">Regulation (EU) 2024/1028 of the European Parliament and of the Council of 11 April 2024 on data collection and sharing relating to short-term accommodation rental services and amending Regulation (EU) 2018/1724 (Text with EEA relevance)</t>
  </si>
  <si>
    <t xml:space="preserve">Regulation (EU) 2024/1735 of the European Parliament and of the Council of 13 June 2024 on establishing a framework of measures for strengthening Europe’s net-zero technology manufacturing ecosystem and amending Regulation (EU) 2018/1724 (Text with EEA relevance)</t>
  </si>
  <si>
    <t xml:space="preserve">32025L2205</t>
  </si>
  <si>
    <t xml:space="preserve">Directive (EU) 2025/2205 of the European Parliament and of the Council of 22 October 2025 on driving licences, amending Regulation (EU) 2018/1724 of the European Parliament and of the Council and Directive (EU) 2022/2561 of the European Parliament and of the Council, and repealing Directive 2006/126/EC of the European Parliament and of the Council and Commission Regulation (EU) No 383/2012 (Text with EEA relevance)</t>
  </si>
  <si>
    <t xml:space="preserve">https://eur-lex.europa.eu/legal-content/EN/TXT/?uri=CELEX:32025L2205</t>
  </si>
  <si>
    <t xml:space="preserve">32018R1724R(01)</t>
  </si>
  <si>
    <t xml:space="preserve">2019-02-22</t>
  </si>
  <si>
    <t xml:space="preserve">https://eur-lex.europa.eu/legal-content/EN/TXT/?uri=CELEX:32018R1724R(01)</t>
  </si>
  <si>
    <t xml:space="preserve">32018R1724R(02)</t>
  </si>
  <si>
    <t xml:space="preserve">https://eur-lex.europa.eu/legal-content/EN/TXT/?uri=CELEX:32018R1724R(02)</t>
  </si>
  <si>
    <t xml:space="preserve">32025R0037</t>
  </si>
  <si>
    <t xml:space="preserve">Regulation (EU) 2025/37 of the European Parliament and of the Council of 19 December 2024 amending Regulation (EU) 2019/881 as regards managed security services (Text with EEA relevance)</t>
  </si>
  <si>
    <t xml:space="preserve">https://eur-lex.europa.eu/legal-content/EN/TXT/?uri=CELEX:32025R0037</t>
  </si>
  <si>
    <t xml:space="preserve">32019R0881R(01)</t>
  </si>
  <si>
    <t xml:space="preserve">2019-07-04</t>
  </si>
  <si>
    <t xml:space="preserve">https://eur-lex.europa.eu/legal-content/EN/TXT/?uri=CELEX:32019R0881R(01)</t>
  </si>
  <si>
    <t xml:space="preserve">32019R0881R(02)</t>
  </si>
  <si>
    <t xml:space="preserve">2021-04-15</t>
  </si>
  <si>
    <t xml:space="preserve">https://eur-lex.europa.eu/legal-content/EN/TXT/?uri=CELEX:32019R0881R(02)</t>
  </si>
  <si>
    <t xml:space="preserve">32019R0881R(03)</t>
  </si>
  <si>
    <t xml:space="preserve">2024-01-12</t>
  </si>
  <si>
    <t xml:space="preserve">https://eur-lex.europa.eu/legal-content/EN/TXT/?uri=CELEX:32019R0881R(03)</t>
  </si>
  <si>
    <t xml:space="preserve">32019R0881R(04)</t>
  </si>
  <si>
    <t xml:space="preserve">https://eur-lex.europa.eu/legal-content/EN/TXT/?uri=CELEX:32019R0881R(04)</t>
  </si>
  <si>
    <t xml:space="preserve">32019R0881R(05)</t>
  </si>
  <si>
    <t xml:space="preserve">2024-12-03</t>
  </si>
  <si>
    <t xml:space="preserve">https://eur-lex.europa.eu/legal-content/EN/TXT/?uri=CELEX:32019R0881R(05)</t>
  </si>
  <si>
    <t xml:space="preserve">32019R0881R(06)</t>
  </si>
  <si>
    <t xml:space="preserve">2024-12-06</t>
  </si>
  <si>
    <t xml:space="preserve">https://eur-lex.europa.eu/legal-content/EN/TXT/?uri=CELEX:32019R0881R(06)</t>
  </si>
  <si>
    <t xml:space="preserve">32019R0881R(07)</t>
  </si>
  <si>
    <t xml:space="preserve">2026-03-11</t>
  </si>
  <si>
    <t xml:space="preserve">https://eur-lex.europa.eu/legal-content/EN/TXT/?uri=CELEX:32019R0881R(07)</t>
  </si>
  <si>
    <t xml:space="preserve">32019R0452R(01)</t>
  </si>
  <si>
    <t xml:space="preserve">https://eur-lex.europa.eu/legal-content/EN/TXT/?uri=CELEX:32019R0452R(01)</t>
  </si>
  <si>
    <t xml:space="preserve">32023R1542</t>
  </si>
  <si>
    <t xml:space="preserve">Regulation (EU) 2023/1542 of the European Parliament and of the Council of 12 July 2023 concerning batteries and waste batteries, amending Directive 2008/98/EC and Regulation (EU) 2019/1020 and repealing Directive 2006/66/EC (Text with EEA relevance)</t>
  </si>
  <si>
    <t xml:space="preserve">https://eur-lex.europa.eu/legal-content/EN/TXT/?uri=CELEX:32023R1542</t>
  </si>
  <si>
    <t xml:space="preserve">Regulation (EU) 2024/2847 of the European Parliament and of the Council of 23 October 2024 on horizontal cybersecurity requirements for products with digital elements and amending Regulations (EU) No 168/2013 and (EU) 2019/1020 and Directive (EU) 2020/1828 (Cyber Resilience Act) (Text with EEA relevance)</t>
  </si>
  <si>
    <t xml:space="preserve">32025R0014</t>
  </si>
  <si>
    <t xml:space="preserve">Regulation (EU) 2025/14 of the European Parliament and of the Council of 19 December 2024 on the approval and market surveillance of non-road mobile machinery circulating on public roads and amending Regulation (EU) 2019/1020 (Text with EEA relevance)</t>
  </si>
  <si>
    <t xml:space="preserve">https://eur-lex.europa.eu/legal-content/EN/TXT/?uri=CELEX:32025R0014</t>
  </si>
  <si>
    <t xml:space="preserve">32025R0040</t>
  </si>
  <si>
    <t xml:space="preserve">Regulation (EU) 2025/40 of the European Parliament and of the Council of 19 December 2024 on packaging and packaging waste, amending Regulation (EU) 2019/1020 and Directive (EU) 2019/904, and repealing Directive 94/62/EC (Text with EEA relevance)</t>
  </si>
  <si>
    <t xml:space="preserve">https://eur-lex.europa.eu/legal-content/EN/TXT/?uri=CELEX:32025R0040</t>
  </si>
  <si>
    <t xml:space="preserve">32026R1738</t>
  </si>
  <si>
    <t xml:space="preserve">Regulation (EU) 2026/1738 of the European Parliament and of the Council of 8 July 2026 on circularity requirements for vehicle design and on management of end-of-life vehicles, amending Regulations (EU) No 168/2013, (EU) 2018/858, (EU) 2019/1020 and (EU) 2023/1542 and repealing Directives 2000/53/EC and 2005/64/EC (Text with EEA relevance)</t>
  </si>
  <si>
    <t xml:space="preserve">https://eur-lex.europa.eu/legal-content/EN/TXT/?uri=CELEX:32026R1738</t>
  </si>
  <si>
    <t xml:space="preserve">32019R1020R(01)</t>
  </si>
  <si>
    <t xml:space="preserve">2020-02-10</t>
  </si>
  <si>
    <t xml:space="preserve">https://eur-lex.europa.eu/legal-content/EN/TXT/?uri=CELEX:32019R1020R(01)</t>
  </si>
  <si>
    <t xml:space="preserve">32019R1020R(02)</t>
  </si>
  <si>
    <t xml:space="preserve">2020-03-05</t>
  </si>
  <si>
    <t xml:space="preserve">https://eur-lex.europa.eu/legal-content/EN/TXT/?uri=CELEX:32019R1020R(02)</t>
  </si>
  <si>
    <t xml:space="preserve">32019R1020R(03)</t>
  </si>
  <si>
    <t xml:space="preserve">2020-07-10</t>
  </si>
  <si>
    <t xml:space="preserve">https://eur-lex.europa.eu/legal-content/EN/TXT/?uri=CELEX:32019R1020R(03)</t>
  </si>
  <si>
    <t xml:space="preserve">32019R1020R(04)</t>
  </si>
  <si>
    <t xml:space="preserve">2020-10-08</t>
  </si>
  <si>
    <t xml:space="preserve">https://eur-lex.europa.eu/legal-content/EN/TXT/?uri=CELEX:32019R1020R(04)</t>
  </si>
  <si>
    <t xml:space="preserve">32019R1020R(05)</t>
  </si>
  <si>
    <t xml:space="preserve">https://eur-lex.europa.eu/legal-content/EN/TXT/?uri=CELEX:32019R1020R(05)</t>
  </si>
  <si>
    <t xml:space="preserve">32019R1020R(06)</t>
  </si>
  <si>
    <t xml:space="preserve">https://eur-lex.europa.eu/legal-content/EN/TXT/?uri=CELEX:32019R1020R(06)</t>
  </si>
  <si>
    <t xml:space="preserve">32019R1020R(07)</t>
  </si>
  <si>
    <t xml:space="preserve">https://eur-lex.europa.eu/legal-content/EN/TXT/?uri=CELEX:32019R1020R(07)</t>
  </si>
  <si>
    <t xml:space="preserve">32019R1020R(08)</t>
  </si>
  <si>
    <t xml:space="preserve">https://eur-lex.europa.eu/legal-content/EN/TXT/?uri=CELEX:32019R1020R(08)</t>
  </si>
  <si>
    <t xml:space="preserve">32019R1020R(09)</t>
  </si>
  <si>
    <t xml:space="preserve">2022-11-17</t>
  </si>
  <si>
    <t xml:space="preserve">https://eur-lex.europa.eu/legal-content/EN/TXT/?uri=CELEX:32019R1020R(09)</t>
  </si>
  <si>
    <t xml:space="preserve">32019R1020R(10)</t>
  </si>
  <si>
    <t xml:space="preserve">https://eur-lex.europa.eu/legal-content/EN/TXT/?uri=CELEX:32019R1020R(10)</t>
  </si>
  <si>
    <t xml:space="preserve">32019R1020R(11)</t>
  </si>
  <si>
    <t xml:space="preserve">2025-01-27</t>
  </si>
  <si>
    <t xml:space="preserve">https://eur-lex.europa.eu/legal-content/EN/TXT/?uri=CELEX:32019R1020R(11)</t>
  </si>
  <si>
    <t xml:space="preserve">32019R1020R(12)</t>
  </si>
  <si>
    <t xml:space="preserve">https://eur-lex.europa.eu/legal-content/EN/TXT/?uri=CELEX:32019R1020R(12)</t>
  </si>
  <si>
    <t xml:space="preserve">32023R1543R(01)</t>
  </si>
  <si>
    <t xml:space="preserve">2025-02-06</t>
  </si>
  <si>
    <t xml:space="preserve">https://eur-lex.europa.eu/legal-content/EN/TXT/?uri=CELEX:32023R1543R(01)</t>
  </si>
  <si>
    <t xml:space="preserve">32023R1543R(02)</t>
  </si>
  <si>
    <t xml:space="preserve">2026-07-13</t>
  </si>
  <si>
    <t xml:space="preserve">Corrigendum to Regulation (EU) 2023/1543 of the European Parliament and of the Council of 12 July 2023 on European Production Orders and European Preservation Orders for electronic evidence in criminal proceedings and for the execution of custodial sentences following criminal proceedings (OJ L 191, 28.7.2023)</t>
  </si>
  <si>
    <t xml:space="preserve">https://eur-lex.europa.eu/legal-content/EN/TXT/?uri=CELEX:32023R1543R(02)</t>
  </si>
  <si>
    <t xml:space="preserve">32019R1150R(01)</t>
  </si>
  <si>
    <t xml:space="preserve">2020-06-26</t>
  </si>
  <si>
    <t xml:space="preserve">https://eur-lex.europa.eu/legal-content/EN/TXT/?uri=CELEX:32019R1150R(01)</t>
  </si>
  <si>
    <t xml:space="preserve">32019R1150R(02)</t>
  </si>
  <si>
    <t xml:space="preserve">https://eur-lex.europa.eu/legal-content/EN/TXT/?uri=CELEX:32019R1150R(02)</t>
  </si>
  <si>
    <t xml:space="preserve">Regulation (EU) 2023/1781 of the European Parliament and of the Council of 13 September 2023 establishing a framework of measures for strengthening Europe’s semiconductor ecosystem and amending Regulation (EU) 2021/694 (Chips Act) (Text with EEA relevance)</t>
  </si>
  <si>
    <t xml:space="preserve">Regulation (EU) 2025/38 of the European Parliament and of the Council of 19 December 2024 laying down measures to strengthen solidarity and capacities in the Union to detect, prepare for and respond to cyber threats and incidents and amending Regulation (EU) 2021/694 (Cyber Solidarity Act)</t>
  </si>
  <si>
    <t xml:space="preserve">32025R2653</t>
  </si>
  <si>
    <t xml:space="preserve">Regulation (EU) 2025/2653 of the European Parliament and of the Council of 19 December 2025 amending Regulations (EU) 2021/694, (EU) 2021/695, (EU) 2021/697, (EU) 2021/1153 and (EU) 2024/795, as regards incentivising defence-related investment in the EU budget to implement the ReArm Europe Plan (Text with EEA relevance)</t>
  </si>
  <si>
    <t xml:space="preserve">https://eur-lex.europa.eu/legal-content/EN/TXT/?uri=CELEX:32025R2653</t>
  </si>
  <si>
    <t xml:space="preserve">32021R0694R(01)</t>
  </si>
  <si>
    <t xml:space="preserve">2022-06-16</t>
  </si>
  <si>
    <t xml:space="preserve">https://eur-lex.europa.eu/legal-content/EN/TXT/?uri=CELEX:32021R0694R(01)</t>
  </si>
  <si>
    <t xml:space="preserve">Regulation (EU) 2024/795 of the European Parliament and of the Council of 29 February 2024 establishing the Strategic Technologies for Europe Platform (STEP), and amending Directive 2003/87/EC and Regulations (EU) 2021/1058, (EU) 2021/1056, (EU) 2021/1057, (EU) No 1303/2013, (EU) No 223/2014, (EU) 2021/1060, (EU) 2021/523, (EU) 2021/695, (EU) 2021/697 and (EU) 2021/241</t>
  </si>
  <si>
    <t xml:space="preserve">32025R2088</t>
  </si>
  <si>
    <t xml:space="preserve">2025-10-08</t>
  </si>
  <si>
    <t xml:space="preserve">Regulation (EU) 2025/2088 of the European Parliament and of the Council of 8 October 2025 amending Regulations (EU) No 1092/2010, (EU) No 1093/2010, (EU) No 1094/2010, (EU) No 1095/2010, (EU) No 806/2014, (EU) 2021/523 and (EU) 2024/1620 as regards certain reporting requirements in the fields of financial services and investment support (Text with EEA relevance)</t>
  </si>
  <si>
    <t xml:space="preserve">https://eur-lex.europa.eu/legal-content/EN/TXT/?uri=CELEX:32025R2088</t>
  </si>
  <si>
    <t xml:space="preserve">32025R2005</t>
  </si>
  <si>
    <t xml:space="preserve">Regulation (EU) 2025/2005 of the European Parliament and of the Council of 16 December 2025 amending Regulations (EU) 2015/1017, (EU) 2021/523, (EU) 2021/695 and (EU) 2021/1153 as regards increasing the efficiency of the EU guarantee under Regulation (EU) 2021/523 and simplifying reporting requirements</t>
  </si>
  <si>
    <t xml:space="preserve">https://eur-lex.europa.eu/legal-content/EN/TXT/?uri=CELEX:32025R2005</t>
  </si>
  <si>
    <t xml:space="preserve">32021R0523R(01)</t>
  </si>
  <si>
    <t xml:space="preserve">2021-11-04</t>
  </si>
  <si>
    <t xml:space="preserve">https://eur-lex.europa.eu/legal-content/EN/TXT/?uri=CELEX:32021R0523R(01)</t>
  </si>
  <si>
    <t xml:space="preserve">32021R0523R(02)</t>
  </si>
  <si>
    <t xml:space="preserve">2022-09-29</t>
  </si>
  <si>
    <t xml:space="preserve">https://eur-lex.europa.eu/legal-content/EN/TXT/?uri=CELEX:32021R0523R(02)</t>
  </si>
  <si>
    <t xml:space="preserve">32024R1679</t>
  </si>
  <si>
    <t xml:space="preserve">Regulation (EU) 2024/1679 of the European Parliament and of the Council of 13 June 2024 on Union guidelines for the development of the trans-European transport network, amending Regulations (EU) 2021/1153 and (EU) No 913/2010 and repealing Regulation (EU) No 1315/2013 (Text with EEA relevance)</t>
  </si>
  <si>
    <t xml:space="preserve">https://eur-lex.europa.eu/legal-content/EN/TXT/?uri=CELEX:32024R1679</t>
  </si>
  <si>
    <t xml:space="preserve">32021R1153R(01)</t>
  </si>
  <si>
    <t xml:space="preserve">https://eur-lex.europa.eu/legal-content/EN/TXT/?uri=CELEX:32021R1153R(01)</t>
  </si>
  <si>
    <t xml:space="preserve">32021R1153R(02)</t>
  </si>
  <si>
    <t xml:space="preserve">https://eur-lex.europa.eu/legal-content/EN/TXT/?uri=CELEX:32021R1153R(02)</t>
  </si>
  <si>
    <t xml:space="preserve">32021R0695R(01)</t>
  </si>
  <si>
    <t xml:space="preserve">https://eur-lex.europa.eu/legal-content/EN/TXT/?uri=CELEX:32021R0695R(01)</t>
  </si>
  <si>
    <t xml:space="preserve">32021R0695R(02)</t>
  </si>
  <si>
    <t xml:space="preserve">2021-09-23</t>
  </si>
  <si>
    <t xml:space="preserve">https://eur-lex.europa.eu/legal-content/EN/TXT/?uri=CELEX:32021R0695R(02)</t>
  </si>
  <si>
    <t xml:space="preserve">32021R0695R(03)</t>
  </si>
  <si>
    <t xml:space="preserve">2021-11-18</t>
  </si>
  <si>
    <t xml:space="preserve">https://eur-lex.europa.eu/legal-content/EN/TXT/?uri=CELEX:32021R0695R(03)</t>
  </si>
  <si>
    <t xml:space="preserve">32021R0695R(04)</t>
  </si>
  <si>
    <t xml:space="preserve">https://eur-lex.europa.eu/legal-content/EN/TXT/?uri=CELEX:32021R0695R(04)</t>
  </si>
  <si>
    <t xml:space="preserve">32021R0695R(05)</t>
  </si>
  <si>
    <t xml:space="preserve">2022-11-24</t>
  </si>
  <si>
    <t xml:space="preserve">https://eur-lex.europa.eu/legal-content/EN/TXT/?uri=CELEX:32021R0695R(05)</t>
  </si>
  <si>
    <t xml:space="preserve">32021R0690R(01)</t>
  </si>
  <si>
    <t xml:space="preserve">https://eur-lex.europa.eu/legal-content/EN/TXT/?uri=CELEX:32021R0690R(01)</t>
  </si>
  <si>
    <t xml:space="preserve">32021R0690R(02)</t>
  </si>
  <si>
    <t xml:space="preserve">https://eur-lex.europa.eu/legal-content/EN/TXT/?uri=CELEX:32021R0690R(02)</t>
  </si>
  <si>
    <t xml:space="preserve">32021R0690R(03)</t>
  </si>
  <si>
    <t xml:space="preserve">https://eur-lex.europa.eu/legal-content/EN/TXT/?uri=CELEX:32021R0690R(03)</t>
  </si>
  <si>
    <t xml:space="preserve">32021R0784R(01)</t>
  </si>
  <si>
    <t xml:space="preserve">2022-10-13</t>
  </si>
  <si>
    <t xml:space="preserve">https://eur-lex.europa.eu/legal-content/EN/TXT/?uri=CELEX:32021R0784R(01)</t>
  </si>
  <si>
    <t xml:space="preserve">32021R0784R(02)</t>
  </si>
  <si>
    <t xml:space="preserve">2022-12-22</t>
  </si>
  <si>
    <t xml:space="preserve">https://eur-lex.europa.eu/legal-content/EN/TXT/?uri=CELEX:32021R0784R(02)</t>
  </si>
  <si>
    <t xml:space="preserve">32021R0784R(03)</t>
  </si>
  <si>
    <t xml:space="preserve">https://eur-lex.europa.eu/legal-content/EN/TXT/?uri=CELEX:32021R0784R(03)</t>
  </si>
  <si>
    <t xml:space="preserve">32023R0435</t>
  </si>
  <si>
    <t xml:space="preserve">Regulation (EU) 2023/435 of the European Parliament and of the Council of 27 February 2023 amending Regulation (EU) 2021/241 as regards REPowerEU chapters in recovery and resilience plans and amending Regulations (EU) No 1303/2013, (EU) 2021/1060 and (EU) 2021/1755, and Directive 2003/87/EC</t>
  </si>
  <si>
    <t xml:space="preserve">https://eur-lex.europa.eu/legal-content/EN/TXT/?uri=CELEX:32023R0435</t>
  </si>
  <si>
    <t xml:space="preserve">32021R0241R(01)</t>
  </si>
  <si>
    <t xml:space="preserve">https://eur-lex.europa.eu/legal-content/EN/TXT/?uri=CELEX:32021R0241R(01)</t>
  </si>
  <si>
    <t xml:space="preserve">32021R0241R(02)</t>
  </si>
  <si>
    <t xml:space="preserve">https://eur-lex.europa.eu/legal-content/EN/TXT/?uri=CELEX:32021R0241R(02)</t>
  </si>
  <si>
    <t xml:space="preserve">32021R0241R(03)</t>
  </si>
  <si>
    <t xml:space="preserve">https://eur-lex.europa.eu/legal-content/EN/TXT/?uri=CELEX:32021R0241R(03)</t>
  </si>
  <si>
    <t xml:space="preserve">32021R0241R(04)</t>
  </si>
  <si>
    <t xml:space="preserve">Corrigendum to Regulation (EU) 2021/241 of the European Parliament and of the Council of 12 February 2021 establishing the Recovery and Resilience Facility (Official Journal of the European Union L 57 of 18 February 2021)</t>
  </si>
  <si>
    <t xml:space="preserve">https://eur-lex.europa.eu/legal-content/EN/TXT/?uri=CELEX:32021R0241R(04)</t>
  </si>
  <si>
    <t xml:space="preserve">32021R0241R(05)</t>
  </si>
  <si>
    <t xml:space="preserve">2022-02-03</t>
  </si>
  <si>
    <t xml:space="preserve">https://eur-lex.europa.eu/legal-content/EN/TXT/?uri=CELEX:32021R0241R(05)</t>
  </si>
  <si>
    <t xml:space="preserve">32021R0241R(06)</t>
  </si>
  <si>
    <t xml:space="preserve">https://eur-lex.europa.eu/legal-content/EN/TXT/?uri=CELEX:32021R0241R(06)</t>
  </si>
  <si>
    <t xml:space="preserve">32021R0241R(07)</t>
  </si>
  <si>
    <t xml:space="preserve">https://eur-lex.europa.eu/legal-content/EN/TXT/?uri=CELEX:32021R0241R(07)</t>
  </si>
  <si>
    <t xml:space="preserve">32021R0241R(08)</t>
  </si>
  <si>
    <t xml:space="preserve">Corrigendum to Regulation (EU) 2021/241 of the European Parliament and of the Council of 12 February 2021 establishing the Recovery and Resilience Facility (Official Journal of the European Union L 57 of 18 February 2021)</t>
  </si>
  <si>
    <t xml:space="preserve">https://eur-lex.europa.eu/legal-content/EN/TXT/?uri=CELEX:32021R0241R(08)</t>
  </si>
  <si>
    <t xml:space="preserve">32021R0241R(09)</t>
  </si>
  <si>
    <t xml:space="preserve">https://eur-lex.europa.eu/legal-content/EN/TXT/?uri=CELEX:32021R0241R(09)</t>
  </si>
  <si>
    <t xml:space="preserve">32024R1307</t>
  </si>
  <si>
    <t xml:space="preserve">Regulation (EU) 2024/1307 of the European Parliament and of the Council of 29 April 2024 amending Regulation (EU) 2021/1232 on a temporary derogation from certain provisions of Directive 2002/58/EC as regards the use of technologies by providers of number-independent interpersonal communications services for the processing of personal and other data for the purpose of combating online child sexual abuse (Text with EEA relevance)</t>
  </si>
  <si>
    <t xml:space="preserve">https://eur-lex.europa.eu/legal-content/EN/TXT/?uri=CELEX:32024R1307</t>
  </si>
  <si>
    <t xml:space="preserve">32024R1732</t>
  </si>
  <si>
    <t xml:space="preserve">Council Regulation (EU) 2024/1732 of 17 June 2024 amending Regulation (EU) 2021/1173 as regards a EuroHPC initiative for start-ups in order to boost European leadership in trustworthy artificial intelligence</t>
  </si>
  <si>
    <t xml:space="preserve">https://eur-lex.europa.eu/legal-content/EN/TXT/?uri=CELEX:32024R1732</t>
  </si>
  <si>
    <t xml:space="preserve">32026R0150</t>
  </si>
  <si>
    <t xml:space="preserve">Council Regulation (EU) 2026/150 of 16 January 2026 amending Regulation (EU) 2021/1173 on establishing the European High Performance Computing Joint Undertaking</t>
  </si>
  <si>
    <t xml:space="preserve">https://eur-lex.europa.eu/legal-content/EN/TXT/?uri=CELEX:32026R0150</t>
  </si>
  <si>
    <t xml:space="preserve">32021R1173R(01)</t>
  </si>
  <si>
    <t xml:space="preserve">2023-05-04</t>
  </si>
  <si>
    <t xml:space="preserve">Corrigendum to Council Regulation (EU) 2021/1173 of 13 July 2021 on establishing the European High Performance Computing Joint Undertaking and repealing Regulation (EU) 2018/1488 (Official Journal of the European Union L 256 of 19 July 2021)</t>
  </si>
  <si>
    <t xml:space="preserve">https://eur-lex.europa.eu/legal-content/EN/TXT/?uri=CELEX:32021R1173R(01)</t>
  </si>
  <si>
    <t xml:space="preserve">32021R1173R(02)</t>
  </si>
  <si>
    <t xml:space="preserve">https://eur-lex.europa.eu/legal-content/EN/TXT/?uri=CELEX:32021R1173R(02)</t>
  </si>
  <si>
    <t xml:space="preserve">32022R0858R(01)</t>
  </si>
  <si>
    <t xml:space="preserve">2022-09-08</t>
  </si>
  <si>
    <t xml:space="preserve">https://eur-lex.europa.eu/legal-content/EN/TXT/?uri=CELEX:32022R0858R(01)</t>
  </si>
  <si>
    <t xml:space="preserve">32023R2869</t>
  </si>
  <si>
    <t xml:space="preserve">Regulation (EU) 2023/2869 of the European Parliament and of the Council of 13 December 2023 amending certain Regulations as regards the establishment and functioning of the European single access point (Text with EEA relevance)</t>
  </si>
  <si>
    <t xml:space="preserve">https://eur-lex.europa.eu/legal-content/EN/TXT/?uri=CELEX:32023R2869</t>
  </si>
  <si>
    <t xml:space="preserve">32023R1114R(01)</t>
  </si>
  <si>
    <t xml:space="preserve">2023-06-15</t>
  </si>
  <si>
    <t xml:space="preserve">https://eur-lex.europa.eu/legal-content/EN/TXT/?uri=CELEX:32023R1114R(01)</t>
  </si>
  <si>
    <t xml:space="preserve">32023R1114R(02)</t>
  </si>
  <si>
    <t xml:space="preserve">https://eur-lex.europa.eu/legal-content/EN/TXT/?uri=CELEX:32023R1114R(02)</t>
  </si>
  <si>
    <t xml:space="preserve">32023R1114R(03)</t>
  </si>
  <si>
    <t xml:space="preserve">2024-05-02</t>
  </si>
  <si>
    <t xml:space="preserve">Corrigendum to Regulation (EU) 2023/1114 of the European Parliament and of the Council of 31 May 2023 on markets in crypto-assets, and amending Regulations (EU) No 1093/2010 and (EU) No 1095/2010 and Directives 2013/36/EU and (EU) 2019/1937 (OJ L 150, 9.6.2023)</t>
  </si>
  <si>
    <t xml:space="preserve">https://eur-lex.europa.eu/legal-content/EN/TXT/?uri=CELEX:32023R1114R(03)</t>
  </si>
  <si>
    <t xml:space="preserve">32023R1114R(04)</t>
  </si>
  <si>
    <t xml:space="preserve">https://eur-lex.europa.eu/legal-content/EN/TXT/?uri=CELEX:32023R1114R(04)</t>
  </si>
  <si>
    <t xml:space="preserve">32023R1114R(05)</t>
  </si>
  <si>
    <t xml:space="preserve">https://eur-lex.europa.eu/legal-content/EN/TXT/?uri=CELEX:32023R1114R(05)</t>
  </si>
  <si>
    <t xml:space="preserve">32023R1114R(06)</t>
  </si>
  <si>
    <t xml:space="preserve">https://eur-lex.europa.eu/legal-content/EN/TXT/?uri=CELEX:32023R1114R(06)</t>
  </si>
  <si>
    <t xml:space="preserve">32022R2554R(01)</t>
  </si>
  <si>
    <t xml:space="preserve">https://eur-lex.europa.eu/legal-content/EN/TXT/?uri=CELEX:32022R2554R(01)</t>
  </si>
  <si>
    <t xml:space="preserve">32022R2554R(02)</t>
  </si>
  <si>
    <t xml:space="preserve">https://eur-lex.europa.eu/legal-content/EN/TXT/?uri=CELEX:32022R2554R(02)</t>
  </si>
  <si>
    <t xml:space="preserve">32022R2554R(03)</t>
  </si>
  <si>
    <t xml:space="preserve">2024-03-12</t>
  </si>
  <si>
    <t xml:space="preserve">https://eur-lex.europa.eu/legal-content/EN/TXT/?uri=CELEX:32022R2554R(03)</t>
  </si>
  <si>
    <t xml:space="preserve">32022R2554R(04)</t>
  </si>
  <si>
    <t xml:space="preserve">2024-10-25</t>
  </si>
  <si>
    <t xml:space="preserve">https://eur-lex.europa.eu/legal-content/EN/TXT/?uri=CELEX:32022R2554R(04)</t>
  </si>
  <si>
    <t xml:space="preserve">32022R2554R(05)</t>
  </si>
  <si>
    <t xml:space="preserve">https://eur-lex.europa.eu/legal-content/EN/TXT/?uri=CELEX:32022R2554R(05)</t>
  </si>
  <si>
    <t xml:space="preserve">32022R2554R(06)</t>
  </si>
  <si>
    <t xml:space="preserve">https://eur-lex.europa.eu/legal-content/EN/TXT/?uri=CELEX:32022R2554R(06)</t>
  </si>
  <si>
    <t xml:space="preserve">32022R2554R(07)</t>
  </si>
  <si>
    <t xml:space="preserve">2025-07-30</t>
  </si>
  <si>
    <t xml:space="preserve">https://eur-lex.europa.eu/legal-content/EN/TXT/?uri=CELEX:32022R2554R(07)</t>
  </si>
  <si>
    <t xml:space="preserve">32022R2554R(08)</t>
  </si>
  <si>
    <t xml:space="preserve">2025-10-01</t>
  </si>
  <si>
    <t xml:space="preserve">https://eur-lex.europa.eu/legal-content/EN/TXT/?uri=CELEX:32022R2554R(08)</t>
  </si>
  <si>
    <t xml:space="preserve">32022R2554R(09)</t>
  </si>
  <si>
    <t xml:space="preserve">https://eur-lex.europa.eu/legal-content/EN/TXT/?uri=CELEX:32022R2554R(09)</t>
  </si>
  <si>
    <t xml:space="preserve">32022R0868R(01)</t>
  </si>
  <si>
    <t xml:space="preserve">https://eur-lex.europa.eu/legal-content/EN/TXT/?uri=CELEX:32022R0868R(01)</t>
  </si>
  <si>
    <t xml:space="preserve">32022R0868R(02)</t>
  </si>
  <si>
    <t xml:space="preserve">https://eur-lex.europa.eu/legal-content/EN/TXT/?uri=CELEX:32022R0868R(02)</t>
  </si>
  <si>
    <t xml:space="preserve">32022R0868R(03)</t>
  </si>
  <si>
    <t xml:space="preserve">2023-11-09</t>
  </si>
  <si>
    <t xml:space="preserve">https://eur-lex.europa.eu/legal-content/EN/TXT/?uri=CELEX:32022R0868R(03)</t>
  </si>
  <si>
    <t xml:space="preserve">32022R0868R(04)</t>
  </si>
  <si>
    <t xml:space="preserve">https://eur-lex.europa.eu/legal-content/EN/TXT/?uri=CELEX:32022R0868R(04)</t>
  </si>
  <si>
    <t xml:space="preserve">32022R0868R(05)</t>
  </si>
  <si>
    <t xml:space="preserve">https://eur-lex.europa.eu/legal-content/EN/TXT/?uri=CELEX:32022R0868R(05)</t>
  </si>
  <si>
    <t xml:space="preserve">32022R0868R(06)</t>
  </si>
  <si>
    <t xml:space="preserve">https://eur-lex.europa.eu/legal-content/EN/TXT/?uri=CELEX:32022R0868R(06)</t>
  </si>
  <si>
    <t xml:space="preserve">32022R1925R(01)</t>
  </si>
  <si>
    <t xml:space="preserve">https://eur-lex.europa.eu/legal-content/EN/TXT/?uri=CELEX:32022R1925R(01)</t>
  </si>
  <si>
    <t xml:space="preserve">32022R1925R(02)</t>
  </si>
  <si>
    <t xml:space="preserve">2025-01-10</t>
  </si>
  <si>
    <t xml:space="preserve">Corrigendum to Regulation (EU) 2022/1925 of the European Parliament and of the Council of 14 September 2022 on contestable and fair markets in the digital sector and amending Directives (EU) 2019/1937 and (EU) 2020/1828 (Digital Markets Act) (OJ L 265, 12.10.2022)</t>
  </si>
  <si>
    <t xml:space="preserve">https://eur-lex.europa.eu/legal-content/EN/TXT/?uri=CELEX:32022R1925R(02)</t>
  </si>
  <si>
    <t xml:space="preserve">32022R1925R(03)</t>
  </si>
  <si>
    <t xml:space="preserve">https://eur-lex.europa.eu/legal-content/EN/TXT/?uri=CELEX:32022R1925R(03)</t>
  </si>
  <si>
    <t xml:space="preserve">32022R2065R(01)</t>
  </si>
  <si>
    <t xml:space="preserve">2022-12-01</t>
  </si>
  <si>
    <t xml:space="preserve">https://eur-lex.europa.eu/legal-content/EN/TXT/?uri=CELEX:32022R2065R(01)</t>
  </si>
  <si>
    <t xml:space="preserve">32022R2065R(02)</t>
  </si>
  <si>
    <t xml:space="preserve">2023-01-05</t>
  </si>
  <si>
    <t xml:space="preserve">https://eur-lex.europa.eu/legal-content/EN/TXT/?uri=CELEX:32022R2065R(02)</t>
  </si>
  <si>
    <t xml:space="preserve">32022R2065R(03)</t>
  </si>
  <si>
    <t xml:space="preserve">https://eur-lex.europa.eu/legal-content/EN/TXT/?uri=CELEX:32022R2065R(03)</t>
  </si>
  <si>
    <t xml:space="preserve">32022R2065R(04)</t>
  </si>
  <si>
    <t xml:space="preserve">2023-11-07</t>
  </si>
  <si>
    <t xml:space="preserve">https://eur-lex.europa.eu/legal-content/EN/TXT/?uri=CELEX:32022R2065R(04)</t>
  </si>
  <si>
    <t xml:space="preserve">32022R2065R(05)</t>
  </si>
  <si>
    <t xml:space="preserve">2024-07-04</t>
  </si>
  <si>
    <t xml:space="preserve">https://eur-lex.europa.eu/legal-content/EN/TXT/?uri=CELEX:32022R2065R(05)</t>
  </si>
  <si>
    <t xml:space="preserve">32022R2065R(06)</t>
  </si>
  <si>
    <t xml:space="preserve">https://eur-lex.europa.eu/legal-content/EN/TXT/?uri=CELEX:32022R2065R(06)</t>
  </si>
  <si>
    <t xml:space="preserve">32022R2065R(07)</t>
  </si>
  <si>
    <t xml:space="preserve">2025-11-05</t>
  </si>
  <si>
    <t xml:space="preserve">https://eur-lex.europa.eu/legal-content/EN/TXT/?uri=CELEX:32022R2065R(07)</t>
  </si>
  <si>
    <t xml:space="preserve">32022R2065R(08)</t>
  </si>
  <si>
    <t xml:space="preserve">https://eur-lex.europa.eu/legal-content/EN/TXT/?uri=CELEX:32022R2065R(08)</t>
  </si>
  <si>
    <t xml:space="preserve">32022R2065R(09)</t>
  </si>
  <si>
    <t xml:space="preserve">2026-03-16</t>
  </si>
  <si>
    <t xml:space="preserve">https://eur-lex.europa.eu/legal-content/EN/TXT/?uri=CELEX:32022R2065R(09)</t>
  </si>
  <si>
    <t xml:space="preserve">32022R2065R(10)</t>
  </si>
  <si>
    <t xml:space="preserve">2026-05-12</t>
  </si>
  <si>
    <t xml:space="preserve">https://eur-lex.europa.eu/legal-content/EN/TXT/?uri=CELEX:32022R2065R(10)</t>
  </si>
  <si>
    <t xml:space="preserve">32022L2555R(01)</t>
  </si>
  <si>
    <t xml:space="preserve">https://eur-lex.europa.eu/legal-content/EN/TXT/?uri=CELEX:32022L2555R(01)</t>
  </si>
  <si>
    <t xml:space="preserve">32022L2555R(02)</t>
  </si>
  <si>
    <t xml:space="preserve">https://eur-lex.europa.eu/legal-content/EN/TXT/?uri=CELEX:32022L2555R(02)</t>
  </si>
  <si>
    <t xml:space="preserve">32022L2555R(03)</t>
  </si>
  <si>
    <t xml:space="preserve">https://eur-lex.europa.eu/legal-content/EN/TXT/?uri=CELEX:32022L2555R(03)</t>
  </si>
  <si>
    <t xml:space="preserve">32022L2555R(04)</t>
  </si>
  <si>
    <t xml:space="preserve">Corrigendum to Directive (EU) 2022/2555 of the European Parliament and of the Council of 14 December 2022 on measures for a high common level of cybersecurity across the Union, amending Regulation (EU) No 910/2014 and Directive (EU) 2018/1972, and repealing Directive (EU) 2016/1148 (NIS 2 Directive) (OJ L 333, 27.12.2022)</t>
  </si>
  <si>
    <t xml:space="preserve">https://eur-lex.europa.eu/legal-content/EN/TXT/?uri=CELEX:32022L2555R(04)</t>
  </si>
  <si>
    <t xml:space="preserve">32022L2555R(05)</t>
  </si>
  <si>
    <t xml:space="preserve">2024-06-12</t>
  </si>
  <si>
    <t xml:space="preserve">https://eur-lex.europa.eu/legal-content/EN/TXT/?uri=CELEX:32022L2555R(05)</t>
  </si>
  <si>
    <t xml:space="preserve">32022L2555R(06)</t>
  </si>
  <si>
    <t xml:space="preserve">https://eur-lex.europa.eu/legal-content/EN/TXT/?uri=CELEX:32022L2555R(06)</t>
  </si>
  <si>
    <t xml:space="preserve">32022L2555R(07)</t>
  </si>
  <si>
    <t xml:space="preserve">2025-04-04</t>
  </si>
  <si>
    <t xml:space="preserve">https://eur-lex.europa.eu/legal-content/EN/TXT/?uri=CELEX:32022L2555R(07)</t>
  </si>
  <si>
    <t xml:space="preserve">32022L2555R(08)</t>
  </si>
  <si>
    <t xml:space="preserve">2025-07-24</t>
  </si>
  <si>
    <t xml:space="preserve">https://eur-lex.europa.eu/legal-content/EN/TXT/?uri=CELEX:32022L2555R(08)</t>
  </si>
  <si>
    <t xml:space="preserve">32022L2555R(09)</t>
  </si>
  <si>
    <t xml:space="preserve">2025-11-06</t>
  </si>
  <si>
    <t xml:space="preserve">https://eur-lex.europa.eu/legal-content/EN/TXT/?uri=CELEX:32022L2555R(09)</t>
  </si>
  <si>
    <t xml:space="preserve">32023R1782</t>
  </si>
  <si>
    <t xml:space="preserve">Council Regulation (EU) 2023/1782 of 25 July 2023 amending Regulation (EU) 2021/2085 establishing the Joint Undertakings under Horizon Europe, as regards the Chips Joint Undertaking (Text with EEA relevance)</t>
  </si>
  <si>
    <t xml:space="preserve">https://eur-lex.europa.eu/legal-content/EN/TXT/?uri=CELEX:32023R1782</t>
  </si>
  <si>
    <t xml:space="preserve">32021R2085R(01)</t>
  </si>
  <si>
    <t xml:space="preserve">2026-10-05</t>
  </si>
  <si>
    <t xml:space="preserve">https://eur-lex.europa.eu/legal-content/EN/TXT/?uri=CELEX:32021R2085R(01)</t>
  </si>
  <si>
    <t xml:space="preserve">32022R0612R(01)</t>
  </si>
  <si>
    <t xml:space="preserve">2022-07-14</t>
  </si>
  <si>
    <t xml:space="preserve">https://eur-lex.europa.eu/legal-content/EN/TXT/?uri=CELEX:32022R0612R(01)</t>
  </si>
  <si>
    <t xml:space="preserve">32022R0612R(02)</t>
  </si>
  <si>
    <t xml:space="preserve">https://eur-lex.europa.eu/legal-content/EN/TXT/?uri=CELEX:32022R0612R(02)</t>
  </si>
  <si>
    <t xml:space="preserve">32026R1744</t>
  </si>
  <si>
    <t xml:space="preserve">Regulation (EU) 2026/1744 of the European Parliament and of the Council of 8 July 2026 amending Regulations (EU) 2024/1689, (EU) 2018/1139 and (EU) 2023/1230 as regards the simplification of the implementation of harmonised rules on artificial intelligence (Digital Omnibus on AI) (Text with EEA relevance)</t>
  </si>
  <si>
    <t xml:space="preserve">https://eur-lex.europa.eu/legal-content/EN/TXT/?uri=CELEX:32026R1744</t>
  </si>
  <si>
    <t xml:space="preserve">32024R1689R(01)</t>
  </si>
  <si>
    <t xml:space="preserve">https://eur-lex.europa.eu/legal-content/EN/TXT/?uri=CELEX:32024R1689R(01)</t>
  </si>
  <si>
    <t xml:space="preserve">32024R1689R(02)</t>
  </si>
  <si>
    <t xml:space="preserve">https://eur-lex.europa.eu/legal-content/EN/TXT/?uri=CELEX:32024R1689R(02)</t>
  </si>
  <si>
    <t xml:space="preserve">32024R1689R(03)</t>
  </si>
  <si>
    <t xml:space="preserve">2026-03-27</t>
  </si>
  <si>
    <t xml:space="preserve">https://eur-lex.europa.eu/legal-content/EN/TXT/?uri=CELEX:32024R1689R(03)</t>
  </si>
  <si>
    <t xml:space="preserve">32024R1689R(04)</t>
  </si>
  <si>
    <t xml:space="preserve">https://eur-lex.europa.eu/legal-content/EN/TXT/?uri=CELEX:32024R1689R(04)</t>
  </si>
  <si>
    <t xml:space="preserve">32024R2748</t>
  </si>
  <si>
    <t xml:space="preserve">Regulation (EU) 2024/2748 of the European Parliament and of the Council of 9 October 2024 amending Regulations (EU) No 305/2011, (EU) 2016/424, (EU) 2016/425, (EU) 2016/426, (EU) 2023/988 and (EU) 2023/1230 as regards emergency procedures for the conformity assessment, presumption of conformity, adoption of common specifications and market surveillance due to an internal market emergency (Text with EEA relevance)</t>
  </si>
  <si>
    <t xml:space="preserve">https://eur-lex.europa.eu/legal-content/EN/TXT/?uri=CELEX:32024R2748</t>
  </si>
  <si>
    <t xml:space="preserve">32023R1230R(01)</t>
  </si>
  <si>
    <t xml:space="preserve">Corrigendum to Regulation (EU) 2023/1230 of the European Parliament and of the Council of 14 June 2023 on machinery and repealing Directive 2006/42/EC of the European Parliament and of the Council and Council Directive 73/361/EEC (Official Journal of the European Union L 165 of 29 June 2023)</t>
  </si>
  <si>
    <t xml:space="preserve">https://eur-lex.europa.eu/legal-content/EN/TXT/?uri=CELEX:32023R1230R(01)</t>
  </si>
  <si>
    <t xml:space="preserve">32023R1230R(02)</t>
  </si>
  <si>
    <t xml:space="preserve">https://eur-lex.europa.eu/legal-content/EN/TXT/?uri=CELEX:32023R1230R(02)</t>
  </si>
  <si>
    <t xml:space="preserve">32023R1230R(03)</t>
  </si>
  <si>
    <t xml:space="preserve">2025-04-01</t>
  </si>
  <si>
    <t xml:space="preserve">https://eur-lex.europa.eu/legal-content/EN/TXT/?uri=CELEX:32023R1230R(03)</t>
  </si>
  <si>
    <t xml:space="preserve">32022R2560R(01)</t>
  </si>
  <si>
    <t xml:space="preserve">2023-02-02</t>
  </si>
  <si>
    <t xml:space="preserve">https://eur-lex.europa.eu/legal-content/EN/TXT/?uri=CELEX:32022R2560R(01)</t>
  </si>
  <si>
    <t xml:space="preserve">32022R2560R(02)</t>
  </si>
  <si>
    <t xml:space="preserve">2024-09-17</t>
  </si>
  <si>
    <t xml:space="preserve">Corrigendum to Regulation (EU) 2022/2560 of the European Parliament and of the Council of 14 December 2022 on foreign subsidies distorting the internal market (OJ L 330, 23.12.2022)</t>
  </si>
  <si>
    <t xml:space="preserve">https://eur-lex.europa.eu/legal-content/EN/TXT/?uri=CELEX:32022R2560R(02)</t>
  </si>
  <si>
    <t xml:space="preserve">32023R0988R(01)</t>
  </si>
  <si>
    <t xml:space="preserve">2023-12-19</t>
  </si>
  <si>
    <t xml:space="preserve">https://eur-lex.europa.eu/legal-content/EN/TXT/?uri=CELEX:32023R0988R(01)</t>
  </si>
  <si>
    <t xml:space="preserve">32023R0988R(02)</t>
  </si>
  <si>
    <t xml:space="preserve">2025-01-21</t>
  </si>
  <si>
    <t xml:space="preserve">https://eur-lex.europa.eu/legal-content/EN/TXT/?uri=CELEX:32023R0988R(02)</t>
  </si>
  <si>
    <t xml:space="preserve">32023R0988R(03)</t>
  </si>
  <si>
    <t xml:space="preserve">2025-08-20</t>
  </si>
  <si>
    <t xml:space="preserve">https://eur-lex.europa.eu/legal-content/EN/TXT/?uri=CELEX:32023R0988R(03)</t>
  </si>
  <si>
    <t xml:space="preserve">32023R0988R(04)</t>
  </si>
  <si>
    <t xml:space="preserve">2026-03-18</t>
  </si>
  <si>
    <t xml:space="preserve">https://eur-lex.europa.eu/legal-content/EN/TXT/?uri=CELEX:32023R0988R(04)</t>
  </si>
  <si>
    <t xml:space="preserve">32024R1624R(01)</t>
  </si>
  <si>
    <t xml:space="preserve">2025-03-20</t>
  </si>
  <si>
    <t xml:space="preserve">https://eur-lex.europa.eu/legal-content/EN/TXT/?uri=CELEX:32024R1624R(01)</t>
  </si>
  <si>
    <t xml:space="preserve">32024R1624R(02)</t>
  </si>
  <si>
    <t xml:space="preserve">2026-03-31</t>
  </si>
  <si>
    <t xml:space="preserve">https://eur-lex.europa.eu/legal-content/EN/TXT/?uri=CELEX:32024R1624R(02)</t>
  </si>
  <si>
    <t xml:space="preserve">32024R1624R(03)</t>
  </si>
  <si>
    <t xml:space="preserve">2026-04-16</t>
  </si>
  <si>
    <t xml:space="preserve">https://eur-lex.europa.eu/legal-content/EN/TXT/?uri=CELEX:32024R1624R(03)</t>
  </si>
  <si>
    <t xml:space="preserve">32024R1624R(04)</t>
  </si>
  <si>
    <t xml:space="preserve">2026-06-26</t>
  </si>
  <si>
    <t xml:space="preserve">https://eur-lex.europa.eu/legal-content/EN/TXT/?uri=CELEX:32024R1624R(04)</t>
  </si>
  <si>
    <t xml:space="preserve">32024R0323</t>
  </si>
  <si>
    <t xml:space="preserve">Commission Regulation (EU) 2024/323 of 19 January 2024 correcting the Czech language version of Regulation (EU) 2022/720 on the application of Article 101(3) of the Treaty on the Functioning of the European Union to categories of vertical agreements and concerted practices</t>
  </si>
  <si>
    <t xml:space="preserve">https://eur-lex.europa.eu/legal-content/EN/TXT/?uri=CELEX:32024R0323</t>
  </si>
  <si>
    <t xml:space="preserve">32022R0720R(01)</t>
  </si>
  <si>
    <t xml:space="preserve">2023-12-01</t>
  </si>
  <si>
    <t xml:space="preserve">https://eur-lex.europa.eu/legal-content/EN/TXT/?uri=CELEX:32022R0720R(01)</t>
  </si>
  <si>
    <t xml:space="preserve">32024R0900R(01)</t>
  </si>
  <si>
    <t xml:space="preserve">https://eur-lex.europa.eu/legal-content/EN/TXT/?uri=CELEX:32024R0900R(01)</t>
  </si>
  <si>
    <t xml:space="preserve">32023R2844R(01)</t>
  </si>
  <si>
    <t xml:space="preserve">2025-08-01</t>
  </si>
  <si>
    <t xml:space="preserve">Corrigendum to Regulation (EU) 2023/2844 of the European Parliament and of the Council of 13 December 2023 on the digitalisation of judicial cooperation and access to justice in cross-border civil, commercial and criminal matters, and amending certain acts in the field of judicial cooperation (OJ L, 2023/2844, 27.12.2023)</t>
  </si>
  <si>
    <t xml:space="preserve">https://eur-lex.europa.eu/legal-content/EN/TXT/?uri=CELEX:32023R2844R(01)</t>
  </si>
  <si>
    <t xml:space="preserve">32023R2844R(02)</t>
  </si>
  <si>
    <t xml:space="preserve">2026-03-26</t>
  </si>
  <si>
    <t xml:space="preserve">https://eur-lex.europa.eu/legal-content/EN/TXT/?uri=CELEX:32023R2844R(02)</t>
  </si>
  <si>
    <t xml:space="preserve">32024L2831R(01)</t>
  </si>
  <si>
    <t xml:space="preserve">2025-02-28</t>
  </si>
  <si>
    <t xml:space="preserve">Corrigendum to Directive (EU) 2024/2831 of the European Parliament and of the Council of 23 October 2024 on improving working conditions in platform work (OJ L, 2024/2831, 11.11.2024)</t>
  </si>
  <si>
    <t xml:space="preserve">https://eur-lex.europa.eu/legal-content/EN/TXT/?uri=CELEX:32024L2831R(01)</t>
  </si>
  <si>
    <t xml:space="preserve">32023R2854R(01)</t>
  </si>
  <si>
    <t xml:space="preserve">Corrigendum to Regulation (EU) 2023/2854 of the European Parliament and of the Council of 13 December 2023 on harmonised rules on fair access to and use of data and amending Regulation (EU) 2017/2394 and Directive (EU) 2020/1828 (Data Act) (OJ L, 2023/2854, 22.12.2023)</t>
  </si>
  <si>
    <t xml:space="preserve">https://eur-lex.europa.eu/legal-content/EN/TXT/?uri=CELEX:32023R2854R(01)</t>
  </si>
  <si>
    <t xml:space="preserve">32023R2854R(02)</t>
  </si>
  <si>
    <t xml:space="preserve">https://eur-lex.europa.eu/legal-content/EN/TXT/?uri=CELEX:32023R2854R(02)</t>
  </si>
  <si>
    <t xml:space="preserve">32023R2854R(03)</t>
  </si>
  <si>
    <t xml:space="preserve">2025-06-30</t>
  </si>
  <si>
    <t xml:space="preserve">https://eur-lex.europa.eu/legal-content/EN/TXT/?uri=CELEX:32023R2854R(03)</t>
  </si>
  <si>
    <t xml:space="preserve">32023R2854R(04)</t>
  </si>
  <si>
    <t xml:space="preserve">https://eur-lex.europa.eu/legal-content/EN/TXT/?uri=CELEX:32023R2854R(04)</t>
  </si>
  <si>
    <t xml:space="preserve">32023R2854R(05)</t>
  </si>
  <si>
    <t xml:space="preserve">2026-03-10</t>
  </si>
  <si>
    <t xml:space="preserve">https://eur-lex.europa.eu/legal-content/EN/TXT/?uri=CELEX:32023R2854R(05)</t>
  </si>
  <si>
    <t xml:space="preserve">32023R2854R(06)</t>
  </si>
  <si>
    <t xml:space="preserve">2026-09-24</t>
  </si>
  <si>
    <t xml:space="preserve">https://eur-lex.europa.eu/legal-content/EN/TXT/?uri=CELEX:32023R2854R(06)</t>
  </si>
  <si>
    <t xml:space="preserve">32023R2841R(01)</t>
  </si>
  <si>
    <t xml:space="preserve">2025-09-30</t>
  </si>
  <si>
    <t xml:space="preserve">https://eur-lex.europa.eu/legal-content/EN/TXT/?uri=CELEX:32023R2841R(01)</t>
  </si>
  <si>
    <t xml:space="preserve">32023R2841R(02)</t>
  </si>
  <si>
    <t xml:space="preserve">2026-07-31</t>
  </si>
  <si>
    <t xml:space="preserve">https://eur-lex.europa.eu/legal-content/EN/TXT/?uri=CELEX:32023R2841R(02)</t>
  </si>
  <si>
    <t xml:space="preserve">32024R1781R(01)</t>
  </si>
  <si>
    <t xml:space="preserve">2024-08-07</t>
  </si>
  <si>
    <t xml:space="preserve">Corrigendum to Regulation (EU) 2024/1781 of the European Parliament and of the Council of 13 June 2024 establishing a framework for the setting of ecodesign requirements for sustainable products, amending Directive (EU) 2020/1828 and Regulation (EU) 2023/1542 and repealing Directive 2009/125/EC (OJ L, 2024/1781, 28.6.2024)</t>
  </si>
  <si>
    <t xml:space="preserve">https://eur-lex.europa.eu/legal-content/EN/TXT/?uri=CELEX:32024R1781R(01)</t>
  </si>
  <si>
    <t xml:space="preserve">32024R1781R(02)</t>
  </si>
  <si>
    <t xml:space="preserve">2025-04-28</t>
  </si>
  <si>
    <t xml:space="preserve">https://eur-lex.europa.eu/legal-content/EN/TXT/?uri=CELEX:32024R1781R(02)</t>
  </si>
  <si>
    <t xml:space="preserve">32024R1781R(03)</t>
  </si>
  <si>
    <t xml:space="preserve">2025-11-27</t>
  </si>
  <si>
    <t xml:space="preserve">https://eur-lex.europa.eu/legal-content/EN/TXT/?uri=CELEX:32024R1781R(03)</t>
  </si>
  <si>
    <t xml:space="preserve">32024R1781R(04)</t>
  </si>
  <si>
    <t xml:space="preserve">https://eur-lex.europa.eu/legal-content/EN/TXT/?uri=CELEX:32024R1781R(04)</t>
  </si>
  <si>
    <t xml:space="preserve">32025R0327R(01)</t>
  </si>
  <si>
    <t xml:space="preserve">2025-11-07</t>
  </si>
  <si>
    <t xml:space="preserve">https://eur-lex.europa.eu/legal-content/EN/TXT/?uri=CELEX:32025R0327R(01)</t>
  </si>
  <si>
    <t xml:space="preserve">32025R0327R(02)</t>
  </si>
  <si>
    <t xml:space="preserve">https://eur-lex.europa.eu/legal-content/EN/TXT/?uri=CELEX:32025R0327R(02)</t>
  </si>
  <si>
    <t xml:space="preserve">32025R0327R(03)</t>
  </si>
  <si>
    <t xml:space="preserve">2026-08-13</t>
  </si>
  <si>
    <t xml:space="preserve">https://eur-lex.europa.eu/legal-content/EN/TXT/?uri=CELEX:32025R0327R(03)</t>
  </si>
  <si>
    <t xml:space="preserve">Regulation (EU) 2025/327 of the European Parliament and of the Council of 11 February 2025 on the European Health Data Space and amending Directive 2011/24/EU and Regulation (EU) 2024/2847 (Text with EEA relevance)</t>
  </si>
  <si>
    <t xml:space="preserve">32024R2847R(01)</t>
  </si>
  <si>
    <t xml:space="preserve">2024-12-05</t>
  </si>
  <si>
    <t xml:space="preserve">Corrigendum to Regulation (EU) 2024/2847 of the European Parliament and of the Council of 23 October 2024 on horizontal cybersecurity requirements for products with digital elements and amending Regulations (EU) No 168/2013 and (EU) 2019/1020 and Directive (EU) 2020/1828 (Cyber Resilience Act) (OJ L, 2024/2847, 23.10.2024)</t>
  </si>
  <si>
    <t xml:space="preserve">https://eur-lex.europa.eu/legal-content/EN/TXT/?uri=CELEX:32024R2847R(01)</t>
  </si>
  <si>
    <t xml:space="preserve">32024R2847R(02)</t>
  </si>
  <si>
    <t xml:space="preserve">2025-07-02</t>
  </si>
  <si>
    <t xml:space="preserve">Corrigendum to Regulation (EU) 2024/2847 of the European Parliament and of the Council of 23 October 2024 on horizontal cybersecurity requirements for products with digital elements and amending Regulations (EU) No 168/2013 and (EU) 2019/1020 and Directive (EU) 2020/1828 (Cyber Resilience Act) (OJ L, 2024/2847, 20.11.2024)</t>
  </si>
  <si>
    <t xml:space="preserve">https://eur-lex.europa.eu/legal-content/EN/TXT/?uri=CELEX:32024R2847R(02)</t>
  </si>
  <si>
    <t xml:space="preserve">32024R2847R(03)</t>
  </si>
  <si>
    <t xml:space="preserve">2025-10-03</t>
  </si>
  <si>
    <t xml:space="preserve">https://eur-lex.europa.eu/legal-content/EN/TXT/?uri=CELEX:32024R2847R(03)</t>
  </si>
  <si>
    <t xml:space="preserve">32024R2847R(04)</t>
  </si>
  <si>
    <t xml:space="preserve">https://eur-lex.europa.eu/legal-content/EN/TXT/?uri=CELEX:32024R2847R(04)</t>
  </si>
  <si>
    <t xml:space="preserve">32024R2847R(05)</t>
  </si>
  <si>
    <t xml:space="preserve">2026-02-23</t>
  </si>
  <si>
    <t xml:space="preserve">https://eur-lex.europa.eu/legal-content/EN/TXT/?uri=CELEX:32024R2847R(05)</t>
  </si>
  <si>
    <t xml:space="preserve">32024R2847R(06)</t>
  </si>
  <si>
    <t xml:space="preserve">2026-03-25</t>
  </si>
  <si>
    <t xml:space="preserve">https://eur-lex.europa.eu/legal-content/EN/TXT/?uri=CELEX:32024R2847R(06)</t>
  </si>
  <si>
    <t xml:space="preserve">32024R2847R(07)</t>
  </si>
  <si>
    <t xml:space="preserve">2026-08-06</t>
  </si>
  <si>
    <t xml:space="preserve">https://eur-lex.europa.eu/legal-content/EN/TXT/?uri=CELEX:32024R2847R(07)</t>
  </si>
  <si>
    <t xml:space="preserve">32024R2847R(08)</t>
  </si>
  <si>
    <t xml:space="preserve">2026-10-09</t>
  </si>
  <si>
    <t xml:space="preserve">https://eur-lex.europa.eu/legal-content/EN/TXT/?uri=CELEX:32024R2847R(08)</t>
  </si>
  <si>
    <t xml:space="preserve">32024R1083R(01)</t>
  </si>
  <si>
    <t xml:space="preserve">2024-06-18</t>
  </si>
  <si>
    <t xml:space="preserve">https://eur-lex.europa.eu/legal-content/EN/TXT/?uri=CELEX:32024R1083R(01)</t>
  </si>
  <si>
    <t xml:space="preserve">32024R1083R(02)</t>
  </si>
  <si>
    <t xml:space="preserve">https://eur-lex.europa.eu/legal-content/EN/TXT/?uri=CELEX:32024R1083R(02)</t>
  </si>
  <si>
    <t xml:space="preserve">32024R1083R(03)</t>
  </si>
  <si>
    <t xml:space="preserve">https://eur-lex.europa.eu/legal-content/EN/TXT/?uri=CELEX:32024R1083R(03)</t>
  </si>
  <si>
    <t xml:space="preserve">32024R1083R(04)</t>
  </si>
  <si>
    <t xml:space="preserve">https://eur-lex.europa.eu/legal-content/EN/TXT/?uri=CELEX:32024R1083R(04)</t>
  </si>
  <si>
    <t xml:space="preserve">32024R2747R(01)</t>
  </si>
  <si>
    <t xml:space="preserve">https://eur-lex.europa.eu/legal-content/EN/TXT/?uri=CELEX:32024R2747R(01)</t>
  </si>
  <si>
    <t xml:space="preserve">32024R2747R(02)</t>
  </si>
  <si>
    <t xml:space="preserve">https://eur-lex.europa.eu/legal-content/EN/TXT/?uri=CELEX:32024R2747R(02)</t>
  </si>
  <si>
    <t xml:space="preserve">32024L2853R(01)</t>
  </si>
  <si>
    <t xml:space="preserve">2026-05-07</t>
  </si>
  <si>
    <t xml:space="preserve">Corrigendum to Directive (EU) 2024/2853 of the European Parliament and of the Council of 23 October 2024 on liability for defective products and repealing Council Directive 85/374/EEC (OJ L, 2024/2853, 18.11.2024)</t>
  </si>
  <si>
    <t xml:space="preserve">https://eur-lex.europa.eu/legal-content/EN/TXT/?uri=CELEX:32024L2853R(01)</t>
  </si>
  <si>
    <t xml:space="preserve">32024L2853R(02)</t>
  </si>
  <si>
    <t xml:space="preserve">2026-09-29</t>
  </si>
  <si>
    <t xml:space="preserve">https://eur-lex.europa.eu/legal-content/EN/TXT/?uri=CELEX:32024L2853R(02)</t>
  </si>
  <si>
    <t xml:space="preserve">32023R1066</t>
  </si>
  <si>
    <t xml:space="preserve">32023R1066R(01)</t>
  </si>
  <si>
    <t xml:space="preserve">https://eur-lex.europa.eu/legal-content/EN/TXT/?uri=CELEX:32023R1066R(01)</t>
  </si>
  <si>
    <t xml:space="preserve">32023R1067</t>
  </si>
  <si>
    <t xml:space="preserve">32023R1067R(01)</t>
  </si>
  <si>
    <t xml:space="preserve">2025-11-03</t>
  </si>
  <si>
    <t xml:space="preserve">https://eur-lex.europa.eu/legal-content/EN/TXT/?uri=CELEX:32023R1067R(01)</t>
  </si>
  <si>
    <t xml:space="preserve">32024L2823R(01)</t>
  </si>
  <si>
    <t xml:space="preserve">https://eur-lex.europa.eu/legal-content/EN/TXT/?uri=CELEX:32024L2823R(01)</t>
  </si>
  <si>
    <t xml:space="preserve">32024L2823R(02)</t>
  </si>
  <si>
    <t xml:space="preserve">2026-02-17</t>
  </si>
  <si>
    <t xml:space="preserve">https://eur-lex.europa.eu/legal-content/EN/TXT/?uri=CELEX:32024L2823R(02)</t>
  </si>
  <si>
    <t xml:space="preserve">32025L0516R(01)</t>
  </si>
  <si>
    <t xml:space="preserve">2025-10-02</t>
  </si>
  <si>
    <t xml:space="preserve">https://eur-lex.europa.eu/legal-content/EN/TXT/?uri=CELEX:32025L0516R(01)</t>
  </si>
  <si>
    <t xml:space="preserve">32024R1309R(01)</t>
  </si>
  <si>
    <t xml:space="preserve">Corrigendum to Regulation (EU) 2024/1309 of the European Parliament and of the Council of 29 April 2024 on measures to reduce the cost of deploying gigabit electronic communications networks, amending Regulation (EU) 2015/2120 and repealing Directive 2014/61/EU (Gigabit Infrastructure Act) (OJ L, 2024/1309, 8.5.2024)</t>
  </si>
  <si>
    <t xml:space="preserve">https://eur-lex.europa.eu/legal-content/EN/TXT/?uri=CELEX:32024R1309R(01)</t>
  </si>
  <si>
    <t xml:space="preserve">32024R1309R(02)</t>
  </si>
  <si>
    <t xml:space="preserve">2025-01-24</t>
  </si>
  <si>
    <t xml:space="preserve">https://eur-lex.europa.eu/legal-content/EN/TXT/?uri=CELEX:32024R1309R(02)</t>
  </si>
  <si>
    <t xml:space="preserve">32024R1309R(03)</t>
  </si>
  <si>
    <t xml:space="preserve">https://eur-lex.europa.eu/legal-content/EN/TXT/?uri=CELEX:32024R1309R(03)</t>
  </si>
  <si>
    <t xml:space="preserve">32024R1252R(01)</t>
  </si>
  <si>
    <t xml:space="preserve">2024-06-03</t>
  </si>
  <si>
    <t xml:space="preserve">Corrigendum to Regulation (EU) 2024/1252 of the European Parliament and of the Council of 11 April 2024 establishing a framework for ensuring a secure and sustainable supply of critical raw materials and amending Regulations (EU) No 168/2013, (EU) 2018/858, (EU) 2018/1724 and (EU) 2019/1020 (OJ L, 2024/1252, 3.5.2024)</t>
  </si>
  <si>
    <t xml:space="preserve">https://eur-lex.europa.eu/legal-content/EN/TXT/?uri=CELEX:32024R1252R(01)</t>
  </si>
  <si>
    <t xml:space="preserve">32024R1252R(02)</t>
  </si>
  <si>
    <t xml:space="preserve">https://eur-lex.europa.eu/legal-content/EN/TXT/?uri=CELEX:32024R1252R(02)</t>
  </si>
  <si>
    <t xml:space="preserve">32024R1252R(03)</t>
  </si>
  <si>
    <t xml:space="preserve">2025-02-14</t>
  </si>
  <si>
    <t xml:space="preserve">https://eur-lex.europa.eu/legal-content/EN/TXT/?uri=CELEX:32024R1252R(03)</t>
  </si>
  <si>
    <t xml:space="preserve">32024R1252R(04)</t>
  </si>
  <si>
    <t xml:space="preserve">2025-11-14</t>
  </si>
  <si>
    <t xml:space="preserve">https://eur-lex.europa.eu/legal-content/EN/TXT/?uri=CELEX:32024R1252R(04)</t>
  </si>
  <si>
    <t xml:space="preserve">32024R1252R(05)</t>
  </si>
  <si>
    <t xml:space="preserve">https://eur-lex.europa.eu/legal-content/EN/TXT/?uri=CELEX:32024R1252R(05)</t>
  </si>
  <si>
    <t xml:space="preserve">32024R1735R(01)</t>
  </si>
  <si>
    <t xml:space="preserve">Corrigendum to Regulation (EU) 2024/1735 of the European Parliament and of the Council of 13 June 2024 on establishing a framework of measures for strengthening Europe’s net-zero technology manufacturing ecosystem and amending Regulation (EU) 2018/1724 (OJ L, 2024/1735, 28.6.2024)</t>
  </si>
  <si>
    <t xml:space="preserve">https://eur-lex.europa.eu/legal-content/EN/TXT/?uri=CELEX:32024R1735R(01)</t>
  </si>
  <si>
    <t xml:space="preserve">32024R1735R(02)</t>
  </si>
  <si>
    <t xml:space="preserve">https://eur-lex.europa.eu/legal-content/EN/TXT/?uri=CELEX:32024R1735R(02)</t>
  </si>
  <si>
    <t xml:space="preserve">32024R1735R(03)</t>
  </si>
  <si>
    <t xml:space="preserve">2026-05-20</t>
  </si>
  <si>
    <t xml:space="preserve">https://eur-lex.europa.eu/legal-content/EN/TXT/?uri=CELEX:32024R1735R(03)</t>
  </si>
  <si>
    <t xml:space="preserve">32024R1735R(04)</t>
  </si>
  <si>
    <t xml:space="preserve">https://eur-lex.europa.eu/legal-content/EN/TXT/?uri=CELEX:32024R1735R(04)</t>
  </si>
  <si>
    <t xml:space="preserve">32024L1799R(01)</t>
  </si>
  <si>
    <t xml:space="preserve">Corrigendum to Directive (EU) 2024/1799 of the European Parliament and of the Council of 13 June 2024 on common rules promoting the repair of goods and amending Regulation (EU) 2017/2394 and Directives (EU) 2019/771 and (EU) 2020/1828 (OJ L, 2024/1799, 10.7.2024)</t>
  </si>
  <si>
    <t xml:space="preserve">https://eur-lex.europa.eu/legal-content/EN/TXT/?uri=CELEX:32024L1799R(01)</t>
  </si>
  <si>
    <t xml:space="preserve">32024L1799R(02)</t>
  </si>
  <si>
    <t xml:space="preserve">2025-10-23</t>
  </si>
  <si>
    <t xml:space="preserve">https://eur-lex.europa.eu/legal-content/EN/TXT/?uri=CELEX:32024L1799R(02)</t>
  </si>
  <si>
    <t xml:space="preserve">32024L1799R(03)</t>
  </si>
  <si>
    <t xml:space="preserve">2026-10-07</t>
  </si>
  <si>
    <t xml:space="preserve">https://eur-lex.europa.eu/legal-content/EN/TXT/?uri=CELEX:32024L1799R(03)</t>
  </si>
  <si>
    <t xml:space="preserve">32025R0038R(01)</t>
  </si>
  <si>
    <t xml:space="preserve">Corrigendum to Regulation (EU) 2025/38 of the European Parliament and of the Council of 19 December 2024 laying down measures to strengthen solidarity and capacities in the Union to detect, prepare for and respond to cyber threats and incidents and amending Regulation (EU) 2021/694 (Cyber Solidarity Act) (OJ L, 2025/38, 15.1.2025)</t>
  </si>
  <si>
    <t xml:space="preserve">https://eur-lex.europa.eu/legal-content/EN/TXT/?uri=CELEX:32025R0038R(01)</t>
  </si>
  <si>
    <t xml:space="preserve">32025R0038R(02)</t>
  </si>
  <si>
    <t xml:space="preserve">2025-10-15</t>
  </si>
  <si>
    <t xml:space="preserve">https://eur-lex.europa.eu/legal-content/EN/TXT/?uri=CELEX:32025R0038R(02)</t>
  </si>
  <si>
    <t xml:space="preserve">32025R0038R(03)</t>
  </si>
  <si>
    <t xml:space="preserve">https://eur-lex.europa.eu/legal-content/EN/TXT/?uri=CELEX:32025R0038R(03)</t>
  </si>
  <si>
    <t xml:space="preserve">32024R0795R(01)</t>
  </si>
  <si>
    <t xml:space="preserve">https://eur-lex.europa.eu/legal-content/EN/TXT/?uri=CELEX:32024R0795R(01)</t>
  </si>
  <si>
    <t xml:space="preserve">32024R0795R(02)</t>
  </si>
  <si>
    <t xml:space="preserve">2025-11-24</t>
  </si>
  <si>
    <t xml:space="preserve">https://eur-lex.europa.eu/legal-content/EN/TXT/?uri=CELEX:32024R0795R(02)</t>
  </si>
  <si>
    <t xml:space="preserve">32025R2509R(01)</t>
  </si>
  <si>
    <t xml:space="preserve">https://eur-lex.europa.eu/legal-content/EN/TXT/?uri=CELEX:32025R2509R(01)</t>
  </si>
  <si>
    <t xml:space="preserve">32025R2509R(02)</t>
  </si>
  <si>
    <t xml:space="preserve">2026-08-11</t>
  </si>
  <si>
    <t xml:space="preserve">https://eur-lex.europa.eu/legal-content/EN/TXT/?uri=CELEX:32025R2509R(02)</t>
  </si>
  <si>
    <t xml:space="preserve">32013L0029</t>
  </si>
  <si>
    <t xml:space="preserve">Directive 2013/29/EU of the European Parliament and of the Council of 12 June 2013 on the harmonisation of the laws of the Member States relating to the making available on the market of pyrotechnic articles (recast)  Text with EEA relevance</t>
  </si>
  <si>
    <t xml:space="preserve">https://eur-lex.europa.eu/legal-content/EN/TXT/?uri=CELEX:32013L0029</t>
  </si>
  <si>
    <t xml:space="preserve">32013L0053</t>
  </si>
  <si>
    <t xml:space="preserve">2013-11-20</t>
  </si>
  <si>
    <t xml:space="preserve">Directive 2013/53/EU of the European Parliament and of the Council of 20 November 2013 on recreational craft and personal watercraft and repealing Directive 94/25/EC  Text with EEA relevance</t>
  </si>
  <si>
    <t xml:space="preserve">https://eur-lex.europa.eu/legal-content/EN/TXT/?uri=CELEX:32013L0053</t>
  </si>
  <si>
    <t xml:space="preserve">32014L0031</t>
  </si>
  <si>
    <t xml:space="preserve">Directive 2014/31/EU of the European Parliament and of the Council of 26 February 2014 on the harmonisation of the laws of the Member States relating to the making available on the market of non-automatic weighing instruments (recast)  Text with EEA relevance</t>
  </si>
  <si>
    <t xml:space="preserve">https://eur-lex.europa.eu/legal-content/EN/TXT/?uri=CELEX:32014L0031</t>
  </si>
  <si>
    <t xml:space="preserve">32014L0033</t>
  </si>
  <si>
    <t xml:space="preserve">Directive 2014/33/EU of the European Parliament and of the Council of 26 February 2014 on the harmonisation of the laws of the Member States relating to lifts and safety components for lifts (recast)  Text with EEA relevance</t>
  </si>
  <si>
    <t xml:space="preserve">https://eur-lex.europa.eu/legal-content/EN/TXT/?uri=CELEX:32014L0033</t>
  </si>
  <si>
    <t xml:space="preserve">32014L0032</t>
  </si>
  <si>
    <t xml:space="preserve">Directive 2014/32/EU of the European Parliament and of the Council of 26 February 2014 on the harmonisation of the laws of the Member States relating to the making available on the market of measuring instruments (recast)  Text with EEA relevance</t>
  </si>
  <si>
    <t xml:space="preserve">https://eur-lex.europa.eu/legal-content/EN/TXT/?uri=CELEX:32014L0032</t>
  </si>
  <si>
    <t xml:space="preserve">32014L0034</t>
  </si>
  <si>
    <t xml:space="preserve">Directive 2014/34/EU of the European Parliament and of the Council of 26 February 2014 on the harmonisation of the laws of the Member States relating to equipment and protective systems intended for use in potentially explosive atmospheres (recast)  Text with EEA relevance</t>
  </si>
  <si>
    <t xml:space="preserve">https://eur-lex.europa.eu/legal-content/EN/TXT/?uri=CELEX:32014L0034</t>
  </si>
  <si>
    <t xml:space="preserve">32014L0029</t>
  </si>
  <si>
    <t xml:space="preserve">Directive 2014/29/EU of the European Parliament and of the Council of 26 February 2014 on the harmonisation of the laws of the Member States relating to the making available on the market of simple pressure vessels (recast)  Text with EEA relevance</t>
  </si>
  <si>
    <t xml:space="preserve">https://eur-lex.europa.eu/legal-content/EN/TXT/?uri=CELEX:32014L0029</t>
  </si>
  <si>
    <t xml:space="preserve">32014L0028</t>
  </si>
  <si>
    <t xml:space="preserve">Directive 2014/28/EU of the European Parliament and of the Council of 26 February 2014 on the harmonisation of the laws of the Member States relating to the making available on the market and supervision of explosives for civil uses (recast)  Text with EEA relevance</t>
  </si>
  <si>
    <t xml:space="preserve">https://eur-lex.europa.eu/legal-content/EN/TXT/?uri=CELEX:32014L0028</t>
  </si>
  <si>
    <t xml:space="preserve">32014L0068</t>
  </si>
  <si>
    <t xml:space="preserve">2014-05-15</t>
  </si>
  <si>
    <t xml:space="preserve">Directive 2014/68/EU of the European Parliament and of the Council of 15 May 2014 on the harmonisation of the laws of the Member States relating to the making available on the market of pressure equipment (recast)  Text with EEA relevance</t>
  </si>
  <si>
    <t xml:space="preserve">https://eur-lex.europa.eu/legal-content/EN/TXT/?uri=CELEX:32014L0068</t>
  </si>
  <si>
    <t xml:space="preserve">32015L1535</t>
  </si>
  <si>
    <t xml:space="preserve">2015-09-09</t>
  </si>
  <si>
    <t xml:space="preserve">Directive (EU) 2015/1535 of the European Parliament and of the Council of 9 September 2015 laying down a procedure for the provision of information in the field of technical regulations and of rules on Information Society services (codification) (Text with EEA relevance)</t>
  </si>
  <si>
    <t xml:space="preserve">https://eur-lex.europa.eu/legal-content/EN/TXT/?uri=CELEX:32015L1535</t>
  </si>
  <si>
    <t xml:space="preserve">32022R2480</t>
  </si>
  <si>
    <t xml:space="preserve">Regulation (EU) 2022/2480 of the European Parliament and of the Council of 14 December 2022 amending Regulation (EU) No 1025/2012 as regards decisions of European standardisation organisations concerning European standards and European standardisation deliverables (Text with EEA relevance)</t>
  </si>
  <si>
    <t xml:space="preserve">https://eur-lex.europa.eu/legal-content/EN/TXT/?uri=CELEX:32022R2480</t>
  </si>
  <si>
    <t xml:space="preserve">Regulation (EU) 2023/988 of the European Parliament and of the Council of 10 May 2023 on general product safety, amending Regulation (EU) No 1025/2012 of the European Parliament and of the Council and Directive (EU) 2020/1828 of the European Parliament and the Council, and repealing Directive 2001/95/EC of the European Parliament and of the Council and Council Directive 87/357/EEC (Text with EEA relevance)</t>
  </si>
  <si>
    <t xml:space="preserve">32012R1025R(01)</t>
  </si>
  <si>
    <t xml:space="preserve">2025-09-19</t>
  </si>
  <si>
    <t xml:space="preserve">https://eur-lex.europa.eu/legal-content/EN/TXT/?uri=CELEX:32012R1025R(01)</t>
  </si>
  <si>
    <t xml:space="preserve">32018R1139</t>
  </si>
  <si>
    <t xml:space="preserve">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(Text with EEA relevance.)</t>
  </si>
  <si>
    <t xml:space="preserve">https://eur-lex.europa.eu/legal-content/EN/TXT/?uri=CELEX:32018R1139</t>
  </si>
  <si>
    <t xml:space="preserve">32024L2749</t>
  </si>
  <si>
    <t xml:space="preserve">Directive (EU) 2024/2749 of the European Parliament and of the Council of 9 October 2024 amending Directives 2000/14/EC, 2006/42/EC, 2010/35/EU, 2014/29/EU, 2014/30/EU, 2014/33/EU, 2014/34/EU, 2014/35/EU, 2014/53/EU and 2014/68/EU as regards emergency procedures for the conformity assessment, presumption of conformity, adoption of common specifications and market surveillance due to an internal market emergency (Text with EEA relevance)</t>
  </si>
  <si>
    <t xml:space="preserve">https://eur-lex.europa.eu/legal-content/EN/TXT/?uri=CELEX:32024L2749</t>
  </si>
  <si>
    <t xml:space="preserve">32014L0030R(01)</t>
  </si>
  <si>
    <t xml:space="preserve">2014-11-04</t>
  </si>
  <si>
    <t xml:space="preserve">https://eur-lex.europa.eu/legal-content/EN/TXT/?uri=CELEX:32014L0030R(01)</t>
  </si>
  <si>
    <t xml:space="preserve">32014L0030R(02)</t>
  </si>
  <si>
    <t xml:space="preserve">2015-04-01</t>
  </si>
  <si>
    <t xml:space="preserve">https://eur-lex.europa.eu/legal-content/EN/TXT/?uri=CELEX:32014L0030R(02)</t>
  </si>
  <si>
    <t xml:space="preserve">32022L2380</t>
  </si>
  <si>
    <t xml:space="preserve">Directive (EU) 2022/2380 of the European Parliament and of the Council of 23 November 2022 amending Directive 2014/53/EU on the harmonisation of the laws of the Member States relating to the making available on the market of radio equipment (Text with EEA relevance)</t>
  </si>
  <si>
    <t xml:space="preserve">https://eur-lex.europa.eu/legal-content/EN/TXT/?uri=CELEX:32022L2380</t>
  </si>
  <si>
    <t xml:space="preserve">32024L2839</t>
  </si>
  <si>
    <t xml:space="preserve">Directive (EU) 2024/2839 of the European Parliament and of the Council of 23 October 2024 amending Directives 1999/2/EC, 2000/14/EC, 2011/24/EU and 2014/53/EU as regards certain reporting requirements in the fields of food and food ingredients, outdoor noise, patients’ rights, and radio equipment (Text with EEA relevance)</t>
  </si>
  <si>
    <t xml:space="preserve">https://eur-lex.europa.eu/legal-content/EN/TXT/?uri=CELEX:32024L2839</t>
  </si>
  <si>
    <t xml:space="preserve">32014L0053R(01)</t>
  </si>
  <si>
    <t xml:space="preserve">2015-01-23</t>
  </si>
  <si>
    <t xml:space="preserve">https://eur-lex.europa.eu/legal-content/EN/TXT/?uri=CELEX:32014L0053R(01)</t>
  </si>
  <si>
    <t xml:space="preserve">32014L0053R(02)</t>
  </si>
  <si>
    <t xml:space="preserve">2015-03-27</t>
  </si>
  <si>
    <t xml:space="preserve">https://eur-lex.europa.eu/legal-content/EN/TXT/?uri=CELEX:32014L0053R(02)</t>
  </si>
  <si>
    <t xml:space="preserve">32014L0053R(03)</t>
  </si>
  <si>
    <t xml:space="preserve">https://eur-lex.europa.eu/legal-content/EN/TXT/?uri=CELEX:32014L0053R(03)</t>
  </si>
  <si>
    <t xml:space="preserve">32014L0055R(01)</t>
  </si>
  <si>
    <t xml:space="preserve">2014-11-26</t>
  </si>
  <si>
    <t xml:space="preserve">https://eur-lex.europa.eu/legal-content/EN/TXT/?uri=CELEX:32014L0055R(01)</t>
  </si>
  <si>
    <t xml:space="preserve">32014L0055R(02)</t>
  </si>
  <si>
    <t xml:space="preserve">2022-08-11</t>
  </si>
  <si>
    <t xml:space="preserve">https://eur-lex.europa.eu/legal-content/EN/TXT/?uri=CELEX:32014L0055R(02)</t>
  </si>
  <si>
    <t xml:space="preserve">32017R1128R(01)</t>
  </si>
  <si>
    <t xml:space="preserve">2017-07-28</t>
  </si>
  <si>
    <t xml:space="preserve">Corrigendum to Regulation (EU) 2017/1128 of the European Parliament and of the Council of 14 June 2017 on cross-border portability of online content services in the internal market (OJ L 168, 30.6.2017)</t>
  </si>
  <si>
    <t xml:space="preserve">https://eur-lex.europa.eu/legal-content/EN/TXT/?uri=CELEX:32017R1128R(01)</t>
  </si>
  <si>
    <t xml:space="preserve">32017R1128R(02)</t>
  </si>
  <si>
    <t xml:space="preserve">2018-06-25</t>
  </si>
  <si>
    <t xml:space="preserve">https://eur-lex.europa.eu/legal-content/EN/TXT/?uri=CELEX:32017R1128R(02)</t>
  </si>
  <si>
    <t xml:space="preserve">32019R0517R(01)</t>
  </si>
  <si>
    <t xml:space="preserve">https://eur-lex.europa.eu/legal-content/EN/TXT/?uri=CELEX:32019R0517R(01)</t>
  </si>
  <si>
    <t xml:space="preserve">32021R1134</t>
  </si>
  <si>
    <t xml:space="preserve">Regulation (EU) 2021/1134 of the European Parliament and of the Council of 7 July 2021 amending Regulations (EC) No 767/2008, (EC) No 810/2009, (EU) 2016/399, (EU) 2017/2226, (EU) 2018/1240, (EU) 2018/1860, (EU) 2018/1861, (EU) 2019/817 and (EU) 2019/1896 of the European Parliament and of the Council and repealing Council Decisions 2004/512/EC and 2008/633/JHA, for the purpose of reforming the Visa Information System</t>
  </si>
  <si>
    <t xml:space="preserve">https://eur-lex.europa.eu/legal-content/EN/TXT/?uri=CELEX:32021R1134</t>
  </si>
  <si>
    <t xml:space="preserve">32021R1152</t>
  </si>
  <si>
    <t xml:space="preserve">Regulation (EU) 2021/1152 of the European Parliament and of the Council of 7 July 2021 amending Regulations (EC) No 767/2008, (EU) 2017/2226, (EU) 2018/1240, (EU) 2018/1860, (EU) 2018/1861 and (EU) 2019/817 as regards the establishment of the conditions for accessing other EU information systems for the purposes of the European Travel Information and Authorisation System</t>
  </si>
  <si>
    <t xml:space="preserve">https://eur-lex.europa.eu/legal-content/EN/TXT/?uri=CELEX:32021R1152</t>
  </si>
  <si>
    <t xml:space="preserve">32024R0982</t>
  </si>
  <si>
    <t xml:space="preserve">Regulation (EU) 2024/982 of the European Parliament and of the Council of 13 March 2024 on the automated search and exchange of data for police cooperation, and amending Council Decisions 2008/615/JHA and 2008/616/JHA and Regulations (EU) 2018/1726, (EU) No 2019/817 and (EU) 2019/818 of the European Parliament and of the Council (the Prüm II Regulation)</t>
  </si>
  <si>
    <t xml:space="preserve">https://eur-lex.europa.eu/legal-content/EN/TXT/?uri=CELEX:32024R0982</t>
  </si>
  <si>
    <t xml:space="preserve">32024R1356</t>
  </si>
  <si>
    <t xml:space="preserve">Regulation (EU) 2024/1356 of the European Parliament and of the Council of 14 May 2024 introducing the screening of third-country nationals at the external borders and amending Regulations (EC) No 767/2008, (EU) 2017/2226, (EU) 2018/1240 and (EU) 2019/817</t>
  </si>
  <si>
    <t xml:space="preserve">https://eur-lex.europa.eu/legal-content/EN/TXT/?uri=CELEX:32024R1356</t>
  </si>
  <si>
    <t xml:space="preserve">32025R0012</t>
  </si>
  <si>
    <t xml:space="preserve">Regulation (EU) 2025/12 of the European Parliament and of the Council of 19 December 2024 on the collection and transfer of advance passenger information for enhancing and facilitating external border checks, amending Regulations (EU) 2018/1726 and (EU) 2019/817, and repealing Council Directive 2004/82/EC</t>
  </si>
  <si>
    <t xml:space="preserve">https://eur-lex.europa.eu/legal-content/EN/TXT/?uri=CELEX:32025R0012</t>
  </si>
  <si>
    <t xml:space="preserve">32019R0817R(01)</t>
  </si>
  <si>
    <t xml:space="preserve">2020-01-15</t>
  </si>
  <si>
    <t xml:space="preserve">Corrigendum to Regulation (EU) 2019/817 of the European Parliament and of the Council of 20 May 2019 on establishing a framework for interoperability between EU information systems in the field of borders and visa and amending Regulations (EC) No 767/2008, (EU) 2016/399, (EU) 2017/2226, (EU) 2018/1240, (EU) 2018/1726 and (EU) 2018/1861 of the European Parliament and of the Council and Council Decisions 2004/512/EC and 2008/633/JHA (Official Journal of the European Union L 135 of 22 May 2019)</t>
  </si>
  <si>
    <t xml:space="preserve">https://eur-lex.europa.eu/legal-content/EN/TXT/?uri=CELEX:32019R0817R(01)</t>
  </si>
  <si>
    <t xml:space="preserve">32019R0817R(02)</t>
  </si>
  <si>
    <t xml:space="preserve">2020-02-07</t>
  </si>
  <si>
    <t xml:space="preserve">https://eur-lex.europa.eu/legal-content/EN/TXT/?uri=CELEX:32019R0817R(02)</t>
  </si>
  <si>
    <t xml:space="preserve">32019R0817R(03)</t>
  </si>
  <si>
    <t xml:space="preserve">https://eur-lex.europa.eu/legal-content/EN/TXT/?uri=CELEX:32019R0817R(03)</t>
  </si>
  <si>
    <t xml:space="preserve">32019R0817R(04)</t>
  </si>
  <si>
    <t xml:space="preserve">https://eur-lex.europa.eu/legal-content/EN/TXT/?uri=CELEX:32019R0817R(04)</t>
  </si>
  <si>
    <t xml:space="preserve">32019R0817R(05)</t>
  </si>
  <si>
    <t xml:space="preserve">Corrigendum to Regulation (EU) 2019/817 of the European Parliament and of the Council of 20 May 2019 on establishing a framework for interoperability between EU information systems in the field of borders and visa and amending Regulations (EC) No 767/2008, (EU) 2016/399, (EU) 2017/2226, (EU) 2018/1240, (EU) 2018/1726 and (EU) 2018/1861 of the European Parliament and of the Council and Council Decisions 2004/512/EC and 2008/633/JHA (OJ L 135, 22.5.2019)</t>
  </si>
  <si>
    <t xml:space="preserve">https://eur-lex.europa.eu/legal-content/EN/TXT/?uri=CELEX:32019R0817R(05)</t>
  </si>
  <si>
    <t xml:space="preserve">32024R1028R(01)</t>
  </si>
  <si>
    <t xml:space="preserve">2026-09-22</t>
  </si>
  <si>
    <t xml:space="preserve">Corrigendum to Regulation (EU) 2024/1028 of the European Parliament and of the Council of 11 April 2024 on data collection and sharing relating to short-term accommodation rental services and amending Regulation (EU) 2018/1724 (OJ L, 2024/1028, 29.4.2024)</t>
  </si>
  <si>
    <t xml:space="preserve">https://eur-lex.europa.eu/legal-content/EN/TXT/?uri=CELEX:32024R1028R(01)</t>
  </si>
  <si>
    <t xml:space="preserve">reference</t>
  </si>
  <si>
    <t xml:space="preserve">C(2025) 884</t>
  </si>
  <si>
    <t xml:space="preserve">Commission Guidelines on prohibited artificial intelligence practices established by Regulation (EU) 2024/1689 (AI Act)</t>
  </si>
  <si>
    <t xml:space="preserve">https://digital-strategy.ec.europa.eu/en/library/commission-publishes-guidelines-prohibited-artificial-intelligence-ai-practices-defined-ai-act</t>
  </si>
  <si>
    <t xml:space="preserve">Not linked in EUR-Lex metadata; found by web search, not linked in EUR-Lex; not measured</t>
  </si>
  <si>
    <t xml:space="preserve">C(2025) 924</t>
  </si>
  <si>
    <t xml:space="preserve">Commission Guidelines on the definition of an artificial intelligence system established by Regulation (EU) 2024/1689 (AI Act)</t>
  </si>
  <si>
    <t xml:space="preserve">https://digital-strategy.ec.europa.eu/en/library/commission-publishes-guidelines-ai-system-definition-facilitate-first-ai-acts-rules-application</t>
  </si>
  <si>
    <t xml:space="preserve">Guidelines on the scope of the obligations for providers of general-purpose AI models under the AI Act</t>
  </si>
  <si>
    <t xml:space="preserve">https://digital-strategy.ec.europa.eu/en/policies/guidelines-gpai-providers</t>
  </si>
  <si>
    <t xml:space="preserve">Reference number not verified; found by web search, not linked in EUR-Lex; not measured</t>
  </si>
  <si>
    <t xml:space="preserve">Commission guidance on the Data Governance Act</t>
  </si>
  <si>
    <t xml:space="preserve">https://digital-strategy.ec.europa.eu/en/policies/data-governance-act-explained</t>
  </si>
  <si>
    <t xml:space="preserve">Non-binding staff guidance; found by web search, not linked in EUR-Lex; not measured</t>
  </si>
  <si>
    <t xml:space="preserve">2026-03</t>
  </si>
  <si>
    <t xml:space="preserve">Commission FAQs on the Cyber Resilience Act (living document)</t>
  </si>
  <si>
    <t xml:space="preserve">https://digital-strategy.ec.europa.eu/en/policies/cra-faqs</t>
  </si>
  <si>
    <t xml:space="preserve">Date approximate (reported late March 2026); found by web search, not linked in EUR-Lex; not measured</t>
  </si>
  <si>
    <t xml:space="preserve">C(2026) 5252</t>
  </si>
  <si>
    <t xml:space="preserve">2026-07-27</t>
  </si>
  <si>
    <t xml:space="preserve">Commission guidance on the application of Regulation (EU) 2024/2847 (CRA)</t>
  </si>
  <si>
    <t xml:space="preserve">https://digital-strategy.ec.europa.eu/en/policies/cyber-resilience-act</t>
  </si>
  <si>
    <t xml:space="preserve">Reported by secondary sources; Article 26 CRA guidance; found by web search, not linked in EUR-Lex; not measured</t>
  </si>
  <si>
    <t xml:space="preserve">agency</t>
  </si>
  <si>
    <t xml:space="preserve">status</t>
  </si>
  <si>
    <t xml:space="preserve">pdf_url</t>
  </si>
  <si>
    <t xml:space="preserve">words_total</t>
  </si>
  <si>
    <t xml:space="preserve">should_count</t>
  </si>
  <si>
    <t xml:space="preserve">EDPB</t>
  </si>
  <si>
    <t xml:space="preserve">Guidelines 2/2023 on Technical Scope of Art. 5(3) of ePrivacy Directive</t>
  </si>
  <si>
    <t xml:space="preserve">2024-10-16</t>
  </si>
  <si>
    <t xml:space="preserve">final</t>
  </si>
  <si>
    <t xml:space="preserve">https://www.edpb.europa.eu/system/files/documents/2024-10/edpb_guidelines_202302_technical_scope_art_53_eprivacydirective_v2_en_0.pdf</t>
  </si>
  <si>
    <t xml:space="preserve">non-binding guidance; 'should' is its usual verb (should_count)</t>
  </si>
  <si>
    <t xml:space="preserve">Right to data portability</t>
  </si>
  <si>
    <t xml:space="preserve">https://www.edpb.europa.eu/documents/guideline/right-to-data-portability_en</t>
  </si>
  <si>
    <t xml:space="preserve">not measured: PDF on a domain not reachable from this environment; non-binding guidance; 'should' is its usual verb (should_count)</t>
  </si>
  <si>
    <t xml:space="preserve">Transparency</t>
  </si>
  <si>
    <t xml:space="preserve">https://www.edpb.europa.eu/system/files/2023-09/wp260rev01_en.pdf</t>
  </si>
  <si>
    <t xml:space="preserve">not measured: HTTP Error 404: Not Found; non-binding guidance; 'should' is its usual verb (should_count)</t>
  </si>
  <si>
    <t xml:space="preserve">Data Protection Officer</t>
  </si>
  <si>
    <t xml:space="preserve">https://www.edpb.europa.eu/documents/guideline/data-protection-officer_en</t>
  </si>
  <si>
    <t xml:space="preserve">Guidelines 2/2018 on derogations of Article 49 under Regulation 2016/679</t>
  </si>
  <si>
    <t xml:space="preserve">https://www.edpb.europa.eu/system/files/documents/files/file1/edpb_guidelines_2_2018_derogations_en.pdf</t>
  </si>
  <si>
    <t xml:space="preserve">Data Protection impact assessments High risk processing</t>
  </si>
  <si>
    <t xml:space="preserve">https://www.edpb.europa.eu/documents/guideline/data-protection-impact-assessments-high-risk-processing_en</t>
  </si>
  <si>
    <t xml:space="preserve">Automated decision-making and profiling</t>
  </si>
  <si>
    <t xml:space="preserve">https://www.edpb.europa.eu/documents/guideline/automated-decision-making-and-profiling_en</t>
  </si>
  <si>
    <t xml:space="preserve">Guidelines for identifying a controller or processor's lead supervisory authority, WP244 rev.01</t>
  </si>
  <si>
    <t xml:space="preserve">https://www.edpb.europa.eu/documents/guideline/guidelines-for-identifying-a-controller-or-processors-lead-supervisory_en</t>
  </si>
  <si>
    <t xml:space="preserve">Article 29 Working Party guidelines endorsed by the EDPB; not measured: PDF on a domain not reachable from this environment; non-binding guidance; 'should' is its usual verb (should_count)</t>
  </si>
  <si>
    <t xml:space="preserve">Guidelines on the right to data portability under Regulation 2016/679, WP242 rev.01</t>
  </si>
  <si>
    <t xml:space="preserve">https://www.edpb.europa.eu/documents/guideline/guidelines-on-the-right-to-data-portability-under-regulation-2016679-wp242_en</t>
  </si>
  <si>
    <t xml:space="preserve">Guidelines 4/2018 on the accreditation of certification bodies under Article 43 of the General Data Protection Regulation (2016/679)</t>
  </si>
  <si>
    <t xml:space="preserve">2018-12-14</t>
  </si>
  <si>
    <t xml:space="preserve">https://www.edpb.europa.eu/system/files/documents/files/file1/edpb_guidelines_201804_v3.0_accreditationcertificationbodies_annex1_en.pdf</t>
  </si>
  <si>
    <t xml:space="preserve">Guidelines 1/2018 on certification and identifying certification criteria in accordance with Articles 42 and 43 of the Regulation - version adopted after public consultation</t>
  </si>
  <si>
    <t xml:space="preserve">https://www.edpb.europa.eu/system/files/documents/files/file1/edpb_guidelines_201801_v3.0_certificationcriteria_annex2_en.pdf</t>
  </si>
  <si>
    <t xml:space="preserve">Guidelines 1/2019 on Codes of Conduct and Monitoring Bodies under Regulation 2016/679</t>
  </si>
  <si>
    <t xml:space="preserve">https://www.edpb.europa.eu/system/files/documents/files/file1/edpb_guidelines_201901_v2.0_codesofconduct_en.pdf</t>
  </si>
  <si>
    <t xml:space="preserve">Recommendation 01/2019 on the draft list of the European Data Protection Supervisor regarding the processing operations subject to the requirement of a data protection impact assessment (Article 39.4 of Regulation (EU) 2018/1725)</t>
  </si>
  <si>
    <t xml:space="preserve">https://www.edpb.europa.eu/system/files/documents/files/file1/edpb_recommendation_201901_edps_39.4_dpia_list_en.pdf</t>
  </si>
  <si>
    <t xml:space="preserve">Guidelines 2/2019 on the processing of personal data under Article 6(1)(b) GDPR in the context of the provision of online services to data subjects</t>
  </si>
  <si>
    <t xml:space="preserve">2019-10-16</t>
  </si>
  <si>
    <t xml:space="preserve">https://www.edpb.europa.eu/system/files/documents/files/file1/edpb_guidelines-art_6-1-b-adopted_after_public_consultation_en.pdf</t>
  </si>
  <si>
    <t xml:space="preserve">Guidelines 3/2018 on the territorial scope of the GDPR (Article 3) - version adopted after public consultation</t>
  </si>
  <si>
    <t xml:space="preserve">2019-11-12</t>
  </si>
  <si>
    <t xml:space="preserve">https://www.edpb.europa.eu/system/files/documents/files/file1/edpb_guidelines_3_2018_territorial_scope_after_public_consultation_en_1.pdf</t>
  </si>
  <si>
    <t xml:space="preserve">Guidelines 3/2019 on processing of personal data through video devices</t>
  </si>
  <si>
    <t xml:space="preserve">2020-01-30</t>
  </si>
  <si>
    <t xml:space="preserve">https://www.edpb.europa.eu/system/files/documents/files/file1/edpb_guidelines_201903_video_devices_en_0.pdf</t>
  </si>
  <si>
    <t xml:space="preserve">Guidelines 04/2020 on the use of location data and contact tracing tools in the context of the COVID-19 outbreak</t>
  </si>
  <si>
    <t xml:space="preserve">https://www.edpb.europa.eu/system/files/documents/files/file1/edpb_guidelines_20200420_contact_tracing_covid_with_annex_en.pdf</t>
  </si>
  <si>
    <t xml:space="preserve">Guidelines 03/2020 on the processing of data concerning health for the purpose of scientific research in the context of the COVID-19 outbreak</t>
  </si>
  <si>
    <t xml:space="preserve">https://www.edpb.europa.eu/system/files/documents/files/file1/edpb_guidelines_202003_healthdatascientificresearchcovid19_en.pdf</t>
  </si>
  <si>
    <t xml:space="preserve">Guidelines 05/2020 on consent under Regulation 2016/679</t>
  </si>
  <si>
    <t xml:space="preserve">2020-05-04</t>
  </si>
  <si>
    <t xml:space="preserve">https://www.edpb.europa.eu/system/files/documents/files/file1/edpb_guidelines_202005_consent_en.pdf</t>
  </si>
  <si>
    <t xml:space="preserve">Guidelines 5/2019 on the criteria of the Right to be Forgotten in the search engines cases under the GDPR (part 1)</t>
  </si>
  <si>
    <t xml:space="preserve">https://www.edpb.europa.eu/system/files/documents/files/file1/edpb_guidelines_201905_rtbfsearchengines_afterpublicconsultation_en.pdf</t>
  </si>
  <si>
    <t xml:space="preserve">Guidelines 4/2019 on Article 25 Data Protection by Design and by Default</t>
  </si>
  <si>
    <t xml:space="preserve">2020-10-20</t>
  </si>
  <si>
    <t xml:space="preserve">https://www.edpb.europa.eu/system/files/documents/files/file1/edpb_guidelines_201904_dataprotection_by_design_and_by_default_v2.0_en.pdf</t>
  </si>
  <si>
    <t xml:space="preserve">Recommendations 02/2020 on the European Essential Guarantees for surveillance measures</t>
  </si>
  <si>
    <t xml:space="preserve">2020-11-10</t>
  </si>
  <si>
    <t xml:space="preserve">https://www.edpb.europa.eu/system/files/documents/files/file1/edpb_recommendations_202002_europeanessentialguaranteessurveillance_en.pdf</t>
  </si>
  <si>
    <t xml:space="preserve">Guidelines 2/2020 on articles 46 (2) (a) and 46 (3) (b) of Regulation 2016/679 for transfers of personal data between EEA and non-EEA public authorities and bodies</t>
  </si>
  <si>
    <t xml:space="preserve">https://www.edpb.europa.eu/system/files/documents/files/file1/edpb_guidelines_202002_art46guidelines_internationaltransferspublicbodies_v2_en.pdf</t>
  </si>
  <si>
    <t xml:space="preserve">Guidelines 09/2020 on relevant and reasoned objection under Regulation 2016/679</t>
  </si>
  <si>
    <t xml:space="preserve">2021-03-09</t>
  </si>
  <si>
    <t xml:space="preserve">https://www.edpb.europa.eu/system/files/documents/2021-03/edpb_guidelines_202009_rro_final_en.pdf</t>
  </si>
  <si>
    <t xml:space="preserve">Guidelines 01/2020 on processing personal data in the context of connected vehicles and mobility related applications</t>
  </si>
  <si>
    <t xml:space="preserve">https://www.edpb.europa.eu/system/files/documents/2021-03/edpb_guidelines_202001_connected_vehicles_v2.0_adopted_en.pdf</t>
  </si>
  <si>
    <t xml:space="preserve">Guidelines 8/2020 on the targeting of social media users</t>
  </si>
  <si>
    <t xml:space="preserve">2021-04-13</t>
  </si>
  <si>
    <t xml:space="preserve">https://www.edpb.europa.eu/system/files/documents/2021-04/edpb_guidelines_082020_on_the_targeting_of_social_media_users_en.pdf</t>
  </si>
  <si>
    <t xml:space="preserve">Recommendations 02/2021 on the legal basis for the storage of credit card data for the sole purpose of facilitating further online transactions</t>
  </si>
  <si>
    <t xml:space="preserve">2021-05-19</t>
  </si>
  <si>
    <t xml:space="preserve">https://www.edpb.europa.eu/system/files/documents/2021-05/recommendations022021_on_storage_of_credit_card_data_en_1.pdf</t>
  </si>
  <si>
    <t xml:space="preserve">Recommendations 01/2020 on measures that supplement transfer tools to ensure compliance with the EU level of protection of personal data</t>
  </si>
  <si>
    <t xml:space="preserve">https://www.edpb.europa.eu/system/files/documents/2021-06/edpb_recommendations_202001vo.2.0_supplementarymeasurestransferstools_en.pdf</t>
  </si>
  <si>
    <t xml:space="preserve">Guidelines 02/2021 on virtual voice assistants</t>
  </si>
  <si>
    <t xml:space="preserve">https://www.edpb.europa.eu/system/files/documents/2021-07/edpb_guidelines_202102_on_vva_v2.0_adopted_en.pdf</t>
  </si>
  <si>
    <t xml:space="preserve">Guidelines 07/2020 on the concepts of controller and processor in the GDPR</t>
  </si>
  <si>
    <t xml:space="preserve">https://www.edpb.europa.eu/system/files/documents/2023-10/EDPB_guidelines_202007_controllerprocessor_final_en.pdf</t>
  </si>
  <si>
    <t xml:space="preserve">Guidelines 10/2020 on restrictions under Article 23 GDPR</t>
  </si>
  <si>
    <t xml:space="preserve">2021-10-13</t>
  </si>
  <si>
    <t xml:space="preserve">https://www.edpb.europa.eu/system/files/2026-04/edpb_guidelines202010_on_art23_adopted_after_consultation_en.pdf</t>
  </si>
  <si>
    <t xml:space="preserve">Guidelines 01/2021 on Examples regarding Personal Data Breach Notification</t>
  </si>
  <si>
    <t xml:space="preserve">2022-01-03</t>
  </si>
  <si>
    <t xml:space="preserve">https://www.edpb.europa.eu/system/files/documents/2022-01/edpb_guidelines_012021_pdbnotification_adopted_en.pdf</t>
  </si>
  <si>
    <t xml:space="preserve">Guidelines 04/2021 on Codes of Conduct as tools for transfers</t>
  </si>
  <si>
    <t xml:space="preserve">2022-02-22</t>
  </si>
  <si>
    <t xml:space="preserve">https://www.edpb.europa.eu/system/files/documents/2022-03/edpb_guidelines_codes_conduct_transfers_after_public_consultation_en_1.pdf</t>
  </si>
  <si>
    <t xml:space="preserve">Guidelines 02/2022 on the application of Article 60 GDPR</t>
  </si>
  <si>
    <t xml:space="preserve">2022-03-14</t>
  </si>
  <si>
    <t xml:space="preserve">https://www.edpb.europa.eu/system/files/documents/2022-03/guidelines_202202_on_the_application_of_article_60_gdpr_en.pdf</t>
  </si>
  <si>
    <t xml:space="preserve">Guidelines 06/2022 on the practical implementation of amicable settlements</t>
  </si>
  <si>
    <t xml:space="preserve">2022-05-12</t>
  </si>
  <si>
    <t xml:space="preserve">https://www.edpb.europa.eu/system/files/documents/2022-06/edpb_guidelines_202206_on_the_practical_implementation_of_amicable_settlements_en.pdf</t>
  </si>
  <si>
    <t xml:space="preserve">Guidelines 03/2022 on deceptive design patterns in social media platform interfaces: how to recognise and avoid them</t>
  </si>
  <si>
    <t xml:space="preserve">2023-02-24</t>
  </si>
  <si>
    <t xml:space="preserve">https://www.edpb.europa.eu/system/files/documents/2023-02/edpb_03-2022_guidelines_on_deceptive_design_patterns_in_social_media_platform_interfaces_v2_en_0.pdf</t>
  </si>
  <si>
    <t xml:space="preserve">Guidelines 05/2021 on the Interplay between the application of Article 3 and the provisions on international transfers as per Chapter V of the GDPR</t>
  </si>
  <si>
    <t xml:space="preserve">https://www.edpb.europa.eu/system/files/documents/2023-02/edpb_guidelines_05-2021_interplay_between_the_application_of_art3-chapter_v_of_the_gdpr_v2_en_0.pdf</t>
  </si>
  <si>
    <t xml:space="preserve">Guidelines 07/2022 on certification as a tool for transfers</t>
  </si>
  <si>
    <t xml:space="preserve">https://www.edpb.europa.eu/system/files/documents/2023-02/edpb_guidelines_07-2022_on_certification_as_a_tool_for_transfers_v2_en_0.pdf</t>
  </si>
  <si>
    <t xml:space="preserve">Guidelines 9/2022 on personal data breach notification under GDPR</t>
  </si>
  <si>
    <t xml:space="preserve">https://www.edpb.europa.eu/system/files/documents/2023-04/edpb_guidelines_202209_personal_data_breach_notification_v2.0_en.pdf</t>
  </si>
  <si>
    <t xml:space="preserve">Guidelines 01/2022 on data subject rights - Right of access</t>
  </si>
  <si>
    <t xml:space="preserve">2023-04-17</t>
  </si>
  <si>
    <t xml:space="preserve">https://www.edpb.europa.eu/system/files/documents/2023-04/edpb_guidelines_202201_data_subject_rights_access_v2_en.pdf</t>
  </si>
  <si>
    <t xml:space="preserve">Guidelines 8/2022 on identifying a controller or processor’s lead supervisory authority</t>
  </si>
  <si>
    <t xml:space="preserve">https://www.edpb.europa.eu/system/files/documents/2023-04/edpb_guidelines_202208_identifying_lsa_targeted_update_v2_en.pdf</t>
  </si>
  <si>
    <t xml:space="preserve">Guidelines 05/2022 on the use of facial recognition technology in the area of law enforcement</t>
  </si>
  <si>
    <t xml:space="preserve">https://www.edpb.europa.eu/system/files/documents/2023-05/edpb_guidelines_202304_frtlawenforcement_v2_en.pdf</t>
  </si>
  <si>
    <t xml:space="preserve">Guidelines 03/2021 on the application of Article 65(1)(a) GDPR</t>
  </si>
  <si>
    <t xml:space="preserve">2023-05-24</t>
  </si>
  <si>
    <t xml:space="preserve">https://www.edpb.europa.eu/system/files/documents/2023-06/edpb_guidelines_202103_article65-1-a_v2_en.pdf</t>
  </si>
  <si>
    <t xml:space="preserve">Guidelines 04/2022 on the calculation of administrative fines under the GDPR</t>
  </si>
  <si>
    <t xml:space="preserve">https://www.edpb.europa.eu/system/files/documents/2023-06/edpb_guidelines_042022_calculationofadministrativefines_en.pdf</t>
  </si>
  <si>
    <t xml:space="preserve">Recommendations 1/2022 on the Application for Approval and on the elements and principles to be found in Controller Binding Corporate Rules (Art. 47 GDPR)</t>
  </si>
  <si>
    <t xml:space="preserve">https://www.edpb.europa.eu/system/files/documents/2023-06/edpb_recommendations_20221_bcr-c_v2_en.pdf</t>
  </si>
  <si>
    <t xml:space="preserve">Recommendations 1/2025 on the 2027 WADA World Anti-Doping Code</t>
  </si>
  <si>
    <t xml:space="preserve">https://www.edpb.europa.eu/system/files/documents/2025-02/edpb_recommendations_202501_wada_2027_world_anti-doping_code_en.pdf</t>
  </si>
  <si>
    <t xml:space="preserve">Guidelines 02/2024 on Article 48 GDPR</t>
  </si>
  <si>
    <t xml:space="preserve">https://www.edpb.europa.eu/system/files/documents/2025-06/edpb_guidelines_202402_article48_v2_en.pdf</t>
  </si>
  <si>
    <t xml:space="preserve">Guidelines 02/2025 on processing of personal data through blockchain technologies</t>
  </si>
  <si>
    <t xml:space="preserve">2026-07-07</t>
  </si>
  <si>
    <t xml:space="preserve">https://www.edpb.europa.eu/system/files/2026-07/edpb_guidelines_202502_blockchain_v2_en.pdf</t>
  </si>
  <si>
    <t xml:space="preserve">Recommendations 01/2021 on the adequacy referential under the Law Enforcement Directive</t>
  </si>
  <si>
    <t xml:space="preserve">2021-02-02</t>
  </si>
  <si>
    <t xml:space="preserve">https://www.edpb.europa.eu/system/files/documents/files/file1/recommendations012021onart.36led.pdf_en.pdf</t>
  </si>
  <si>
    <t xml:space="preserve">Guidelines 01/2023 on Article 37 Law Enforcement Directive</t>
  </si>
  <si>
    <t xml:space="preserve">https://www.edpb.europa.eu/system/files/documents/2024-06/edpb-guidelines-202301_art_37_led_final_0_en.pdf</t>
  </si>
  <si>
    <t xml:space="preserve">EBA</t>
  </si>
  <si>
    <t xml:space="preserve">Guidelines on authorisation and registration under PSD2 (EBA/GL/2017/09)</t>
  </si>
  <si>
    <t xml:space="preserve">https://www.eba.europa.eu/sites/default/files/documents/10180/1904583/f0e94433-f59b-4c24-9cec-2d6a2277b62c/Final%20Guidelines%20on%20Authorisations%20of%20Payment%20Institutions%20%28EBA-GL-2017-09%29.pdf</t>
  </si>
  <si>
    <t xml:space="preserve">measured on the final report (includes rationale and consultation feedback); non-binding guidance; 'should' is its usual verb (should_count)</t>
  </si>
  <si>
    <t xml:space="preserve">Guidelines on the criteria on how to stipulate the minimum monetary amount of the PII under PSD2 (EBA/GL/2017/08)</t>
  </si>
  <si>
    <t xml:space="preserve">https://www.eba.europa.eu/documents/10180/1901998/6411f24d-e430-4e05-ab03-1393a3f865cb/Final%20Guidelines%20on%20PII%20under%20PSD2%20(EBA-GL-2017-08).pdf</t>
  </si>
  <si>
    <t xml:space="preserve">Guidelines on the conditions to benefit from an exemption from the contingency mechanism (EBA/GL/2018/07)</t>
  </si>
  <si>
    <t xml:space="preserve">https://www.eba.europa.eu/sites/default/files/documents/10180/2250578/4e3b9449-ecf9-4756-8006-cbbe74db6d03/Final%20Report%20on%20Guidelines%20on%20the%20exemption%20to%20the%20fall%20back.pdf</t>
  </si>
  <si>
    <t xml:space="preserve">Final revised Guidelines on major incident reporting under PSD2.pdf</t>
  </si>
  <si>
    <t xml:space="preserve">10 June 2021</t>
  </si>
  <si>
    <t xml:space="preserve">https://www.eba.europa.eu/sites/default/files/document_library/Publications/Guidelines/2021/Guidelines%20on%20major%20incident%20reporting%20under%20PSD2%20EBA-GL-2021-03/1014562/Final%20revised%20Guidelines%20on%20major%20incident%20reporting%20under%20PSD2.pdf</t>
  </si>
  <si>
    <t xml:space="preserve">Final report on amending Guidelines on ICT risk and security management</t>
  </si>
  <si>
    <t xml:space="preserve">11 February 2025</t>
  </si>
  <si>
    <t xml:space="preserve">https://www.eba.europa.eu/sites/default/files/2025-02/23684f95-f669-4852-94a0-dac6c2ae67ad/Final%20report%20on%20amending%20GLs%20on%20ICT%20risk%20and%20security.pdf</t>
  </si>
  <si>
    <t xml:space="preserve">EBA GL 2017 17-CT - (updated) - GLs on security measures for operational and security risks of payment services.pdf</t>
  </si>
  <si>
    <t xml:space="preserve">14 January 2020</t>
  </si>
  <si>
    <t xml:space="preserve">https://www.eba.europa.eu/sites/default/files/document_library//EBA%20GL%202017%2017-CT%20-%20%28updated%29%20-%20GLs%20on%20security%20measures%20for%20operational%20and%20security%20risks%20of%20payment%20services.pdf</t>
  </si>
  <si>
    <t xml:space="preserve">Final report on Guidelines on fraud reporting under Article 96(6) PSD2 (EBA-GL-2018-05)</t>
  </si>
  <si>
    <t xml:space="preserve">18 July 2018</t>
  </si>
  <si>
    <t xml:space="preserve">https://www.eba.europa.eu/sites/default/files/documents/10180/2281937/5653b876-90c9-476f-9f44-507f5f3e0a1e/Final%20report%20on%20Guidelines%20on%20fraud%20reporting%20under%20Article%2096%286%29%20PSD2%20%28EBA-GL-2018-05%29.pdf</t>
  </si>
  <si>
    <t xml:space="preserve">Consolidated version of EBA ameding Guidelines on ICT and security risk management</t>
  </si>
  <si>
    <t xml:space="preserve">19 May 2026</t>
  </si>
  <si>
    <t xml:space="preserve">https://www.eba.europa.eu/sites/default/files/2026-05/c8fb6168-0aef-42f6-8da9-114a8baf21b9/Consolidated%20version%20of%20EBA%20ameding%20Guidelines%20on%20ICT%20and%20security%20risk%20management.pdf</t>
  </si>
  <si>
    <t xml:space="preserve">Guidelines amending Guidelines on equivalence of confidentiality regimes</t>
  </si>
  <si>
    <t xml:space="preserve">22 December 2025</t>
  </si>
  <si>
    <t xml:space="preserve">https://www.eba.europa.eu/sites/default/files/2025-12/28a8651c-3e1f-4e38-88aa-959185dd1043/Guidelines%20amending%20Guidelines%20on%20equivalence%20of%20confidentiality%20regimes.pdf</t>
  </si>
  <si>
    <t xml:space="preserve">Final report on draft Guidelines on the limited network exclusion under PSD2.pdf</t>
  </si>
  <si>
    <t xml:space="preserve">24 February 2022</t>
  </si>
  <si>
    <t xml:space="preserve">https://www.eba.europa.eu/sites/default/files/document_library/Publications/Guidelines/2022/EBA-GL-2022-02%20GL%20on%20limited%20network%20exclusions/1027516/Final%20report%20on%20draft%20Guidelines%20on%20the%20limited%20network%20exclusion%20under%20PSD2.pdf</t>
  </si>
  <si>
    <t xml:space="preserve">Guidelines on equivalence of confidentiality regimes.pdf</t>
  </si>
  <si>
    <t xml:space="preserve">3 May 2022</t>
  </si>
  <si>
    <t xml:space="preserve">https://www.eba.europa.eu/sites/default/files/document_library/Publications/Guidelines/2022/Guidelines%20on%20the%20equivalence%20of%20confidentiality%20regimes/1032151/Guidelines%20on%20equivalence%20of%20confidentiality%20regimes.pdf</t>
  </si>
  <si>
    <t xml:space="preserve">Guidelines 06/2020 on the interplay of the Second Payment Services Directive and the GDPR</t>
  </si>
  <si>
    <t xml:space="preserve">https://www.edpb.europa.eu/system/files/documents/files/file1/edpb_guidelines_202006_psd2_afterpublicconsultation_en.pdf</t>
  </si>
  <si>
    <t xml:space="preserve">also relates to 32016R0679; non-binding guidance; 'should' is its usual verb (should_count)</t>
  </si>
  <si>
    <t xml:space="preserve">ESMA</t>
  </si>
  <si>
    <t xml:space="preserve">Guidelines on standard forms, formats and templates to apply for permission to operate a DLT market infrastructure</t>
  </si>
  <si>
    <t xml:space="preserve">2023-03-08</t>
  </si>
  <si>
    <t xml:space="preserve">https://www.esma.europa.eu/sites/default/files/library/ESMA70-460-213_DLTR_GLs_on_application_standard_forms_formats_templates.pdf</t>
  </si>
  <si>
    <t xml:space="preserve">ESAs Guidelines on templates for explanations and opinions, and the standardised test for the classification of crypto-assets</t>
  </si>
  <si>
    <t xml:space="preserve">10 December 2024</t>
  </si>
  <si>
    <t xml:space="preserve">https://www.eba.europa.eu/sites/default/files/2024-12/f4d876e5-5351-4314-b45f-ac3cd702f95b/Joint%20ESA%20Final%20Report%20on%20Art%2097%20Guidelines%20MiCAR.pdf</t>
  </si>
  <si>
    <t xml:space="preserve">Final report on Guidelines on reporting on ARTs and EMTs</t>
  </si>
  <si>
    <t xml:space="preserve">18 December 2024</t>
  </si>
  <si>
    <t xml:space="preserve">https://www.eba.europa.eu/sites/default/files/2024-12/907cde4b-7d25-4f41-b1ef-bb0a469f00ac/Final%20report%20on%20Guidelines%20on%20reporting%20on%20ARTs%20and%20EMTs.pdf</t>
  </si>
  <si>
    <t xml:space="preserve">Final Report on Guidelines on liquidity stress testing under MiCAR</t>
  </si>
  <si>
    <t xml:space="preserve">19 June 2024</t>
  </si>
  <si>
    <t xml:space="preserve">https://www.eba.europa.eu/sites/default/files/2024-06/2bd7add3-35b1-40d7-9c45-67c8cccbe97a/Final%20report%20on%20Guidelines%20on%20liquidity%20stress%20testing%20under%20MiCAR.pdf</t>
  </si>
  <si>
    <t xml:space="preserve">Joint EBA and ESMA Guidelines on suitability of management body and qualifying holdings under MiCAR</t>
  </si>
  <si>
    <t xml:space="preserve">27 June 2024</t>
  </si>
  <si>
    <t xml:space="preserve">https://www.eba.europa.eu/sites/default/files/2024-06/2a0668ab-5d70-495a-a723-f6568fe8c830/Joint%20GL%20suitability%20members%20management%20body%20and%20QH%20%28MiCAR%29.pdf</t>
  </si>
  <si>
    <t xml:space="preserve">Amending Guidelines for the identification of global systemically important institutions.pdf</t>
  </si>
  <si>
    <t xml:space="preserve">29 September 2022</t>
  </si>
  <si>
    <t xml:space="preserve">https://www.eba.europa.eu/sites/default/files/document_library/Publications/Guidelines/2022/EBA-GL-2022-12%20Amending%20Guidelines%20on%20the%20specification%20and%20disclosure%20of%20systemic%20importance%20indicators/1039906/Amending%20Guidelines%20on%20the%20specification%20and%20disclosure%20of%20systemic%20importance%20indicators.pdf</t>
  </si>
  <si>
    <t xml:space="preserve">Final report on Guidelines on the minimum content of the governance arrangements for issuers of asset-referenced tokens</t>
  </si>
  <si>
    <t xml:space="preserve">6 June 2024</t>
  </si>
  <si>
    <t xml:space="preserve">https://www.eba.europa.eu/sites/default/files/2024-06/611ef3d4-4d67-467f-bf0d-4c2b1dd0ef5e/Final%20report%20on%20draft%20Guidelines%20on%20internal%20governance%20of%20issuers%20of%20ARTs.pdf</t>
  </si>
  <si>
    <t xml:space="preserve">Final report on Guidelines on redemption plans under MiCAR</t>
  </si>
  <si>
    <t xml:space="preserve">9 October 2024</t>
  </si>
  <si>
    <t xml:space="preserve">https://www.eba.europa.eu/sites/default/files/2024-10/f8fda168-4d97-4549-9cfe-46d1d1a27636/Final%20report%20on%20Guidelines%20on%20redemption%20plans%20under%20MiCAR.pdf</t>
  </si>
  <si>
    <t xml:space="preserve">Guidelines on the conditions and criteria for the qualification of crypto-assets as financial instruments (final report)</t>
  </si>
  <si>
    <t xml:space="preserve">https://www.esma.europa.eu/sites/default/files/2024-12/ESMA75453128700-1323_Final_Report_Guidelines_on_the_conditions_and_criteria_for_the_qualification_of_CAs_as_FIs.pdf</t>
  </si>
  <si>
    <t xml:space="preserve">Guidelines on transfer services for crypto-assets under MiCA</t>
  </si>
  <si>
    <t xml:space="preserve">https://www.esma.europa.eu/sites/default/files/2025-02/ESMA35-1872330276-2032_Guidelines_on_transfer_services_for_crypto-assets_under_MiCA.pdf</t>
  </si>
  <si>
    <t xml:space="preserve">Guidelines on reverse solicitation under MiCA</t>
  </si>
  <si>
    <t xml:space="preserve">https://www.esma.europa.eu/sites/default/files/2025-02/ESMA35-1872330276-2030_Guidelines_on_reverse_solicitation_under_MiCA.pdf</t>
  </si>
  <si>
    <t xml:space="preserve">Guidelines on maintenance of systems and security access protocols under MiCA</t>
  </si>
  <si>
    <t xml:space="preserve">https://www.esma.europa.eu/sites/default/files/2025-02/ESMA75-223375936-6132_Guidelines_on_maintenance_of_systems_and_security_access_protocols_under_MiCA.pdf</t>
  </si>
  <si>
    <t xml:space="preserve">Guidelines on certain aspects of the suitability requirements and format of the periodic statement for portfolio management activities under MiCA</t>
  </si>
  <si>
    <t xml:space="preserve">https://www.esma.europa.eu/sites/default/files/2025-03/ESMA35-1872330276-2031_Guidelines_on_suitability_and_periodic_statement_MiCA.pdf</t>
  </si>
  <si>
    <t xml:space="preserve">Guidelines on supervisory practices to prevent and detect market abuse under MiCA</t>
  </si>
  <si>
    <t xml:space="preserve">https://www.esma.europa.eu/sites/default/files/2025-07/ESMA75-453128700-1039_Guidelines_on_supervisory_practices_to_prevent_and_detect_market_abuse__MiCA_.pdf</t>
  </si>
  <si>
    <t xml:space="preserve">Guidelines for the criteria on the assessment of knowledge and competence under the Markets in Crypto Assets Regulation (MiCA)</t>
  </si>
  <si>
    <t xml:space="preserve">https://www.esma.europa.eu/sites/default/files/2026-01/ESMA35-24871704-2922_Guidelines_for_the_criteria_on_the_assessment_of_knowledge_and_competence_under_MiCA.pdf</t>
  </si>
  <si>
    <t xml:space="preserve">Joint Guidelines on the estimation of aggregated costs/losses caused by major ICT-related incidents</t>
  </si>
  <si>
    <t xml:space="preserve">17 July 2024</t>
  </si>
  <si>
    <t xml:space="preserve">https://www.eba.europa.eu/sites/default/files/2024-07/48958acb-1c6d-40f0-9784-961713759972/JC%202024-34%20-%20Final%20report%20GL%20on%20costs%20and%20losses.pdf</t>
  </si>
  <si>
    <t xml:space="preserve">Joint Guidelines on oversight cooperation</t>
  </si>
  <si>
    <t xml:space="preserve">https://www.eba.europa.eu/sites/default/files/2024-07/e0701aa1-d1a5-4996-8b30-5a933d15058e/JC%202024-36%20-%20Final%20report%20on%20GL%20on%20oversight%20cooperation.pdf</t>
  </si>
  <si>
    <t xml:space="preserve">joint guidelines, also published by ESMA; measured on the final report (includes rationale and consultation feedback); non-binding guidance; 'should' is its usual verb (should_count)</t>
  </si>
  <si>
    <t xml:space="preserve">Guidelines 3/2025 on the interplay between the DSA and the GDPR</t>
  </si>
  <si>
    <t xml:space="preserve">2026-09-17</t>
  </si>
  <si>
    <t xml:space="preserve">https://www.edpb.europa.eu/system/files/2026-09/edpb_guidelines_202503_interplay-dsa-gdpr_v2_en.pdf</t>
  </si>
  <si>
    <t xml:space="preserve"># CEPS instruments: size, restrictions and secondary acts — method</t>
  </si>
  <si>
    <t xml:space="preserve">## Scope</t>
  </si>
  <si>
    <t xml:space="preserve">- Rows: the 115 instruments in `data/ceps_instruments.csv` (CEPS Table 1, July 2025, plus 8 enacted instruments added from the same table).</t>
  </si>
  <si>
    <t xml:space="preserve">- Text measured per row: the original act as published in the Official Journal; for instruments still pending in October 2026, the Commission proposal (COM document). Four pending items were adopted after the CEPS snapshot and are measured on the adopted act (ViDA 2025/516, compulsory licensing 2025/2645, GDPR procedural 2025/2518, toy safety 2025/2509). PSR and PSD3 (politically agreed, not yet adopted) are measured on the 2023 Commission proposals, by choice; headline figures for the Council final compromise texts (ST 8221/26 and ST 8222/26, 17 April 2026, published 23 April) are given in the note column for comparison. Council documents use a larger page layout, so their page counts are not comparable with OJ pages.</t>
  </si>
  <si>
    <t xml:space="preserve">- Where a row covers two acts (horizontal block exemptions 2023/1066 and 2023/1067), figures are summed.</t>
  </si>
  <si>
    <t xml:space="preserve">- English language versions only. Source: EUR-Lex HTML for text, EUR-Lex / Cellar PDF for page counts.</t>
  </si>
  <si>
    <t xml:space="preserve">## Pages</t>
  </si>
  <si>
    <t xml:space="preserve">- Page count of the official PDF. For COM proposals EUR-Lex serves the document in several parts (main text, annexes); pages are summed across all parts, so they include the explanatory memorandum and the legislative financial statement.</t>
  </si>
  <si>
    <t xml:space="preserve">## Words</t>
  </si>
  <si>
    <t xml:space="preserve">- Words = tokens of letters/digits (hyphenated words count once).</t>
  </si>
  <si>
    <t xml:space="preserve">- Split: preamble (title, citations, recitals), of which recitals (from "Whereas"); articles (enacting terms up to "Done at"); annexes; and for proposals the explanatory memorandum and legislative financial statement, reported separately.</t>
  </si>
  <si>
    <t xml:space="preserve">- `words_legal_text` = preamble + articles + annexes (excludes memorandum and financial statement).</t>
  </si>
  <si>
    <t xml:space="preserve">- Words in quoted amending text are counted (they are part of the act); footnotes after the signature block are not.</t>
  </si>
  <si>
    <t xml:space="preserve">## Restrictions</t>
  </si>
  <si>
    <t xml:space="preserve">Counted in articles and annexes only (recitals are not binding). Each marker instance is counted once; a list introduced by one "shall" counts once.</t>
  </si>
  <si>
    <t xml:space="preserve">| Category | Markers |</t>
  </si>
  <si>
    <t xml:space="preserve">|---|---|</t>
  </si>
  <si>
    <t xml:space="preserve">| obligation | shall; must; has to / have to |</t>
  </si>
  <si>
    <t xml:space="preserve">| prohibition | shall not; may not; must not; (shall be / is / are) prohibited; "no X shall" |</t>
  </si>
  <si>
    <t xml:space="preserve">| restricted_permission | may only; shall only; may … only if/where/when/to the extent |</t>
  </si>
  <si>
    <t xml:space="preserve">| duty_of_result | shall ensure (tagged separately: one instance can stand for a whole compliance system) |</t>
  </si>
  <si>
    <t xml:space="preserve">| explicit_requirement | is/are required (to); mandatory; obliged to; an obligation to; requirement to — counted only in clauses with no other marker |</t>
  </si>
  <si>
    <t xml:space="preserve">Excluded uses of "shall" (they regulate no one):</t>
  </si>
  <si>
    <t xml:space="preserve">- entry into force, application, binding-ness, expiry ("shall enter into force", "shall apply", "shall be binding", "shall take effect")</t>
  </si>
  <si>
    <t xml:space="preserve">- definitions and legal fictions ("shall mean", "shall be deemed / considered / construed / presumed"; "shall include / comprise" in definitions)</t>
  </si>
  <si>
    <t xml:space="preserve">- amendment instructions ("is replaced by", "shall be amended as follows"); quoted text inserted by amendment instructions is skipped</t>
  </si>
  <si>
    <t xml:space="preserve">- saving clauses ("shall be without prejudice", "shall not affect / prejudice / apply / preclude")</t>
  </si>
  <si>
    <t xml:space="preserve">- rights, entitlements and powers ("shall have the right", "shall be entitled", "shall be empowered")</t>
  </si>
  <si>
    <t xml:space="preserve">- constitutive rules, added after validation: "shall be calculated / determined in accordance with / apportioned / allocated / composed / chaired / financed / eligible / valid", "shall have jurisdiction", "shall be liable", "shall become chargeable", "shall occur", "shall have the equivalent legal effect", time-limit mechanics ("shall be suspended / interrupted / extended by")</t>
  </si>
  <si>
    <t xml:space="preserve">Bare nouns such as "the obligations laid down in Article 5" are cross-references and are not counted. This narrows the "requirement(s) / obligation(s)" terms in the original method notes.</t>
  </si>
  <si>
    <t xml:space="preserve">### Who the restriction binds</t>
  </si>
  <si>
    <t xml:space="preserve">Each counted instance is assigned to one addressee using the grammatical subject (spaCy `en_core_web_sm` dependency parse; the agent of a passive "by …" phrase where one is present), matched against word lists:</t>
  </si>
  <si>
    <t xml:space="preserve">- private_parties: providers, operators, manufacturers, undertakings, controllers, gatekeepers, financial entities, platforms, persons, etc.</t>
  </si>
  <si>
    <t xml:space="preserve">- member_states: Member States and national authorities, courts, coordinators, single points of contact, CSIRTs</t>
  </si>
  <si>
    <t xml:space="preserve">- eu_institutions: Commission, Council, Parliament, agencies, boards, offices, Union entities; also passive sentences about implementing or delegated acts (adopted by the Commission)</t>
  </si>
  <si>
    <t xml:space="preserve">- unclear: no identifiable actor (passives with no agent, procedural rules such as "the report shall be communicated")</t>
  </si>
  <si>
    <t xml:space="preserve">Pronouns ("it shall") take the addressee of the preceding counted instance in the same document.</t>
  </si>
  <si>
    <t xml:space="preserve">## Consolidated versions</t>
  </si>
  <si>
    <t xml:space="preserve">Restrictions are also counted in the latest consolidated version in EUR-Lex (CELEX 0…), where one exists. Consolidated texts have no recitals and no official pagination, so only restrictions are reported for them.</t>
  </si>
  <si>
    <t xml:space="preserve">## Implementing / delegated acts and guidance</t>
  </si>
  <si>
    <t xml:space="preserve">- From the Publications Office's Cellar database: every act linked to the instrument as its legal basis.</t>
  </si>
  <si>
    <t xml:space="preserve">- Kept: implementing and delegated acts, other Commission or Council regulations and directives adopted under the act, and Commission guidance (guidelines, Commission recommendations, and Commission notices or communications whose title marks them as guidance or interpretation).</t>
  </si>
  <si>
    <t xml:space="preserve">- Excluded: individual decisions (merger clearances, state-aid-style decisions), merger notices and announcements, internal rules of procedure, Parliament or ESRB recommendations, reports.</t>
  </si>
  <si>
    <t xml:space="preserve">- Implementing decisions addressed to a single Member State (e.g. VAT derogations) are kept but flagged.</t>
  </si>
  <si>
    <t xml:space="preserve">- Each secondary act is measured like the main act and listed as its own line item in `secondary_acts`.</t>
  </si>
  <si>
    <t xml:space="preserve">- Guidance is non-binding, so its restriction counts mostly reflect obligations it restates. They are shown for completeness, not as additional restrictions.</t>
  </si>
  <si>
    <t xml:space="preserve">- `guidance_web`: Commission guidance found by web search that EUR-Lex does not link to the act (e.g. AI Act guidelines). Not measured. This list is incomplete; level-3 guidance from EU agencies (EDPB, EBA, ESMA, EIOPA) is out of scope.</t>
  </si>
  <si>
    <t xml:space="preserve">## Policy area</t>
  </si>
  <si>
    <t xml:space="preserve">The column each instrument occupies in CEPS Table 1 (12 areas, from Research &amp; Innovation to Finance), read from the cell positions in the CEPS PDF. `ceps_table_status` is the cell colour (enacted / proposal / planned); pending items that CEPS lists inside the cell of an enacted predecessor (e.g. PSD3 in the PSD2 cell) are labelled accordingly.</t>
  </si>
  <si>
    <t xml:space="preserve">## Dates and amendments</t>
  </si>
  <si>
    <t xml:space="preserve">- `adoption_date`: date of signature of the act (date of the document where no signature date is recorded); `oj_publication_date`; `entry_into_force`: the earliest entry-into-force date on or after adoption. All from Cellar.</t>
  </si>
  <si>
    <t xml:space="preserve">- Amendments: acts recorded in Cellar as amending the instrument (adopted acts only). Corrigenda are listed in the `amendments` sheet but not counted as amendments. `n_amending_acts`, `first_amendment_date`, `latest_amendment_date` summarise them.</t>
  </si>
  <si>
    <t xml:space="preserve">## Proposal vs adopted text</t>
  </si>
  <si>
    <t xml:space="preserve">- The original Commission proposal is the earliest proposal Cellar links to the adopted act; amended proposals are not used.</t>
  </si>
  <si>
    <t xml:space="preserve">- Measured like the adopted text, on the legal text only (preamble + articles + annexes; explanatory memorandum and financial statement excluded). Changes are formulas (absolute and %).</t>
  </si>
  <si>
    <t xml:space="preserve">- Proposals without usable HTML (pre-1996 proposals published as scans of the OJ C series, and the 2004 VAT recast whose articles sit in image tables) are measured from the PDF text layer and marked "PDF text (approximate)".</t>
  </si>
  <si>
    <t xml:space="preserve">- Not comparable (left blank, with the reason): the VAT recast (its PDF mixes struck-through text and correlation tables), the Community Design Regulation (its 1993 PDF bundles the companion Design Directive proposal) and the Merger Regulation (proposal not in EUR-Lex). Commission-only acts (block exemptions) have no legislative proposal.</t>
  </si>
  <si>
    <t xml:space="preserve">- Rows that are themselves proposals have no comparison.</t>
  </si>
  <si>
    <t xml:space="preserve">## EU agency guidance (EDPB, EBA, ESMA)</t>
  </si>
  <si>
    <t xml:space="preserve">- Final guidelines and recommendations only; no Q&amp;As, consultation drafts or draft technical standards (the latter are counted once adopted as delegated/implementing acts).</t>
  </si>
  <si>
    <t xml:space="preserve">- EDPB: every guideline and recommendation in the EDPB document library, reviewed by hand for final status (one 2026 v1 consultation draft excluded); Article 29 Working Party guidelines endorsed by the EDPB are included and flagged. Mapped to GDPR unless the title points to ePrivacy, the Law Enforcement Directive, PSD2 or the DSA. Some endorsed WP29 documents sit on a European Commission archive domain not reachable here and are listed without measurements.</t>
  </si>
  <si>
    <t xml:space="preserve">- EBA: all items of type "Guidelines" in the EBA publications listing (plus the topic-filtered listings), kept only where the document names PSD2, MiCA, DORA or the AML Regulation as its legal basis (or in its title); four older PSD2 guidelines missing from the listing were added from the EBA's legacy PSD2 page. The PSD2 complaints-procedure guidelines (EBA/GL/2017/13) could not be retrieved.</t>
  </si>
  <si>
    <t xml:space="preserve">- ESMA: all "Guidelines" documents in the Digital Finance and Joint Committee sections of the ESMA library (full crawl), kept where the legal basis is MiCA, DORA or the DLT Pilot Regime, plus the MiCA crypto-asset qualification guidelines from ESMA's MiCA page.</t>
  </si>
  <si>
    <t xml:space="preserve">- Joint EBA/ESMA (ESA) guidelines are counted once.</t>
  </si>
  <si>
    <t xml:space="preserve">- EBA and ESMA guidelines are measured on the published final report, which also contains the rationale and the feedback on the consultation, so page and word counts overstate the guidelines themselves.</t>
  </si>
  <si>
    <t xml:space="preserve">- Guidance mostly uses "should"; restriction counts (which count "shall"/"must" etc.) are low by design. `should_count` is shown alongside.</t>
  </si>
  <si>
    <t xml:space="preserve">## National transposition (directives only)</t>
  </si>
  <si>
    <t xml:space="preserve">Number of national implementing measures linked to the directive in EUR-Lex, and the number of Member States (including the UK before 2020) with at least one. Counts reflect what Member States notified; some notify whole codes, which inflates counts.</t>
  </si>
  <si>
    <t xml:space="preserve">## Validation</t>
  </si>
  <si>
    <t xml:space="preserve">Hand-coded by Claude (not an independent coder) on a random sample drawn across eras and act types:</t>
  </si>
  <si>
    <t xml:space="preserve">- Tuning sample: 100 counted instances, used to refine exclusions and word lists.</t>
  </si>
  <si>
    <t xml:space="preserve">- Held-out sample: 91 counted instances.</t>
  </si>
  <si>
    <t xml:space="preserve">- Recall check: 100 clauses the counter did not count that contain modal-like words.</t>
  </si>
  <si>
    <t xml:space="preserve">- Final check: a fresh sample of 100 instances drawn after the full run, scored with the final rules.</t>
  </si>
  <si>
    <t xml:space="preserve">Results are in the `validation` sheet. Headline (final fresh sample): 84% of counted items are genuine restrictions (roughly ±7 points); the addressee is correct for 74% of those. Remaining false positives are mainly guidance paraphrasing case law ("must be interpreted as"), organisational rules ("the members shall be") and limitation-period mechanics. Most addressee errors are passive sentences with no named actor, which fall into "unclear". Treat restriction counts as approximate; addressee shares are less reliable than totals.</t>
  </si>
  <si>
    <t xml:space="preserve">## Caveats</t>
  </si>
  <si>
    <t xml:space="preserve">- This counts obligations, not their cost.</t>
  </si>
  <si>
    <t xml:space="preserve">- Member-State obligations in directives are indirect; the real burden depends on transposition.</t>
  </si>
  <si>
    <t xml:space="preserve">- EUR-Lex metadata links for very recent acts can lag; secondary-act lists may be incomplete for 2025–2026.</t>
  </si>
  <si>
    <t xml:space="preserve">- Scanned older acts with little HTML text are flagged in the note column.</t>
  </si>
  <si>
    <t xml:space="preserve">sample</t>
  </si>
  <si>
    <t xml:space="preserve">counted_true</t>
  </si>
  <si>
    <t xml:space="preserve">counted_false</t>
  </si>
  <si>
    <t xml:space="preserve">missed_true</t>
  </si>
  <si>
    <t xml:space="preserve">correctly_dropped</t>
  </si>
  <si>
    <t xml:space="preserve">precision</t>
  </si>
  <si>
    <t xml:space="preserve">recall_within_sample</t>
  </si>
  <si>
    <t xml:space="preserve">addressee_accuracy</t>
  </si>
  <si>
    <t xml:space="preserve">addressee_n</t>
  </si>
  <si>
    <t xml:space="preserve">tuning_0_99</t>
  </si>
  <si>
    <t xml:space="preserve">heldout_100_190</t>
  </si>
  <si>
    <t xml:space="preserve">negatives</t>
  </si>
  <si>
    <t xml:space="preserve">{"n": 100, "true_restrictions_missed": 6}</t>
  </si>
  <si>
    <t xml:space="preserve">final_fresh_sample_100</t>
  </si>
  <si>
    <t xml:space="preserve">Tuning and held-out samples were scored after rule changes informed by them; the final fresh sample (drawn after the full run, documents sampled in proportion to their restriction counts) is the headline estimate. Recall check: 6 of 100 uncounted clauses with modal-like words were true restrictions before the round-2 fixes (shall include, 'no X shall', 'has to'), which were then added.</t>
  </si>
</sst>
</file>

<file path=xl/styles.xml><?xml version="1.0" encoding="utf-8"?>
<styleSheet xmlns="http://schemas.openxmlformats.org/spreadsheetml/2006/main">
  <numFmts count="3">
    <numFmt numFmtId="164" formatCode="General"/>
    <numFmt numFmtId="165" formatCode="#,##0"/>
    <numFmt numFmtId="166" formatCode="0.0%"/>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1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22"/>
    <col collapsed="false" customWidth="true" hidden="false" outlineLevel="0" max="4" min="4" style="0" width="18"/>
    <col collapsed="false" customWidth="true" hidden="false" outlineLevel="0" max="5" min="5" style="0" width="12"/>
    <col collapsed="false" customWidth="true" hidden="false" outlineLevel="0" max="6" min="6" style="0" width="11"/>
    <col collapsed="false" customWidth="true" hidden="false" outlineLevel="0" max="7" min="7" style="0" width="9"/>
    <col collapsed="false" customWidth="true" hidden="false" outlineLevel="0" max="10" min="8" style="0" width="11"/>
    <col collapsed="false" customWidth="true" hidden="false" outlineLevel="0" max="12" min="11" style="0" width="10"/>
    <col collapsed="false" customWidth="true" hidden="false" outlineLevel="0" max="13" min="13" style="0" width="16"/>
    <col collapsed="false" customWidth="true" hidden="false" outlineLevel="0" max="14" min="14" style="0" width="18"/>
    <col collapsed="false" customWidth="true" hidden="false" outlineLevel="0" max="15" min="15" style="0" width="30"/>
    <col collapsed="false" customWidth="true" hidden="false" outlineLevel="0" max="33" min="16" style="0" width="10"/>
    <col collapsed="false" customWidth="true" hidden="false" outlineLevel="0" max="34" min="34" style="0" width="20"/>
    <col collapsed="false" customWidth="true" hidden="false" outlineLevel="0" max="36" min="35" style="0" width="11"/>
    <col collapsed="false" customWidth="true" hidden="false" outlineLevel="0" max="44" min="37" style="0" width="9"/>
    <col collapsed="false" customWidth="true" hidden="false" outlineLevel="0" max="45" min="45" style="0" width="12"/>
    <col collapsed="false" customWidth="true" hidden="false" outlineLevel="0" max="46" min="46" style="0" width="11"/>
    <col collapsed="false" customWidth="true" hidden="false" outlineLevel="0" max="47" min="47" style="0" width="10"/>
    <col collapsed="false" customWidth="true" hidden="false" outlineLevel="0" max="48" min="48" style="0" width="9"/>
    <col collapsed="false" customWidth="true" hidden="false" outlineLevel="0" max="50" min="49" style="0" width="11"/>
    <col collapsed="false" customWidth="true" hidden="false" outlineLevel="0" max="51" min="51" style="0" width="9"/>
    <col collapsed="false" customWidth="true" hidden="false" outlineLevel="0" max="52" min="52" style="0" width="16"/>
    <col collapsed="false" customWidth="true" hidden="false" outlineLevel="0" max="53" min="53" style="0" width="18"/>
    <col collapsed="false" customWidth="true" hidden="false" outlineLevel="0" max="57" min="54" style="0" width="10"/>
    <col collapsed="false" customWidth="true" hidden="false" outlineLevel="0" max="58" min="58" style="0" width="9"/>
    <col collapsed="false" customWidth="true" hidden="false" outlineLevel="0" max="59" min="59" style="0" width="10"/>
    <col collapsed="false" customWidth="true" hidden="false" outlineLevel="0" max="60" min="60" style="0" width="9"/>
    <col collapsed="false" customWidth="true" hidden="false" outlineLevel="0" max="61" min="61" style="0" width="10"/>
    <col collapsed="false" customWidth="true" hidden="false" outlineLevel="0" max="62" min="62" style="0" width="60"/>
  </cols>
  <sheetData>
    <row r="1" customFormat="false" ht="4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customFormat="false" ht="15" hidden="false" customHeight="false" outlineLevel="0" collapsed="false">
      <c r="A2" s="2" t="n">
        <v>1</v>
      </c>
      <c r="B2" s="2" t="s">
        <v>62</v>
      </c>
      <c r="C2" s="2" t="s">
        <v>63</v>
      </c>
      <c r="D2" s="2" t="s">
        <v>64</v>
      </c>
      <c r="E2" s="2" t="s">
        <v>65</v>
      </c>
      <c r="F2" s="2" t="s">
        <v>66</v>
      </c>
      <c r="G2" s="2" t="s">
        <v>67</v>
      </c>
      <c r="H2" s="2" t="s">
        <v>68</v>
      </c>
      <c r="I2" s="2" t="s">
        <v>68</v>
      </c>
      <c r="J2" s="2" t="s">
        <v>69</v>
      </c>
      <c r="K2" s="2" t="s">
        <v>70</v>
      </c>
      <c r="L2" s="2" t="s">
        <v>70</v>
      </c>
      <c r="M2" s="2" t="s">
        <v>71</v>
      </c>
      <c r="N2" s="2" t="s">
        <v>72</v>
      </c>
      <c r="O2" s="2" t="s">
        <v>73</v>
      </c>
      <c r="P2" s="3" t="n">
        <v>2</v>
      </c>
      <c r="Q2" s="3" t="n">
        <v>866</v>
      </c>
      <c r="R2" s="3" t="n">
        <v>618</v>
      </c>
      <c r="S2" s="3" t="n">
        <v>483</v>
      </c>
      <c r="T2" s="3" t="n">
        <v>248</v>
      </c>
      <c r="U2" s="3" t="n">
        <v>0</v>
      </c>
      <c r="V2" s="3" t="n">
        <v>0</v>
      </c>
      <c r="W2" s="3" t="n">
        <v>0</v>
      </c>
      <c r="X2" s="3" t="n">
        <v>6</v>
      </c>
      <c r="Y2" s="3" t="n">
        <v>4</v>
      </c>
      <c r="Z2" s="3" t="n">
        <v>0</v>
      </c>
      <c r="AA2" s="3" t="n">
        <v>0</v>
      </c>
      <c r="AB2" s="3" t="n">
        <v>0</v>
      </c>
      <c r="AC2" s="3" t="n">
        <v>2</v>
      </c>
      <c r="AD2" s="3" t="n">
        <v>0</v>
      </c>
      <c r="AE2" s="3" t="n">
        <v>5</v>
      </c>
      <c r="AF2" s="3" t="n">
        <v>1</v>
      </c>
      <c r="AG2" s="3" t="n">
        <v>0</v>
      </c>
      <c r="AH2" s="2" t="s">
        <v>74</v>
      </c>
      <c r="AI2" s="3" t="n">
        <v>0</v>
      </c>
      <c r="AJ2" s="2" t="n">
        <v>0</v>
      </c>
      <c r="AK2" s="2" t="n">
        <f aca="false">COUNTIFS(secondary_acts!$A$2:$A$771,$A2,secondary_acts!$E$2:$E$771,"implementing")</f>
        <v>0</v>
      </c>
      <c r="AL2" s="2" t="n">
        <f aca="false">COUNTIFS(secondary_acts!$A$2:$A$771,$A2,secondary_acts!$E$2:$E$771,"delegated")</f>
        <v>0</v>
      </c>
      <c r="AM2" s="2" t="n">
        <f aca="false">COUNTIFS(secondary_acts!$A$2:$A$771,$A2,secondary_acts!$E$2:$E$771,"other Commission/Council act")</f>
        <v>0</v>
      </c>
      <c r="AN2" s="2" t="n">
        <f aca="false">COUNTIFS(secondary_acts!$A$2:$A$771,$A2,secondary_acts!$E$2:$E$771,"guidance")</f>
        <v>0</v>
      </c>
      <c r="AO2" s="2" t="n">
        <f aca="false">COUNTIF(guidance_web!$A$2:$A$7,$A2)</f>
        <v>0</v>
      </c>
      <c r="AP2" s="2" t="n">
        <f aca="false">COUNTIFS(guidance_agencies!$A$2:$A$81,$A2,guidance_agencies!$D$2:$D$81,"EDPB")</f>
        <v>0</v>
      </c>
      <c r="AQ2" s="2" t="n">
        <f aca="false">COUNTIFS(guidance_agencies!$A$2:$A$81,$A2,guidance_agencies!$D$2:$D$81,"EBA")</f>
        <v>0</v>
      </c>
      <c r="AR2" s="2" t="n">
        <f aca="false">COUNTIFS(guidance_agencies!$A$2:$A$81,$A2,guidance_agencies!$D$2:$D$81,"ESMA")</f>
        <v>0</v>
      </c>
      <c r="AS2" s="3" t="n">
        <f aca="false">SUMIFS(secondary_acts!$S$2:$S$771,secondary_acts!$A$2:$A$771,$A2,secondary_acts!$E$2:$E$771,"implementing")+SUMIFS(secondary_acts!$S$2:$S$771,secondary_acts!$A$2:$A$771,$A2,secondary_acts!$E$2:$E$771,"delegated")</f>
        <v>0</v>
      </c>
      <c r="AT2" s="3" t="n">
        <v>207</v>
      </c>
      <c r="AU2" s="2" t="n">
        <v>24</v>
      </c>
      <c r="AV2" s="2" t="n">
        <v>1</v>
      </c>
      <c r="AW2" s="2" t="s">
        <v>75</v>
      </c>
      <c r="AX2" s="2" t="s">
        <v>75</v>
      </c>
      <c r="AY2" s="2" t="n">
        <v>2</v>
      </c>
      <c r="AZ2" s="2" t="s">
        <v>76</v>
      </c>
      <c r="BA2" s="2" t="s">
        <v>77</v>
      </c>
      <c r="BB2" s="2" t="n">
        <v>841</v>
      </c>
      <c r="BC2" s="2" t="n">
        <v>5</v>
      </c>
      <c r="BD2" s="2" t="n">
        <v>0</v>
      </c>
      <c r="BE2" s="2" t="n">
        <f aca="false">IF(ISNUMBER(BB2),Q2-BB2,"")</f>
        <v>25</v>
      </c>
      <c r="BF2" s="4" t="n">
        <f aca="false">IF(AND(ISNUMBER(BB2),BB2&gt;0),(Q2-BB2)/BB2,"")</f>
        <v>0.0297265160523187</v>
      </c>
      <c r="BG2" s="2" t="n">
        <f aca="false">IF(ISNUMBER(BC2),X2-BC2,"")</f>
        <v>1</v>
      </c>
      <c r="BH2" s="4" t="n">
        <f aca="false">IF(AND(ISNUMBER(BC2),BC2&gt;0),(X2-BC2)/BC2,"")</f>
        <v>0.2</v>
      </c>
      <c r="BI2" s="2" t="n">
        <f aca="false">IF(ISNUMBER(BD2),AD2-BD2,"")</f>
        <v>0</v>
      </c>
      <c r="BJ2" s="2"/>
    </row>
    <row r="3" customFormat="false" ht="15" hidden="false" customHeight="false" outlineLevel="0" collapsed="false">
      <c r="A3" s="2" t="n">
        <v>2</v>
      </c>
      <c r="B3" s="2" t="s">
        <v>78</v>
      </c>
      <c r="C3" s="2" t="s">
        <v>79</v>
      </c>
      <c r="D3" s="2" t="s">
        <v>80</v>
      </c>
      <c r="E3" s="2" t="s">
        <v>65</v>
      </c>
      <c r="F3" s="2" t="s">
        <v>81</v>
      </c>
      <c r="G3" s="2" t="s">
        <v>82</v>
      </c>
      <c r="H3" s="2" t="s">
        <v>83</v>
      </c>
      <c r="I3" s="2" t="s">
        <v>84</v>
      </c>
      <c r="J3" s="2" t="s">
        <v>85</v>
      </c>
      <c r="K3" s="2" t="s">
        <v>70</v>
      </c>
      <c r="L3" s="2" t="s">
        <v>70</v>
      </c>
      <c r="M3" s="2" t="s">
        <v>86</v>
      </c>
      <c r="N3" s="2" t="s">
        <v>72</v>
      </c>
      <c r="O3" s="2" t="s">
        <v>87</v>
      </c>
      <c r="P3" s="3" t="n">
        <v>6</v>
      </c>
      <c r="Q3" s="3" t="n">
        <v>3320</v>
      </c>
      <c r="R3" s="3" t="n">
        <v>1402</v>
      </c>
      <c r="S3" s="3" t="n">
        <v>1323</v>
      </c>
      <c r="T3" s="3" t="n">
        <v>1008</v>
      </c>
      <c r="U3" s="3" t="n">
        <v>910</v>
      </c>
      <c r="V3" s="3" t="n">
        <v>0</v>
      </c>
      <c r="W3" s="3" t="n">
        <v>0</v>
      </c>
      <c r="X3" s="3" t="n">
        <v>26</v>
      </c>
      <c r="Y3" s="3" t="n">
        <v>20</v>
      </c>
      <c r="Z3" s="3" t="n">
        <v>2</v>
      </c>
      <c r="AA3" s="3" t="n">
        <v>0</v>
      </c>
      <c r="AB3" s="3" t="n">
        <v>3</v>
      </c>
      <c r="AC3" s="3" t="n">
        <v>1</v>
      </c>
      <c r="AD3" s="3" t="n">
        <v>6</v>
      </c>
      <c r="AE3" s="3" t="n">
        <v>11</v>
      </c>
      <c r="AF3" s="3" t="n">
        <v>1</v>
      </c>
      <c r="AG3" s="3" t="n">
        <v>8</v>
      </c>
      <c r="AH3" s="2" t="s">
        <v>88</v>
      </c>
      <c r="AI3" s="3" t="n">
        <v>39</v>
      </c>
      <c r="AJ3" s="2" t="n">
        <v>6</v>
      </c>
      <c r="AK3" s="2" t="n">
        <f aca="false">COUNTIFS(secondary_acts!$A$2:$A$771,$A3,secondary_acts!$E$2:$E$771,"implementing")</f>
        <v>0</v>
      </c>
      <c r="AL3" s="2" t="n">
        <f aca="false">COUNTIFS(secondary_acts!$A$2:$A$771,$A3,secondary_acts!$E$2:$E$771,"delegated")</f>
        <v>0</v>
      </c>
      <c r="AM3" s="2" t="n">
        <f aca="false">COUNTIFS(secondary_acts!$A$2:$A$771,$A3,secondary_acts!$E$2:$E$771,"other Commission/Council act")</f>
        <v>0</v>
      </c>
      <c r="AN3" s="2" t="n">
        <f aca="false">COUNTIFS(secondary_acts!$A$2:$A$771,$A3,secondary_acts!$E$2:$E$771,"guidance")</f>
        <v>1</v>
      </c>
      <c r="AO3" s="2" t="n">
        <f aca="false">COUNTIF(guidance_web!$A$2:$A$7,$A3)</f>
        <v>0</v>
      </c>
      <c r="AP3" s="2" t="n">
        <f aca="false">COUNTIFS(guidance_agencies!$A$2:$A$81,$A3,guidance_agencies!$D$2:$D$81,"EDPB")</f>
        <v>0</v>
      </c>
      <c r="AQ3" s="2" t="n">
        <f aca="false">COUNTIFS(guidance_agencies!$A$2:$A$81,$A3,guidance_agencies!$D$2:$D$81,"EBA")</f>
        <v>0</v>
      </c>
      <c r="AR3" s="2" t="n">
        <f aca="false">COUNTIFS(guidance_agencies!$A$2:$A$81,$A3,guidance_agencies!$D$2:$D$81,"ESMA")</f>
        <v>0</v>
      </c>
      <c r="AS3" s="3" t="n">
        <f aca="false">SUMIFS(secondary_acts!$S$2:$S$771,secondary_acts!$A$2:$A$771,$A3,secondary_acts!$E$2:$E$771,"implementing")+SUMIFS(secondary_acts!$S$2:$S$771,secondary_acts!$A$2:$A$771,$A3,secondary_acts!$E$2:$E$771,"delegated")</f>
        <v>0</v>
      </c>
      <c r="AT3" s="3" t="n">
        <v>1342</v>
      </c>
      <c r="AU3" s="2" t="n">
        <v>25</v>
      </c>
      <c r="AV3" s="2" t="n">
        <v>2</v>
      </c>
      <c r="AW3" s="2" t="s">
        <v>89</v>
      </c>
      <c r="AX3" s="2" t="s">
        <v>90</v>
      </c>
      <c r="AY3" s="2" t="n">
        <v>13</v>
      </c>
      <c r="AZ3" s="2" t="s">
        <v>91</v>
      </c>
      <c r="BA3" s="2" t="s">
        <v>77</v>
      </c>
      <c r="BB3" s="2" t="n">
        <v>2059</v>
      </c>
      <c r="BC3" s="2" t="n">
        <v>11</v>
      </c>
      <c r="BD3" s="2" t="n">
        <v>0</v>
      </c>
      <c r="BE3" s="2" t="n">
        <f aca="false">IF(ISNUMBER(BB3),Q3-BB3,"")</f>
        <v>1261</v>
      </c>
      <c r="BF3" s="4" t="n">
        <f aca="false">IF(AND(ISNUMBER(BB3),BB3&gt;0),(Q3-BB3)/BB3,"")</f>
        <v>0.612433220009714</v>
      </c>
      <c r="BG3" s="2" t="n">
        <f aca="false">IF(ISNUMBER(BC3),X3-BC3,"")</f>
        <v>15</v>
      </c>
      <c r="BH3" s="4" t="n">
        <f aca="false">IF(AND(ISNUMBER(BC3),BC3&gt;0),(X3-BC3)/BC3,"")</f>
        <v>1.36363636363636</v>
      </c>
      <c r="BI3" s="2" t="n">
        <f aca="false">IF(ISNUMBER(BD3),AD3-BD3,"")</f>
        <v>6</v>
      </c>
      <c r="BJ3" s="2"/>
    </row>
    <row r="4" customFormat="false" ht="15" hidden="false" customHeight="false" outlineLevel="0" collapsed="false">
      <c r="A4" s="2" t="n">
        <v>3</v>
      </c>
      <c r="B4" s="2" t="s">
        <v>92</v>
      </c>
      <c r="C4" s="2" t="s">
        <v>93</v>
      </c>
      <c r="D4" s="2" t="s">
        <v>94</v>
      </c>
      <c r="E4" s="2" t="s">
        <v>65</v>
      </c>
      <c r="F4" s="2" t="s">
        <v>95</v>
      </c>
      <c r="G4" s="2" t="s">
        <v>82</v>
      </c>
      <c r="H4" s="2" t="s">
        <v>96</v>
      </c>
      <c r="I4" s="2" t="s">
        <v>97</v>
      </c>
      <c r="J4" s="2" t="s">
        <v>98</v>
      </c>
      <c r="K4" s="2" t="s">
        <v>70</v>
      </c>
      <c r="L4" s="2" t="s">
        <v>70</v>
      </c>
      <c r="M4" s="2" t="s">
        <v>99</v>
      </c>
      <c r="N4" s="2" t="s">
        <v>72</v>
      </c>
      <c r="O4" s="2" t="s">
        <v>100</v>
      </c>
      <c r="P4" s="3" t="n">
        <v>7</v>
      </c>
      <c r="Q4" s="3" t="n">
        <v>4550</v>
      </c>
      <c r="R4" s="3" t="n">
        <v>2545</v>
      </c>
      <c r="S4" s="3" t="n">
        <v>2449</v>
      </c>
      <c r="T4" s="3" t="n">
        <v>2005</v>
      </c>
      <c r="U4" s="3" t="n">
        <v>0</v>
      </c>
      <c r="V4" s="3" t="n">
        <v>0</v>
      </c>
      <c r="W4" s="3" t="n">
        <v>0</v>
      </c>
      <c r="X4" s="3" t="n">
        <v>35</v>
      </c>
      <c r="Y4" s="3" t="n">
        <v>27</v>
      </c>
      <c r="Z4" s="3" t="n">
        <v>1</v>
      </c>
      <c r="AA4" s="3" t="n">
        <v>1</v>
      </c>
      <c r="AB4" s="3" t="n">
        <v>0</v>
      </c>
      <c r="AC4" s="3" t="n">
        <v>6</v>
      </c>
      <c r="AD4" s="3" t="n">
        <v>4</v>
      </c>
      <c r="AE4" s="3" t="n">
        <v>18</v>
      </c>
      <c r="AF4" s="3" t="n">
        <v>2</v>
      </c>
      <c r="AG4" s="3" t="n">
        <v>11</v>
      </c>
      <c r="AH4" s="2" t="s">
        <v>101</v>
      </c>
      <c r="AI4" s="3" t="n">
        <v>35</v>
      </c>
      <c r="AJ4" s="2" t="n">
        <v>4</v>
      </c>
      <c r="AK4" s="2" t="n">
        <f aca="false">COUNTIFS(secondary_acts!$A$2:$A$771,$A4,secondary_acts!$E$2:$E$771,"implementing")</f>
        <v>0</v>
      </c>
      <c r="AL4" s="2" t="n">
        <f aca="false">COUNTIFS(secondary_acts!$A$2:$A$771,$A4,secondary_acts!$E$2:$E$771,"delegated")</f>
        <v>0</v>
      </c>
      <c r="AM4" s="2" t="n">
        <f aca="false">COUNTIFS(secondary_acts!$A$2:$A$771,$A4,secondary_acts!$E$2:$E$771,"other Commission/Council act")</f>
        <v>0</v>
      </c>
      <c r="AN4" s="2" t="n">
        <f aca="false">COUNTIFS(secondary_acts!$A$2:$A$771,$A4,secondary_acts!$E$2:$E$771,"guidance")</f>
        <v>0</v>
      </c>
      <c r="AO4" s="2" t="n">
        <f aca="false">COUNTIF(guidance_web!$A$2:$A$7,$A4)</f>
        <v>0</v>
      </c>
      <c r="AP4" s="2" t="n">
        <f aca="false">COUNTIFS(guidance_agencies!$A$2:$A$81,$A4,guidance_agencies!$D$2:$D$81,"EDPB")</f>
        <v>0</v>
      </c>
      <c r="AQ4" s="2" t="n">
        <f aca="false">COUNTIFS(guidance_agencies!$A$2:$A$81,$A4,guidance_agencies!$D$2:$D$81,"EBA")</f>
        <v>0</v>
      </c>
      <c r="AR4" s="2" t="n">
        <f aca="false">COUNTIFS(guidance_agencies!$A$2:$A$81,$A4,guidance_agencies!$D$2:$D$81,"ESMA")</f>
        <v>0</v>
      </c>
      <c r="AS4" s="3" t="n">
        <f aca="false">SUMIFS(secondary_acts!$S$2:$S$771,secondary_acts!$A$2:$A$771,$A4,secondary_acts!$E$2:$E$771,"implementing")+SUMIFS(secondary_acts!$S$2:$S$771,secondary_acts!$A$2:$A$771,$A4,secondary_acts!$E$2:$E$771,"delegated")</f>
        <v>0</v>
      </c>
      <c r="AT4" s="3" t="n">
        <v>207</v>
      </c>
      <c r="AU4" s="2" t="n">
        <v>23</v>
      </c>
      <c r="AV4" s="2" t="n">
        <v>1</v>
      </c>
      <c r="AW4" s="2" t="s">
        <v>102</v>
      </c>
      <c r="AX4" s="2" t="s">
        <v>102</v>
      </c>
      <c r="AY4" s="2" t="n">
        <v>1</v>
      </c>
      <c r="AZ4" s="2" t="s">
        <v>103</v>
      </c>
      <c r="BA4" s="2" t="s">
        <v>77</v>
      </c>
      <c r="BB4" s="2" t="n">
        <v>3122</v>
      </c>
      <c r="BC4" s="2" t="n">
        <v>30</v>
      </c>
      <c r="BD4" s="2" t="n">
        <v>0</v>
      </c>
      <c r="BE4" s="2" t="n">
        <f aca="false">IF(ISNUMBER(BB4),Q4-BB4,"")</f>
        <v>1428</v>
      </c>
      <c r="BF4" s="4" t="n">
        <f aca="false">IF(AND(ISNUMBER(BB4),BB4&gt;0),(Q4-BB4)/BB4,"")</f>
        <v>0.457399103139013</v>
      </c>
      <c r="BG4" s="2" t="n">
        <f aca="false">IF(ISNUMBER(BC4),X4-BC4,"")</f>
        <v>5</v>
      </c>
      <c r="BH4" s="4" t="n">
        <f aca="false">IF(AND(ISNUMBER(BC4),BC4&gt;0),(X4-BC4)/BC4,"")</f>
        <v>0.166666666666667</v>
      </c>
      <c r="BI4" s="2" t="n">
        <f aca="false">IF(ISNUMBER(BD4),AD4-BD4,"")</f>
        <v>4</v>
      </c>
      <c r="BJ4" s="2" t="s">
        <v>104</v>
      </c>
    </row>
    <row r="5" customFormat="false" ht="15" hidden="false" customHeight="false" outlineLevel="0" collapsed="false">
      <c r="A5" s="2" t="n">
        <v>4</v>
      </c>
      <c r="B5" s="2" t="s">
        <v>105</v>
      </c>
      <c r="C5" s="2" t="s">
        <v>106</v>
      </c>
      <c r="D5" s="2" t="s">
        <v>107</v>
      </c>
      <c r="E5" s="2" t="s">
        <v>65</v>
      </c>
      <c r="F5" s="2" t="s">
        <v>108</v>
      </c>
      <c r="G5" s="2" t="s">
        <v>82</v>
      </c>
      <c r="H5" s="2" t="s">
        <v>109</v>
      </c>
      <c r="I5" s="2" t="s">
        <v>110</v>
      </c>
      <c r="J5" s="2" t="s">
        <v>111</v>
      </c>
      <c r="K5" s="2" t="s">
        <v>70</v>
      </c>
      <c r="L5" s="2" t="s">
        <v>70</v>
      </c>
      <c r="M5" s="2" t="s">
        <v>112</v>
      </c>
      <c r="N5" s="2" t="s">
        <v>72</v>
      </c>
      <c r="O5" s="2" t="s">
        <v>113</v>
      </c>
      <c r="P5" s="3" t="n">
        <v>9</v>
      </c>
      <c r="Q5" s="3" t="n">
        <v>5494</v>
      </c>
      <c r="R5" s="3" t="n">
        <v>3257</v>
      </c>
      <c r="S5" s="3" t="n">
        <v>3156</v>
      </c>
      <c r="T5" s="3" t="n">
        <v>2237</v>
      </c>
      <c r="U5" s="3" t="n">
        <v>0</v>
      </c>
      <c r="V5" s="3" t="n">
        <v>0</v>
      </c>
      <c r="W5" s="3" t="n">
        <v>0</v>
      </c>
      <c r="X5" s="3" t="n">
        <v>33</v>
      </c>
      <c r="Y5" s="3" t="n">
        <v>24</v>
      </c>
      <c r="Z5" s="3" t="n">
        <v>9</v>
      </c>
      <c r="AA5" s="3" t="n">
        <v>0</v>
      </c>
      <c r="AB5" s="3" t="n">
        <v>0</v>
      </c>
      <c r="AC5" s="3" t="n">
        <v>0</v>
      </c>
      <c r="AD5" s="3" t="n">
        <v>8</v>
      </c>
      <c r="AE5" s="3" t="n">
        <v>10</v>
      </c>
      <c r="AF5" s="3" t="n">
        <v>2</v>
      </c>
      <c r="AG5" s="3" t="n">
        <v>13</v>
      </c>
      <c r="AH5" s="2" t="s">
        <v>114</v>
      </c>
      <c r="AI5" s="3" t="n">
        <v>33</v>
      </c>
      <c r="AJ5" s="2" t="n">
        <v>8</v>
      </c>
      <c r="AK5" s="2" t="n">
        <f aca="false">COUNTIFS(secondary_acts!$A$2:$A$771,$A5,secondary_acts!$E$2:$E$771,"implementing")</f>
        <v>0</v>
      </c>
      <c r="AL5" s="2" t="n">
        <f aca="false">COUNTIFS(secondary_acts!$A$2:$A$771,$A5,secondary_acts!$E$2:$E$771,"delegated")</f>
        <v>0</v>
      </c>
      <c r="AM5" s="2" t="n">
        <f aca="false">COUNTIFS(secondary_acts!$A$2:$A$771,$A5,secondary_acts!$E$2:$E$771,"other Commission/Council act")</f>
        <v>0</v>
      </c>
      <c r="AN5" s="2" t="n">
        <f aca="false">COUNTIFS(secondary_acts!$A$2:$A$771,$A5,secondary_acts!$E$2:$E$771,"guidance")</f>
        <v>0</v>
      </c>
      <c r="AO5" s="2" t="n">
        <f aca="false">COUNTIF(guidance_web!$A$2:$A$7,$A5)</f>
        <v>0</v>
      </c>
      <c r="AP5" s="2" t="n">
        <f aca="false">COUNTIFS(guidance_agencies!$A$2:$A$81,$A5,guidance_agencies!$D$2:$D$81,"EDPB")</f>
        <v>0</v>
      </c>
      <c r="AQ5" s="2" t="n">
        <f aca="false">COUNTIFS(guidance_agencies!$A$2:$A$81,$A5,guidance_agencies!$D$2:$D$81,"EBA")</f>
        <v>0</v>
      </c>
      <c r="AR5" s="2" t="n">
        <f aca="false">COUNTIFS(guidance_agencies!$A$2:$A$81,$A5,guidance_agencies!$D$2:$D$81,"ESMA")</f>
        <v>0</v>
      </c>
      <c r="AS5" s="3" t="n">
        <f aca="false">SUMIFS(secondary_acts!$S$2:$S$771,secondary_acts!$A$2:$A$771,$A5,secondary_acts!$E$2:$E$771,"implementing")+SUMIFS(secondary_acts!$S$2:$S$771,secondary_acts!$A$2:$A$771,$A5,secondary_acts!$E$2:$E$771,"delegated")</f>
        <v>0</v>
      </c>
      <c r="AT5" s="3" t="n">
        <v>1049</v>
      </c>
      <c r="AU5" s="2" t="n">
        <v>22</v>
      </c>
      <c r="AV5" s="2" t="n">
        <v>1</v>
      </c>
      <c r="AW5" s="2" t="s">
        <v>102</v>
      </c>
      <c r="AX5" s="2" t="s">
        <v>102</v>
      </c>
      <c r="AY5" s="2" t="n">
        <v>1</v>
      </c>
      <c r="AZ5" s="2" t="s">
        <v>115</v>
      </c>
      <c r="BA5" s="2" t="s">
        <v>77</v>
      </c>
      <c r="BB5" s="2" t="n">
        <v>4314</v>
      </c>
      <c r="BC5" s="2" t="n">
        <v>28</v>
      </c>
      <c r="BD5" s="2" t="n">
        <v>2</v>
      </c>
      <c r="BE5" s="2" t="n">
        <f aca="false">IF(ISNUMBER(BB5),Q5-BB5,"")</f>
        <v>1180</v>
      </c>
      <c r="BF5" s="4" t="n">
        <f aca="false">IF(AND(ISNUMBER(BB5),BB5&gt;0),(Q5-BB5)/BB5,"")</f>
        <v>0.273528048215114</v>
      </c>
      <c r="BG5" s="2" t="n">
        <f aca="false">IF(ISNUMBER(BC5),X5-BC5,"")</f>
        <v>5</v>
      </c>
      <c r="BH5" s="4" t="n">
        <f aca="false">IF(AND(ISNUMBER(BC5),BC5&gt;0),(X5-BC5)/BC5,"")</f>
        <v>0.178571428571429</v>
      </c>
      <c r="BI5" s="2" t="n">
        <f aca="false">IF(ISNUMBER(BD5),AD5-BD5,"")</f>
        <v>6</v>
      </c>
      <c r="BJ5" s="2"/>
    </row>
    <row r="6" customFormat="false" ht="15" hidden="false" customHeight="false" outlineLevel="0" collapsed="false">
      <c r="A6" s="2" t="n">
        <v>5</v>
      </c>
      <c r="B6" s="2" t="s">
        <v>116</v>
      </c>
      <c r="C6" s="2" t="s">
        <v>117</v>
      </c>
      <c r="D6" s="2" t="s">
        <v>107</v>
      </c>
      <c r="E6" s="2" t="s">
        <v>65</v>
      </c>
      <c r="F6" s="2" t="s">
        <v>118</v>
      </c>
      <c r="G6" s="2" t="s">
        <v>82</v>
      </c>
      <c r="H6" s="2" t="s">
        <v>119</v>
      </c>
      <c r="I6" s="2" t="s">
        <v>120</v>
      </c>
      <c r="J6" s="2" t="s">
        <v>121</v>
      </c>
      <c r="K6" s="2" t="s">
        <v>70</v>
      </c>
      <c r="L6" s="2" t="s">
        <v>70</v>
      </c>
      <c r="M6" s="2" t="s">
        <v>122</v>
      </c>
      <c r="N6" s="2" t="s">
        <v>72</v>
      </c>
      <c r="O6" s="2" t="s">
        <v>123</v>
      </c>
      <c r="P6" s="3" t="n">
        <v>24</v>
      </c>
      <c r="Q6" s="3" t="n">
        <v>17870</v>
      </c>
      <c r="R6" s="3" t="n">
        <v>2070</v>
      </c>
      <c r="S6" s="3" t="n">
        <v>1978</v>
      </c>
      <c r="T6" s="3" t="n">
        <v>15800</v>
      </c>
      <c r="U6" s="3" t="n">
        <v>0</v>
      </c>
      <c r="V6" s="3" t="n">
        <v>0</v>
      </c>
      <c r="W6" s="3" t="n">
        <v>0</v>
      </c>
      <c r="X6" s="3" t="n">
        <v>280</v>
      </c>
      <c r="Y6" s="3" t="n">
        <v>241</v>
      </c>
      <c r="Z6" s="3" t="n">
        <v>31</v>
      </c>
      <c r="AA6" s="3" t="n">
        <v>7</v>
      </c>
      <c r="AB6" s="3" t="n">
        <v>1</v>
      </c>
      <c r="AC6" s="3" t="n">
        <v>0</v>
      </c>
      <c r="AD6" s="3" t="n">
        <v>29</v>
      </c>
      <c r="AE6" s="3" t="n">
        <v>50</v>
      </c>
      <c r="AF6" s="3" t="n">
        <v>65</v>
      </c>
      <c r="AG6" s="3" t="n">
        <v>136</v>
      </c>
      <c r="AH6" s="2" t="s">
        <v>124</v>
      </c>
      <c r="AI6" s="3" t="n">
        <v>481</v>
      </c>
      <c r="AJ6" s="2" t="n">
        <v>51</v>
      </c>
      <c r="AK6" s="2" t="n">
        <f aca="false">COUNTIFS(secondary_acts!$A$2:$A$771,$A6,secondary_acts!$E$2:$E$771,"implementing")</f>
        <v>2</v>
      </c>
      <c r="AL6" s="2" t="n">
        <f aca="false">COUNTIFS(secondary_acts!$A$2:$A$771,$A6,secondary_acts!$E$2:$E$771,"delegated")</f>
        <v>1</v>
      </c>
      <c r="AM6" s="2" t="n">
        <f aca="false">COUNTIFS(secondary_acts!$A$2:$A$771,$A6,secondary_acts!$E$2:$E$771,"other Commission/Council act")</f>
        <v>4</v>
      </c>
      <c r="AN6" s="2" t="n">
        <f aca="false">COUNTIFS(secondary_acts!$A$2:$A$771,$A6,secondary_acts!$E$2:$E$771,"guidance")</f>
        <v>0</v>
      </c>
      <c r="AO6" s="2" t="n">
        <f aca="false">COUNTIF(guidance_web!$A$2:$A$7,$A6)</f>
        <v>0</v>
      </c>
      <c r="AP6" s="2" t="n">
        <f aca="false">COUNTIFS(guidance_agencies!$A$2:$A$81,$A6,guidance_agencies!$D$2:$D$81,"EDPB")</f>
        <v>0</v>
      </c>
      <c r="AQ6" s="2" t="n">
        <f aca="false">COUNTIFS(guidance_agencies!$A$2:$A$81,$A6,guidance_agencies!$D$2:$D$81,"EBA")</f>
        <v>0</v>
      </c>
      <c r="AR6" s="2" t="n">
        <f aca="false">COUNTIFS(guidance_agencies!$A$2:$A$81,$A6,guidance_agencies!$D$2:$D$81,"ESMA")</f>
        <v>0</v>
      </c>
      <c r="AS6" s="3" t="n">
        <f aca="false">SUMIFS(secondary_acts!$S$2:$S$771,secondary_acts!$A$2:$A$771,$A6,secondary_acts!$E$2:$E$771,"implementing")+SUMIFS(secondary_acts!$S$2:$S$771,secondary_acts!$A$2:$A$771,$A6,secondary_acts!$E$2:$E$771,"delegated")</f>
        <v>143</v>
      </c>
      <c r="AT6" s="3"/>
      <c r="AU6" s="2"/>
      <c r="AV6" s="2" t="n">
        <v>2</v>
      </c>
      <c r="AW6" s="2" t="s">
        <v>125</v>
      </c>
      <c r="AX6" s="2" t="s">
        <v>126</v>
      </c>
      <c r="AY6" s="2" t="n">
        <v>20</v>
      </c>
      <c r="AZ6" s="2" t="s">
        <v>127</v>
      </c>
      <c r="BA6" s="2" t="s">
        <v>128</v>
      </c>
      <c r="BB6" s="2"/>
      <c r="BC6" s="2"/>
      <c r="BD6" s="2"/>
      <c r="BE6" s="2" t="str">
        <f aca="false">IF(ISNUMBER(BB6),Q6-BB6,"")</f>
        <v/>
      </c>
      <c r="BF6" s="4" t="str">
        <f aca="false">IF(AND(ISNUMBER(BB6),BB6&gt;0),(Q6-BB6)/BB6,"")</f>
        <v/>
      </c>
      <c r="BG6" s="2" t="str">
        <f aca="false">IF(ISNUMBER(BC6),X6-BC6,"")</f>
        <v/>
      </c>
      <c r="BH6" s="4" t="str">
        <f aca="false">IF(AND(ISNUMBER(BC6),BC6&gt;0),(X6-BC6)/BC6,"")</f>
        <v/>
      </c>
      <c r="BI6" s="2" t="str">
        <f aca="false">IF(ISNUMBER(BD6),AD6-BD6,"")</f>
        <v/>
      </c>
      <c r="BJ6" s="2"/>
    </row>
    <row r="7" customFormat="false" ht="15" hidden="false" customHeight="false" outlineLevel="0" collapsed="false">
      <c r="A7" s="2" t="n">
        <v>6</v>
      </c>
      <c r="B7" s="2" t="s">
        <v>129</v>
      </c>
      <c r="C7" s="2" t="s">
        <v>130</v>
      </c>
      <c r="D7" s="2" t="s">
        <v>80</v>
      </c>
      <c r="E7" s="2" t="s">
        <v>65</v>
      </c>
      <c r="F7" s="2" t="s">
        <v>131</v>
      </c>
      <c r="G7" s="2" t="s">
        <v>67</v>
      </c>
      <c r="H7" s="2" t="s">
        <v>132</v>
      </c>
      <c r="I7" s="2" t="s">
        <v>133</v>
      </c>
      <c r="J7" s="2" t="s">
        <v>134</v>
      </c>
      <c r="K7" s="2" t="s">
        <v>70</v>
      </c>
      <c r="L7" s="2" t="s">
        <v>70</v>
      </c>
      <c r="M7" s="2" t="s">
        <v>135</v>
      </c>
      <c r="N7" s="2" t="s">
        <v>72</v>
      </c>
      <c r="O7" s="2" t="s">
        <v>136</v>
      </c>
      <c r="P7" s="3" t="n">
        <v>5</v>
      </c>
      <c r="Q7" s="3" t="n">
        <v>1901</v>
      </c>
      <c r="R7" s="3" t="n">
        <v>853</v>
      </c>
      <c r="S7" s="3" t="n">
        <v>731</v>
      </c>
      <c r="T7" s="3" t="n">
        <v>1048</v>
      </c>
      <c r="U7" s="3" t="n">
        <v>0</v>
      </c>
      <c r="V7" s="3" t="n">
        <v>0</v>
      </c>
      <c r="W7" s="3" t="n">
        <v>0</v>
      </c>
      <c r="X7" s="3" t="n">
        <v>23</v>
      </c>
      <c r="Y7" s="3" t="n">
        <v>22</v>
      </c>
      <c r="Z7" s="3" t="n">
        <v>1</v>
      </c>
      <c r="AA7" s="3" t="n">
        <v>0</v>
      </c>
      <c r="AB7" s="3" t="n">
        <v>0</v>
      </c>
      <c r="AC7" s="3" t="n">
        <v>0</v>
      </c>
      <c r="AD7" s="3" t="n">
        <v>1</v>
      </c>
      <c r="AE7" s="3" t="n">
        <v>10</v>
      </c>
      <c r="AF7" s="3" t="n">
        <v>3</v>
      </c>
      <c r="AG7" s="3" t="n">
        <v>9</v>
      </c>
      <c r="AH7" s="2" t="s">
        <v>137</v>
      </c>
      <c r="AI7" s="3" t="n">
        <v>27</v>
      </c>
      <c r="AJ7" s="2" t="n">
        <v>0</v>
      </c>
      <c r="AK7" s="2" t="n">
        <f aca="false">COUNTIFS(secondary_acts!$A$2:$A$771,$A7,secondary_acts!$E$2:$E$771,"implementing")</f>
        <v>0</v>
      </c>
      <c r="AL7" s="2" t="n">
        <f aca="false">COUNTIFS(secondary_acts!$A$2:$A$771,$A7,secondary_acts!$E$2:$E$771,"delegated")</f>
        <v>0</v>
      </c>
      <c r="AM7" s="2" t="n">
        <f aca="false">COUNTIFS(secondary_acts!$A$2:$A$771,$A7,secondary_acts!$E$2:$E$771,"other Commission/Council act")</f>
        <v>0</v>
      </c>
      <c r="AN7" s="2" t="n">
        <f aca="false">COUNTIFS(secondary_acts!$A$2:$A$771,$A7,secondary_acts!$E$2:$E$771,"guidance")</f>
        <v>1</v>
      </c>
      <c r="AO7" s="2" t="n">
        <f aca="false">COUNTIF(guidance_web!$A$2:$A$7,$A7)</f>
        <v>0</v>
      </c>
      <c r="AP7" s="2" t="n">
        <f aca="false">COUNTIFS(guidance_agencies!$A$2:$A$81,$A7,guidance_agencies!$D$2:$D$81,"EDPB")</f>
        <v>0</v>
      </c>
      <c r="AQ7" s="2" t="n">
        <f aca="false">COUNTIFS(guidance_agencies!$A$2:$A$81,$A7,guidance_agencies!$D$2:$D$81,"EBA")</f>
        <v>0</v>
      </c>
      <c r="AR7" s="2" t="n">
        <f aca="false">COUNTIFS(guidance_agencies!$A$2:$A$81,$A7,guidance_agencies!$D$2:$D$81,"ESMA")</f>
        <v>0</v>
      </c>
      <c r="AS7" s="3" t="n">
        <f aca="false">SUMIFS(secondary_acts!$S$2:$S$771,secondary_acts!$A$2:$A$771,$A7,secondary_acts!$E$2:$E$771,"implementing")+SUMIFS(secondary_acts!$S$2:$S$771,secondary_acts!$A$2:$A$771,$A7,secondary_acts!$E$2:$E$771,"delegated")</f>
        <v>0</v>
      </c>
      <c r="AT7" s="3" t="n">
        <v>359</v>
      </c>
      <c r="AU7" s="2" t="n">
        <v>26</v>
      </c>
      <c r="AV7" s="2" t="n">
        <v>1</v>
      </c>
      <c r="AW7" s="2" t="s">
        <v>90</v>
      </c>
      <c r="AX7" s="2" t="s">
        <v>90</v>
      </c>
      <c r="AY7" s="2" t="n">
        <v>1</v>
      </c>
      <c r="AZ7" s="2" t="s">
        <v>138</v>
      </c>
      <c r="BA7" s="2" t="s">
        <v>139</v>
      </c>
      <c r="BB7" s="2" t="n">
        <v>1809</v>
      </c>
      <c r="BC7" s="2" t="n">
        <v>21</v>
      </c>
      <c r="BD7" s="2" t="n">
        <v>0</v>
      </c>
      <c r="BE7" s="2" t="n">
        <f aca="false">IF(ISNUMBER(BB7),Q7-BB7,"")</f>
        <v>92</v>
      </c>
      <c r="BF7" s="4" t="n">
        <f aca="false">IF(AND(ISNUMBER(BB7),BB7&gt;0),(Q7-BB7)/BB7,"")</f>
        <v>0.05085682697623</v>
      </c>
      <c r="BG7" s="2" t="n">
        <f aca="false">IF(ISNUMBER(BC7),X7-BC7,"")</f>
        <v>2</v>
      </c>
      <c r="BH7" s="4" t="n">
        <f aca="false">IF(AND(ISNUMBER(BC7),BC7&gt;0),(X7-BC7)/BC7,"")</f>
        <v>0.0952380952380952</v>
      </c>
      <c r="BI7" s="2" t="n">
        <f aca="false">IF(ISNUMBER(BD7),AD7-BD7,"")</f>
        <v>1</v>
      </c>
      <c r="BJ7" s="2"/>
    </row>
    <row r="8" customFormat="false" ht="15" hidden="false" customHeight="false" outlineLevel="0" collapsed="false">
      <c r="A8" s="2" t="n">
        <v>7</v>
      </c>
      <c r="B8" s="2" t="s">
        <v>140</v>
      </c>
      <c r="C8" s="2" t="s">
        <v>141</v>
      </c>
      <c r="D8" s="2" t="s">
        <v>94</v>
      </c>
      <c r="E8" s="2" t="s">
        <v>65</v>
      </c>
      <c r="F8" s="2" t="s">
        <v>142</v>
      </c>
      <c r="G8" s="2" t="s">
        <v>143</v>
      </c>
      <c r="H8" s="2" t="s">
        <v>144</v>
      </c>
      <c r="I8" s="2" t="s">
        <v>145</v>
      </c>
      <c r="J8" s="2" t="s">
        <v>146</v>
      </c>
      <c r="K8" s="2" t="s">
        <v>70</v>
      </c>
      <c r="L8" s="2" t="s">
        <v>70</v>
      </c>
      <c r="M8" s="2" t="s">
        <v>147</v>
      </c>
      <c r="N8" s="2" t="s">
        <v>72</v>
      </c>
      <c r="O8" s="2" t="s">
        <v>148</v>
      </c>
      <c r="P8" s="3" t="n">
        <v>10</v>
      </c>
      <c r="Q8" s="3" t="n">
        <v>8127</v>
      </c>
      <c r="R8" s="3" t="n">
        <v>4811</v>
      </c>
      <c r="S8" s="3" t="n">
        <v>4670</v>
      </c>
      <c r="T8" s="3" t="n">
        <v>3316</v>
      </c>
      <c r="U8" s="3" t="n">
        <v>0</v>
      </c>
      <c r="V8" s="3" t="n">
        <v>0</v>
      </c>
      <c r="W8" s="3" t="n">
        <v>0</v>
      </c>
      <c r="X8" s="3" t="n">
        <v>35</v>
      </c>
      <c r="Y8" s="3" t="n">
        <v>29</v>
      </c>
      <c r="Z8" s="3" t="n">
        <v>3</v>
      </c>
      <c r="AA8" s="3" t="n">
        <v>2</v>
      </c>
      <c r="AB8" s="3" t="n">
        <v>0</v>
      </c>
      <c r="AC8" s="3" t="n">
        <v>1</v>
      </c>
      <c r="AD8" s="3" t="n">
        <v>0</v>
      </c>
      <c r="AE8" s="3" t="n">
        <v>21</v>
      </c>
      <c r="AF8" s="3" t="n">
        <v>3</v>
      </c>
      <c r="AG8" s="3" t="n">
        <v>11</v>
      </c>
      <c r="AH8" s="2" t="s">
        <v>149</v>
      </c>
      <c r="AI8" s="3" t="n">
        <v>35</v>
      </c>
      <c r="AJ8" s="2" t="n">
        <v>0</v>
      </c>
      <c r="AK8" s="2" t="n">
        <f aca="false">COUNTIFS(secondary_acts!$A$2:$A$771,$A8,secondary_acts!$E$2:$E$771,"implementing")</f>
        <v>0</v>
      </c>
      <c r="AL8" s="2" t="n">
        <f aca="false">COUNTIFS(secondary_acts!$A$2:$A$771,$A8,secondary_acts!$E$2:$E$771,"delegated")</f>
        <v>0</v>
      </c>
      <c r="AM8" s="2" t="n">
        <f aca="false">COUNTIFS(secondary_acts!$A$2:$A$771,$A8,secondary_acts!$E$2:$E$771,"other Commission/Council act")</f>
        <v>0</v>
      </c>
      <c r="AN8" s="2" t="n">
        <f aca="false">COUNTIFS(secondary_acts!$A$2:$A$771,$A8,secondary_acts!$E$2:$E$771,"guidance")</f>
        <v>0</v>
      </c>
      <c r="AO8" s="2" t="n">
        <f aca="false">COUNTIF(guidance_web!$A$2:$A$7,$A8)</f>
        <v>0</v>
      </c>
      <c r="AP8" s="2" t="n">
        <f aca="false">COUNTIFS(guidance_agencies!$A$2:$A$81,$A8,guidance_agencies!$D$2:$D$81,"EDPB")</f>
        <v>0</v>
      </c>
      <c r="AQ8" s="2" t="n">
        <f aca="false">COUNTIFS(guidance_agencies!$A$2:$A$81,$A8,guidance_agencies!$D$2:$D$81,"EBA")</f>
        <v>0</v>
      </c>
      <c r="AR8" s="2" t="n">
        <f aca="false">COUNTIFS(guidance_agencies!$A$2:$A$81,$A8,guidance_agencies!$D$2:$D$81,"ESMA")</f>
        <v>0</v>
      </c>
      <c r="AS8" s="3" t="n">
        <f aca="false">SUMIFS(secondary_acts!$S$2:$S$771,secondary_acts!$A$2:$A$771,$A8,secondary_acts!$E$2:$E$771,"implementing")+SUMIFS(secondary_acts!$S$2:$S$771,secondary_acts!$A$2:$A$771,$A8,secondary_acts!$E$2:$E$771,"delegated")</f>
        <v>0</v>
      </c>
      <c r="AT8" s="3" t="n">
        <v>1103</v>
      </c>
      <c r="AU8" s="2" t="n">
        <v>28</v>
      </c>
      <c r="AV8" s="2" t="n">
        <v>2</v>
      </c>
      <c r="AW8" s="2" t="s">
        <v>150</v>
      </c>
      <c r="AX8" s="2" t="s">
        <v>102</v>
      </c>
      <c r="AY8" s="2" t="n">
        <v>8</v>
      </c>
      <c r="AZ8" s="2" t="s">
        <v>151</v>
      </c>
      <c r="BA8" s="2" t="s">
        <v>139</v>
      </c>
      <c r="BB8" s="2" t="n">
        <v>5152</v>
      </c>
      <c r="BC8" s="2" t="n">
        <v>27</v>
      </c>
      <c r="BD8" s="2" t="n">
        <v>0</v>
      </c>
      <c r="BE8" s="2" t="n">
        <f aca="false">IF(ISNUMBER(BB8),Q8-BB8,"")</f>
        <v>2975</v>
      </c>
      <c r="BF8" s="4" t="n">
        <f aca="false">IF(AND(ISNUMBER(BB8),BB8&gt;0),(Q8-BB8)/BB8,"")</f>
        <v>0.577445652173913</v>
      </c>
      <c r="BG8" s="2" t="n">
        <f aca="false">IF(ISNUMBER(BC8),X8-BC8,"")</f>
        <v>8</v>
      </c>
      <c r="BH8" s="4" t="n">
        <f aca="false">IF(AND(ISNUMBER(BC8),BC8&gt;0),(X8-BC8)/BC8,"")</f>
        <v>0.296296296296296</v>
      </c>
      <c r="BI8" s="2" t="n">
        <f aca="false">IF(ISNUMBER(BD8),AD8-BD8,"")</f>
        <v>0</v>
      </c>
      <c r="BJ8" s="2"/>
    </row>
    <row r="9" customFormat="false" ht="15" hidden="false" customHeight="false" outlineLevel="0" collapsed="false">
      <c r="A9" s="2" t="n">
        <v>8</v>
      </c>
      <c r="B9" s="2" t="s">
        <v>152</v>
      </c>
      <c r="C9" s="2" t="s">
        <v>153</v>
      </c>
      <c r="D9" s="2" t="s">
        <v>80</v>
      </c>
      <c r="E9" s="2" t="s">
        <v>65</v>
      </c>
      <c r="F9" s="2" t="s">
        <v>154</v>
      </c>
      <c r="G9" s="2" t="s">
        <v>143</v>
      </c>
      <c r="H9" s="2" t="s">
        <v>155</v>
      </c>
      <c r="I9" s="2" t="s">
        <v>155</v>
      </c>
      <c r="J9" s="2" t="s">
        <v>156</v>
      </c>
      <c r="K9" s="2" t="s">
        <v>70</v>
      </c>
      <c r="L9" s="2" t="s">
        <v>70</v>
      </c>
      <c r="M9" s="2" t="s">
        <v>157</v>
      </c>
      <c r="N9" s="2" t="s">
        <v>72</v>
      </c>
      <c r="O9" s="2" t="s">
        <v>158</v>
      </c>
      <c r="P9" s="3" t="n">
        <v>16</v>
      </c>
      <c r="Q9" s="3" t="n">
        <v>10148</v>
      </c>
      <c r="R9" s="3" t="n">
        <v>5471</v>
      </c>
      <c r="S9" s="3" t="n">
        <v>5320</v>
      </c>
      <c r="T9" s="3" t="n">
        <v>4370</v>
      </c>
      <c r="U9" s="3" t="n">
        <v>307</v>
      </c>
      <c r="V9" s="3" t="n">
        <v>0</v>
      </c>
      <c r="W9" s="3" t="n">
        <v>0</v>
      </c>
      <c r="X9" s="3" t="n">
        <v>72</v>
      </c>
      <c r="Y9" s="3" t="n">
        <v>50</v>
      </c>
      <c r="Z9" s="3" t="n">
        <v>3</v>
      </c>
      <c r="AA9" s="3" t="n">
        <v>0</v>
      </c>
      <c r="AB9" s="3" t="n">
        <v>2</v>
      </c>
      <c r="AC9" s="3" t="n">
        <v>17</v>
      </c>
      <c r="AD9" s="3" t="n">
        <v>6</v>
      </c>
      <c r="AE9" s="3" t="n">
        <v>42</v>
      </c>
      <c r="AF9" s="3" t="n">
        <v>9</v>
      </c>
      <c r="AG9" s="3" t="n">
        <v>15</v>
      </c>
      <c r="AH9" s="2" t="s">
        <v>159</v>
      </c>
      <c r="AI9" s="3" t="n">
        <v>68</v>
      </c>
      <c r="AJ9" s="2" t="n">
        <v>6</v>
      </c>
      <c r="AK9" s="2" t="n">
        <f aca="false">COUNTIFS(secondary_acts!$A$2:$A$771,$A9,secondary_acts!$E$2:$E$771,"implementing")</f>
        <v>0</v>
      </c>
      <c r="AL9" s="2" t="n">
        <f aca="false">COUNTIFS(secondary_acts!$A$2:$A$771,$A9,secondary_acts!$E$2:$E$771,"delegated")</f>
        <v>0</v>
      </c>
      <c r="AM9" s="2" t="n">
        <f aca="false">COUNTIFS(secondary_acts!$A$2:$A$771,$A9,secondary_acts!$E$2:$E$771,"other Commission/Council act")</f>
        <v>0</v>
      </c>
      <c r="AN9" s="2" t="n">
        <f aca="false">COUNTIFS(secondary_acts!$A$2:$A$771,$A9,secondary_acts!$E$2:$E$771,"guidance")</f>
        <v>0</v>
      </c>
      <c r="AO9" s="2" t="n">
        <f aca="false">COUNTIF(guidance_web!$A$2:$A$7,$A9)</f>
        <v>0</v>
      </c>
      <c r="AP9" s="2" t="n">
        <f aca="false">COUNTIFS(guidance_agencies!$A$2:$A$81,$A9,guidance_agencies!$D$2:$D$81,"EDPB")</f>
        <v>0</v>
      </c>
      <c r="AQ9" s="2" t="n">
        <f aca="false">COUNTIFS(guidance_agencies!$A$2:$A$81,$A9,guidance_agencies!$D$2:$D$81,"EBA")</f>
        <v>0</v>
      </c>
      <c r="AR9" s="2" t="n">
        <f aca="false">COUNTIFS(guidance_agencies!$A$2:$A$81,$A9,guidance_agencies!$D$2:$D$81,"ESMA")</f>
        <v>0</v>
      </c>
      <c r="AS9" s="3" t="n">
        <f aca="false">SUMIFS(secondary_acts!$S$2:$S$771,secondary_acts!$A$2:$A$771,$A9,secondary_acts!$E$2:$E$771,"implementing")+SUMIFS(secondary_acts!$S$2:$S$771,secondary_acts!$A$2:$A$771,$A9,secondary_acts!$E$2:$E$771,"delegated")</f>
        <v>0</v>
      </c>
      <c r="AT9" s="3" t="n">
        <v>2522</v>
      </c>
      <c r="AU9" s="2" t="n">
        <v>27</v>
      </c>
      <c r="AV9" s="2" t="n">
        <v>1</v>
      </c>
      <c r="AW9" s="2" t="s">
        <v>160</v>
      </c>
      <c r="AX9" s="2" t="s">
        <v>160</v>
      </c>
      <c r="AY9" s="2" t="n">
        <v>4</v>
      </c>
      <c r="AZ9" s="2" t="s">
        <v>161</v>
      </c>
      <c r="BA9" s="2" t="s">
        <v>139</v>
      </c>
      <c r="BB9" s="2" t="n">
        <v>7063</v>
      </c>
      <c r="BC9" s="2" t="n">
        <v>78</v>
      </c>
      <c r="BD9" s="2" t="n">
        <v>7</v>
      </c>
      <c r="BE9" s="2" t="n">
        <f aca="false">IF(ISNUMBER(BB9),Q9-BB9,"")</f>
        <v>3085</v>
      </c>
      <c r="BF9" s="4" t="n">
        <f aca="false">IF(AND(ISNUMBER(BB9),BB9&gt;0),(Q9-BB9)/BB9,"")</f>
        <v>0.436783236585021</v>
      </c>
      <c r="BG9" s="2" t="n">
        <f aca="false">IF(ISNUMBER(BC9),X9-BC9,"")</f>
        <v>-6</v>
      </c>
      <c r="BH9" s="4" t="n">
        <f aca="false">IF(AND(ISNUMBER(BC9),BC9&gt;0),(X9-BC9)/BC9,"")</f>
        <v>-0.0769230769230769</v>
      </c>
      <c r="BI9" s="2" t="n">
        <f aca="false">IF(ISNUMBER(BD9),AD9-BD9,"")</f>
        <v>-1</v>
      </c>
      <c r="BJ9" s="2"/>
    </row>
    <row r="10" customFormat="false" ht="15" hidden="false" customHeight="false" outlineLevel="0" collapsed="false">
      <c r="A10" s="2" t="n">
        <v>9</v>
      </c>
      <c r="B10" s="2" t="s">
        <v>162</v>
      </c>
      <c r="C10" s="2" t="s">
        <v>163</v>
      </c>
      <c r="D10" s="2" t="s">
        <v>164</v>
      </c>
      <c r="E10" s="2" t="s">
        <v>65</v>
      </c>
      <c r="F10" s="2" t="s">
        <v>165</v>
      </c>
      <c r="G10" s="2" t="s">
        <v>143</v>
      </c>
      <c r="H10" s="2" t="s">
        <v>166</v>
      </c>
      <c r="I10" s="2" t="s">
        <v>167</v>
      </c>
      <c r="J10" s="2" t="s">
        <v>168</v>
      </c>
      <c r="K10" s="2" t="s">
        <v>70</v>
      </c>
      <c r="L10" s="2" t="s">
        <v>70</v>
      </c>
      <c r="M10" s="2" t="s">
        <v>169</v>
      </c>
      <c r="N10" s="2" t="s">
        <v>72</v>
      </c>
      <c r="O10" s="2" t="s">
        <v>170</v>
      </c>
      <c r="P10" s="3" t="n">
        <v>11</v>
      </c>
      <c r="Q10" s="3" t="n">
        <v>8620</v>
      </c>
      <c r="R10" s="3" t="n">
        <v>5001</v>
      </c>
      <c r="S10" s="3" t="n">
        <v>4843</v>
      </c>
      <c r="T10" s="3" t="n">
        <v>3619</v>
      </c>
      <c r="U10" s="3" t="n">
        <v>0</v>
      </c>
      <c r="V10" s="3" t="n">
        <v>0</v>
      </c>
      <c r="W10" s="3" t="n">
        <v>0</v>
      </c>
      <c r="X10" s="3" t="n">
        <v>49</v>
      </c>
      <c r="Y10" s="3" t="n">
        <v>34</v>
      </c>
      <c r="Z10" s="3" t="n">
        <v>3</v>
      </c>
      <c r="AA10" s="3" t="n">
        <v>2</v>
      </c>
      <c r="AB10" s="3" t="n">
        <v>1</v>
      </c>
      <c r="AC10" s="3" t="n">
        <v>9</v>
      </c>
      <c r="AD10" s="3" t="n">
        <v>17</v>
      </c>
      <c r="AE10" s="3" t="n">
        <v>23</v>
      </c>
      <c r="AF10" s="3" t="n">
        <v>4</v>
      </c>
      <c r="AG10" s="3" t="n">
        <v>5</v>
      </c>
      <c r="AH10" s="2" t="s">
        <v>171</v>
      </c>
      <c r="AI10" s="3" t="n">
        <v>79</v>
      </c>
      <c r="AJ10" s="2" t="n">
        <v>29</v>
      </c>
      <c r="AK10" s="2" t="n">
        <f aca="false">COUNTIFS(secondary_acts!$A$2:$A$771,$A10,secondary_acts!$E$2:$E$771,"implementing")</f>
        <v>0</v>
      </c>
      <c r="AL10" s="2" t="n">
        <f aca="false">COUNTIFS(secondary_acts!$A$2:$A$771,$A10,secondary_acts!$E$2:$E$771,"delegated")</f>
        <v>0</v>
      </c>
      <c r="AM10" s="2" t="n">
        <f aca="false">COUNTIFS(secondary_acts!$A$2:$A$771,$A10,secondary_acts!$E$2:$E$771,"other Commission/Council act")</f>
        <v>1</v>
      </c>
      <c r="AN10" s="2" t="n">
        <f aca="false">COUNTIFS(secondary_acts!$A$2:$A$771,$A10,secondary_acts!$E$2:$E$771,"guidance")</f>
        <v>0</v>
      </c>
      <c r="AO10" s="2" t="n">
        <f aca="false">COUNTIF(guidance_web!$A$2:$A$7,$A10)</f>
        <v>0</v>
      </c>
      <c r="AP10" s="2" t="n">
        <f aca="false">COUNTIFS(guidance_agencies!$A$2:$A$81,$A10,guidance_agencies!$D$2:$D$81,"EDPB")</f>
        <v>1</v>
      </c>
      <c r="AQ10" s="2" t="n">
        <f aca="false">COUNTIFS(guidance_agencies!$A$2:$A$81,$A10,guidance_agencies!$D$2:$D$81,"EBA")</f>
        <v>0</v>
      </c>
      <c r="AR10" s="2" t="n">
        <f aca="false">COUNTIFS(guidance_agencies!$A$2:$A$81,$A10,guidance_agencies!$D$2:$D$81,"ESMA")</f>
        <v>0</v>
      </c>
      <c r="AS10" s="3" t="n">
        <f aca="false">SUMIFS(secondary_acts!$S$2:$S$771,secondary_acts!$A$2:$A$771,$A10,secondary_acts!$E$2:$E$771,"implementing")+SUMIFS(secondary_acts!$S$2:$S$771,secondary_acts!$A$2:$A$771,$A10,secondary_acts!$E$2:$E$771,"delegated")</f>
        <v>0</v>
      </c>
      <c r="AT10" s="3" t="n">
        <v>1004</v>
      </c>
      <c r="AU10" s="2" t="n">
        <v>28</v>
      </c>
      <c r="AV10" s="2" t="n">
        <v>2</v>
      </c>
      <c r="AW10" s="2" t="s">
        <v>172</v>
      </c>
      <c r="AX10" s="2" t="s">
        <v>173</v>
      </c>
      <c r="AY10" s="2" t="n">
        <v>4</v>
      </c>
      <c r="AZ10" s="2" t="s">
        <v>174</v>
      </c>
      <c r="BA10" s="2" t="s">
        <v>139</v>
      </c>
      <c r="BB10" s="2" t="n">
        <v>5154</v>
      </c>
      <c r="BC10" s="2" t="n">
        <v>39</v>
      </c>
      <c r="BD10" s="2" t="n">
        <v>14</v>
      </c>
      <c r="BE10" s="2" t="n">
        <f aca="false">IF(ISNUMBER(BB10),Q10-BB10,"")</f>
        <v>3466</v>
      </c>
      <c r="BF10" s="4" t="n">
        <f aca="false">IF(AND(ISNUMBER(BB10),BB10&gt;0),(Q10-BB10)/BB10,"")</f>
        <v>0.672487388436166</v>
      </c>
      <c r="BG10" s="2" t="n">
        <f aca="false">IF(ISNUMBER(BC10),X10-BC10,"")</f>
        <v>10</v>
      </c>
      <c r="BH10" s="4" t="n">
        <f aca="false">IF(AND(ISNUMBER(BC10),BC10&gt;0),(X10-BC10)/BC10,"")</f>
        <v>0.256410256410256</v>
      </c>
      <c r="BI10" s="2" t="n">
        <f aca="false">IF(ISNUMBER(BD10),AD10-BD10,"")</f>
        <v>3</v>
      </c>
      <c r="BJ10" s="2"/>
    </row>
    <row r="11" customFormat="false" ht="15" hidden="false" customHeight="false" outlineLevel="0" collapsed="false">
      <c r="A11" s="2" t="n">
        <v>10</v>
      </c>
      <c r="B11" s="2" t="s">
        <v>175</v>
      </c>
      <c r="C11" s="2" t="s">
        <v>176</v>
      </c>
      <c r="D11" s="2" t="s">
        <v>64</v>
      </c>
      <c r="E11" s="2" t="s">
        <v>65</v>
      </c>
      <c r="F11" s="2" t="s">
        <v>165</v>
      </c>
      <c r="G11" s="2" t="s">
        <v>82</v>
      </c>
      <c r="H11" s="2" t="s">
        <v>177</v>
      </c>
      <c r="I11" s="2" t="s">
        <v>178</v>
      </c>
      <c r="J11" s="2" t="s">
        <v>179</v>
      </c>
      <c r="K11" s="2" t="s">
        <v>70</v>
      </c>
      <c r="L11" s="2" t="s">
        <v>70</v>
      </c>
      <c r="M11" s="2" t="s">
        <v>180</v>
      </c>
      <c r="N11" s="2" t="s">
        <v>72</v>
      </c>
      <c r="O11" s="2" t="s">
        <v>181</v>
      </c>
      <c r="P11" s="3" t="n">
        <v>6</v>
      </c>
      <c r="Q11" s="3" t="n">
        <v>4197</v>
      </c>
      <c r="R11" s="3" t="n">
        <v>2770</v>
      </c>
      <c r="S11" s="3" t="n">
        <v>2631</v>
      </c>
      <c r="T11" s="3" t="n">
        <v>1427</v>
      </c>
      <c r="U11" s="3" t="n">
        <v>0</v>
      </c>
      <c r="V11" s="3" t="n">
        <v>0</v>
      </c>
      <c r="W11" s="3" t="n">
        <v>0</v>
      </c>
      <c r="X11" s="3" t="n">
        <v>26</v>
      </c>
      <c r="Y11" s="3" t="n">
        <v>24</v>
      </c>
      <c r="Z11" s="3" t="n">
        <v>1</v>
      </c>
      <c r="AA11" s="3" t="n">
        <v>0</v>
      </c>
      <c r="AB11" s="3" t="n">
        <v>0</v>
      </c>
      <c r="AC11" s="3" t="n">
        <v>1</v>
      </c>
      <c r="AD11" s="3" t="n">
        <v>0</v>
      </c>
      <c r="AE11" s="3" t="n">
        <v>10</v>
      </c>
      <c r="AF11" s="3" t="n">
        <v>11</v>
      </c>
      <c r="AG11" s="3" t="n">
        <v>5</v>
      </c>
      <c r="AH11" s="2" t="s">
        <v>182</v>
      </c>
      <c r="AI11" s="3" t="n">
        <v>26</v>
      </c>
      <c r="AJ11" s="2" t="n">
        <v>0</v>
      </c>
      <c r="AK11" s="2" t="n">
        <f aca="false">COUNTIFS(secondary_acts!$A$2:$A$771,$A11,secondary_acts!$E$2:$E$771,"implementing")</f>
        <v>47</v>
      </c>
      <c r="AL11" s="2" t="n">
        <f aca="false">COUNTIFS(secondary_acts!$A$2:$A$771,$A11,secondary_acts!$E$2:$E$771,"delegated")</f>
        <v>0</v>
      </c>
      <c r="AM11" s="2" t="n">
        <f aca="false">COUNTIFS(secondary_acts!$A$2:$A$771,$A11,secondary_acts!$E$2:$E$771,"other Commission/Council act")</f>
        <v>0</v>
      </c>
      <c r="AN11" s="2" t="n">
        <f aca="false">COUNTIFS(secondary_acts!$A$2:$A$771,$A11,secondary_acts!$E$2:$E$771,"guidance")</f>
        <v>0</v>
      </c>
      <c r="AO11" s="2" t="n">
        <f aca="false">COUNTIF(guidance_web!$A$2:$A$7,$A11)</f>
        <v>0</v>
      </c>
      <c r="AP11" s="2" t="n">
        <f aca="false">COUNTIFS(guidance_agencies!$A$2:$A$81,$A11,guidance_agencies!$D$2:$D$81,"EDPB")</f>
        <v>0</v>
      </c>
      <c r="AQ11" s="2" t="n">
        <f aca="false">COUNTIFS(guidance_agencies!$A$2:$A$81,$A11,guidance_agencies!$D$2:$D$81,"EBA")</f>
        <v>0</v>
      </c>
      <c r="AR11" s="2" t="n">
        <f aca="false">COUNTIFS(guidance_agencies!$A$2:$A$81,$A11,guidance_agencies!$D$2:$D$81,"ESMA")</f>
        <v>0</v>
      </c>
      <c r="AS11" s="3" t="n">
        <f aca="false">SUMIFS(secondary_acts!$S$2:$S$771,secondary_acts!$A$2:$A$771,$A11,secondary_acts!$E$2:$E$771,"implementing")+SUMIFS(secondary_acts!$S$2:$S$771,secondary_acts!$A$2:$A$771,$A11,secondary_acts!$E$2:$E$771,"delegated")</f>
        <v>818</v>
      </c>
      <c r="AT11" s="3"/>
      <c r="AU11" s="2"/>
      <c r="AV11" s="2" t="n">
        <v>0</v>
      </c>
      <c r="AW11" s="2"/>
      <c r="AX11" s="2"/>
      <c r="AY11" s="2" t="n">
        <v>1</v>
      </c>
      <c r="AZ11" s="2" t="s">
        <v>183</v>
      </c>
      <c r="BA11" s="2" t="s">
        <v>77</v>
      </c>
      <c r="BB11" s="2" t="n">
        <v>4076</v>
      </c>
      <c r="BC11" s="2" t="n">
        <v>33</v>
      </c>
      <c r="BD11" s="2" t="n">
        <v>0</v>
      </c>
      <c r="BE11" s="2" t="n">
        <f aca="false">IF(ISNUMBER(BB11),Q11-BB11,"")</f>
        <v>121</v>
      </c>
      <c r="BF11" s="4" t="n">
        <f aca="false">IF(AND(ISNUMBER(BB11),BB11&gt;0),(Q11-BB11)/BB11,"")</f>
        <v>0.0296859666339549</v>
      </c>
      <c r="BG11" s="2" t="n">
        <f aca="false">IF(ISNUMBER(BC11),X11-BC11,"")</f>
        <v>-7</v>
      </c>
      <c r="BH11" s="4" t="n">
        <f aca="false">IF(AND(ISNUMBER(BC11),BC11&gt;0),(X11-BC11)/BC11,"")</f>
        <v>-0.212121212121212</v>
      </c>
      <c r="BI11" s="2" t="n">
        <f aca="false">IF(ISNUMBER(BD11),AD11-BD11,"")</f>
        <v>0</v>
      </c>
      <c r="BJ11" s="2" t="s">
        <v>104</v>
      </c>
    </row>
    <row r="12" customFormat="false" ht="15" hidden="false" customHeight="false" outlineLevel="0" collapsed="false">
      <c r="A12" s="2" t="n">
        <v>11</v>
      </c>
      <c r="B12" s="2" t="s">
        <v>184</v>
      </c>
      <c r="C12" s="2" t="s">
        <v>185</v>
      </c>
      <c r="D12" s="2" t="s">
        <v>186</v>
      </c>
      <c r="E12" s="2" t="s">
        <v>65</v>
      </c>
      <c r="F12" s="2" t="s">
        <v>187</v>
      </c>
      <c r="G12" s="2" t="s">
        <v>143</v>
      </c>
      <c r="H12" s="2" t="s">
        <v>188</v>
      </c>
      <c r="I12" s="2" t="s">
        <v>189</v>
      </c>
      <c r="J12" s="2" t="s">
        <v>190</v>
      </c>
      <c r="K12" s="2" t="s">
        <v>70</v>
      </c>
      <c r="L12" s="2" t="s">
        <v>70</v>
      </c>
      <c r="M12" s="2" t="s">
        <v>191</v>
      </c>
      <c r="N12" s="2" t="s">
        <v>72</v>
      </c>
      <c r="O12" s="2" t="s">
        <v>192</v>
      </c>
      <c r="P12" s="3" t="n">
        <v>22</v>
      </c>
      <c r="Q12" s="3" t="n">
        <v>14967</v>
      </c>
      <c r="R12" s="3" t="n">
        <v>4554</v>
      </c>
      <c r="S12" s="3" t="n">
        <v>4435</v>
      </c>
      <c r="T12" s="3" t="n">
        <v>10409</v>
      </c>
      <c r="U12" s="3" t="n">
        <v>4</v>
      </c>
      <c r="V12" s="3" t="n">
        <v>0</v>
      </c>
      <c r="W12" s="3" t="n">
        <v>0</v>
      </c>
      <c r="X12" s="3" t="n">
        <v>157</v>
      </c>
      <c r="Y12" s="3" t="n">
        <v>142</v>
      </c>
      <c r="Z12" s="3" t="n">
        <v>13</v>
      </c>
      <c r="AA12" s="3" t="n">
        <v>0</v>
      </c>
      <c r="AB12" s="3" t="n">
        <v>1</v>
      </c>
      <c r="AC12" s="3" t="n">
        <v>1</v>
      </c>
      <c r="AD12" s="3" t="n">
        <v>12</v>
      </c>
      <c r="AE12" s="3" t="n">
        <v>26</v>
      </c>
      <c r="AF12" s="3" t="n">
        <v>67</v>
      </c>
      <c r="AG12" s="3" t="n">
        <v>52</v>
      </c>
      <c r="AH12" s="2" t="s">
        <v>193</v>
      </c>
      <c r="AI12" s="3" t="n">
        <v>157</v>
      </c>
      <c r="AJ12" s="2" t="n">
        <v>12</v>
      </c>
      <c r="AK12" s="2" t="n">
        <f aca="false">COUNTIFS(secondary_acts!$A$2:$A$771,$A12,secondary_acts!$E$2:$E$771,"implementing")</f>
        <v>3</v>
      </c>
      <c r="AL12" s="2" t="n">
        <f aca="false">COUNTIFS(secondary_acts!$A$2:$A$771,$A12,secondary_acts!$E$2:$E$771,"delegated")</f>
        <v>0</v>
      </c>
      <c r="AM12" s="2" t="n">
        <f aca="false">COUNTIFS(secondary_acts!$A$2:$A$771,$A12,secondary_acts!$E$2:$E$771,"other Commission/Council act")</f>
        <v>2</v>
      </c>
      <c r="AN12" s="2" t="n">
        <f aca="false">COUNTIFS(secondary_acts!$A$2:$A$771,$A12,secondary_acts!$E$2:$E$771,"guidance")</f>
        <v>3</v>
      </c>
      <c r="AO12" s="2" t="n">
        <f aca="false">COUNTIF(guidance_web!$A$2:$A$7,$A12)</f>
        <v>0</v>
      </c>
      <c r="AP12" s="2" t="n">
        <f aca="false">COUNTIFS(guidance_agencies!$A$2:$A$81,$A12,guidance_agencies!$D$2:$D$81,"EDPB")</f>
        <v>0</v>
      </c>
      <c r="AQ12" s="2" t="n">
        <f aca="false">COUNTIFS(guidance_agencies!$A$2:$A$81,$A12,guidance_agencies!$D$2:$D$81,"EBA")</f>
        <v>0</v>
      </c>
      <c r="AR12" s="2" t="n">
        <f aca="false">COUNTIFS(guidance_agencies!$A$2:$A$81,$A12,guidance_agencies!$D$2:$D$81,"ESMA")</f>
        <v>0</v>
      </c>
      <c r="AS12" s="3" t="n">
        <f aca="false">SUMIFS(secondary_acts!$S$2:$S$771,secondary_acts!$A$2:$A$771,$A12,secondary_acts!$E$2:$E$771,"implementing")+SUMIFS(secondary_acts!$S$2:$S$771,secondary_acts!$A$2:$A$771,$A12,secondary_acts!$E$2:$E$771,"delegated")</f>
        <v>355</v>
      </c>
      <c r="AT12" s="3"/>
      <c r="AU12" s="2"/>
      <c r="AV12" s="2" t="n">
        <v>0</v>
      </c>
      <c r="AW12" s="2"/>
      <c r="AX12" s="2"/>
      <c r="AY12" s="2" t="n">
        <v>8</v>
      </c>
      <c r="AZ12" s="2"/>
      <c r="BA12" s="2" t="s">
        <v>194</v>
      </c>
      <c r="BB12" s="2"/>
      <c r="BC12" s="2"/>
      <c r="BD12" s="2"/>
      <c r="BE12" s="2" t="str">
        <f aca="false">IF(ISNUMBER(BB12),Q12-BB12,"")</f>
        <v/>
      </c>
      <c r="BF12" s="4" t="str">
        <f aca="false">IF(AND(ISNUMBER(BB12),BB12&gt;0),(Q12-BB12)/BB12,"")</f>
        <v/>
      </c>
      <c r="BG12" s="2" t="str">
        <f aca="false">IF(ISNUMBER(BC12),X12-BC12,"")</f>
        <v/>
      </c>
      <c r="BH12" s="4" t="str">
        <f aca="false">IF(AND(ISNUMBER(BC12),BC12&gt;0),(X12-BC12)/BC12,"")</f>
        <v/>
      </c>
      <c r="BI12" s="2" t="str">
        <f aca="false">IF(ISNUMBER(BD12),AD12-BD12,"")</f>
        <v/>
      </c>
      <c r="BJ12" s="2" t="s">
        <v>104</v>
      </c>
    </row>
    <row r="13" customFormat="false" ht="15" hidden="false" customHeight="false" outlineLevel="0" collapsed="false">
      <c r="A13" s="2" t="n">
        <v>12</v>
      </c>
      <c r="B13" s="2" t="s">
        <v>195</v>
      </c>
      <c r="C13" s="2" t="s">
        <v>196</v>
      </c>
      <c r="D13" s="2" t="s">
        <v>107</v>
      </c>
      <c r="E13" s="2" t="s">
        <v>65</v>
      </c>
      <c r="F13" s="2" t="s">
        <v>197</v>
      </c>
      <c r="G13" s="2" t="s">
        <v>143</v>
      </c>
      <c r="H13" s="2" t="s">
        <v>198</v>
      </c>
      <c r="I13" s="2" t="s">
        <v>199</v>
      </c>
      <c r="J13" s="2" t="s">
        <v>200</v>
      </c>
      <c r="K13" s="2" t="s">
        <v>70</v>
      </c>
      <c r="L13" s="2" t="s">
        <v>70</v>
      </c>
      <c r="M13" s="2" t="s">
        <v>201</v>
      </c>
      <c r="N13" s="2" t="s">
        <v>72</v>
      </c>
      <c r="O13" s="2" t="s">
        <v>202</v>
      </c>
      <c r="P13" s="3" t="n">
        <v>42</v>
      </c>
      <c r="Q13" s="3" t="n">
        <v>5981</v>
      </c>
      <c r="R13" s="3" t="n">
        <v>2560</v>
      </c>
      <c r="S13" s="3" t="n">
        <v>2452</v>
      </c>
      <c r="T13" s="3" t="n">
        <v>3421</v>
      </c>
      <c r="U13" s="3" t="n">
        <v>0</v>
      </c>
      <c r="V13" s="3" t="n">
        <v>0</v>
      </c>
      <c r="W13" s="3" t="n">
        <v>0</v>
      </c>
      <c r="X13" s="3" t="n">
        <v>54</v>
      </c>
      <c r="Y13" s="3" t="n">
        <v>39</v>
      </c>
      <c r="Z13" s="3" t="n">
        <v>1</v>
      </c>
      <c r="AA13" s="3" t="n">
        <v>0</v>
      </c>
      <c r="AB13" s="3" t="n">
        <v>0</v>
      </c>
      <c r="AC13" s="3" t="n">
        <v>14</v>
      </c>
      <c r="AD13" s="3" t="n">
        <v>4</v>
      </c>
      <c r="AE13" s="3" t="n">
        <v>37</v>
      </c>
      <c r="AF13" s="3" t="n">
        <v>2</v>
      </c>
      <c r="AG13" s="3" t="n">
        <v>11</v>
      </c>
      <c r="AH13" s="2" t="s">
        <v>203</v>
      </c>
      <c r="AI13" s="3" t="n">
        <v>54</v>
      </c>
      <c r="AJ13" s="2" t="n">
        <v>4</v>
      </c>
      <c r="AK13" s="2" t="n">
        <f aca="false">COUNTIFS(secondary_acts!$A$2:$A$771,$A13,secondary_acts!$E$2:$E$771,"implementing")</f>
        <v>0</v>
      </c>
      <c r="AL13" s="2" t="n">
        <f aca="false">COUNTIFS(secondary_acts!$A$2:$A$771,$A13,secondary_acts!$E$2:$E$771,"delegated")</f>
        <v>0</v>
      </c>
      <c r="AM13" s="2" t="n">
        <f aca="false">COUNTIFS(secondary_acts!$A$2:$A$771,$A13,secondary_acts!$E$2:$E$771,"other Commission/Council act")</f>
        <v>0</v>
      </c>
      <c r="AN13" s="2" t="n">
        <f aca="false">COUNTIFS(secondary_acts!$A$2:$A$771,$A13,secondary_acts!$E$2:$E$771,"guidance")</f>
        <v>1</v>
      </c>
      <c r="AO13" s="2" t="n">
        <f aca="false">COUNTIF(guidance_web!$A$2:$A$7,$A13)</f>
        <v>0</v>
      </c>
      <c r="AP13" s="2" t="n">
        <f aca="false">COUNTIFS(guidance_agencies!$A$2:$A$81,$A13,guidance_agencies!$D$2:$D$81,"EDPB")</f>
        <v>0</v>
      </c>
      <c r="AQ13" s="2" t="n">
        <f aca="false">COUNTIFS(guidance_agencies!$A$2:$A$81,$A13,guidance_agencies!$D$2:$D$81,"EBA")</f>
        <v>0</v>
      </c>
      <c r="AR13" s="2" t="n">
        <f aca="false">COUNTIFS(guidance_agencies!$A$2:$A$81,$A13,guidance_agencies!$D$2:$D$81,"ESMA")</f>
        <v>0</v>
      </c>
      <c r="AS13" s="3" t="n">
        <f aca="false">SUMIFS(secondary_acts!$S$2:$S$771,secondary_acts!$A$2:$A$771,$A13,secondary_acts!$E$2:$E$771,"implementing")+SUMIFS(secondary_acts!$S$2:$S$771,secondary_acts!$A$2:$A$771,$A13,secondary_acts!$E$2:$E$771,"delegated")</f>
        <v>0</v>
      </c>
      <c r="AT13" s="3" t="n">
        <v>2025</v>
      </c>
      <c r="AU13" s="2" t="n">
        <v>28</v>
      </c>
      <c r="AV13" s="2" t="n">
        <v>0</v>
      </c>
      <c r="AW13" s="2"/>
      <c r="AX13" s="2"/>
      <c r="AY13" s="2" t="n">
        <v>4</v>
      </c>
      <c r="AZ13" s="2" t="s">
        <v>204</v>
      </c>
      <c r="BA13" s="2" t="s">
        <v>77</v>
      </c>
      <c r="BB13" s="2" t="n">
        <v>8819</v>
      </c>
      <c r="BC13" s="2" t="n">
        <v>77</v>
      </c>
      <c r="BD13" s="2" t="n">
        <v>5</v>
      </c>
      <c r="BE13" s="2" t="n">
        <f aca="false">IF(ISNUMBER(BB13),Q13-BB13,"")</f>
        <v>-2838</v>
      </c>
      <c r="BF13" s="4" t="n">
        <f aca="false">IF(AND(ISNUMBER(BB13),BB13&gt;0),(Q13-BB13)/BB13,"")</f>
        <v>-0.321805193332577</v>
      </c>
      <c r="BG13" s="2" t="n">
        <f aca="false">IF(ISNUMBER(BC13),X13-BC13,"")</f>
        <v>-23</v>
      </c>
      <c r="BH13" s="4" t="n">
        <f aca="false">IF(AND(ISNUMBER(BC13),BC13&gt;0),(X13-BC13)/BC13,"")</f>
        <v>-0.298701298701299</v>
      </c>
      <c r="BI13" s="2" t="n">
        <f aca="false">IF(ISNUMBER(BD13),AD13-BD13,"")</f>
        <v>-1</v>
      </c>
      <c r="BJ13" s="2"/>
    </row>
    <row r="14" customFormat="false" ht="15" hidden="false" customHeight="false" outlineLevel="0" collapsed="false">
      <c r="A14" s="2" t="n">
        <v>13</v>
      </c>
      <c r="B14" s="2" t="s">
        <v>205</v>
      </c>
      <c r="C14" s="2" t="s">
        <v>206</v>
      </c>
      <c r="D14" s="2" t="s">
        <v>80</v>
      </c>
      <c r="E14" s="2" t="s">
        <v>65</v>
      </c>
      <c r="F14" s="2" t="s">
        <v>207</v>
      </c>
      <c r="G14" s="2" t="s">
        <v>143</v>
      </c>
      <c r="H14" s="2" t="s">
        <v>208</v>
      </c>
      <c r="I14" s="2" t="s">
        <v>209</v>
      </c>
      <c r="J14" s="2" t="s">
        <v>210</v>
      </c>
      <c r="K14" s="2" t="s">
        <v>70</v>
      </c>
      <c r="L14" s="2" t="s">
        <v>70</v>
      </c>
      <c r="M14" s="2" t="s">
        <v>211</v>
      </c>
      <c r="N14" s="2" t="s">
        <v>72</v>
      </c>
      <c r="O14" s="2" t="s">
        <v>212</v>
      </c>
      <c r="P14" s="3" t="n">
        <v>18</v>
      </c>
      <c r="Q14" s="3" t="n">
        <v>9287</v>
      </c>
      <c r="R14" s="3" t="n">
        <v>3037</v>
      </c>
      <c r="S14" s="3" t="n">
        <v>2890</v>
      </c>
      <c r="T14" s="3" t="n">
        <v>4387</v>
      </c>
      <c r="U14" s="3" t="n">
        <v>1863</v>
      </c>
      <c r="V14" s="3" t="n">
        <v>0</v>
      </c>
      <c r="W14" s="3" t="n">
        <v>0</v>
      </c>
      <c r="X14" s="3" t="n">
        <v>48</v>
      </c>
      <c r="Y14" s="3" t="n">
        <v>44</v>
      </c>
      <c r="Z14" s="3" t="n">
        <v>1</v>
      </c>
      <c r="AA14" s="3" t="n">
        <v>1</v>
      </c>
      <c r="AB14" s="3" t="n">
        <v>0</v>
      </c>
      <c r="AC14" s="3" t="n">
        <v>2</v>
      </c>
      <c r="AD14" s="3" t="n">
        <v>5</v>
      </c>
      <c r="AE14" s="3" t="n">
        <v>29</v>
      </c>
      <c r="AF14" s="3" t="n">
        <v>2</v>
      </c>
      <c r="AG14" s="3" t="n">
        <v>12</v>
      </c>
      <c r="AH14" s="2" t="s">
        <v>213</v>
      </c>
      <c r="AI14" s="3" t="n">
        <v>56</v>
      </c>
      <c r="AJ14" s="2" t="n">
        <v>5</v>
      </c>
      <c r="AK14" s="2" t="n">
        <f aca="false">COUNTIFS(secondary_acts!$A$2:$A$771,$A14,secondary_acts!$E$2:$E$771,"implementing")</f>
        <v>0</v>
      </c>
      <c r="AL14" s="2" t="n">
        <f aca="false">COUNTIFS(secondary_acts!$A$2:$A$771,$A14,secondary_acts!$E$2:$E$771,"delegated")</f>
        <v>0</v>
      </c>
      <c r="AM14" s="2" t="n">
        <f aca="false">COUNTIFS(secondary_acts!$A$2:$A$771,$A14,secondary_acts!$E$2:$E$771,"other Commission/Council act")</f>
        <v>0</v>
      </c>
      <c r="AN14" s="2" t="n">
        <f aca="false">COUNTIFS(secondary_acts!$A$2:$A$771,$A14,secondary_acts!$E$2:$E$771,"guidance")</f>
        <v>2</v>
      </c>
      <c r="AO14" s="2" t="n">
        <f aca="false">COUNTIF(guidance_web!$A$2:$A$7,$A14)</f>
        <v>0</v>
      </c>
      <c r="AP14" s="2" t="n">
        <f aca="false">COUNTIFS(guidance_agencies!$A$2:$A$81,$A14,guidance_agencies!$D$2:$D$81,"EDPB")</f>
        <v>0</v>
      </c>
      <c r="AQ14" s="2" t="n">
        <f aca="false">COUNTIFS(guidance_agencies!$A$2:$A$81,$A14,guidance_agencies!$D$2:$D$81,"EBA")</f>
        <v>0</v>
      </c>
      <c r="AR14" s="2" t="n">
        <f aca="false">COUNTIFS(guidance_agencies!$A$2:$A$81,$A14,guidance_agencies!$D$2:$D$81,"ESMA")</f>
        <v>0</v>
      </c>
      <c r="AS14" s="3" t="n">
        <f aca="false">SUMIFS(secondary_acts!$S$2:$S$771,secondary_acts!$A$2:$A$771,$A14,secondary_acts!$E$2:$E$771,"implementing")+SUMIFS(secondary_acts!$S$2:$S$771,secondary_acts!$A$2:$A$771,$A14,secondary_acts!$E$2:$E$771,"delegated")</f>
        <v>0</v>
      </c>
      <c r="AT14" s="3" t="n">
        <v>3206</v>
      </c>
      <c r="AU14" s="2" t="n">
        <v>28</v>
      </c>
      <c r="AV14" s="2" t="n">
        <v>2</v>
      </c>
      <c r="AW14" s="2" t="s">
        <v>90</v>
      </c>
      <c r="AX14" s="2" t="s">
        <v>214</v>
      </c>
      <c r="AY14" s="2" t="n">
        <v>4</v>
      </c>
      <c r="AZ14" s="2" t="s">
        <v>215</v>
      </c>
      <c r="BA14" s="2" t="s">
        <v>77</v>
      </c>
      <c r="BB14" s="2" t="n">
        <v>6830</v>
      </c>
      <c r="BC14" s="2" t="n">
        <v>33</v>
      </c>
      <c r="BD14" s="2" t="n">
        <v>1</v>
      </c>
      <c r="BE14" s="2" t="n">
        <f aca="false">IF(ISNUMBER(BB14),Q14-BB14,"")</f>
        <v>2457</v>
      </c>
      <c r="BF14" s="4" t="n">
        <f aca="false">IF(AND(ISNUMBER(BB14),BB14&gt;0),(Q14-BB14)/BB14,"")</f>
        <v>0.359736456808199</v>
      </c>
      <c r="BG14" s="2" t="n">
        <f aca="false">IF(ISNUMBER(BC14),X14-BC14,"")</f>
        <v>15</v>
      </c>
      <c r="BH14" s="4" t="n">
        <f aca="false">IF(AND(ISNUMBER(BC14),BC14&gt;0),(X14-BC14)/BC14,"")</f>
        <v>0.454545454545455</v>
      </c>
      <c r="BI14" s="2" t="n">
        <f aca="false">IF(ISNUMBER(BD14),AD14-BD14,"")</f>
        <v>4</v>
      </c>
      <c r="BJ14" s="2"/>
    </row>
    <row r="15" customFormat="false" ht="15" hidden="false" customHeight="false" outlineLevel="0" collapsed="false">
      <c r="A15" s="2" t="n">
        <v>14</v>
      </c>
      <c r="B15" s="2" t="s">
        <v>216</v>
      </c>
      <c r="C15" s="2" t="s">
        <v>217</v>
      </c>
      <c r="D15" s="2" t="s">
        <v>218</v>
      </c>
      <c r="E15" s="2" t="s">
        <v>65</v>
      </c>
      <c r="F15" s="2" t="s">
        <v>219</v>
      </c>
      <c r="G15" s="2" t="s">
        <v>82</v>
      </c>
      <c r="H15" s="2" t="s">
        <v>220</v>
      </c>
      <c r="I15" s="2" t="s">
        <v>221</v>
      </c>
      <c r="J15" s="2" t="s">
        <v>222</v>
      </c>
      <c r="K15" s="2" t="s">
        <v>70</v>
      </c>
      <c r="L15" s="2" t="s">
        <v>70</v>
      </c>
      <c r="M15" s="2" t="s">
        <v>223</v>
      </c>
      <c r="N15" s="2" t="s">
        <v>72</v>
      </c>
      <c r="O15" s="2" t="s">
        <v>224</v>
      </c>
      <c r="P15" s="3" t="n">
        <v>118</v>
      </c>
      <c r="Q15" s="3" t="n">
        <v>58443</v>
      </c>
      <c r="R15" s="3" t="n">
        <v>3612</v>
      </c>
      <c r="S15" s="3" t="n">
        <v>3532</v>
      </c>
      <c r="T15" s="3" t="n">
        <v>43412</v>
      </c>
      <c r="U15" s="3" t="n">
        <v>11419</v>
      </c>
      <c r="V15" s="3" t="n">
        <v>0</v>
      </c>
      <c r="W15" s="3" t="n">
        <v>0</v>
      </c>
      <c r="X15" s="3" t="n">
        <v>406</v>
      </c>
      <c r="Y15" s="3" t="n">
        <v>349</v>
      </c>
      <c r="Z15" s="3" t="n">
        <v>48</v>
      </c>
      <c r="AA15" s="3" t="n">
        <v>0</v>
      </c>
      <c r="AB15" s="3" t="n">
        <v>6</v>
      </c>
      <c r="AC15" s="3" t="n">
        <v>3</v>
      </c>
      <c r="AD15" s="3" t="n">
        <v>57</v>
      </c>
      <c r="AE15" s="3" t="n">
        <v>144</v>
      </c>
      <c r="AF15" s="3" t="n">
        <v>40</v>
      </c>
      <c r="AG15" s="3" t="n">
        <v>165</v>
      </c>
      <c r="AH15" s="2" t="s">
        <v>225</v>
      </c>
      <c r="AI15" s="3" t="n">
        <v>425</v>
      </c>
      <c r="AJ15" s="2" t="n">
        <v>64</v>
      </c>
      <c r="AK15" s="2" t="n">
        <f aca="false">COUNTIFS(secondary_acts!$A$2:$A$771,$A15,secondary_acts!$E$2:$E$771,"implementing")</f>
        <v>183</v>
      </c>
      <c r="AL15" s="2" t="n">
        <f aca="false">COUNTIFS(secondary_acts!$A$2:$A$771,$A15,secondary_acts!$E$2:$E$771,"delegated")</f>
        <v>0</v>
      </c>
      <c r="AM15" s="2" t="n">
        <f aca="false">COUNTIFS(secondary_acts!$A$2:$A$771,$A15,secondary_acts!$E$2:$E$771,"other Commission/Council act")</f>
        <v>1</v>
      </c>
      <c r="AN15" s="2" t="n">
        <f aca="false">COUNTIFS(secondary_acts!$A$2:$A$771,$A15,secondary_acts!$E$2:$E$771,"guidance")</f>
        <v>0</v>
      </c>
      <c r="AO15" s="2" t="n">
        <f aca="false">COUNTIF(guidance_web!$A$2:$A$7,$A15)</f>
        <v>0</v>
      </c>
      <c r="AP15" s="2" t="n">
        <f aca="false">COUNTIFS(guidance_agencies!$A$2:$A$81,$A15,guidance_agencies!$D$2:$D$81,"EDPB")</f>
        <v>0</v>
      </c>
      <c r="AQ15" s="2" t="n">
        <f aca="false">COUNTIFS(guidance_agencies!$A$2:$A$81,$A15,guidance_agencies!$D$2:$D$81,"EBA")</f>
        <v>0</v>
      </c>
      <c r="AR15" s="2" t="n">
        <f aca="false">COUNTIFS(guidance_agencies!$A$2:$A$81,$A15,guidance_agencies!$D$2:$D$81,"ESMA")</f>
        <v>0</v>
      </c>
      <c r="AS15" s="3" t="n">
        <f aca="false">SUMIFS(secondary_acts!$S$2:$S$771,secondary_acts!$A$2:$A$771,$A15,secondary_acts!$E$2:$E$771,"implementing")+SUMIFS(secondary_acts!$S$2:$S$771,secondary_acts!$A$2:$A$771,$A15,secondary_acts!$E$2:$E$771,"delegated")</f>
        <v>487</v>
      </c>
      <c r="AT15" s="3" t="n">
        <v>1745</v>
      </c>
      <c r="AU15" s="2" t="n">
        <v>26</v>
      </c>
      <c r="AV15" s="2" t="n">
        <v>35</v>
      </c>
      <c r="AW15" s="2" t="s">
        <v>226</v>
      </c>
      <c r="AX15" s="2" t="s">
        <v>227</v>
      </c>
      <c r="AY15" s="2" t="n">
        <v>23</v>
      </c>
      <c r="AZ15" s="2" t="s">
        <v>228</v>
      </c>
      <c r="BA15" s="2" t="s">
        <v>229</v>
      </c>
      <c r="BB15" s="2"/>
      <c r="BC15" s="2"/>
      <c r="BD15" s="2"/>
      <c r="BE15" s="2" t="str">
        <f aca="false">IF(ISNUMBER(BB15),Q15-BB15,"")</f>
        <v/>
      </c>
      <c r="BF15" s="4" t="str">
        <f aca="false">IF(AND(ISNUMBER(BB15),BB15&gt;0),(Q15-BB15)/BB15,"")</f>
        <v/>
      </c>
      <c r="BG15" s="2" t="str">
        <f aca="false">IF(ISNUMBER(BC15),X15-BC15,"")</f>
        <v/>
      </c>
      <c r="BH15" s="4" t="str">
        <f aca="false">IF(AND(ISNUMBER(BC15),BC15&gt;0),(X15-BC15)/BC15,"")</f>
        <v/>
      </c>
      <c r="BI15" s="2" t="str">
        <f aca="false">IF(ISNUMBER(BD15),AD15-BD15,"")</f>
        <v/>
      </c>
      <c r="BJ15" s="2"/>
    </row>
    <row r="16" customFormat="false" ht="15" hidden="false" customHeight="false" outlineLevel="0" collapsed="false">
      <c r="A16" s="2" t="n">
        <v>15</v>
      </c>
      <c r="B16" s="2" t="s">
        <v>230</v>
      </c>
      <c r="C16" s="2" t="s">
        <v>231</v>
      </c>
      <c r="D16" s="2" t="s">
        <v>94</v>
      </c>
      <c r="E16" s="2" t="s">
        <v>65</v>
      </c>
      <c r="F16" s="2" t="s">
        <v>232</v>
      </c>
      <c r="G16" s="2" t="s">
        <v>82</v>
      </c>
      <c r="H16" s="2" t="s">
        <v>233</v>
      </c>
      <c r="I16" s="2" t="s">
        <v>233</v>
      </c>
      <c r="J16" s="2" t="s">
        <v>234</v>
      </c>
      <c r="K16" s="2" t="s">
        <v>70</v>
      </c>
      <c r="L16" s="2" t="s">
        <v>70</v>
      </c>
      <c r="M16" s="2" t="s">
        <v>235</v>
      </c>
      <c r="N16" s="2" t="s">
        <v>72</v>
      </c>
      <c r="O16" s="2" t="s">
        <v>236</v>
      </c>
      <c r="P16" s="3" t="n">
        <v>24</v>
      </c>
      <c r="Q16" s="3" t="n">
        <v>15640</v>
      </c>
      <c r="R16" s="3" t="n">
        <v>8388</v>
      </c>
      <c r="S16" s="3" t="n">
        <v>8276</v>
      </c>
      <c r="T16" s="3" t="n">
        <v>6686</v>
      </c>
      <c r="U16" s="3" t="n">
        <v>566</v>
      </c>
      <c r="V16" s="3" t="n">
        <v>0</v>
      </c>
      <c r="W16" s="3" t="n">
        <v>0</v>
      </c>
      <c r="X16" s="3" t="n">
        <v>117</v>
      </c>
      <c r="Y16" s="3" t="n">
        <v>67</v>
      </c>
      <c r="Z16" s="3" t="n">
        <v>29</v>
      </c>
      <c r="AA16" s="3" t="n">
        <v>2</v>
      </c>
      <c r="AB16" s="3" t="n">
        <v>1</v>
      </c>
      <c r="AC16" s="3" t="n">
        <v>18</v>
      </c>
      <c r="AD16" s="3" t="n">
        <v>9</v>
      </c>
      <c r="AE16" s="3" t="n">
        <v>52</v>
      </c>
      <c r="AF16" s="3" t="n">
        <v>14</v>
      </c>
      <c r="AG16" s="3" t="n">
        <v>42</v>
      </c>
      <c r="AH16" s="2" t="s">
        <v>237</v>
      </c>
      <c r="AI16" s="3" t="n">
        <v>235</v>
      </c>
      <c r="AJ16" s="2" t="n">
        <v>17</v>
      </c>
      <c r="AK16" s="2" t="n">
        <f aca="false">COUNTIFS(secondary_acts!$A$2:$A$771,$A16,secondary_acts!$E$2:$E$771,"implementing")</f>
        <v>0</v>
      </c>
      <c r="AL16" s="2" t="n">
        <f aca="false">COUNTIFS(secondary_acts!$A$2:$A$771,$A16,secondary_acts!$E$2:$E$771,"delegated")</f>
        <v>0</v>
      </c>
      <c r="AM16" s="2" t="n">
        <f aca="false">COUNTIFS(secondary_acts!$A$2:$A$771,$A16,secondary_acts!$E$2:$E$771,"other Commission/Council act")</f>
        <v>0</v>
      </c>
      <c r="AN16" s="2" t="n">
        <f aca="false">COUNTIFS(secondary_acts!$A$2:$A$771,$A16,secondary_acts!$E$2:$E$771,"guidance")</f>
        <v>3</v>
      </c>
      <c r="AO16" s="2" t="n">
        <f aca="false">COUNTIF(guidance_web!$A$2:$A$7,$A16)</f>
        <v>0</v>
      </c>
      <c r="AP16" s="2" t="n">
        <f aca="false">COUNTIFS(guidance_agencies!$A$2:$A$81,$A16,guidance_agencies!$D$2:$D$81,"EDPB")</f>
        <v>0</v>
      </c>
      <c r="AQ16" s="2" t="n">
        <f aca="false">COUNTIFS(guidance_agencies!$A$2:$A$81,$A16,guidance_agencies!$D$2:$D$81,"EBA")</f>
        <v>0</v>
      </c>
      <c r="AR16" s="2" t="n">
        <f aca="false">COUNTIFS(guidance_agencies!$A$2:$A$81,$A16,guidance_agencies!$D$2:$D$81,"ESMA")</f>
        <v>0</v>
      </c>
      <c r="AS16" s="3" t="n">
        <f aca="false">SUMIFS(secondary_acts!$S$2:$S$771,secondary_acts!$A$2:$A$771,$A16,secondary_acts!$E$2:$E$771,"implementing")+SUMIFS(secondary_acts!$S$2:$S$771,secondary_acts!$A$2:$A$771,$A16,secondary_acts!$E$2:$E$771,"delegated")</f>
        <v>0</v>
      </c>
      <c r="AT16" s="3" t="n">
        <v>471</v>
      </c>
      <c r="AU16" s="2" t="n">
        <v>19</v>
      </c>
      <c r="AV16" s="2" t="n">
        <v>2</v>
      </c>
      <c r="AW16" s="2" t="s">
        <v>238</v>
      </c>
      <c r="AX16" s="2" t="s">
        <v>239</v>
      </c>
      <c r="AY16" s="2" t="n">
        <v>3</v>
      </c>
      <c r="AZ16" s="2" t="s">
        <v>240</v>
      </c>
      <c r="BA16" s="2" t="s">
        <v>139</v>
      </c>
      <c r="BB16" s="2" t="n">
        <v>17291</v>
      </c>
      <c r="BC16" s="2" t="n">
        <v>117</v>
      </c>
      <c r="BD16" s="2" t="n">
        <v>9</v>
      </c>
      <c r="BE16" s="2" t="n">
        <f aca="false">IF(ISNUMBER(BB16),Q16-BB16,"")</f>
        <v>-1651</v>
      </c>
      <c r="BF16" s="4" t="n">
        <f aca="false">IF(AND(ISNUMBER(BB16),BB16&gt;0),(Q16-BB16)/BB16,"")</f>
        <v>-0.0954831993522642</v>
      </c>
      <c r="BG16" s="2" t="n">
        <f aca="false">IF(ISNUMBER(BC16),X16-BC16,"")</f>
        <v>0</v>
      </c>
      <c r="BH16" s="4" t="n">
        <f aca="false">IF(AND(ISNUMBER(BC16),BC16&gt;0),(X16-BC16)/BC16,"")</f>
        <v>0</v>
      </c>
      <c r="BI16" s="2" t="n">
        <f aca="false">IF(ISNUMBER(BD16),AD16-BD16,"")</f>
        <v>0</v>
      </c>
      <c r="BJ16" s="2"/>
    </row>
    <row r="17" customFormat="false" ht="15" hidden="false" customHeight="false" outlineLevel="0" collapsed="false">
      <c r="A17" s="2" t="n">
        <v>16</v>
      </c>
      <c r="B17" s="2" t="s">
        <v>241</v>
      </c>
      <c r="C17" s="2" t="s">
        <v>242</v>
      </c>
      <c r="D17" s="2" t="s">
        <v>164</v>
      </c>
      <c r="E17" s="2" t="s">
        <v>65</v>
      </c>
      <c r="F17" s="2" t="s">
        <v>243</v>
      </c>
      <c r="G17" s="2" t="s">
        <v>143</v>
      </c>
      <c r="H17" s="2" t="s">
        <v>244</v>
      </c>
      <c r="I17" s="2" t="s">
        <v>245</v>
      </c>
      <c r="J17" s="2" t="s">
        <v>246</v>
      </c>
      <c r="K17" s="2" t="s">
        <v>70</v>
      </c>
      <c r="L17" s="2" t="s">
        <v>70</v>
      </c>
      <c r="M17" s="2" t="s">
        <v>247</v>
      </c>
      <c r="N17" s="2" t="s">
        <v>72</v>
      </c>
      <c r="O17" s="2" t="s">
        <v>248</v>
      </c>
      <c r="P17" s="3" t="n">
        <v>10</v>
      </c>
      <c r="Q17" s="3" t="n">
        <v>6514</v>
      </c>
      <c r="R17" s="3" t="n">
        <v>2317</v>
      </c>
      <c r="S17" s="3" t="n">
        <v>2143</v>
      </c>
      <c r="T17" s="3" t="n">
        <v>4197</v>
      </c>
      <c r="U17" s="3" t="n">
        <v>0</v>
      </c>
      <c r="V17" s="3" t="n">
        <v>0</v>
      </c>
      <c r="W17" s="3" t="n">
        <v>0</v>
      </c>
      <c r="X17" s="3" t="n">
        <v>85</v>
      </c>
      <c r="Y17" s="3" t="n">
        <v>81</v>
      </c>
      <c r="Z17" s="3" t="n">
        <v>1</v>
      </c>
      <c r="AA17" s="3" t="n">
        <v>0</v>
      </c>
      <c r="AB17" s="3" t="n">
        <v>2</v>
      </c>
      <c r="AC17" s="3" t="n">
        <v>1</v>
      </c>
      <c r="AD17" s="3" t="n">
        <v>5</v>
      </c>
      <c r="AE17" s="3" t="n">
        <v>5</v>
      </c>
      <c r="AF17" s="3" t="n">
        <v>37</v>
      </c>
      <c r="AG17" s="3" t="n">
        <v>38</v>
      </c>
      <c r="AH17" s="2" t="s">
        <v>249</v>
      </c>
      <c r="AI17" s="3" t="n">
        <v>175</v>
      </c>
      <c r="AJ17" s="2" t="n">
        <v>10</v>
      </c>
      <c r="AK17" s="2" t="n">
        <f aca="false">COUNTIFS(secondary_acts!$A$2:$A$771,$A17,secondary_acts!$E$2:$E$771,"implementing")</f>
        <v>1</v>
      </c>
      <c r="AL17" s="2" t="n">
        <f aca="false">COUNTIFS(secondary_acts!$A$2:$A$771,$A17,secondary_acts!$E$2:$E$771,"delegated")</f>
        <v>0</v>
      </c>
      <c r="AM17" s="2" t="n">
        <f aca="false">COUNTIFS(secondary_acts!$A$2:$A$771,$A17,secondary_acts!$E$2:$E$771,"other Commission/Council act")</f>
        <v>2</v>
      </c>
      <c r="AN17" s="2" t="n">
        <f aca="false">COUNTIFS(secondary_acts!$A$2:$A$771,$A17,secondary_acts!$E$2:$E$771,"guidance")</f>
        <v>0</v>
      </c>
      <c r="AO17" s="2" t="n">
        <f aca="false">COUNTIF(guidance_web!$A$2:$A$7,$A17)</f>
        <v>0</v>
      </c>
      <c r="AP17" s="2" t="n">
        <f aca="false">COUNTIFS(guidance_agencies!$A$2:$A$81,$A17,guidance_agencies!$D$2:$D$81,"EDPB")</f>
        <v>0</v>
      </c>
      <c r="AQ17" s="2" t="n">
        <f aca="false">COUNTIFS(guidance_agencies!$A$2:$A$81,$A17,guidance_agencies!$D$2:$D$81,"EBA")</f>
        <v>0</v>
      </c>
      <c r="AR17" s="2" t="n">
        <f aca="false">COUNTIFS(guidance_agencies!$A$2:$A$81,$A17,guidance_agencies!$D$2:$D$81,"ESMA")</f>
        <v>0</v>
      </c>
      <c r="AS17" s="3" t="n">
        <f aca="false">SUMIFS(secondary_acts!$S$2:$S$771,secondary_acts!$A$2:$A$771,$A17,secondary_acts!$E$2:$E$771,"implementing")+SUMIFS(secondary_acts!$S$2:$S$771,secondary_acts!$A$2:$A$771,$A17,secondary_acts!$E$2:$E$771,"delegated")</f>
        <v>43</v>
      </c>
      <c r="AT17" s="3"/>
      <c r="AU17" s="2"/>
      <c r="AV17" s="2" t="n">
        <v>2</v>
      </c>
      <c r="AW17" s="2" t="s">
        <v>250</v>
      </c>
      <c r="AX17" s="2" t="s">
        <v>251</v>
      </c>
      <c r="AY17" s="2" t="n">
        <v>2</v>
      </c>
      <c r="AZ17" s="2" t="s">
        <v>252</v>
      </c>
      <c r="BA17" s="2" t="s">
        <v>139</v>
      </c>
      <c r="BB17" s="2" t="n">
        <v>5421</v>
      </c>
      <c r="BC17" s="2" t="n">
        <v>68</v>
      </c>
      <c r="BD17" s="2" t="n">
        <v>4</v>
      </c>
      <c r="BE17" s="2" t="n">
        <f aca="false">IF(ISNUMBER(BB17),Q17-BB17,"")</f>
        <v>1093</v>
      </c>
      <c r="BF17" s="4" t="n">
        <f aca="false">IF(AND(ISNUMBER(BB17),BB17&gt;0),(Q17-BB17)/BB17,"")</f>
        <v>0.20162331673123</v>
      </c>
      <c r="BG17" s="2" t="n">
        <f aca="false">IF(ISNUMBER(BC17),X17-BC17,"")</f>
        <v>17</v>
      </c>
      <c r="BH17" s="4" t="n">
        <f aca="false">IF(AND(ISNUMBER(BC17),BC17&gt;0),(X17-BC17)/BC17,"")</f>
        <v>0.25</v>
      </c>
      <c r="BI17" s="2" t="n">
        <f aca="false">IF(ISNUMBER(BD17),AD17-BD17,"")</f>
        <v>1</v>
      </c>
      <c r="BJ17" s="2"/>
    </row>
    <row r="18" customFormat="false" ht="15" hidden="false" customHeight="false" outlineLevel="0" collapsed="false">
      <c r="A18" s="2" t="n">
        <v>17</v>
      </c>
      <c r="B18" s="2" t="s">
        <v>253</v>
      </c>
      <c r="C18" s="2" t="s">
        <v>254</v>
      </c>
      <c r="D18" s="2" t="s">
        <v>255</v>
      </c>
      <c r="E18" s="2" t="s">
        <v>65</v>
      </c>
      <c r="F18" s="2" t="s">
        <v>256</v>
      </c>
      <c r="G18" s="2" t="s">
        <v>143</v>
      </c>
      <c r="H18" s="2" t="s">
        <v>257</v>
      </c>
      <c r="I18" s="2" t="s">
        <v>257</v>
      </c>
      <c r="J18" s="2" t="s">
        <v>258</v>
      </c>
      <c r="K18" s="2" t="s">
        <v>70</v>
      </c>
      <c r="L18" s="2" t="s">
        <v>70</v>
      </c>
      <c r="M18" s="2" t="s">
        <v>259</v>
      </c>
      <c r="N18" s="2" t="s">
        <v>72</v>
      </c>
      <c r="O18" s="2" t="s">
        <v>260</v>
      </c>
      <c r="P18" s="3" t="n">
        <v>37</v>
      </c>
      <c r="Q18" s="3" t="n">
        <v>19379</v>
      </c>
      <c r="R18" s="3" t="n">
        <v>3870</v>
      </c>
      <c r="S18" s="3" t="n">
        <v>3771</v>
      </c>
      <c r="T18" s="3" t="n">
        <v>9594</v>
      </c>
      <c r="U18" s="3" t="n">
        <v>5915</v>
      </c>
      <c r="V18" s="3" t="n">
        <v>0</v>
      </c>
      <c r="W18" s="3" t="n">
        <v>0</v>
      </c>
      <c r="X18" s="3" t="n">
        <v>329</v>
      </c>
      <c r="Y18" s="3" t="n">
        <v>270</v>
      </c>
      <c r="Z18" s="3" t="n">
        <v>37</v>
      </c>
      <c r="AA18" s="3" t="n">
        <v>3</v>
      </c>
      <c r="AB18" s="3" t="n">
        <v>0</v>
      </c>
      <c r="AC18" s="3" t="n">
        <v>19</v>
      </c>
      <c r="AD18" s="3" t="n">
        <v>88</v>
      </c>
      <c r="AE18" s="3" t="n">
        <v>59</v>
      </c>
      <c r="AF18" s="3" t="n">
        <v>37</v>
      </c>
      <c r="AG18" s="3" t="n">
        <v>145</v>
      </c>
      <c r="AH18" s="2" t="s">
        <v>261</v>
      </c>
      <c r="AI18" s="3" t="n">
        <v>329</v>
      </c>
      <c r="AJ18" s="2" t="n">
        <v>88</v>
      </c>
      <c r="AK18" s="2" t="n">
        <f aca="false">COUNTIFS(secondary_acts!$A$2:$A$771,$A18,secondary_acts!$E$2:$E$771,"implementing")</f>
        <v>1</v>
      </c>
      <c r="AL18" s="2" t="n">
        <f aca="false">COUNTIFS(secondary_acts!$A$2:$A$771,$A18,secondary_acts!$E$2:$E$771,"delegated")</f>
        <v>0</v>
      </c>
      <c r="AM18" s="2" t="n">
        <f aca="false">COUNTIFS(secondary_acts!$A$2:$A$771,$A18,secondary_acts!$E$2:$E$771,"other Commission/Council act")</f>
        <v>18</v>
      </c>
      <c r="AN18" s="2" t="n">
        <f aca="false">COUNTIFS(secondary_acts!$A$2:$A$771,$A18,secondary_acts!$E$2:$E$771,"guidance")</f>
        <v>0</v>
      </c>
      <c r="AO18" s="2" t="n">
        <f aca="false">COUNTIF(guidance_web!$A$2:$A$7,$A18)</f>
        <v>0</v>
      </c>
      <c r="AP18" s="2" t="n">
        <f aca="false">COUNTIFS(guidance_agencies!$A$2:$A$81,$A18,guidance_agencies!$D$2:$D$81,"EDPB")</f>
        <v>0</v>
      </c>
      <c r="AQ18" s="2" t="n">
        <f aca="false">COUNTIFS(guidance_agencies!$A$2:$A$81,$A18,guidance_agencies!$D$2:$D$81,"EBA")</f>
        <v>0</v>
      </c>
      <c r="AR18" s="2" t="n">
        <f aca="false">COUNTIFS(guidance_agencies!$A$2:$A$81,$A18,guidance_agencies!$D$2:$D$81,"ESMA")</f>
        <v>0</v>
      </c>
      <c r="AS18" s="3" t="n">
        <f aca="false">SUMIFS(secondary_acts!$S$2:$S$771,secondary_acts!$A$2:$A$771,$A18,secondary_acts!$E$2:$E$771,"implementing")+SUMIFS(secondary_acts!$S$2:$S$771,secondary_acts!$A$2:$A$771,$A18,secondary_acts!$E$2:$E$771,"delegated")</f>
        <v>0</v>
      </c>
      <c r="AT18" s="3" t="n">
        <v>1613</v>
      </c>
      <c r="AU18" s="2" t="n">
        <v>15</v>
      </c>
      <c r="AV18" s="2" t="n">
        <v>18</v>
      </c>
      <c r="AW18" s="2" t="s">
        <v>262</v>
      </c>
      <c r="AX18" s="2" t="s">
        <v>263</v>
      </c>
      <c r="AY18" s="2" t="n">
        <v>5</v>
      </c>
      <c r="AZ18" s="2" t="s">
        <v>264</v>
      </c>
      <c r="BA18" s="2" t="s">
        <v>139</v>
      </c>
      <c r="BB18" s="2" t="n">
        <v>14934</v>
      </c>
      <c r="BC18" s="2" t="n">
        <v>283</v>
      </c>
      <c r="BD18" s="2" t="n">
        <v>85</v>
      </c>
      <c r="BE18" s="2" t="n">
        <f aca="false">IF(ISNUMBER(BB18),Q18-BB18,"")</f>
        <v>4445</v>
      </c>
      <c r="BF18" s="4" t="n">
        <f aca="false">IF(AND(ISNUMBER(BB18),BB18&gt;0),(Q18-BB18)/BB18,"")</f>
        <v>0.297642962367751</v>
      </c>
      <c r="BG18" s="2" t="n">
        <f aca="false">IF(ISNUMBER(BC18),X18-BC18,"")</f>
        <v>46</v>
      </c>
      <c r="BH18" s="4" t="n">
        <f aca="false">IF(AND(ISNUMBER(BC18),BC18&gt;0),(X18-BC18)/BC18,"")</f>
        <v>0.162544169611307</v>
      </c>
      <c r="BI18" s="2" t="n">
        <f aca="false">IF(ISNUMBER(BD18),AD18-BD18,"")</f>
        <v>3</v>
      </c>
      <c r="BJ18" s="2"/>
    </row>
    <row r="19" customFormat="false" ht="15" hidden="false" customHeight="false" outlineLevel="0" collapsed="false">
      <c r="A19" s="2" t="n">
        <v>18</v>
      </c>
      <c r="B19" s="2" t="s">
        <v>265</v>
      </c>
      <c r="C19" s="2" t="s">
        <v>266</v>
      </c>
      <c r="D19" s="2" t="s">
        <v>80</v>
      </c>
      <c r="E19" s="2" t="s">
        <v>65</v>
      </c>
      <c r="F19" s="2" t="s">
        <v>267</v>
      </c>
      <c r="G19" s="2" t="s">
        <v>143</v>
      </c>
      <c r="H19" s="2" t="s">
        <v>89</v>
      </c>
      <c r="I19" s="2" t="s">
        <v>268</v>
      </c>
      <c r="J19" s="2" t="s">
        <v>269</v>
      </c>
      <c r="K19" s="2" t="s">
        <v>70</v>
      </c>
      <c r="L19" s="2" t="s">
        <v>70</v>
      </c>
      <c r="M19" s="2" t="s">
        <v>270</v>
      </c>
      <c r="N19" s="2" t="s">
        <v>72</v>
      </c>
      <c r="O19" s="2" t="s">
        <v>271</v>
      </c>
      <c r="P19" s="3" t="n">
        <v>25</v>
      </c>
      <c r="Q19" s="3" t="n">
        <v>16782</v>
      </c>
      <c r="R19" s="3" t="n">
        <v>7167</v>
      </c>
      <c r="S19" s="3" t="n">
        <v>7021</v>
      </c>
      <c r="T19" s="3" t="n">
        <v>7762</v>
      </c>
      <c r="U19" s="3" t="n">
        <v>1853</v>
      </c>
      <c r="V19" s="3" t="n">
        <v>0</v>
      </c>
      <c r="W19" s="3" t="n">
        <v>0</v>
      </c>
      <c r="X19" s="3" t="n">
        <v>105</v>
      </c>
      <c r="Y19" s="3" t="n">
        <v>82</v>
      </c>
      <c r="Z19" s="3" t="n">
        <v>17</v>
      </c>
      <c r="AA19" s="3" t="n">
        <v>1</v>
      </c>
      <c r="AB19" s="3" t="n">
        <v>1</v>
      </c>
      <c r="AC19" s="3" t="n">
        <v>4</v>
      </c>
      <c r="AD19" s="3" t="n">
        <v>47</v>
      </c>
      <c r="AE19" s="3" t="n">
        <v>23</v>
      </c>
      <c r="AF19" s="3" t="n">
        <v>5</v>
      </c>
      <c r="AG19" s="3" t="n">
        <v>30</v>
      </c>
      <c r="AH19" s="2" t="s">
        <v>272</v>
      </c>
      <c r="AI19" s="3" t="n">
        <v>182</v>
      </c>
      <c r="AJ19" s="2" t="n">
        <v>87</v>
      </c>
      <c r="AK19" s="2" t="n">
        <f aca="false">COUNTIFS(secondary_acts!$A$2:$A$771,$A19,secondary_acts!$E$2:$E$771,"implementing")</f>
        <v>1</v>
      </c>
      <c r="AL19" s="2" t="n">
        <f aca="false">COUNTIFS(secondary_acts!$A$2:$A$771,$A19,secondary_acts!$E$2:$E$771,"delegated")</f>
        <v>0</v>
      </c>
      <c r="AM19" s="2" t="n">
        <f aca="false">COUNTIFS(secondary_acts!$A$2:$A$771,$A19,secondary_acts!$E$2:$E$771,"other Commission/Council act")</f>
        <v>0</v>
      </c>
      <c r="AN19" s="2" t="n">
        <f aca="false">COUNTIFS(secondary_acts!$A$2:$A$771,$A19,secondary_acts!$E$2:$E$771,"guidance")</f>
        <v>1</v>
      </c>
      <c r="AO19" s="2" t="n">
        <f aca="false">COUNTIF(guidance_web!$A$2:$A$7,$A19)</f>
        <v>0</v>
      </c>
      <c r="AP19" s="2" t="n">
        <f aca="false">COUNTIFS(guidance_agencies!$A$2:$A$81,$A19,guidance_agencies!$D$2:$D$81,"EDPB")</f>
        <v>0</v>
      </c>
      <c r="AQ19" s="2" t="n">
        <f aca="false">COUNTIFS(guidance_agencies!$A$2:$A$81,$A19,guidance_agencies!$D$2:$D$81,"EBA")</f>
        <v>0</v>
      </c>
      <c r="AR19" s="2" t="n">
        <f aca="false">COUNTIFS(guidance_agencies!$A$2:$A$81,$A19,guidance_agencies!$D$2:$D$81,"ESMA")</f>
        <v>0</v>
      </c>
      <c r="AS19" s="3" t="n">
        <f aca="false">SUMIFS(secondary_acts!$S$2:$S$771,secondary_acts!$A$2:$A$771,$A19,secondary_acts!$E$2:$E$771,"implementing")+SUMIFS(secondary_acts!$S$2:$S$771,secondary_acts!$A$2:$A$771,$A19,secondary_acts!$E$2:$E$771,"delegated")</f>
        <v>13</v>
      </c>
      <c r="AT19" s="3" t="n">
        <v>1559</v>
      </c>
      <c r="AU19" s="2" t="n">
        <v>28</v>
      </c>
      <c r="AV19" s="2" t="n">
        <v>4</v>
      </c>
      <c r="AW19" s="2" t="s">
        <v>273</v>
      </c>
      <c r="AX19" s="2" t="s">
        <v>214</v>
      </c>
      <c r="AY19" s="2" t="n">
        <v>6</v>
      </c>
      <c r="AZ19" s="2" t="s">
        <v>274</v>
      </c>
      <c r="BA19" s="2" t="s">
        <v>139</v>
      </c>
      <c r="BB19" s="2" t="n">
        <v>14168</v>
      </c>
      <c r="BC19" s="2" t="n">
        <v>98</v>
      </c>
      <c r="BD19" s="2" t="n">
        <v>40</v>
      </c>
      <c r="BE19" s="2" t="n">
        <f aca="false">IF(ISNUMBER(BB19),Q19-BB19,"")</f>
        <v>2614</v>
      </c>
      <c r="BF19" s="4" t="n">
        <f aca="false">IF(AND(ISNUMBER(BB19),BB19&gt;0),(Q19-BB19)/BB19,"")</f>
        <v>0.184500282326369</v>
      </c>
      <c r="BG19" s="2" t="n">
        <f aca="false">IF(ISNUMBER(BC19),X19-BC19,"")</f>
        <v>7</v>
      </c>
      <c r="BH19" s="4" t="n">
        <f aca="false">IF(AND(ISNUMBER(BC19),BC19&gt;0),(X19-BC19)/BC19,"")</f>
        <v>0.0714285714285714</v>
      </c>
      <c r="BI19" s="2" t="n">
        <f aca="false">IF(ISNUMBER(BD19),AD19-BD19,"")</f>
        <v>7</v>
      </c>
      <c r="BJ19" s="2"/>
    </row>
    <row r="20" customFormat="false" ht="15" hidden="false" customHeight="false" outlineLevel="0" collapsed="false">
      <c r="A20" s="2" t="n">
        <v>19</v>
      </c>
      <c r="B20" s="2" t="s">
        <v>275</v>
      </c>
      <c r="C20" s="2" t="s">
        <v>276</v>
      </c>
      <c r="D20" s="2" t="s">
        <v>218</v>
      </c>
      <c r="E20" s="2" t="s">
        <v>65</v>
      </c>
      <c r="F20" s="2" t="s">
        <v>277</v>
      </c>
      <c r="G20" s="2" t="s">
        <v>143</v>
      </c>
      <c r="H20" s="2" t="s">
        <v>278</v>
      </c>
      <c r="I20" s="2" t="s">
        <v>278</v>
      </c>
      <c r="J20" s="2" t="s">
        <v>279</v>
      </c>
      <c r="K20" s="2" t="s">
        <v>70</v>
      </c>
      <c r="L20" s="2" t="s">
        <v>70</v>
      </c>
      <c r="M20" s="2" t="s">
        <v>280</v>
      </c>
      <c r="N20" s="2" t="s">
        <v>72</v>
      </c>
      <c r="O20" s="2" t="s">
        <v>281</v>
      </c>
      <c r="P20" s="3" t="n">
        <v>12</v>
      </c>
      <c r="Q20" s="3" t="n">
        <v>7830</v>
      </c>
      <c r="R20" s="3" t="n">
        <v>1814</v>
      </c>
      <c r="S20" s="3" t="n">
        <v>1712</v>
      </c>
      <c r="T20" s="3" t="n">
        <v>6016</v>
      </c>
      <c r="U20" s="3" t="n">
        <v>0</v>
      </c>
      <c r="V20" s="3" t="n">
        <v>0</v>
      </c>
      <c r="W20" s="3" t="n">
        <v>0</v>
      </c>
      <c r="X20" s="3" t="n">
        <v>111</v>
      </c>
      <c r="Y20" s="3" t="n">
        <v>100</v>
      </c>
      <c r="Z20" s="3" t="n">
        <v>5</v>
      </c>
      <c r="AA20" s="3" t="n">
        <v>3</v>
      </c>
      <c r="AB20" s="3" t="n">
        <v>3</v>
      </c>
      <c r="AC20" s="3" t="n">
        <v>0</v>
      </c>
      <c r="AD20" s="3" t="n">
        <v>2</v>
      </c>
      <c r="AE20" s="3" t="n">
        <v>69</v>
      </c>
      <c r="AF20" s="3" t="n">
        <v>17</v>
      </c>
      <c r="AG20" s="3" t="n">
        <v>23</v>
      </c>
      <c r="AH20" s="2" t="s">
        <v>282</v>
      </c>
      <c r="AI20" s="3" t="n">
        <v>613</v>
      </c>
      <c r="AJ20" s="2" t="n">
        <v>158</v>
      </c>
      <c r="AK20" s="2" t="n">
        <f aca="false">COUNTIFS(secondary_acts!$A$2:$A$771,$A20,secondary_acts!$E$2:$E$771,"implementing")</f>
        <v>14</v>
      </c>
      <c r="AL20" s="2" t="n">
        <f aca="false">COUNTIFS(secondary_acts!$A$2:$A$771,$A20,secondary_acts!$E$2:$E$771,"delegated")</f>
        <v>0</v>
      </c>
      <c r="AM20" s="2" t="n">
        <f aca="false">COUNTIFS(secondary_acts!$A$2:$A$771,$A20,secondary_acts!$E$2:$E$771,"other Commission/Council act")</f>
        <v>0</v>
      </c>
      <c r="AN20" s="2" t="n">
        <f aca="false">COUNTIFS(secondary_acts!$A$2:$A$771,$A20,secondary_acts!$E$2:$E$771,"guidance")</f>
        <v>0</v>
      </c>
      <c r="AO20" s="2" t="n">
        <f aca="false">COUNTIF(guidance_web!$A$2:$A$7,$A20)</f>
        <v>0</v>
      </c>
      <c r="AP20" s="2" t="n">
        <f aca="false">COUNTIFS(guidance_agencies!$A$2:$A$81,$A20,guidance_agencies!$D$2:$D$81,"EDPB")</f>
        <v>0</v>
      </c>
      <c r="AQ20" s="2" t="n">
        <f aca="false">COUNTIFS(guidance_agencies!$A$2:$A$81,$A20,guidance_agencies!$D$2:$D$81,"EBA")</f>
        <v>0</v>
      </c>
      <c r="AR20" s="2" t="n">
        <f aca="false">COUNTIFS(guidance_agencies!$A$2:$A$81,$A20,guidance_agencies!$D$2:$D$81,"ESMA")</f>
        <v>0</v>
      </c>
      <c r="AS20" s="3" t="n">
        <f aca="false">SUMIFS(secondary_acts!$S$2:$S$771,secondary_acts!$A$2:$A$771,$A20,secondary_acts!$E$2:$E$771,"implementing")+SUMIFS(secondary_acts!$S$2:$S$771,secondary_acts!$A$2:$A$771,$A20,secondary_acts!$E$2:$E$771,"delegated")</f>
        <v>100</v>
      </c>
      <c r="AT20" s="3" t="n">
        <v>380</v>
      </c>
      <c r="AU20" s="2" t="n">
        <v>28</v>
      </c>
      <c r="AV20" s="2" t="n">
        <v>9</v>
      </c>
      <c r="AW20" s="2" t="s">
        <v>283</v>
      </c>
      <c r="AX20" s="2" t="s">
        <v>284</v>
      </c>
      <c r="AY20" s="2" t="n">
        <v>5</v>
      </c>
      <c r="AZ20" s="2" t="s">
        <v>285</v>
      </c>
      <c r="BA20" s="2" t="s">
        <v>139</v>
      </c>
      <c r="BB20" s="2" t="n">
        <v>6065</v>
      </c>
      <c r="BC20" s="2" t="n">
        <v>93</v>
      </c>
      <c r="BD20" s="2" t="n">
        <v>2</v>
      </c>
      <c r="BE20" s="2" t="n">
        <f aca="false">IF(ISNUMBER(BB20),Q20-BB20,"")</f>
        <v>1765</v>
      </c>
      <c r="BF20" s="4" t="n">
        <f aca="false">IF(AND(ISNUMBER(BB20),BB20&gt;0),(Q20-BB20)/BB20,"")</f>
        <v>0.291014014839242</v>
      </c>
      <c r="BG20" s="2" t="n">
        <f aca="false">IF(ISNUMBER(BC20),X20-BC20,"")</f>
        <v>18</v>
      </c>
      <c r="BH20" s="4" t="n">
        <f aca="false">IF(AND(ISNUMBER(BC20),BC20&gt;0),(X20-BC20)/BC20,"")</f>
        <v>0.193548387096774</v>
      </c>
      <c r="BI20" s="2" t="n">
        <f aca="false">IF(ISNUMBER(BD20),AD20-BD20,"")</f>
        <v>0</v>
      </c>
      <c r="BJ20" s="2"/>
    </row>
    <row r="21" customFormat="false" ht="15" hidden="false" customHeight="false" outlineLevel="0" collapsed="false">
      <c r="A21" s="2" t="n">
        <v>20</v>
      </c>
      <c r="B21" s="2" t="s">
        <v>286</v>
      </c>
      <c r="C21" s="2" t="s">
        <v>287</v>
      </c>
      <c r="D21" s="2" t="s">
        <v>164</v>
      </c>
      <c r="E21" s="2" t="s">
        <v>65</v>
      </c>
      <c r="F21" s="2" t="s">
        <v>288</v>
      </c>
      <c r="G21" s="2" t="s">
        <v>143</v>
      </c>
      <c r="H21" s="2" t="s">
        <v>289</v>
      </c>
      <c r="I21" s="2" t="s">
        <v>290</v>
      </c>
      <c r="J21" s="2" t="s">
        <v>291</v>
      </c>
      <c r="K21" s="2" t="s">
        <v>70</v>
      </c>
      <c r="L21" s="2" t="s">
        <v>70</v>
      </c>
      <c r="M21" s="2" t="s">
        <v>292</v>
      </c>
      <c r="N21" s="2" t="s">
        <v>72</v>
      </c>
      <c r="O21" s="2" t="s">
        <v>293</v>
      </c>
      <c r="P21" s="3" t="n">
        <v>88</v>
      </c>
      <c r="Q21" s="3" t="n">
        <v>54331</v>
      </c>
      <c r="R21" s="3" t="n">
        <v>23839</v>
      </c>
      <c r="S21" s="3" t="n">
        <v>23692</v>
      </c>
      <c r="T21" s="3" t="n">
        <v>30492</v>
      </c>
      <c r="U21" s="3" t="n">
        <v>0</v>
      </c>
      <c r="V21" s="3" t="n">
        <v>0</v>
      </c>
      <c r="W21" s="3" t="n">
        <v>0</v>
      </c>
      <c r="X21" s="3" t="n">
        <v>417</v>
      </c>
      <c r="Y21" s="3" t="n">
        <v>370</v>
      </c>
      <c r="Z21" s="3" t="n">
        <v>24</v>
      </c>
      <c r="AA21" s="3" t="n">
        <v>3</v>
      </c>
      <c r="AB21" s="3" t="n">
        <v>8</v>
      </c>
      <c r="AC21" s="3" t="n">
        <v>12</v>
      </c>
      <c r="AD21" s="3" t="n">
        <v>99</v>
      </c>
      <c r="AE21" s="3" t="n">
        <v>129</v>
      </c>
      <c r="AF21" s="3" t="n">
        <v>81</v>
      </c>
      <c r="AG21" s="3" t="n">
        <v>108</v>
      </c>
      <c r="AH21" s="2" t="s">
        <v>294</v>
      </c>
      <c r="AI21" s="3" t="n">
        <v>415</v>
      </c>
      <c r="AJ21" s="2" t="n">
        <v>99</v>
      </c>
      <c r="AK21" s="2" t="n">
        <f aca="false">COUNTIFS(secondary_acts!$A$2:$A$771,$A21,secondary_acts!$E$2:$E$771,"implementing")</f>
        <v>11</v>
      </c>
      <c r="AL21" s="2" t="n">
        <f aca="false">COUNTIFS(secondary_acts!$A$2:$A$771,$A21,secondary_acts!$E$2:$E$771,"delegated")</f>
        <v>0</v>
      </c>
      <c r="AM21" s="2" t="n">
        <f aca="false">COUNTIFS(secondary_acts!$A$2:$A$771,$A21,secondary_acts!$E$2:$E$771,"other Commission/Council act")</f>
        <v>0</v>
      </c>
      <c r="AN21" s="2" t="n">
        <f aca="false">COUNTIFS(secondary_acts!$A$2:$A$771,$A21,secondary_acts!$E$2:$E$771,"guidance")</f>
        <v>2</v>
      </c>
      <c r="AO21" s="2" t="n">
        <f aca="false">COUNTIF(guidance_web!$A$2:$A$7,$A21)</f>
        <v>0</v>
      </c>
      <c r="AP21" s="2" t="n">
        <f aca="false">COUNTIFS(guidance_agencies!$A$2:$A$81,$A21,guidance_agencies!$D$2:$D$81,"EDPB")</f>
        <v>47</v>
      </c>
      <c r="AQ21" s="2" t="n">
        <f aca="false">COUNTIFS(guidance_agencies!$A$2:$A$81,$A21,guidance_agencies!$D$2:$D$81,"EBA")</f>
        <v>0</v>
      </c>
      <c r="AR21" s="2" t="n">
        <f aca="false">COUNTIFS(guidance_agencies!$A$2:$A$81,$A21,guidance_agencies!$D$2:$D$81,"ESMA")</f>
        <v>0</v>
      </c>
      <c r="AS21" s="3" t="n">
        <f aca="false">SUMIFS(secondary_acts!$S$2:$S$771,secondary_acts!$A$2:$A$771,$A21,secondary_acts!$E$2:$E$771,"implementing")+SUMIFS(secondary_acts!$S$2:$S$771,secondary_acts!$A$2:$A$771,$A21,secondary_acts!$E$2:$E$771,"delegated")</f>
        <v>927</v>
      </c>
      <c r="AT21" s="3"/>
      <c r="AU21" s="2"/>
      <c r="AV21" s="2" t="n">
        <v>0</v>
      </c>
      <c r="AW21" s="2"/>
      <c r="AX21" s="2"/>
      <c r="AY21" s="2" t="n">
        <v>3</v>
      </c>
      <c r="AZ21" s="2" t="s">
        <v>295</v>
      </c>
      <c r="BA21" s="2" t="s">
        <v>139</v>
      </c>
      <c r="BB21" s="2" t="n">
        <v>35380</v>
      </c>
      <c r="BC21" s="2" t="n">
        <v>362</v>
      </c>
      <c r="BD21" s="2" t="n">
        <v>78</v>
      </c>
      <c r="BE21" s="2" t="n">
        <f aca="false">IF(ISNUMBER(BB21),Q21-BB21,"")</f>
        <v>18951</v>
      </c>
      <c r="BF21" s="4" t="n">
        <f aca="false">IF(AND(ISNUMBER(BB21),BB21&gt;0),(Q21-BB21)/BB21,"")</f>
        <v>0.535641605426795</v>
      </c>
      <c r="BG21" s="2" t="n">
        <f aca="false">IF(ISNUMBER(BC21),X21-BC21,"")</f>
        <v>55</v>
      </c>
      <c r="BH21" s="4" t="n">
        <f aca="false">IF(AND(ISNUMBER(BC21),BC21&gt;0),(X21-BC21)/BC21,"")</f>
        <v>0.151933701657459</v>
      </c>
      <c r="BI21" s="2" t="n">
        <f aca="false">IF(ISNUMBER(BD21),AD21-BD21,"")</f>
        <v>21</v>
      </c>
      <c r="BJ21" s="2"/>
    </row>
    <row r="22" customFormat="false" ht="15" hidden="false" customHeight="false" outlineLevel="0" collapsed="false">
      <c r="A22" s="2" t="n">
        <v>21</v>
      </c>
      <c r="B22" s="2" t="s">
        <v>296</v>
      </c>
      <c r="C22" s="2" t="s">
        <v>297</v>
      </c>
      <c r="D22" s="2" t="s">
        <v>298</v>
      </c>
      <c r="E22" s="2" t="s">
        <v>65</v>
      </c>
      <c r="F22" s="2" t="s">
        <v>288</v>
      </c>
      <c r="G22" s="2" t="s">
        <v>143</v>
      </c>
      <c r="H22" s="2" t="s">
        <v>289</v>
      </c>
      <c r="I22" s="2" t="s">
        <v>290</v>
      </c>
      <c r="J22" s="2" t="s">
        <v>299</v>
      </c>
      <c r="K22" s="2" t="s">
        <v>70</v>
      </c>
      <c r="L22" s="2" t="s">
        <v>70</v>
      </c>
      <c r="M22" s="2" t="s">
        <v>300</v>
      </c>
      <c r="N22" s="2" t="s">
        <v>72</v>
      </c>
      <c r="O22" s="2" t="s">
        <v>301</v>
      </c>
      <c r="P22" s="3" t="n">
        <v>43</v>
      </c>
      <c r="Q22" s="3" t="n">
        <v>26710</v>
      </c>
      <c r="R22" s="3" t="n">
        <v>12941</v>
      </c>
      <c r="S22" s="3" t="n">
        <v>12790</v>
      </c>
      <c r="T22" s="3" t="n">
        <v>13769</v>
      </c>
      <c r="U22" s="3" t="n">
        <v>0</v>
      </c>
      <c r="V22" s="3" t="n">
        <v>0</v>
      </c>
      <c r="W22" s="3" t="n">
        <v>0</v>
      </c>
      <c r="X22" s="3" t="n">
        <v>225</v>
      </c>
      <c r="Y22" s="3" t="n">
        <v>206</v>
      </c>
      <c r="Z22" s="3" t="n">
        <v>11</v>
      </c>
      <c r="AA22" s="3" t="n">
        <v>1</v>
      </c>
      <c r="AB22" s="3" t="n">
        <v>2</v>
      </c>
      <c r="AC22" s="3" t="n">
        <v>5</v>
      </c>
      <c r="AD22" s="3" t="n">
        <v>25</v>
      </c>
      <c r="AE22" s="3" t="n">
        <v>129</v>
      </c>
      <c r="AF22" s="3" t="n">
        <v>26</v>
      </c>
      <c r="AG22" s="3" t="n">
        <v>45</v>
      </c>
      <c r="AH22" s="2" t="s">
        <v>302</v>
      </c>
      <c r="AI22" s="3" t="n">
        <v>225</v>
      </c>
      <c r="AJ22" s="2" t="n">
        <v>25</v>
      </c>
      <c r="AK22" s="2" t="n">
        <f aca="false">COUNTIFS(secondary_acts!$A$2:$A$771,$A22,secondary_acts!$E$2:$E$771,"implementing")</f>
        <v>3</v>
      </c>
      <c r="AL22" s="2" t="n">
        <f aca="false">COUNTIFS(secondary_acts!$A$2:$A$771,$A22,secondary_acts!$E$2:$E$771,"delegated")</f>
        <v>0</v>
      </c>
      <c r="AM22" s="2" t="n">
        <f aca="false">COUNTIFS(secondary_acts!$A$2:$A$771,$A22,secondary_acts!$E$2:$E$771,"other Commission/Council act")</f>
        <v>0</v>
      </c>
      <c r="AN22" s="2" t="n">
        <f aca="false">COUNTIFS(secondary_acts!$A$2:$A$771,$A22,secondary_acts!$E$2:$E$771,"guidance")</f>
        <v>0</v>
      </c>
      <c r="AO22" s="2" t="n">
        <f aca="false">COUNTIF(guidance_web!$A$2:$A$7,$A22)</f>
        <v>0</v>
      </c>
      <c r="AP22" s="2" t="n">
        <f aca="false">COUNTIFS(guidance_agencies!$A$2:$A$81,$A22,guidance_agencies!$D$2:$D$81,"EDPB")</f>
        <v>2</v>
      </c>
      <c r="AQ22" s="2" t="n">
        <f aca="false">COUNTIFS(guidance_agencies!$A$2:$A$81,$A22,guidance_agencies!$D$2:$D$81,"EBA")</f>
        <v>0</v>
      </c>
      <c r="AR22" s="2" t="n">
        <f aca="false">COUNTIFS(guidance_agencies!$A$2:$A$81,$A22,guidance_agencies!$D$2:$D$81,"ESMA")</f>
        <v>0</v>
      </c>
      <c r="AS22" s="3" t="n">
        <f aca="false">SUMIFS(secondary_acts!$S$2:$S$771,secondary_acts!$A$2:$A$771,$A22,secondary_acts!$E$2:$E$771,"implementing")+SUMIFS(secondary_acts!$S$2:$S$771,secondary_acts!$A$2:$A$771,$A22,secondary_acts!$E$2:$E$771,"delegated")</f>
        <v>5</v>
      </c>
      <c r="AT22" s="3" t="n">
        <v>3772</v>
      </c>
      <c r="AU22" s="2" t="n">
        <v>28</v>
      </c>
      <c r="AV22" s="2" t="n">
        <v>0</v>
      </c>
      <c r="AW22" s="2"/>
      <c r="AX22" s="2"/>
      <c r="AY22" s="2" t="n">
        <v>3</v>
      </c>
      <c r="AZ22" s="2" t="s">
        <v>303</v>
      </c>
      <c r="BA22" s="2" t="s">
        <v>139</v>
      </c>
      <c r="BB22" s="2" t="n">
        <v>16067</v>
      </c>
      <c r="BC22" s="2" t="n">
        <v>193</v>
      </c>
      <c r="BD22" s="2" t="n">
        <v>26</v>
      </c>
      <c r="BE22" s="2" t="n">
        <f aca="false">IF(ISNUMBER(BB22),Q22-BB22,"")</f>
        <v>10643</v>
      </c>
      <c r="BF22" s="4" t="n">
        <f aca="false">IF(AND(ISNUMBER(BB22),BB22&gt;0),(Q22-BB22)/BB22,"")</f>
        <v>0.66241364287048</v>
      </c>
      <c r="BG22" s="2" t="n">
        <f aca="false">IF(ISNUMBER(BC22),X22-BC22,"")</f>
        <v>32</v>
      </c>
      <c r="BH22" s="4" t="n">
        <f aca="false">IF(AND(ISNUMBER(BC22),BC22&gt;0),(X22-BC22)/BC22,"")</f>
        <v>0.16580310880829</v>
      </c>
      <c r="BI22" s="2" t="n">
        <f aca="false">IF(ISNUMBER(BD22),AD22-BD22,"")</f>
        <v>-1</v>
      </c>
      <c r="BJ22" s="2"/>
    </row>
    <row r="23" customFormat="false" ht="15" hidden="false" customHeight="false" outlineLevel="0" collapsed="false">
      <c r="A23" s="2" t="n">
        <v>22</v>
      </c>
      <c r="B23" s="2" t="s">
        <v>304</v>
      </c>
      <c r="C23" s="2" t="s">
        <v>305</v>
      </c>
      <c r="D23" s="2" t="s">
        <v>255</v>
      </c>
      <c r="E23" s="2" t="s">
        <v>65</v>
      </c>
      <c r="F23" s="2" t="s">
        <v>306</v>
      </c>
      <c r="G23" s="2" t="s">
        <v>143</v>
      </c>
      <c r="H23" s="2" t="s">
        <v>307</v>
      </c>
      <c r="I23" s="2" t="s">
        <v>308</v>
      </c>
      <c r="J23" s="2" t="s">
        <v>309</v>
      </c>
      <c r="K23" s="2" t="s">
        <v>70</v>
      </c>
      <c r="L23" s="2" t="s">
        <v>70</v>
      </c>
      <c r="M23" s="2" t="s">
        <v>310</v>
      </c>
      <c r="N23" s="2" t="s">
        <v>72</v>
      </c>
      <c r="O23" s="2" t="s">
        <v>311</v>
      </c>
      <c r="P23" s="3" t="n">
        <v>42</v>
      </c>
      <c r="Q23" s="3" t="n">
        <v>18535</v>
      </c>
      <c r="R23" s="3" t="n">
        <v>5975</v>
      </c>
      <c r="S23" s="3" t="n">
        <v>5856</v>
      </c>
      <c r="T23" s="3" t="n">
        <v>11516</v>
      </c>
      <c r="U23" s="3" t="n">
        <v>1044</v>
      </c>
      <c r="V23" s="3" t="n">
        <v>0</v>
      </c>
      <c r="W23" s="3" t="n">
        <v>0</v>
      </c>
      <c r="X23" s="3" t="n">
        <v>181</v>
      </c>
      <c r="Y23" s="3" t="n">
        <v>154</v>
      </c>
      <c r="Z23" s="3" t="n">
        <v>16</v>
      </c>
      <c r="AA23" s="3" t="n">
        <v>5</v>
      </c>
      <c r="AB23" s="3" t="n">
        <v>2</v>
      </c>
      <c r="AC23" s="3" t="n">
        <v>4</v>
      </c>
      <c r="AD23" s="3" t="n">
        <v>26</v>
      </c>
      <c r="AE23" s="3" t="n">
        <v>45</v>
      </c>
      <c r="AF23" s="3" t="n">
        <v>52</v>
      </c>
      <c r="AG23" s="3" t="n">
        <v>58</v>
      </c>
      <c r="AH23" s="2" t="s">
        <v>312</v>
      </c>
      <c r="AI23" s="3" t="n">
        <v>428</v>
      </c>
      <c r="AJ23" s="2" t="n">
        <v>76</v>
      </c>
      <c r="AK23" s="2" t="n">
        <f aca="false">COUNTIFS(secondary_acts!$A$2:$A$771,$A23,secondary_acts!$E$2:$E$771,"implementing")</f>
        <v>43</v>
      </c>
      <c r="AL23" s="2" t="n">
        <f aca="false">COUNTIFS(secondary_acts!$A$2:$A$771,$A23,secondary_acts!$E$2:$E$771,"delegated")</f>
        <v>0</v>
      </c>
      <c r="AM23" s="2" t="n">
        <f aca="false">COUNTIFS(secondary_acts!$A$2:$A$771,$A23,secondary_acts!$E$2:$E$771,"other Commission/Council act")</f>
        <v>0</v>
      </c>
      <c r="AN23" s="2" t="n">
        <f aca="false">COUNTIFS(secondary_acts!$A$2:$A$771,$A23,secondary_acts!$E$2:$E$771,"guidance")</f>
        <v>0</v>
      </c>
      <c r="AO23" s="2" t="n">
        <f aca="false">COUNTIF(guidance_web!$A$2:$A$7,$A23)</f>
        <v>0</v>
      </c>
      <c r="AP23" s="2" t="n">
        <f aca="false">COUNTIFS(guidance_agencies!$A$2:$A$81,$A23,guidance_agencies!$D$2:$D$81,"EDPB")</f>
        <v>0</v>
      </c>
      <c r="AQ23" s="2" t="n">
        <f aca="false">COUNTIFS(guidance_agencies!$A$2:$A$81,$A23,guidance_agencies!$D$2:$D$81,"EBA")</f>
        <v>0</v>
      </c>
      <c r="AR23" s="2" t="n">
        <f aca="false">COUNTIFS(guidance_agencies!$A$2:$A$81,$A23,guidance_agencies!$D$2:$D$81,"ESMA")</f>
        <v>0</v>
      </c>
      <c r="AS23" s="3" t="n">
        <f aca="false">SUMIFS(secondary_acts!$S$2:$S$771,secondary_acts!$A$2:$A$771,$A23,secondary_acts!$E$2:$E$771,"implementing")+SUMIFS(secondary_acts!$S$2:$S$771,secondary_acts!$A$2:$A$771,$A23,secondary_acts!$E$2:$E$771,"delegated")</f>
        <v>1377</v>
      </c>
      <c r="AT23" s="3"/>
      <c r="AU23" s="2"/>
      <c r="AV23" s="2" t="n">
        <v>2</v>
      </c>
      <c r="AW23" s="2" t="s">
        <v>313</v>
      </c>
      <c r="AX23" s="2" t="s">
        <v>239</v>
      </c>
      <c r="AY23" s="2" t="n">
        <v>12</v>
      </c>
      <c r="AZ23" s="2" t="s">
        <v>314</v>
      </c>
      <c r="BA23" s="2" t="s">
        <v>139</v>
      </c>
      <c r="BB23" s="2" t="n">
        <v>12741</v>
      </c>
      <c r="BC23" s="2" t="n">
        <v>163</v>
      </c>
      <c r="BD23" s="2" t="n">
        <v>15</v>
      </c>
      <c r="BE23" s="2" t="n">
        <f aca="false">IF(ISNUMBER(BB23),Q23-BB23,"")</f>
        <v>5794</v>
      </c>
      <c r="BF23" s="4" t="n">
        <f aca="false">IF(AND(ISNUMBER(BB23),BB23&gt;0),(Q23-BB23)/BB23,"")</f>
        <v>0.454752374224943</v>
      </c>
      <c r="BG23" s="2" t="n">
        <f aca="false">IF(ISNUMBER(BC23),X23-BC23,"")</f>
        <v>18</v>
      </c>
      <c r="BH23" s="4" t="n">
        <f aca="false">IF(AND(ISNUMBER(BC23),BC23&gt;0),(X23-BC23)/BC23,"")</f>
        <v>0.110429447852761</v>
      </c>
      <c r="BI23" s="2" t="n">
        <f aca="false">IF(ISNUMBER(BD23),AD23-BD23,"")</f>
        <v>11</v>
      </c>
      <c r="BJ23" s="2"/>
    </row>
    <row r="24" customFormat="false" ht="15" hidden="false" customHeight="false" outlineLevel="0" collapsed="false">
      <c r="A24" s="2" t="n">
        <v>23</v>
      </c>
      <c r="B24" s="2" t="s">
        <v>315</v>
      </c>
      <c r="C24" s="2" t="s">
        <v>316</v>
      </c>
      <c r="D24" s="2" t="s">
        <v>218</v>
      </c>
      <c r="E24" s="2" t="s">
        <v>65</v>
      </c>
      <c r="F24" s="2" t="s">
        <v>317</v>
      </c>
      <c r="G24" s="2" t="s">
        <v>143</v>
      </c>
      <c r="H24" s="2" t="s">
        <v>273</v>
      </c>
      <c r="I24" s="2" t="s">
        <v>318</v>
      </c>
      <c r="J24" s="2" t="s">
        <v>319</v>
      </c>
      <c r="K24" s="2" t="s">
        <v>70</v>
      </c>
      <c r="L24" s="2" t="s">
        <v>70</v>
      </c>
      <c r="M24" s="2" t="s">
        <v>320</v>
      </c>
      <c r="N24" s="2" t="s">
        <v>72</v>
      </c>
      <c r="O24" s="2" t="s">
        <v>321</v>
      </c>
      <c r="P24" s="3" t="n">
        <v>93</v>
      </c>
      <c r="Q24" s="3" t="n">
        <v>47656</v>
      </c>
      <c r="R24" s="3" t="n">
        <v>14399</v>
      </c>
      <c r="S24" s="3" t="n">
        <v>14254</v>
      </c>
      <c r="T24" s="3" t="n">
        <v>31276</v>
      </c>
      <c r="U24" s="3" t="n">
        <v>1981</v>
      </c>
      <c r="V24" s="3" t="n">
        <v>0</v>
      </c>
      <c r="W24" s="3" t="n">
        <v>0</v>
      </c>
      <c r="X24" s="3" t="n">
        <v>462</v>
      </c>
      <c r="Y24" s="3" t="n">
        <v>354</v>
      </c>
      <c r="Z24" s="3" t="n">
        <v>46</v>
      </c>
      <c r="AA24" s="3" t="n">
        <v>7</v>
      </c>
      <c r="AB24" s="3" t="n">
        <v>4</v>
      </c>
      <c r="AC24" s="3" t="n">
        <v>51</v>
      </c>
      <c r="AD24" s="3" t="n">
        <v>172</v>
      </c>
      <c r="AE24" s="3" t="n">
        <v>171</v>
      </c>
      <c r="AF24" s="3" t="n">
        <v>44</v>
      </c>
      <c r="AG24" s="3" t="n">
        <v>75</v>
      </c>
      <c r="AH24" s="2" t="s">
        <v>322</v>
      </c>
      <c r="AI24" s="3" t="n">
        <v>470</v>
      </c>
      <c r="AJ24" s="2" t="n">
        <v>173</v>
      </c>
      <c r="AK24" s="2" t="n">
        <f aca="false">COUNTIFS(secondary_acts!$A$2:$A$771,$A24,secondary_acts!$E$2:$E$771,"implementing")</f>
        <v>1</v>
      </c>
      <c r="AL24" s="2" t="n">
        <f aca="false">COUNTIFS(secondary_acts!$A$2:$A$771,$A24,secondary_acts!$E$2:$E$771,"delegated")</f>
        <v>8</v>
      </c>
      <c r="AM24" s="2" t="n">
        <f aca="false">COUNTIFS(secondary_acts!$A$2:$A$771,$A24,secondary_acts!$E$2:$E$771,"other Commission/Council act")</f>
        <v>0</v>
      </c>
      <c r="AN24" s="2" t="n">
        <f aca="false">COUNTIFS(secondary_acts!$A$2:$A$771,$A24,secondary_acts!$E$2:$E$771,"guidance")</f>
        <v>0</v>
      </c>
      <c r="AO24" s="2" t="n">
        <f aca="false">COUNTIF(guidance_web!$A$2:$A$7,$A24)</f>
        <v>0</v>
      </c>
      <c r="AP24" s="2" t="n">
        <f aca="false">COUNTIFS(guidance_agencies!$A$2:$A$81,$A24,guidance_agencies!$D$2:$D$81,"EDPB")</f>
        <v>1</v>
      </c>
      <c r="AQ24" s="2" t="n">
        <f aca="false">COUNTIFS(guidance_agencies!$A$2:$A$81,$A24,guidance_agencies!$D$2:$D$81,"EBA")</f>
        <v>11</v>
      </c>
      <c r="AR24" s="2" t="n">
        <f aca="false">COUNTIFS(guidance_agencies!$A$2:$A$81,$A24,guidance_agencies!$D$2:$D$81,"ESMA")</f>
        <v>0</v>
      </c>
      <c r="AS24" s="3" t="n">
        <f aca="false">SUMIFS(secondary_acts!$S$2:$S$771,secondary_acts!$A$2:$A$771,$A24,secondary_acts!$E$2:$E$771,"implementing")+SUMIFS(secondary_acts!$S$2:$S$771,secondary_acts!$A$2:$A$771,$A24,secondary_acts!$E$2:$E$771,"delegated")</f>
        <v>468</v>
      </c>
      <c r="AT24" s="3" t="n">
        <v>2499</v>
      </c>
      <c r="AU24" s="2" t="n">
        <v>28</v>
      </c>
      <c r="AV24" s="2" t="n">
        <v>2</v>
      </c>
      <c r="AW24" s="2" t="s">
        <v>313</v>
      </c>
      <c r="AX24" s="2" t="s">
        <v>323</v>
      </c>
      <c r="AY24" s="2" t="n">
        <v>8</v>
      </c>
      <c r="AZ24" s="2" t="s">
        <v>324</v>
      </c>
      <c r="BA24" s="2" t="s">
        <v>139</v>
      </c>
      <c r="BB24" s="2" t="n">
        <v>34397</v>
      </c>
      <c r="BC24" s="2" t="n">
        <v>360</v>
      </c>
      <c r="BD24" s="2" t="n">
        <v>116</v>
      </c>
      <c r="BE24" s="2" t="n">
        <f aca="false">IF(ISNUMBER(BB24),Q24-BB24,"")</f>
        <v>13259</v>
      </c>
      <c r="BF24" s="4" t="n">
        <f aca="false">IF(AND(ISNUMBER(BB24),BB24&gt;0),(Q24-BB24)/BB24,"")</f>
        <v>0.38546966305201</v>
      </c>
      <c r="BG24" s="2" t="n">
        <f aca="false">IF(ISNUMBER(BC24),X24-BC24,"")</f>
        <v>102</v>
      </c>
      <c r="BH24" s="4" t="n">
        <f aca="false">IF(AND(ISNUMBER(BC24),BC24&gt;0),(X24-BC24)/BC24,"")</f>
        <v>0.283333333333333</v>
      </c>
      <c r="BI24" s="2" t="n">
        <f aca="false">IF(ISNUMBER(BD24),AD24-BD24,"")</f>
        <v>56</v>
      </c>
      <c r="BJ24" s="2"/>
    </row>
    <row r="25" customFormat="false" ht="15" hidden="false" customHeight="false" outlineLevel="0" collapsed="false">
      <c r="A25" s="2" t="n">
        <v>24</v>
      </c>
      <c r="B25" s="2" t="s">
        <v>325</v>
      </c>
      <c r="C25" s="2" t="s">
        <v>326</v>
      </c>
      <c r="D25" s="2" t="s">
        <v>64</v>
      </c>
      <c r="E25" s="2" t="s">
        <v>65</v>
      </c>
      <c r="F25" s="2" t="s">
        <v>327</v>
      </c>
      <c r="G25" s="2" t="s">
        <v>143</v>
      </c>
      <c r="H25" s="2" t="s">
        <v>273</v>
      </c>
      <c r="I25" s="2" t="s">
        <v>328</v>
      </c>
      <c r="J25" s="2" t="s">
        <v>329</v>
      </c>
      <c r="K25" s="2" t="s">
        <v>70</v>
      </c>
      <c r="L25" s="2" t="s">
        <v>70</v>
      </c>
      <c r="M25" s="2" t="s">
        <v>330</v>
      </c>
      <c r="N25" s="2" t="s">
        <v>72</v>
      </c>
      <c r="O25" s="2" t="s">
        <v>331</v>
      </c>
      <c r="P25" s="3" t="n">
        <v>18</v>
      </c>
      <c r="Q25" s="3" t="n">
        <v>11290</v>
      </c>
      <c r="R25" s="3" t="n">
        <v>4983</v>
      </c>
      <c r="S25" s="3" t="n">
        <v>4826</v>
      </c>
      <c r="T25" s="3" t="n">
        <v>6307</v>
      </c>
      <c r="U25" s="3" t="n">
        <v>0</v>
      </c>
      <c r="V25" s="3" t="n">
        <v>0</v>
      </c>
      <c r="W25" s="3" t="n">
        <v>0</v>
      </c>
      <c r="X25" s="3" t="n">
        <v>72</v>
      </c>
      <c r="Y25" s="3" t="n">
        <v>59</v>
      </c>
      <c r="Z25" s="3" t="n">
        <v>10</v>
      </c>
      <c r="AA25" s="3" t="n">
        <v>2</v>
      </c>
      <c r="AB25" s="3" t="n">
        <v>0</v>
      </c>
      <c r="AC25" s="3" t="n">
        <v>1</v>
      </c>
      <c r="AD25" s="3" t="n">
        <v>29</v>
      </c>
      <c r="AE25" s="3" t="n">
        <v>11</v>
      </c>
      <c r="AF25" s="3" t="n">
        <v>18</v>
      </c>
      <c r="AG25" s="3" t="n">
        <v>14</v>
      </c>
      <c r="AH25" s="2" t="s">
        <v>332</v>
      </c>
      <c r="AI25" s="3" t="n">
        <v>72</v>
      </c>
      <c r="AJ25" s="2" t="n">
        <v>29</v>
      </c>
      <c r="AK25" s="2" t="n">
        <f aca="false">COUNTIFS(secondary_acts!$A$2:$A$771,$A25,secondary_acts!$E$2:$E$771,"implementing")</f>
        <v>1</v>
      </c>
      <c r="AL25" s="2" t="n">
        <f aca="false">COUNTIFS(secondary_acts!$A$2:$A$771,$A25,secondary_acts!$E$2:$E$771,"delegated")</f>
        <v>0</v>
      </c>
      <c r="AM25" s="2" t="n">
        <f aca="false">COUNTIFS(secondary_acts!$A$2:$A$771,$A25,secondary_acts!$E$2:$E$771,"other Commission/Council act")</f>
        <v>0</v>
      </c>
      <c r="AN25" s="2" t="n">
        <f aca="false">COUNTIFS(secondary_acts!$A$2:$A$771,$A25,secondary_acts!$E$2:$E$771,"guidance")</f>
        <v>0</v>
      </c>
      <c r="AO25" s="2" t="n">
        <f aca="false">COUNTIF(guidance_web!$A$2:$A$7,$A25)</f>
        <v>0</v>
      </c>
      <c r="AP25" s="2" t="n">
        <f aca="false">COUNTIFS(guidance_agencies!$A$2:$A$81,$A25,guidance_agencies!$D$2:$D$81,"EDPB")</f>
        <v>0</v>
      </c>
      <c r="AQ25" s="2" t="n">
        <f aca="false">COUNTIFS(guidance_agencies!$A$2:$A$81,$A25,guidance_agencies!$D$2:$D$81,"EBA")</f>
        <v>0</v>
      </c>
      <c r="AR25" s="2" t="n">
        <f aca="false">COUNTIFS(guidance_agencies!$A$2:$A$81,$A25,guidance_agencies!$D$2:$D$81,"ESMA")</f>
        <v>0</v>
      </c>
      <c r="AS25" s="3" t="n">
        <f aca="false">SUMIFS(secondary_acts!$S$2:$S$771,secondary_acts!$A$2:$A$771,$A25,secondary_acts!$E$2:$E$771,"implementing")+SUMIFS(secondary_acts!$S$2:$S$771,secondary_acts!$A$2:$A$771,$A25,secondary_acts!$E$2:$E$771,"delegated")</f>
        <v>10</v>
      </c>
      <c r="AT25" s="3"/>
      <c r="AU25" s="2"/>
      <c r="AV25" s="2" t="n">
        <v>2</v>
      </c>
      <c r="AW25" s="2" t="s">
        <v>333</v>
      </c>
      <c r="AX25" s="2" t="s">
        <v>334</v>
      </c>
      <c r="AY25" s="2" t="n">
        <v>3</v>
      </c>
      <c r="AZ25" s="2" t="s">
        <v>335</v>
      </c>
      <c r="BA25" s="2" t="s">
        <v>139</v>
      </c>
      <c r="BB25" s="2" t="n">
        <v>30255</v>
      </c>
      <c r="BC25" s="2" t="n">
        <v>293</v>
      </c>
      <c r="BD25" s="2" t="n">
        <v>44</v>
      </c>
      <c r="BE25" s="2" t="n">
        <f aca="false">IF(ISNUMBER(BB25),Q25-BB25,"")</f>
        <v>-18965</v>
      </c>
      <c r="BF25" s="4" t="n">
        <f aca="false">IF(AND(ISNUMBER(BB25),BB25&gt;0),(Q25-BB25)/BB25,"")</f>
        <v>-0.626838539084449</v>
      </c>
      <c r="BG25" s="2" t="n">
        <f aca="false">IF(ISNUMBER(BC25),X25-BC25,"")</f>
        <v>-221</v>
      </c>
      <c r="BH25" s="4" t="n">
        <f aca="false">IF(AND(ISNUMBER(BC25),BC25&gt;0),(X25-BC25)/BC25,"")</f>
        <v>-0.754266211604096</v>
      </c>
      <c r="BI25" s="2" t="n">
        <f aca="false">IF(ISNUMBER(BD25),AD25-BD25,"")</f>
        <v>-15</v>
      </c>
      <c r="BJ25" s="2" t="s">
        <v>104</v>
      </c>
    </row>
    <row r="26" customFormat="false" ht="15" hidden="false" customHeight="false" outlineLevel="0" collapsed="false">
      <c r="A26" s="2" t="n">
        <v>25</v>
      </c>
      <c r="B26" s="2" t="s">
        <v>336</v>
      </c>
      <c r="C26" s="2" t="s">
        <v>337</v>
      </c>
      <c r="D26" s="2" t="s">
        <v>186</v>
      </c>
      <c r="E26" s="2" t="s">
        <v>65</v>
      </c>
      <c r="F26" s="2" t="s">
        <v>338</v>
      </c>
      <c r="G26" s="2" t="s">
        <v>67</v>
      </c>
      <c r="H26" s="2" t="s">
        <v>339</v>
      </c>
      <c r="I26" s="2" t="s">
        <v>340</v>
      </c>
      <c r="J26" s="2" t="s">
        <v>341</v>
      </c>
      <c r="K26" s="2" t="s">
        <v>70</v>
      </c>
      <c r="L26" s="2" t="s">
        <v>70</v>
      </c>
      <c r="M26" s="2" t="s">
        <v>342</v>
      </c>
      <c r="N26" s="2" t="s">
        <v>72</v>
      </c>
      <c r="O26" s="2" t="s">
        <v>343</v>
      </c>
      <c r="P26" s="3" t="n">
        <v>7</v>
      </c>
      <c r="Q26" s="3" t="n">
        <v>4660</v>
      </c>
      <c r="R26" s="3" t="n">
        <v>1553</v>
      </c>
      <c r="S26" s="3" t="n">
        <v>1431</v>
      </c>
      <c r="T26" s="3" t="n">
        <v>3107</v>
      </c>
      <c r="U26" s="3" t="n">
        <v>0</v>
      </c>
      <c r="V26" s="3" t="n">
        <v>0</v>
      </c>
      <c r="W26" s="3" t="n">
        <v>0</v>
      </c>
      <c r="X26" s="3" t="n">
        <v>0</v>
      </c>
      <c r="Y26" s="3" t="n">
        <v>0</v>
      </c>
      <c r="Z26" s="3" t="n">
        <v>0</v>
      </c>
      <c r="AA26" s="3" t="n">
        <v>0</v>
      </c>
      <c r="AB26" s="3" t="n">
        <v>0</v>
      </c>
      <c r="AC26" s="3" t="n">
        <v>0</v>
      </c>
      <c r="AD26" s="3" t="n">
        <v>0</v>
      </c>
      <c r="AE26" s="3" t="n">
        <v>0</v>
      </c>
      <c r="AF26" s="3" t="n">
        <v>0</v>
      </c>
      <c r="AG26" s="3" t="n">
        <v>0</v>
      </c>
      <c r="AH26" s="2" t="s">
        <v>344</v>
      </c>
      <c r="AI26" s="3" t="n">
        <v>0</v>
      </c>
      <c r="AJ26" s="2" t="n">
        <v>0</v>
      </c>
      <c r="AK26" s="2" t="n">
        <f aca="false">COUNTIFS(secondary_acts!$A$2:$A$771,$A26,secondary_acts!$E$2:$E$771,"implementing")</f>
        <v>0</v>
      </c>
      <c r="AL26" s="2" t="n">
        <f aca="false">COUNTIFS(secondary_acts!$A$2:$A$771,$A26,secondary_acts!$E$2:$E$771,"delegated")</f>
        <v>0</v>
      </c>
      <c r="AM26" s="2" t="n">
        <f aca="false">COUNTIFS(secondary_acts!$A$2:$A$771,$A26,secondary_acts!$E$2:$E$771,"other Commission/Council act")</f>
        <v>0</v>
      </c>
      <c r="AN26" s="2" t="n">
        <f aca="false">COUNTIFS(secondary_acts!$A$2:$A$771,$A26,secondary_acts!$E$2:$E$771,"guidance")</f>
        <v>0</v>
      </c>
      <c r="AO26" s="2" t="n">
        <f aca="false">COUNTIF(guidance_web!$A$2:$A$7,$A26)</f>
        <v>0</v>
      </c>
      <c r="AP26" s="2" t="n">
        <f aca="false">COUNTIFS(guidance_agencies!$A$2:$A$81,$A26,guidance_agencies!$D$2:$D$81,"EDPB")</f>
        <v>0</v>
      </c>
      <c r="AQ26" s="2" t="n">
        <f aca="false">COUNTIFS(guidance_agencies!$A$2:$A$81,$A26,guidance_agencies!$D$2:$D$81,"EBA")</f>
        <v>0</v>
      </c>
      <c r="AR26" s="2" t="n">
        <f aca="false">COUNTIFS(guidance_agencies!$A$2:$A$81,$A26,guidance_agencies!$D$2:$D$81,"ESMA")</f>
        <v>0</v>
      </c>
      <c r="AS26" s="3" t="n">
        <f aca="false">SUMIFS(secondary_acts!$S$2:$S$771,secondary_acts!$A$2:$A$771,$A26,secondary_acts!$E$2:$E$771,"implementing")+SUMIFS(secondary_acts!$S$2:$S$771,secondary_acts!$A$2:$A$771,$A26,secondary_acts!$E$2:$E$771,"delegated")</f>
        <v>0</v>
      </c>
      <c r="AT26" s="3"/>
      <c r="AU26" s="2"/>
      <c r="AV26" s="2" t="n">
        <v>0</v>
      </c>
      <c r="AW26" s="2"/>
      <c r="AX26" s="2"/>
      <c r="AY26" s="2" t="n">
        <v>2</v>
      </c>
      <c r="AZ26" s="2"/>
      <c r="BA26" s="2" t="s">
        <v>345</v>
      </c>
      <c r="BB26" s="2"/>
      <c r="BC26" s="2"/>
      <c r="BD26" s="2"/>
      <c r="BE26" s="2" t="str">
        <f aca="false">IF(ISNUMBER(BB26),Q26-BB26,"")</f>
        <v/>
      </c>
      <c r="BF26" s="4" t="str">
        <f aca="false">IF(AND(ISNUMBER(BB26),BB26&gt;0),(Q26-BB26)/BB26,"")</f>
        <v/>
      </c>
      <c r="BG26" s="2" t="str">
        <f aca="false">IF(ISNUMBER(BC26),X26-BC26,"")</f>
        <v/>
      </c>
      <c r="BH26" s="4" t="str">
        <f aca="false">IF(AND(ISNUMBER(BC26),BC26&gt;0),(X26-BC26)/BC26,"")</f>
        <v/>
      </c>
      <c r="BI26" s="2" t="str">
        <f aca="false">IF(ISNUMBER(BD26),AD26-BD26,"")</f>
        <v/>
      </c>
      <c r="BJ26" s="2" t="s">
        <v>346</v>
      </c>
    </row>
    <row r="27" customFormat="false" ht="15" hidden="false" customHeight="false" outlineLevel="0" collapsed="false">
      <c r="A27" s="2" t="n">
        <v>26</v>
      </c>
      <c r="B27" s="2" t="s">
        <v>347</v>
      </c>
      <c r="C27" s="2" t="s">
        <v>348</v>
      </c>
      <c r="D27" s="2" t="s">
        <v>107</v>
      </c>
      <c r="E27" s="2" t="s">
        <v>65</v>
      </c>
      <c r="F27" s="2" t="s">
        <v>349</v>
      </c>
      <c r="G27" s="2" t="s">
        <v>143</v>
      </c>
      <c r="H27" s="2" t="s">
        <v>350</v>
      </c>
      <c r="I27" s="2" t="s">
        <v>351</v>
      </c>
      <c r="J27" s="2" t="s">
        <v>352</v>
      </c>
      <c r="K27" s="2" t="s">
        <v>70</v>
      </c>
      <c r="L27" s="2" t="s">
        <v>70</v>
      </c>
      <c r="M27" s="2" t="s">
        <v>353</v>
      </c>
      <c r="N27" s="2" t="s">
        <v>72</v>
      </c>
      <c r="O27" s="2" t="s">
        <v>354</v>
      </c>
      <c r="P27" s="3" t="n">
        <v>18</v>
      </c>
      <c r="Q27" s="3" t="n">
        <v>9919</v>
      </c>
      <c r="R27" s="3" t="n">
        <v>5447</v>
      </c>
      <c r="S27" s="3" t="n">
        <v>5326</v>
      </c>
      <c r="T27" s="3" t="n">
        <v>4472</v>
      </c>
      <c r="U27" s="3" t="n">
        <v>0</v>
      </c>
      <c r="V27" s="3" t="n">
        <v>0</v>
      </c>
      <c r="W27" s="3" t="n">
        <v>0</v>
      </c>
      <c r="X27" s="3" t="n">
        <v>60</v>
      </c>
      <c r="Y27" s="3" t="n">
        <v>38</v>
      </c>
      <c r="Z27" s="3" t="n">
        <v>5</v>
      </c>
      <c r="AA27" s="3" t="n">
        <v>0</v>
      </c>
      <c r="AB27" s="3" t="n">
        <v>1</v>
      </c>
      <c r="AC27" s="3" t="n">
        <v>16</v>
      </c>
      <c r="AD27" s="3" t="n">
        <v>4</v>
      </c>
      <c r="AE27" s="3" t="n">
        <v>38</v>
      </c>
      <c r="AF27" s="3" t="n">
        <v>4</v>
      </c>
      <c r="AG27" s="3" t="n">
        <v>14</v>
      </c>
      <c r="AH27" s="2" t="s">
        <v>355</v>
      </c>
      <c r="AI27" s="3" t="n">
        <v>60</v>
      </c>
      <c r="AJ27" s="2" t="n">
        <v>4</v>
      </c>
      <c r="AK27" s="2" t="n">
        <f aca="false">COUNTIFS(secondary_acts!$A$2:$A$771,$A27,secondary_acts!$E$2:$E$771,"implementing")</f>
        <v>0</v>
      </c>
      <c r="AL27" s="2" t="n">
        <f aca="false">COUNTIFS(secondary_acts!$A$2:$A$771,$A27,secondary_acts!$E$2:$E$771,"delegated")</f>
        <v>0</v>
      </c>
      <c r="AM27" s="2" t="n">
        <f aca="false">COUNTIFS(secondary_acts!$A$2:$A$771,$A27,secondary_acts!$E$2:$E$771,"other Commission/Council act")</f>
        <v>0</v>
      </c>
      <c r="AN27" s="2" t="n">
        <f aca="false">COUNTIFS(secondary_acts!$A$2:$A$771,$A27,secondary_acts!$E$2:$E$771,"guidance")</f>
        <v>0</v>
      </c>
      <c r="AO27" s="2" t="n">
        <f aca="false">COUNTIF(guidance_web!$A$2:$A$7,$A27)</f>
        <v>0</v>
      </c>
      <c r="AP27" s="2" t="n">
        <f aca="false">COUNTIFS(guidance_agencies!$A$2:$A$81,$A27,guidance_agencies!$D$2:$D$81,"EDPB")</f>
        <v>0</v>
      </c>
      <c r="AQ27" s="2" t="n">
        <f aca="false">COUNTIFS(guidance_agencies!$A$2:$A$81,$A27,guidance_agencies!$D$2:$D$81,"EBA")</f>
        <v>0</v>
      </c>
      <c r="AR27" s="2" t="n">
        <f aca="false">COUNTIFS(guidance_agencies!$A$2:$A$81,$A27,guidance_agencies!$D$2:$D$81,"ESMA")</f>
        <v>0</v>
      </c>
      <c r="AS27" s="3" t="n">
        <f aca="false">SUMIFS(secondary_acts!$S$2:$S$771,secondary_acts!$A$2:$A$771,$A27,secondary_acts!$E$2:$E$771,"implementing")+SUMIFS(secondary_acts!$S$2:$S$771,secondary_acts!$A$2:$A$771,$A27,secondary_acts!$E$2:$E$771,"delegated")</f>
        <v>0</v>
      </c>
      <c r="AT27" s="3" t="n">
        <v>1446</v>
      </c>
      <c r="AU27" s="2" t="n">
        <v>28</v>
      </c>
      <c r="AV27" s="2" t="n">
        <v>0</v>
      </c>
      <c r="AW27" s="2"/>
      <c r="AX27" s="2"/>
      <c r="AY27" s="2" t="n">
        <v>1</v>
      </c>
      <c r="AZ27" s="2" t="s">
        <v>356</v>
      </c>
      <c r="BA27" s="2" t="s">
        <v>139</v>
      </c>
      <c r="BB27" s="2" t="n">
        <v>7646</v>
      </c>
      <c r="BC27" s="2" t="n">
        <v>53</v>
      </c>
      <c r="BD27" s="2" t="n">
        <v>1</v>
      </c>
      <c r="BE27" s="2" t="n">
        <f aca="false">IF(ISNUMBER(BB27),Q27-BB27,"")</f>
        <v>2273</v>
      </c>
      <c r="BF27" s="4" t="n">
        <f aca="false">IF(AND(ISNUMBER(BB27),BB27&gt;0),(Q27-BB27)/BB27,"")</f>
        <v>0.297279623332461</v>
      </c>
      <c r="BG27" s="2" t="n">
        <f aca="false">IF(ISNUMBER(BC27),X27-BC27,"")</f>
        <v>7</v>
      </c>
      <c r="BH27" s="4" t="n">
        <f aca="false">IF(AND(ISNUMBER(BC27),BC27&gt;0),(X27-BC27)/BC27,"")</f>
        <v>0.132075471698113</v>
      </c>
      <c r="BI27" s="2" t="n">
        <f aca="false">IF(ISNUMBER(BD27),AD27-BD27,"")</f>
        <v>3</v>
      </c>
      <c r="BJ27" s="2" t="s">
        <v>104</v>
      </c>
    </row>
    <row r="28" customFormat="false" ht="15" hidden="false" customHeight="false" outlineLevel="0" collapsed="false">
      <c r="A28" s="2" t="n">
        <v>27</v>
      </c>
      <c r="B28" s="2" t="s">
        <v>357</v>
      </c>
      <c r="C28" s="2" t="s">
        <v>358</v>
      </c>
      <c r="D28" s="2" t="s">
        <v>80</v>
      </c>
      <c r="E28" s="2" t="s">
        <v>65</v>
      </c>
      <c r="F28" s="2" t="s">
        <v>359</v>
      </c>
      <c r="G28" s="2" t="s">
        <v>143</v>
      </c>
      <c r="H28" s="2" t="s">
        <v>360</v>
      </c>
      <c r="I28" s="2" t="s">
        <v>361</v>
      </c>
      <c r="J28" s="2" t="s">
        <v>362</v>
      </c>
      <c r="K28" s="2" t="s">
        <v>70</v>
      </c>
      <c r="L28" s="2" t="s">
        <v>70</v>
      </c>
      <c r="M28" s="2" t="s">
        <v>363</v>
      </c>
      <c r="N28" s="2" t="s">
        <v>72</v>
      </c>
      <c r="O28" s="2" t="s">
        <v>364</v>
      </c>
      <c r="P28" s="3" t="n">
        <v>27</v>
      </c>
      <c r="Q28" s="3" t="n">
        <v>18391</v>
      </c>
      <c r="R28" s="3" t="n">
        <v>12610</v>
      </c>
      <c r="S28" s="3" t="n">
        <v>12493</v>
      </c>
      <c r="T28" s="3" t="n">
        <v>5781</v>
      </c>
      <c r="U28" s="3" t="n">
        <v>0</v>
      </c>
      <c r="V28" s="3" t="n">
        <v>0</v>
      </c>
      <c r="W28" s="3" t="n">
        <v>0</v>
      </c>
      <c r="X28" s="3" t="n">
        <v>51</v>
      </c>
      <c r="Y28" s="3" t="n">
        <v>41</v>
      </c>
      <c r="Z28" s="3" t="n">
        <v>4</v>
      </c>
      <c r="AA28" s="3" t="n">
        <v>0</v>
      </c>
      <c r="AB28" s="3" t="n">
        <v>1</v>
      </c>
      <c r="AC28" s="3" t="n">
        <v>5</v>
      </c>
      <c r="AD28" s="3" t="n">
        <v>21</v>
      </c>
      <c r="AE28" s="3" t="n">
        <v>12</v>
      </c>
      <c r="AF28" s="3" t="n">
        <v>1</v>
      </c>
      <c r="AG28" s="3" t="n">
        <v>17</v>
      </c>
      <c r="AH28" s="2" t="s">
        <v>365</v>
      </c>
      <c r="AI28" s="3" t="n">
        <v>51</v>
      </c>
      <c r="AJ28" s="2" t="n">
        <v>21</v>
      </c>
      <c r="AK28" s="2" t="n">
        <f aca="false">COUNTIFS(secondary_acts!$A$2:$A$771,$A28,secondary_acts!$E$2:$E$771,"implementing")</f>
        <v>0</v>
      </c>
      <c r="AL28" s="2" t="n">
        <f aca="false">COUNTIFS(secondary_acts!$A$2:$A$771,$A28,secondary_acts!$E$2:$E$771,"delegated")</f>
        <v>0</v>
      </c>
      <c r="AM28" s="2" t="n">
        <f aca="false">COUNTIFS(secondary_acts!$A$2:$A$771,$A28,secondary_acts!$E$2:$E$771,"other Commission/Council act")</f>
        <v>0</v>
      </c>
      <c r="AN28" s="2" t="n">
        <f aca="false">COUNTIFS(secondary_acts!$A$2:$A$771,$A28,secondary_acts!$E$2:$E$771,"guidance")</f>
        <v>0</v>
      </c>
      <c r="AO28" s="2" t="n">
        <f aca="false">COUNTIF(guidance_web!$A$2:$A$7,$A28)</f>
        <v>0</v>
      </c>
      <c r="AP28" s="2" t="n">
        <f aca="false">COUNTIFS(guidance_agencies!$A$2:$A$81,$A28,guidance_agencies!$D$2:$D$81,"EDPB")</f>
        <v>0</v>
      </c>
      <c r="AQ28" s="2" t="n">
        <f aca="false">COUNTIFS(guidance_agencies!$A$2:$A$81,$A28,guidance_agencies!$D$2:$D$81,"EBA")</f>
        <v>0</v>
      </c>
      <c r="AR28" s="2" t="n">
        <f aca="false">COUNTIFS(guidance_agencies!$A$2:$A$81,$A28,guidance_agencies!$D$2:$D$81,"ESMA")</f>
        <v>0</v>
      </c>
      <c r="AS28" s="3" t="n">
        <f aca="false">SUMIFS(secondary_acts!$S$2:$S$771,secondary_acts!$A$2:$A$771,$A28,secondary_acts!$E$2:$E$771,"implementing")+SUMIFS(secondary_acts!$S$2:$S$771,secondary_acts!$A$2:$A$771,$A28,secondary_acts!$E$2:$E$771,"delegated")</f>
        <v>0</v>
      </c>
      <c r="AT28" s="3" t="n">
        <v>1331</v>
      </c>
      <c r="AU28" s="2" t="n">
        <v>27</v>
      </c>
      <c r="AV28" s="2" t="n">
        <v>0</v>
      </c>
      <c r="AW28" s="2"/>
      <c r="AX28" s="2"/>
      <c r="AY28" s="2" t="n">
        <v>4</v>
      </c>
      <c r="AZ28" s="2" t="s">
        <v>366</v>
      </c>
      <c r="BA28" s="2" t="s">
        <v>139</v>
      </c>
      <c r="BB28" s="2" t="n">
        <v>9777</v>
      </c>
      <c r="BC28" s="2" t="n">
        <v>50</v>
      </c>
      <c r="BD28" s="2" t="n">
        <v>21</v>
      </c>
      <c r="BE28" s="2" t="n">
        <f aca="false">IF(ISNUMBER(BB28),Q28-BB28,"")</f>
        <v>8614</v>
      </c>
      <c r="BF28" s="4" t="n">
        <f aca="false">IF(AND(ISNUMBER(BB28),BB28&gt;0),(Q28-BB28)/BB28,"")</f>
        <v>0.881047356039685</v>
      </c>
      <c r="BG28" s="2" t="n">
        <f aca="false">IF(ISNUMBER(BC28),X28-BC28,"")</f>
        <v>1</v>
      </c>
      <c r="BH28" s="4" t="n">
        <f aca="false">IF(AND(ISNUMBER(BC28),BC28&gt;0),(X28-BC28)/BC28,"")</f>
        <v>0.02</v>
      </c>
      <c r="BI28" s="2" t="n">
        <f aca="false">IF(ISNUMBER(BD28),AD28-BD28,"")</f>
        <v>0</v>
      </c>
      <c r="BJ28" s="2" t="s">
        <v>104</v>
      </c>
    </row>
    <row r="29" customFormat="false" ht="15" hidden="false" customHeight="false" outlineLevel="0" collapsed="false">
      <c r="A29" s="2" t="n">
        <v>28</v>
      </c>
      <c r="B29" s="2" t="s">
        <v>367</v>
      </c>
      <c r="C29" s="2" t="s">
        <v>368</v>
      </c>
      <c r="D29" s="2" t="s">
        <v>80</v>
      </c>
      <c r="E29" s="2" t="s">
        <v>65</v>
      </c>
      <c r="F29" s="2" t="s">
        <v>359</v>
      </c>
      <c r="G29" s="2" t="s">
        <v>143</v>
      </c>
      <c r="H29" s="2" t="s">
        <v>360</v>
      </c>
      <c r="I29" s="2" t="s">
        <v>361</v>
      </c>
      <c r="J29" s="2" t="s">
        <v>362</v>
      </c>
      <c r="K29" s="2" t="s">
        <v>70</v>
      </c>
      <c r="L29" s="2" t="s">
        <v>70</v>
      </c>
      <c r="M29" s="2" t="s">
        <v>369</v>
      </c>
      <c r="N29" s="2" t="s">
        <v>72</v>
      </c>
      <c r="O29" s="2" t="s">
        <v>370</v>
      </c>
      <c r="P29" s="3" t="n">
        <v>23</v>
      </c>
      <c r="Q29" s="3" t="n">
        <v>14331</v>
      </c>
      <c r="R29" s="3" t="n">
        <v>9215</v>
      </c>
      <c r="S29" s="3" t="n">
        <v>9086</v>
      </c>
      <c r="T29" s="3" t="n">
        <v>4770</v>
      </c>
      <c r="U29" s="3" t="n">
        <v>346</v>
      </c>
      <c r="V29" s="3" t="n">
        <v>0</v>
      </c>
      <c r="W29" s="3" t="n">
        <v>0</v>
      </c>
      <c r="X29" s="3" t="n">
        <v>42</v>
      </c>
      <c r="Y29" s="3" t="n">
        <v>31</v>
      </c>
      <c r="Z29" s="3" t="n">
        <v>4</v>
      </c>
      <c r="AA29" s="3" t="n">
        <v>1</v>
      </c>
      <c r="AB29" s="3" t="n">
        <v>1</v>
      </c>
      <c r="AC29" s="3" t="n">
        <v>5</v>
      </c>
      <c r="AD29" s="3" t="n">
        <v>11</v>
      </c>
      <c r="AE29" s="3" t="n">
        <v>12</v>
      </c>
      <c r="AF29" s="3" t="n">
        <v>1</v>
      </c>
      <c r="AG29" s="3" t="n">
        <v>18</v>
      </c>
      <c r="AH29" s="2" t="s">
        <v>371</v>
      </c>
      <c r="AI29" s="3" t="n">
        <v>44</v>
      </c>
      <c r="AJ29" s="2" t="n">
        <v>12</v>
      </c>
      <c r="AK29" s="2" t="n">
        <f aca="false">COUNTIFS(secondary_acts!$A$2:$A$771,$A29,secondary_acts!$E$2:$E$771,"implementing")</f>
        <v>0</v>
      </c>
      <c r="AL29" s="2" t="n">
        <f aca="false">COUNTIFS(secondary_acts!$A$2:$A$771,$A29,secondary_acts!$E$2:$E$771,"delegated")</f>
        <v>0</v>
      </c>
      <c r="AM29" s="2" t="n">
        <f aca="false">COUNTIFS(secondary_acts!$A$2:$A$771,$A29,secondary_acts!$E$2:$E$771,"other Commission/Council act")</f>
        <v>0</v>
      </c>
      <c r="AN29" s="2" t="n">
        <f aca="false">COUNTIFS(secondary_acts!$A$2:$A$771,$A29,secondary_acts!$E$2:$E$771,"guidance")</f>
        <v>0</v>
      </c>
      <c r="AO29" s="2" t="n">
        <f aca="false">COUNTIF(guidance_web!$A$2:$A$7,$A29)</f>
        <v>0</v>
      </c>
      <c r="AP29" s="2" t="n">
        <f aca="false">COUNTIFS(guidance_agencies!$A$2:$A$81,$A29,guidance_agencies!$D$2:$D$81,"EDPB")</f>
        <v>0</v>
      </c>
      <c r="AQ29" s="2" t="n">
        <f aca="false">COUNTIFS(guidance_agencies!$A$2:$A$81,$A29,guidance_agencies!$D$2:$D$81,"EBA")</f>
        <v>0</v>
      </c>
      <c r="AR29" s="2" t="n">
        <f aca="false">COUNTIFS(guidance_agencies!$A$2:$A$81,$A29,guidance_agencies!$D$2:$D$81,"ESMA")</f>
        <v>0</v>
      </c>
      <c r="AS29" s="3" t="n">
        <f aca="false">SUMIFS(secondary_acts!$S$2:$S$771,secondary_acts!$A$2:$A$771,$A29,secondary_acts!$E$2:$E$771,"implementing")+SUMIFS(secondary_acts!$S$2:$S$771,secondary_acts!$A$2:$A$771,$A29,secondary_acts!$E$2:$E$771,"delegated")</f>
        <v>0</v>
      </c>
      <c r="AT29" s="3" t="n">
        <v>1291</v>
      </c>
      <c r="AU29" s="2" t="n">
        <v>27</v>
      </c>
      <c r="AV29" s="2" t="n">
        <v>1</v>
      </c>
      <c r="AW29" s="2" t="s">
        <v>372</v>
      </c>
      <c r="AX29" s="2" t="s">
        <v>372</v>
      </c>
      <c r="AY29" s="2" t="n">
        <v>3</v>
      </c>
      <c r="AZ29" s="2" t="s">
        <v>373</v>
      </c>
      <c r="BA29" s="2" t="s">
        <v>139</v>
      </c>
      <c r="BB29" s="2" t="n">
        <v>6775</v>
      </c>
      <c r="BC29" s="2" t="n">
        <v>30</v>
      </c>
      <c r="BD29" s="2" t="n">
        <v>13</v>
      </c>
      <c r="BE29" s="2" t="n">
        <f aca="false">IF(ISNUMBER(BB29),Q29-BB29,"")</f>
        <v>7556</v>
      </c>
      <c r="BF29" s="4" t="n">
        <f aca="false">IF(AND(ISNUMBER(BB29),BB29&gt;0),(Q29-BB29)/BB29,"")</f>
        <v>1.11527675276753</v>
      </c>
      <c r="BG29" s="2" t="n">
        <f aca="false">IF(ISNUMBER(BC29),X29-BC29,"")</f>
        <v>12</v>
      </c>
      <c r="BH29" s="4" t="n">
        <f aca="false">IF(AND(ISNUMBER(BC29),BC29&gt;0),(X29-BC29)/BC29,"")</f>
        <v>0.4</v>
      </c>
      <c r="BI29" s="2" t="n">
        <f aca="false">IF(ISNUMBER(BD29),AD29-BD29,"")</f>
        <v>-2</v>
      </c>
      <c r="BJ29" s="2"/>
    </row>
    <row r="30" customFormat="false" ht="15" hidden="false" customHeight="false" outlineLevel="0" collapsed="false">
      <c r="A30" s="2" t="n">
        <v>29</v>
      </c>
      <c r="B30" s="2" t="s">
        <v>374</v>
      </c>
      <c r="C30" s="2" t="s">
        <v>375</v>
      </c>
      <c r="D30" s="2" t="s">
        <v>186</v>
      </c>
      <c r="E30" s="2" t="s">
        <v>65</v>
      </c>
      <c r="F30" s="2" t="s">
        <v>376</v>
      </c>
      <c r="G30" s="2" t="s">
        <v>82</v>
      </c>
      <c r="H30" s="2" t="s">
        <v>377</v>
      </c>
      <c r="I30" s="2" t="s">
        <v>378</v>
      </c>
      <c r="J30" s="2" t="s">
        <v>379</v>
      </c>
      <c r="K30" s="2" t="s">
        <v>70</v>
      </c>
      <c r="L30" s="2" t="s">
        <v>70</v>
      </c>
      <c r="M30" s="2" t="s">
        <v>380</v>
      </c>
      <c r="N30" s="2" t="s">
        <v>72</v>
      </c>
      <c r="O30" s="2" t="s">
        <v>381</v>
      </c>
      <c r="P30" s="3" t="n">
        <v>82</v>
      </c>
      <c r="Q30" s="3" t="n">
        <v>39977</v>
      </c>
      <c r="R30" s="3" t="n">
        <v>5821</v>
      </c>
      <c r="S30" s="3" t="n">
        <v>5409</v>
      </c>
      <c r="T30" s="3" t="n">
        <v>32119</v>
      </c>
      <c r="U30" s="3" t="n">
        <v>2037</v>
      </c>
      <c r="V30" s="3" t="n">
        <v>0</v>
      </c>
      <c r="W30" s="3" t="n">
        <v>0</v>
      </c>
      <c r="X30" s="3" t="n">
        <v>436</v>
      </c>
      <c r="Y30" s="3" t="n">
        <v>314</v>
      </c>
      <c r="Z30" s="3" t="n">
        <v>78</v>
      </c>
      <c r="AA30" s="3" t="n">
        <v>16</v>
      </c>
      <c r="AB30" s="3" t="n">
        <v>8</v>
      </c>
      <c r="AC30" s="3" t="n">
        <v>20</v>
      </c>
      <c r="AD30" s="3" t="n">
        <v>116</v>
      </c>
      <c r="AE30" s="3" t="n">
        <v>132</v>
      </c>
      <c r="AF30" s="3" t="n">
        <v>22</v>
      </c>
      <c r="AG30" s="3" t="n">
        <v>166</v>
      </c>
      <c r="AH30" s="2" t="s">
        <v>382</v>
      </c>
      <c r="AI30" s="3" t="n">
        <v>777</v>
      </c>
      <c r="AJ30" s="2" t="n">
        <v>156</v>
      </c>
      <c r="AK30" s="2" t="n">
        <f aca="false">COUNTIFS(secondary_acts!$A$2:$A$771,$A30,secondary_acts!$E$2:$E$771,"implementing")</f>
        <v>2</v>
      </c>
      <c r="AL30" s="2" t="n">
        <f aca="false">COUNTIFS(secondary_acts!$A$2:$A$771,$A30,secondary_acts!$E$2:$E$771,"delegated")</f>
        <v>0</v>
      </c>
      <c r="AM30" s="2" t="n">
        <f aca="false">COUNTIFS(secondary_acts!$A$2:$A$771,$A30,secondary_acts!$E$2:$E$771,"other Commission/Council act")</f>
        <v>0</v>
      </c>
      <c r="AN30" s="2" t="n">
        <f aca="false">COUNTIFS(secondary_acts!$A$2:$A$771,$A30,secondary_acts!$E$2:$E$771,"guidance")</f>
        <v>0</v>
      </c>
      <c r="AO30" s="2" t="n">
        <f aca="false">COUNTIF(guidance_web!$A$2:$A$7,$A30)</f>
        <v>0</v>
      </c>
      <c r="AP30" s="2" t="n">
        <f aca="false">COUNTIFS(guidance_agencies!$A$2:$A$81,$A30,guidance_agencies!$D$2:$D$81,"EDPB")</f>
        <v>0</v>
      </c>
      <c r="AQ30" s="2" t="n">
        <f aca="false">COUNTIFS(guidance_agencies!$A$2:$A$81,$A30,guidance_agencies!$D$2:$D$81,"EBA")</f>
        <v>0</v>
      </c>
      <c r="AR30" s="2" t="n">
        <f aca="false">COUNTIFS(guidance_agencies!$A$2:$A$81,$A30,guidance_agencies!$D$2:$D$81,"ESMA")</f>
        <v>0</v>
      </c>
      <c r="AS30" s="3" t="n">
        <f aca="false">SUMIFS(secondary_acts!$S$2:$S$771,secondary_acts!$A$2:$A$771,$A30,secondary_acts!$E$2:$E$771,"implementing")+SUMIFS(secondary_acts!$S$2:$S$771,secondary_acts!$A$2:$A$771,$A30,secondary_acts!$E$2:$E$771,"delegated")</f>
        <v>292</v>
      </c>
      <c r="AT30" s="3" t="n">
        <v>1440</v>
      </c>
      <c r="AU30" s="2" t="n">
        <v>10</v>
      </c>
      <c r="AV30" s="2" t="n">
        <v>6</v>
      </c>
      <c r="AW30" s="2" t="s">
        <v>383</v>
      </c>
      <c r="AX30" s="2" t="s">
        <v>384</v>
      </c>
      <c r="AY30" s="2" t="n">
        <v>3</v>
      </c>
      <c r="AZ30" s="2" t="s">
        <v>385</v>
      </c>
      <c r="BA30" s="2" t="s">
        <v>139</v>
      </c>
      <c r="BB30" s="2" t="n">
        <v>41520</v>
      </c>
      <c r="BC30" s="2" t="n">
        <v>471</v>
      </c>
      <c r="BD30" s="2" t="n">
        <v>123</v>
      </c>
      <c r="BE30" s="2" t="n">
        <f aca="false">IF(ISNUMBER(BB30),Q30-BB30,"")</f>
        <v>-1543</v>
      </c>
      <c r="BF30" s="4" t="n">
        <f aca="false">IF(AND(ISNUMBER(BB30),BB30&gt;0),(Q30-BB30)/BB30,"")</f>
        <v>-0.0371628131021195</v>
      </c>
      <c r="BG30" s="2" t="n">
        <f aca="false">IF(ISNUMBER(BC30),X30-BC30,"")</f>
        <v>-35</v>
      </c>
      <c r="BH30" s="4" t="n">
        <f aca="false">IF(AND(ISNUMBER(BC30),BC30&gt;0),(X30-BC30)/BC30,"")</f>
        <v>-0.0743099787685775</v>
      </c>
      <c r="BI30" s="2" t="n">
        <f aca="false">IF(ISNUMBER(BD30),AD30-BD30,"")</f>
        <v>-7</v>
      </c>
      <c r="BJ30" s="2"/>
    </row>
    <row r="31" customFormat="false" ht="15" hidden="false" customHeight="false" outlineLevel="0" collapsed="false">
      <c r="A31" s="2" t="n">
        <v>30</v>
      </c>
      <c r="B31" s="2" t="s">
        <v>386</v>
      </c>
      <c r="C31" s="2" t="s">
        <v>387</v>
      </c>
      <c r="D31" s="2" t="s">
        <v>80</v>
      </c>
      <c r="E31" s="2" t="s">
        <v>65</v>
      </c>
      <c r="F31" s="2" t="s">
        <v>388</v>
      </c>
      <c r="G31" s="2" t="s">
        <v>143</v>
      </c>
      <c r="H31" s="2" t="s">
        <v>389</v>
      </c>
      <c r="I31" s="2" t="s">
        <v>390</v>
      </c>
      <c r="J31" s="2" t="s">
        <v>391</v>
      </c>
      <c r="K31" s="2" t="s">
        <v>70</v>
      </c>
      <c r="L31" s="2" t="s">
        <v>70</v>
      </c>
      <c r="M31" s="2" t="s">
        <v>392</v>
      </c>
      <c r="N31" s="2" t="s">
        <v>72</v>
      </c>
      <c r="O31" s="2" t="s">
        <v>393</v>
      </c>
      <c r="P31" s="3" t="n">
        <v>15</v>
      </c>
      <c r="Q31" s="3" t="n">
        <v>8827</v>
      </c>
      <c r="R31" s="3" t="n">
        <v>6051</v>
      </c>
      <c r="S31" s="3" t="n">
        <v>5908</v>
      </c>
      <c r="T31" s="3" t="n">
        <v>2776</v>
      </c>
      <c r="U31" s="3" t="n">
        <v>0</v>
      </c>
      <c r="V31" s="3" t="n">
        <v>0</v>
      </c>
      <c r="W31" s="3" t="n">
        <v>0</v>
      </c>
      <c r="X31" s="3" t="n">
        <v>24</v>
      </c>
      <c r="Y31" s="3" t="n">
        <v>12</v>
      </c>
      <c r="Z31" s="3" t="n">
        <v>10</v>
      </c>
      <c r="AA31" s="3" t="n">
        <v>0</v>
      </c>
      <c r="AB31" s="3" t="n">
        <v>1</v>
      </c>
      <c r="AC31" s="3" t="n">
        <v>1</v>
      </c>
      <c r="AD31" s="3" t="n">
        <v>6</v>
      </c>
      <c r="AE31" s="3" t="n">
        <v>5</v>
      </c>
      <c r="AF31" s="3" t="n">
        <v>2</v>
      </c>
      <c r="AG31" s="3" t="n">
        <v>11</v>
      </c>
      <c r="AH31" s="2" t="s">
        <v>394</v>
      </c>
      <c r="AI31" s="3" t="n">
        <v>24</v>
      </c>
      <c r="AJ31" s="2" t="n">
        <v>6</v>
      </c>
      <c r="AK31" s="2" t="n">
        <f aca="false">COUNTIFS(secondary_acts!$A$2:$A$771,$A31,secondary_acts!$E$2:$E$771,"implementing")</f>
        <v>0</v>
      </c>
      <c r="AL31" s="2" t="n">
        <f aca="false">COUNTIFS(secondary_acts!$A$2:$A$771,$A31,secondary_acts!$E$2:$E$771,"delegated")</f>
        <v>0</v>
      </c>
      <c r="AM31" s="2" t="n">
        <f aca="false">COUNTIFS(secondary_acts!$A$2:$A$771,$A31,secondary_acts!$E$2:$E$771,"other Commission/Council act")</f>
        <v>0</v>
      </c>
      <c r="AN31" s="2" t="n">
        <f aca="false">COUNTIFS(secondary_acts!$A$2:$A$771,$A31,secondary_acts!$E$2:$E$771,"guidance")</f>
        <v>0</v>
      </c>
      <c r="AO31" s="2" t="n">
        <f aca="false">COUNTIF(guidance_web!$A$2:$A$7,$A31)</f>
        <v>0</v>
      </c>
      <c r="AP31" s="2" t="n">
        <f aca="false">COUNTIFS(guidance_agencies!$A$2:$A$81,$A31,guidance_agencies!$D$2:$D$81,"EDPB")</f>
        <v>0</v>
      </c>
      <c r="AQ31" s="2" t="n">
        <f aca="false">COUNTIFS(guidance_agencies!$A$2:$A$81,$A31,guidance_agencies!$D$2:$D$81,"EBA")</f>
        <v>0</v>
      </c>
      <c r="AR31" s="2" t="n">
        <f aca="false">COUNTIFS(guidance_agencies!$A$2:$A$81,$A31,guidance_agencies!$D$2:$D$81,"ESMA")</f>
        <v>0</v>
      </c>
      <c r="AS31" s="3" t="n">
        <f aca="false">SUMIFS(secondary_acts!$S$2:$S$771,secondary_acts!$A$2:$A$771,$A31,secondary_acts!$E$2:$E$771,"implementing")+SUMIFS(secondary_acts!$S$2:$S$771,secondary_acts!$A$2:$A$771,$A31,secondary_acts!$E$2:$E$771,"delegated")</f>
        <v>0</v>
      </c>
      <c r="AT31" s="3"/>
      <c r="AU31" s="2"/>
      <c r="AV31" s="2" t="n">
        <v>0</v>
      </c>
      <c r="AW31" s="2"/>
      <c r="AX31" s="2"/>
      <c r="AY31" s="2" t="n">
        <v>3</v>
      </c>
      <c r="AZ31" s="2" t="s">
        <v>395</v>
      </c>
      <c r="BA31" s="2" t="s">
        <v>139</v>
      </c>
      <c r="BB31" s="2" t="n">
        <v>6093</v>
      </c>
      <c r="BC31" s="2" t="n">
        <v>21</v>
      </c>
      <c r="BD31" s="2" t="n">
        <v>5</v>
      </c>
      <c r="BE31" s="2" t="n">
        <f aca="false">IF(ISNUMBER(BB31),Q31-BB31,"")</f>
        <v>2734</v>
      </c>
      <c r="BF31" s="4" t="n">
        <f aca="false">IF(AND(ISNUMBER(BB31),BB31&gt;0),(Q31-BB31)/BB31,"")</f>
        <v>0.448711636303955</v>
      </c>
      <c r="BG31" s="2" t="n">
        <f aca="false">IF(ISNUMBER(BC31),X31-BC31,"")</f>
        <v>3</v>
      </c>
      <c r="BH31" s="4" t="n">
        <f aca="false">IF(AND(ISNUMBER(BC31),BC31&gt;0),(X31-BC31)/BC31,"")</f>
        <v>0.142857142857143</v>
      </c>
      <c r="BI31" s="2" t="n">
        <f aca="false">IF(ISNUMBER(BD31),AD31-BD31,"")</f>
        <v>1</v>
      </c>
      <c r="BJ31" s="2" t="s">
        <v>104</v>
      </c>
    </row>
    <row r="32" customFormat="false" ht="15" hidden="false" customHeight="false" outlineLevel="0" collapsed="false">
      <c r="A32" s="2" t="n">
        <v>31</v>
      </c>
      <c r="B32" s="2" t="s">
        <v>396</v>
      </c>
      <c r="C32" s="2" t="s">
        <v>397</v>
      </c>
      <c r="D32" s="2" t="s">
        <v>80</v>
      </c>
      <c r="E32" s="2" t="s">
        <v>65</v>
      </c>
      <c r="F32" s="2" t="s">
        <v>388</v>
      </c>
      <c r="G32" s="2" t="s">
        <v>143</v>
      </c>
      <c r="H32" s="2" t="s">
        <v>398</v>
      </c>
      <c r="I32" s="2" t="s">
        <v>399</v>
      </c>
      <c r="J32" s="2" t="s">
        <v>400</v>
      </c>
      <c r="K32" s="2" t="s">
        <v>70</v>
      </c>
      <c r="L32" s="2" t="s">
        <v>70</v>
      </c>
      <c r="M32" s="2" t="s">
        <v>401</v>
      </c>
      <c r="N32" s="2" t="s">
        <v>72</v>
      </c>
      <c r="O32" s="2" t="s">
        <v>402</v>
      </c>
      <c r="P32" s="3" t="n">
        <v>26</v>
      </c>
      <c r="Q32" s="3" t="n">
        <v>15509</v>
      </c>
      <c r="R32" s="3" t="n">
        <v>5040</v>
      </c>
      <c r="S32" s="3" t="n">
        <v>4917</v>
      </c>
      <c r="T32" s="3" t="n">
        <v>9233</v>
      </c>
      <c r="U32" s="3" t="n">
        <v>1236</v>
      </c>
      <c r="V32" s="3" t="n">
        <v>0</v>
      </c>
      <c r="W32" s="3" t="n">
        <v>0</v>
      </c>
      <c r="X32" s="3" t="n">
        <v>151</v>
      </c>
      <c r="Y32" s="3" t="n">
        <v>135</v>
      </c>
      <c r="Z32" s="3" t="n">
        <v>5</v>
      </c>
      <c r="AA32" s="3" t="n">
        <v>3</v>
      </c>
      <c r="AB32" s="3" t="n">
        <v>0</v>
      </c>
      <c r="AC32" s="3" t="n">
        <v>8</v>
      </c>
      <c r="AD32" s="3" t="n">
        <v>7</v>
      </c>
      <c r="AE32" s="3" t="n">
        <v>83</v>
      </c>
      <c r="AF32" s="3" t="n">
        <v>32</v>
      </c>
      <c r="AG32" s="3" t="n">
        <v>29</v>
      </c>
      <c r="AH32" s="2" t="s">
        <v>403</v>
      </c>
      <c r="AI32" s="3" t="n">
        <v>151</v>
      </c>
      <c r="AJ32" s="2" t="n">
        <v>7</v>
      </c>
      <c r="AK32" s="2" t="n">
        <f aca="false">COUNTIFS(secondary_acts!$A$2:$A$771,$A32,secondary_acts!$E$2:$E$771,"implementing")</f>
        <v>1</v>
      </c>
      <c r="AL32" s="2" t="n">
        <f aca="false">COUNTIFS(secondary_acts!$A$2:$A$771,$A32,secondary_acts!$E$2:$E$771,"delegated")</f>
        <v>0</v>
      </c>
      <c r="AM32" s="2" t="n">
        <f aca="false">COUNTIFS(secondary_acts!$A$2:$A$771,$A32,secondary_acts!$E$2:$E$771,"other Commission/Council act")</f>
        <v>0</v>
      </c>
      <c r="AN32" s="2" t="n">
        <f aca="false">COUNTIFS(secondary_acts!$A$2:$A$771,$A32,secondary_acts!$E$2:$E$771,"guidance")</f>
        <v>0</v>
      </c>
      <c r="AO32" s="2" t="n">
        <f aca="false">COUNTIF(guidance_web!$A$2:$A$7,$A32)</f>
        <v>0</v>
      </c>
      <c r="AP32" s="2" t="n">
        <f aca="false">COUNTIFS(guidance_agencies!$A$2:$A$81,$A32,guidance_agencies!$D$2:$D$81,"EDPB")</f>
        <v>0</v>
      </c>
      <c r="AQ32" s="2" t="n">
        <f aca="false">COUNTIFS(guidance_agencies!$A$2:$A$81,$A32,guidance_agencies!$D$2:$D$81,"EBA")</f>
        <v>0</v>
      </c>
      <c r="AR32" s="2" t="n">
        <f aca="false">COUNTIFS(guidance_agencies!$A$2:$A$81,$A32,guidance_agencies!$D$2:$D$81,"ESMA")</f>
        <v>0</v>
      </c>
      <c r="AS32" s="3" t="n">
        <f aca="false">SUMIFS(secondary_acts!$S$2:$S$771,secondary_acts!$A$2:$A$771,$A32,secondary_acts!$E$2:$E$771,"implementing")+SUMIFS(secondary_acts!$S$2:$S$771,secondary_acts!$A$2:$A$771,$A32,secondary_acts!$E$2:$E$771,"delegated")</f>
        <v>4</v>
      </c>
      <c r="AT32" s="3"/>
      <c r="AU32" s="2"/>
      <c r="AV32" s="2" t="n">
        <v>6</v>
      </c>
      <c r="AW32" s="2" t="s">
        <v>389</v>
      </c>
      <c r="AX32" s="2" t="s">
        <v>384</v>
      </c>
      <c r="AY32" s="2" t="n">
        <v>0</v>
      </c>
      <c r="AZ32" s="2" t="s">
        <v>404</v>
      </c>
      <c r="BA32" s="2" t="s">
        <v>139</v>
      </c>
      <c r="BB32" s="2" t="n">
        <v>14223</v>
      </c>
      <c r="BC32" s="2" t="n">
        <v>179</v>
      </c>
      <c r="BD32" s="2" t="n">
        <v>6</v>
      </c>
      <c r="BE32" s="2" t="n">
        <f aca="false">IF(ISNUMBER(BB32),Q32-BB32,"")</f>
        <v>1286</v>
      </c>
      <c r="BF32" s="4" t="n">
        <f aca="false">IF(AND(ISNUMBER(BB32),BB32&gt;0),(Q32-BB32)/BB32,"")</f>
        <v>0.0904169303241229</v>
      </c>
      <c r="BG32" s="2" t="n">
        <f aca="false">IF(ISNUMBER(BC32),X32-BC32,"")</f>
        <v>-28</v>
      </c>
      <c r="BH32" s="4" t="n">
        <f aca="false">IF(AND(ISNUMBER(BC32),BC32&gt;0),(X32-BC32)/BC32,"")</f>
        <v>-0.156424581005587</v>
      </c>
      <c r="BI32" s="2" t="n">
        <f aca="false">IF(ISNUMBER(BD32),AD32-BD32,"")</f>
        <v>1</v>
      </c>
      <c r="BJ32" s="2"/>
    </row>
    <row r="33" customFormat="false" ht="15" hidden="false" customHeight="false" outlineLevel="0" collapsed="false">
      <c r="A33" s="2" t="n">
        <v>32</v>
      </c>
      <c r="B33" s="2" t="s">
        <v>405</v>
      </c>
      <c r="C33" s="2" t="s">
        <v>406</v>
      </c>
      <c r="D33" s="2" t="s">
        <v>64</v>
      </c>
      <c r="E33" s="2" t="s">
        <v>65</v>
      </c>
      <c r="F33" s="2" t="s">
        <v>407</v>
      </c>
      <c r="G33" s="2" t="s">
        <v>143</v>
      </c>
      <c r="H33" s="2" t="s">
        <v>333</v>
      </c>
      <c r="I33" s="2" t="s">
        <v>408</v>
      </c>
      <c r="J33" s="2" t="s">
        <v>409</v>
      </c>
      <c r="K33" s="2" t="s">
        <v>70</v>
      </c>
      <c r="L33" s="2" t="s">
        <v>70</v>
      </c>
      <c r="M33" s="2" t="s">
        <v>410</v>
      </c>
      <c r="N33" s="2" t="s">
        <v>72</v>
      </c>
      <c r="O33" s="2" t="s">
        <v>411</v>
      </c>
      <c r="P33" s="3" t="n">
        <v>179</v>
      </c>
      <c r="Q33" s="3" t="n">
        <v>97406</v>
      </c>
      <c r="R33" s="3" t="n">
        <v>42601</v>
      </c>
      <c r="S33" s="3" t="n">
        <v>42479</v>
      </c>
      <c r="T33" s="3" t="n">
        <v>46896</v>
      </c>
      <c r="U33" s="3" t="n">
        <v>7909</v>
      </c>
      <c r="V33" s="3" t="n">
        <v>0</v>
      </c>
      <c r="W33" s="3" t="n">
        <v>0</v>
      </c>
      <c r="X33" s="3" t="n">
        <v>835</v>
      </c>
      <c r="Y33" s="3" t="n">
        <v>630</v>
      </c>
      <c r="Z33" s="3" t="n">
        <v>53</v>
      </c>
      <c r="AA33" s="3" t="n">
        <v>6</v>
      </c>
      <c r="AB33" s="3" t="n">
        <v>8</v>
      </c>
      <c r="AC33" s="3" t="n">
        <v>138</v>
      </c>
      <c r="AD33" s="3" t="n">
        <v>95</v>
      </c>
      <c r="AE33" s="3" t="n">
        <v>464</v>
      </c>
      <c r="AF33" s="3" t="n">
        <v>114</v>
      </c>
      <c r="AG33" s="3" t="n">
        <v>162</v>
      </c>
      <c r="AH33" s="2" t="s">
        <v>412</v>
      </c>
      <c r="AI33" s="3" t="n">
        <v>815</v>
      </c>
      <c r="AJ33" s="2" t="n">
        <v>89</v>
      </c>
      <c r="AK33" s="2" t="n">
        <f aca="false">COUNTIFS(secondary_acts!$A$2:$A$771,$A33,secondary_acts!$E$2:$E$771,"implementing")</f>
        <v>7</v>
      </c>
      <c r="AL33" s="2" t="n">
        <f aca="false">COUNTIFS(secondary_acts!$A$2:$A$771,$A33,secondary_acts!$E$2:$E$771,"delegated")</f>
        <v>2</v>
      </c>
      <c r="AM33" s="2" t="n">
        <f aca="false">COUNTIFS(secondary_acts!$A$2:$A$771,$A33,secondary_acts!$E$2:$E$771,"other Commission/Council act")</f>
        <v>0</v>
      </c>
      <c r="AN33" s="2" t="n">
        <f aca="false">COUNTIFS(secondary_acts!$A$2:$A$771,$A33,secondary_acts!$E$2:$E$771,"guidance")</f>
        <v>2</v>
      </c>
      <c r="AO33" s="2" t="n">
        <f aca="false">COUNTIF(guidance_web!$A$2:$A$7,$A33)</f>
        <v>0</v>
      </c>
      <c r="AP33" s="2" t="n">
        <f aca="false">COUNTIFS(guidance_agencies!$A$2:$A$81,$A33,guidance_agencies!$D$2:$D$81,"EDPB")</f>
        <v>0</v>
      </c>
      <c r="AQ33" s="2" t="n">
        <f aca="false">COUNTIFS(guidance_agencies!$A$2:$A$81,$A33,guidance_agencies!$D$2:$D$81,"EBA")</f>
        <v>0</v>
      </c>
      <c r="AR33" s="2" t="n">
        <f aca="false">COUNTIFS(guidance_agencies!$A$2:$A$81,$A33,guidance_agencies!$D$2:$D$81,"ESMA")</f>
        <v>0</v>
      </c>
      <c r="AS33" s="3" t="n">
        <f aca="false">SUMIFS(secondary_acts!$S$2:$S$771,secondary_acts!$A$2:$A$771,$A33,secondary_acts!$E$2:$E$771,"implementing")+SUMIFS(secondary_acts!$S$2:$S$771,secondary_acts!$A$2:$A$771,$A33,secondary_acts!$E$2:$E$771,"delegated")</f>
        <v>135</v>
      </c>
      <c r="AT33" s="3" t="n">
        <v>3034</v>
      </c>
      <c r="AU33" s="2" t="n">
        <v>28</v>
      </c>
      <c r="AV33" s="2" t="n">
        <v>1</v>
      </c>
      <c r="AW33" s="2" t="s">
        <v>313</v>
      </c>
      <c r="AX33" s="2" t="s">
        <v>313</v>
      </c>
      <c r="AY33" s="2" t="n">
        <v>7</v>
      </c>
      <c r="AZ33" s="2" t="s">
        <v>413</v>
      </c>
      <c r="BA33" s="2" t="s">
        <v>139</v>
      </c>
      <c r="BB33" s="2" t="n">
        <v>109321</v>
      </c>
      <c r="BC33" s="2" t="n">
        <v>893</v>
      </c>
      <c r="BD33" s="2" t="n">
        <v>72</v>
      </c>
      <c r="BE33" s="2" t="n">
        <f aca="false">IF(ISNUMBER(BB33),Q33-BB33,"")</f>
        <v>-11915</v>
      </c>
      <c r="BF33" s="4" t="n">
        <f aca="false">IF(AND(ISNUMBER(BB33),BB33&gt;0),(Q33-BB33)/BB33,"")</f>
        <v>-0.108990953247775</v>
      </c>
      <c r="BG33" s="2" t="n">
        <f aca="false">IF(ISNUMBER(BC33),X33-BC33,"")</f>
        <v>-58</v>
      </c>
      <c r="BH33" s="4" t="n">
        <f aca="false">IF(AND(ISNUMBER(BC33),BC33&gt;0),(X33-BC33)/BC33,"")</f>
        <v>-0.06494960806271</v>
      </c>
      <c r="BI33" s="2" t="n">
        <f aca="false">IF(ISNUMBER(BD33),AD33-BD33,"")</f>
        <v>23</v>
      </c>
      <c r="BJ33" s="2"/>
    </row>
    <row r="34" customFormat="false" ht="15" hidden="false" customHeight="false" outlineLevel="0" collapsed="false">
      <c r="A34" s="2" t="n">
        <v>33</v>
      </c>
      <c r="B34" s="2" t="s">
        <v>414</v>
      </c>
      <c r="C34" s="2" t="s">
        <v>415</v>
      </c>
      <c r="D34" s="2" t="s">
        <v>94</v>
      </c>
      <c r="E34" s="2" t="s">
        <v>65</v>
      </c>
      <c r="F34" s="2" t="s">
        <v>407</v>
      </c>
      <c r="G34" s="2" t="s">
        <v>143</v>
      </c>
      <c r="H34" s="2" t="s">
        <v>102</v>
      </c>
      <c r="I34" s="2" t="s">
        <v>416</v>
      </c>
      <c r="J34" s="2" t="s">
        <v>417</v>
      </c>
      <c r="K34" s="2" t="s">
        <v>70</v>
      </c>
      <c r="L34" s="2" t="s">
        <v>70</v>
      </c>
      <c r="M34" s="2" t="s">
        <v>418</v>
      </c>
      <c r="N34" s="2" t="s">
        <v>72</v>
      </c>
      <c r="O34" s="2" t="s">
        <v>419</v>
      </c>
      <c r="P34" s="3" t="n">
        <v>34</v>
      </c>
      <c r="Q34" s="3" t="n">
        <v>22678</v>
      </c>
      <c r="R34" s="3" t="n">
        <v>15128</v>
      </c>
      <c r="S34" s="3" t="n">
        <v>14987</v>
      </c>
      <c r="T34" s="3" t="n">
        <v>7550</v>
      </c>
      <c r="U34" s="3" t="n">
        <v>0</v>
      </c>
      <c r="V34" s="3" t="n">
        <v>0</v>
      </c>
      <c r="W34" s="3" t="n">
        <v>0</v>
      </c>
      <c r="X34" s="3" t="n">
        <v>100</v>
      </c>
      <c r="Y34" s="3" t="n">
        <v>75</v>
      </c>
      <c r="Z34" s="3" t="n">
        <v>9</v>
      </c>
      <c r="AA34" s="3" t="n">
        <v>1</v>
      </c>
      <c r="AB34" s="3" t="n">
        <v>1</v>
      </c>
      <c r="AC34" s="3" t="n">
        <v>14</v>
      </c>
      <c r="AD34" s="3" t="n">
        <v>9</v>
      </c>
      <c r="AE34" s="3" t="n">
        <v>55</v>
      </c>
      <c r="AF34" s="3" t="n">
        <v>7</v>
      </c>
      <c r="AG34" s="3" t="n">
        <v>29</v>
      </c>
      <c r="AH34" s="2" t="s">
        <v>420</v>
      </c>
      <c r="AI34" s="3" t="n">
        <v>100</v>
      </c>
      <c r="AJ34" s="2" t="n">
        <v>9</v>
      </c>
      <c r="AK34" s="2" t="n">
        <f aca="false">COUNTIFS(secondary_acts!$A$2:$A$771,$A34,secondary_acts!$E$2:$E$771,"implementing")</f>
        <v>0</v>
      </c>
      <c r="AL34" s="2" t="n">
        <f aca="false">COUNTIFS(secondary_acts!$A$2:$A$771,$A34,secondary_acts!$E$2:$E$771,"delegated")</f>
        <v>0</v>
      </c>
      <c r="AM34" s="2" t="n">
        <f aca="false">COUNTIFS(secondary_acts!$A$2:$A$771,$A34,secondary_acts!$E$2:$E$771,"other Commission/Council act")</f>
        <v>0</v>
      </c>
      <c r="AN34" s="2" t="n">
        <f aca="false">COUNTIFS(secondary_acts!$A$2:$A$771,$A34,secondary_acts!$E$2:$E$771,"guidance")</f>
        <v>1</v>
      </c>
      <c r="AO34" s="2" t="n">
        <f aca="false">COUNTIF(guidance_web!$A$2:$A$7,$A34)</f>
        <v>0</v>
      </c>
      <c r="AP34" s="2" t="n">
        <f aca="false">COUNTIFS(guidance_agencies!$A$2:$A$81,$A34,guidance_agencies!$D$2:$D$81,"EDPB")</f>
        <v>0</v>
      </c>
      <c r="AQ34" s="2" t="n">
        <f aca="false">COUNTIFS(guidance_agencies!$A$2:$A$81,$A34,guidance_agencies!$D$2:$D$81,"EBA")</f>
        <v>0</v>
      </c>
      <c r="AR34" s="2" t="n">
        <f aca="false">COUNTIFS(guidance_agencies!$A$2:$A$81,$A34,guidance_agencies!$D$2:$D$81,"ESMA")</f>
        <v>0</v>
      </c>
      <c r="AS34" s="3" t="n">
        <f aca="false">SUMIFS(secondary_acts!$S$2:$S$771,secondary_acts!$A$2:$A$771,$A34,secondary_acts!$E$2:$E$771,"implementing")+SUMIFS(secondary_acts!$S$2:$S$771,secondary_acts!$A$2:$A$771,$A34,secondary_acts!$E$2:$E$771,"delegated")</f>
        <v>0</v>
      </c>
      <c r="AT34" s="3" t="n">
        <v>1039</v>
      </c>
      <c r="AU34" s="2" t="n">
        <v>27</v>
      </c>
      <c r="AV34" s="2" t="n">
        <v>0</v>
      </c>
      <c r="AW34" s="2"/>
      <c r="AX34" s="2"/>
      <c r="AY34" s="2" t="n">
        <v>3</v>
      </c>
      <c r="AZ34" s="2" t="s">
        <v>421</v>
      </c>
      <c r="BA34" s="2" t="s">
        <v>139</v>
      </c>
      <c r="BB34" s="2" t="n">
        <v>8820</v>
      </c>
      <c r="BC34" s="2" t="n">
        <v>45</v>
      </c>
      <c r="BD34" s="2" t="n">
        <v>6</v>
      </c>
      <c r="BE34" s="2" t="n">
        <f aca="false">IF(ISNUMBER(BB34),Q34-BB34,"")</f>
        <v>13858</v>
      </c>
      <c r="BF34" s="4" t="n">
        <f aca="false">IF(AND(ISNUMBER(BB34),BB34&gt;0),(Q34-BB34)/BB34,"")</f>
        <v>1.57120181405896</v>
      </c>
      <c r="BG34" s="2" t="n">
        <f aca="false">IF(ISNUMBER(BC34),X34-BC34,"")</f>
        <v>55</v>
      </c>
      <c r="BH34" s="4" t="n">
        <f aca="false">IF(AND(ISNUMBER(BC34),BC34&gt;0),(X34-BC34)/BC34,"")</f>
        <v>1.22222222222222</v>
      </c>
      <c r="BI34" s="2" t="n">
        <f aca="false">IF(ISNUMBER(BD34),AD34-BD34,"")</f>
        <v>3</v>
      </c>
      <c r="BJ34" s="2" t="s">
        <v>104</v>
      </c>
    </row>
    <row r="35" customFormat="false" ht="15" hidden="false" customHeight="false" outlineLevel="0" collapsed="false">
      <c r="A35" s="2" t="n">
        <v>34</v>
      </c>
      <c r="B35" s="2" t="s">
        <v>422</v>
      </c>
      <c r="C35" s="2" t="s">
        <v>423</v>
      </c>
      <c r="D35" s="2" t="s">
        <v>94</v>
      </c>
      <c r="E35" s="2" t="s">
        <v>65</v>
      </c>
      <c r="F35" s="2" t="s">
        <v>407</v>
      </c>
      <c r="G35" s="2" t="s">
        <v>143</v>
      </c>
      <c r="H35" s="2" t="s">
        <v>102</v>
      </c>
      <c r="I35" s="2" t="s">
        <v>416</v>
      </c>
      <c r="J35" s="2" t="s">
        <v>417</v>
      </c>
      <c r="K35" s="2" t="s">
        <v>70</v>
      </c>
      <c r="L35" s="2" t="s">
        <v>70</v>
      </c>
      <c r="M35" s="2" t="s">
        <v>424</v>
      </c>
      <c r="N35" s="2" t="s">
        <v>72</v>
      </c>
      <c r="O35" s="2" t="s">
        <v>425</v>
      </c>
      <c r="P35" s="3" t="n">
        <v>10</v>
      </c>
      <c r="Q35" s="3" t="n">
        <v>5980</v>
      </c>
      <c r="R35" s="3" t="n">
        <v>4056</v>
      </c>
      <c r="S35" s="3" t="n">
        <v>3909</v>
      </c>
      <c r="T35" s="3" t="n">
        <v>1924</v>
      </c>
      <c r="U35" s="3" t="n">
        <v>0</v>
      </c>
      <c r="V35" s="3" t="n">
        <v>0</v>
      </c>
      <c r="W35" s="3" t="n">
        <v>0</v>
      </c>
      <c r="X35" s="3" t="n">
        <v>23</v>
      </c>
      <c r="Y35" s="3" t="n">
        <v>17</v>
      </c>
      <c r="Z35" s="3" t="n">
        <v>1</v>
      </c>
      <c r="AA35" s="3" t="n">
        <v>0</v>
      </c>
      <c r="AB35" s="3" t="n">
        <v>0</v>
      </c>
      <c r="AC35" s="3" t="n">
        <v>5</v>
      </c>
      <c r="AD35" s="3" t="n">
        <v>1</v>
      </c>
      <c r="AE35" s="3" t="n">
        <v>16</v>
      </c>
      <c r="AF35" s="3" t="n">
        <v>1</v>
      </c>
      <c r="AG35" s="3" t="n">
        <v>5</v>
      </c>
      <c r="AH35" s="2" t="s">
        <v>426</v>
      </c>
      <c r="AI35" s="3" t="n">
        <v>23</v>
      </c>
      <c r="AJ35" s="2" t="n">
        <v>1</v>
      </c>
      <c r="AK35" s="2" t="n">
        <f aca="false">COUNTIFS(secondary_acts!$A$2:$A$771,$A35,secondary_acts!$E$2:$E$771,"implementing")</f>
        <v>0</v>
      </c>
      <c r="AL35" s="2" t="n">
        <f aca="false">COUNTIFS(secondary_acts!$A$2:$A$771,$A35,secondary_acts!$E$2:$E$771,"delegated")</f>
        <v>0</v>
      </c>
      <c r="AM35" s="2" t="n">
        <f aca="false">COUNTIFS(secondary_acts!$A$2:$A$771,$A35,secondary_acts!$E$2:$E$771,"other Commission/Council act")</f>
        <v>0</v>
      </c>
      <c r="AN35" s="2" t="n">
        <f aca="false">COUNTIFS(secondary_acts!$A$2:$A$771,$A35,secondary_acts!$E$2:$E$771,"guidance")</f>
        <v>0</v>
      </c>
      <c r="AO35" s="2" t="n">
        <f aca="false">COUNTIF(guidance_web!$A$2:$A$7,$A35)</f>
        <v>0</v>
      </c>
      <c r="AP35" s="2" t="n">
        <f aca="false">COUNTIFS(guidance_agencies!$A$2:$A$81,$A35,guidance_agencies!$D$2:$D$81,"EDPB")</f>
        <v>0</v>
      </c>
      <c r="AQ35" s="2" t="n">
        <f aca="false">COUNTIFS(guidance_agencies!$A$2:$A$81,$A35,guidance_agencies!$D$2:$D$81,"EBA")</f>
        <v>0</v>
      </c>
      <c r="AR35" s="2" t="n">
        <f aca="false">COUNTIFS(guidance_agencies!$A$2:$A$81,$A35,guidance_agencies!$D$2:$D$81,"ESMA")</f>
        <v>0</v>
      </c>
      <c r="AS35" s="3" t="n">
        <f aca="false">SUMIFS(secondary_acts!$S$2:$S$771,secondary_acts!$A$2:$A$771,$A35,secondary_acts!$E$2:$E$771,"implementing")+SUMIFS(secondary_acts!$S$2:$S$771,secondary_acts!$A$2:$A$771,$A35,secondary_acts!$E$2:$E$771,"delegated")</f>
        <v>0</v>
      </c>
      <c r="AT35" s="3" t="n">
        <v>550</v>
      </c>
      <c r="AU35" s="2" t="n">
        <v>26</v>
      </c>
      <c r="AV35" s="2" t="n">
        <v>0</v>
      </c>
      <c r="AW35" s="2"/>
      <c r="AX35" s="2"/>
      <c r="AY35" s="2" t="n">
        <v>1</v>
      </c>
      <c r="AZ35" s="2" t="s">
        <v>427</v>
      </c>
      <c r="BA35" s="2" t="s">
        <v>139</v>
      </c>
      <c r="BB35" s="2" t="n">
        <v>3313</v>
      </c>
      <c r="BC35" s="2" t="n">
        <v>10</v>
      </c>
      <c r="BD35" s="2" t="n">
        <v>5</v>
      </c>
      <c r="BE35" s="2" t="n">
        <f aca="false">IF(ISNUMBER(BB35),Q35-BB35,"")</f>
        <v>2667</v>
      </c>
      <c r="BF35" s="4" t="n">
        <f aca="false">IF(AND(ISNUMBER(BB35),BB35&gt;0),(Q35-BB35)/BB35,"")</f>
        <v>0.805010564443103</v>
      </c>
      <c r="BG35" s="2" t="n">
        <f aca="false">IF(ISNUMBER(BC35),X35-BC35,"")</f>
        <v>13</v>
      </c>
      <c r="BH35" s="4" t="n">
        <f aca="false">IF(AND(ISNUMBER(BC35),BC35&gt;0),(X35-BC35)/BC35,"")</f>
        <v>1.3</v>
      </c>
      <c r="BI35" s="2" t="n">
        <f aca="false">IF(ISNUMBER(BD35),AD35-BD35,"")</f>
        <v>-4</v>
      </c>
      <c r="BJ35" s="2" t="s">
        <v>104</v>
      </c>
    </row>
    <row r="36" customFormat="false" ht="15" hidden="false" customHeight="false" outlineLevel="0" collapsed="false">
      <c r="A36" s="2" t="n">
        <v>35</v>
      </c>
      <c r="B36" s="2" t="s">
        <v>428</v>
      </c>
      <c r="C36" s="2" t="s">
        <v>429</v>
      </c>
      <c r="D36" s="2" t="s">
        <v>164</v>
      </c>
      <c r="E36" s="2" t="s">
        <v>65</v>
      </c>
      <c r="F36" s="2" t="s">
        <v>430</v>
      </c>
      <c r="G36" s="2" t="s">
        <v>143</v>
      </c>
      <c r="H36" s="2" t="s">
        <v>431</v>
      </c>
      <c r="I36" s="2" t="s">
        <v>432</v>
      </c>
      <c r="J36" s="2" t="s">
        <v>333</v>
      </c>
      <c r="K36" s="2" t="s">
        <v>70</v>
      </c>
      <c r="L36" s="2" t="s">
        <v>70</v>
      </c>
      <c r="M36" s="2" t="s">
        <v>433</v>
      </c>
      <c r="N36" s="2" t="s">
        <v>72</v>
      </c>
      <c r="O36" s="2" t="s">
        <v>434</v>
      </c>
      <c r="P36" s="3" t="n">
        <v>60</v>
      </c>
      <c r="Q36" s="3" t="n">
        <v>37418</v>
      </c>
      <c r="R36" s="3" t="n">
        <v>12539</v>
      </c>
      <c r="S36" s="3" t="n">
        <v>12392</v>
      </c>
      <c r="T36" s="3" t="n">
        <v>24879</v>
      </c>
      <c r="U36" s="3" t="n">
        <v>0</v>
      </c>
      <c r="V36" s="3" t="n">
        <v>0</v>
      </c>
      <c r="W36" s="3" t="n">
        <v>0</v>
      </c>
      <c r="X36" s="3" t="n">
        <v>333</v>
      </c>
      <c r="Y36" s="3" t="n">
        <v>289</v>
      </c>
      <c r="Z36" s="3" t="n">
        <v>24</v>
      </c>
      <c r="AA36" s="3" t="n">
        <v>3</v>
      </c>
      <c r="AB36" s="3" t="n">
        <v>9</v>
      </c>
      <c r="AC36" s="3" t="n">
        <v>8</v>
      </c>
      <c r="AD36" s="3" t="n">
        <v>142</v>
      </c>
      <c r="AE36" s="3" t="n">
        <v>6</v>
      </c>
      <c r="AF36" s="3" t="n">
        <v>91</v>
      </c>
      <c r="AG36" s="3" t="n">
        <v>94</v>
      </c>
      <c r="AH36" s="2" t="s">
        <v>435</v>
      </c>
      <c r="AI36" s="3" t="n">
        <v>333</v>
      </c>
      <c r="AJ36" s="2" t="n">
        <v>142</v>
      </c>
      <c r="AK36" s="2" t="n">
        <f aca="false">COUNTIFS(secondary_acts!$A$2:$A$771,$A36,secondary_acts!$E$2:$E$771,"implementing")</f>
        <v>2</v>
      </c>
      <c r="AL36" s="2" t="n">
        <f aca="false">COUNTIFS(secondary_acts!$A$2:$A$771,$A36,secondary_acts!$E$2:$E$771,"delegated")</f>
        <v>0</v>
      </c>
      <c r="AM36" s="2" t="n">
        <f aca="false">COUNTIFS(secondary_acts!$A$2:$A$771,$A36,secondary_acts!$E$2:$E$771,"other Commission/Council act")</f>
        <v>0</v>
      </c>
      <c r="AN36" s="2" t="n">
        <f aca="false">COUNTIFS(secondary_acts!$A$2:$A$771,$A36,secondary_acts!$E$2:$E$771,"guidance")</f>
        <v>0</v>
      </c>
      <c r="AO36" s="2" t="n">
        <f aca="false">COUNTIF(guidance_web!$A$2:$A$7,$A36)</f>
        <v>0</v>
      </c>
      <c r="AP36" s="2" t="n">
        <f aca="false">COUNTIFS(guidance_agencies!$A$2:$A$81,$A36,guidance_agencies!$D$2:$D$81,"EDPB")</f>
        <v>0</v>
      </c>
      <c r="AQ36" s="2" t="n">
        <f aca="false">COUNTIFS(guidance_agencies!$A$2:$A$81,$A36,guidance_agencies!$D$2:$D$81,"EBA")</f>
        <v>0</v>
      </c>
      <c r="AR36" s="2" t="n">
        <f aca="false">COUNTIFS(guidance_agencies!$A$2:$A$81,$A36,guidance_agencies!$D$2:$D$81,"ESMA")</f>
        <v>0</v>
      </c>
      <c r="AS36" s="3" t="n">
        <f aca="false">SUMIFS(secondary_acts!$S$2:$S$771,secondary_acts!$A$2:$A$771,$A36,secondary_acts!$E$2:$E$771,"implementing")+SUMIFS(secondary_acts!$S$2:$S$771,secondary_acts!$A$2:$A$771,$A36,secondary_acts!$E$2:$E$771,"delegated")</f>
        <v>115</v>
      </c>
      <c r="AT36" s="3"/>
      <c r="AU36" s="2"/>
      <c r="AV36" s="2" t="n">
        <v>0</v>
      </c>
      <c r="AW36" s="2"/>
      <c r="AX36" s="2"/>
      <c r="AY36" s="2" t="n">
        <v>3</v>
      </c>
      <c r="AZ36" s="2" t="s">
        <v>436</v>
      </c>
      <c r="BA36" s="2" t="s">
        <v>139</v>
      </c>
      <c r="BB36" s="2" t="n">
        <v>28900</v>
      </c>
      <c r="BC36" s="2" t="n">
        <v>232</v>
      </c>
      <c r="BD36" s="2" t="n">
        <v>80</v>
      </c>
      <c r="BE36" s="2" t="n">
        <f aca="false">IF(ISNUMBER(BB36),Q36-BB36,"")</f>
        <v>8518</v>
      </c>
      <c r="BF36" s="4" t="n">
        <f aca="false">IF(AND(ISNUMBER(BB36),BB36&gt;0),(Q36-BB36)/BB36,"")</f>
        <v>0.294740484429066</v>
      </c>
      <c r="BG36" s="2" t="n">
        <f aca="false">IF(ISNUMBER(BC36),X36-BC36,"")</f>
        <v>101</v>
      </c>
      <c r="BH36" s="4" t="n">
        <f aca="false">IF(AND(ISNUMBER(BC36),BC36&gt;0),(X36-BC36)/BC36,"")</f>
        <v>0.435344827586207</v>
      </c>
      <c r="BI36" s="2" t="n">
        <f aca="false">IF(ISNUMBER(BD36),AD36-BD36,"")</f>
        <v>62</v>
      </c>
      <c r="BJ36" s="2" t="s">
        <v>104</v>
      </c>
    </row>
    <row r="37" customFormat="false" ht="15" hidden="false" customHeight="false" outlineLevel="0" collapsed="false">
      <c r="A37" s="2" t="n">
        <v>36</v>
      </c>
      <c r="B37" s="2" t="s">
        <v>437</v>
      </c>
      <c r="C37" s="2" t="s">
        <v>438</v>
      </c>
      <c r="D37" s="2" t="s">
        <v>255</v>
      </c>
      <c r="E37" s="2" t="s">
        <v>65</v>
      </c>
      <c r="F37" s="2" t="s">
        <v>439</v>
      </c>
      <c r="G37" s="2" t="s">
        <v>143</v>
      </c>
      <c r="H37" s="2" t="s">
        <v>440</v>
      </c>
      <c r="I37" s="2" t="s">
        <v>432</v>
      </c>
      <c r="J37" s="2" t="s">
        <v>333</v>
      </c>
      <c r="K37" s="2" t="s">
        <v>70</v>
      </c>
      <c r="L37" s="2" t="s">
        <v>70</v>
      </c>
      <c r="M37" s="2" t="s">
        <v>441</v>
      </c>
      <c r="N37" s="2" t="s">
        <v>72</v>
      </c>
      <c r="O37" s="2" t="s">
        <v>442</v>
      </c>
      <c r="P37" s="3" t="n">
        <v>38</v>
      </c>
      <c r="Q37" s="3" t="n">
        <v>20255</v>
      </c>
      <c r="R37" s="3" t="n">
        <v>9449</v>
      </c>
      <c r="S37" s="3" t="n">
        <v>9316</v>
      </c>
      <c r="T37" s="3" t="n">
        <v>8396</v>
      </c>
      <c r="U37" s="3" t="n">
        <v>2410</v>
      </c>
      <c r="V37" s="3" t="n">
        <v>0</v>
      </c>
      <c r="W37" s="3" t="n">
        <v>0</v>
      </c>
      <c r="X37" s="3" t="n">
        <v>138</v>
      </c>
      <c r="Y37" s="3" t="n">
        <v>110</v>
      </c>
      <c r="Z37" s="3" t="n">
        <v>4</v>
      </c>
      <c r="AA37" s="3" t="n">
        <v>3</v>
      </c>
      <c r="AB37" s="3" t="n">
        <v>5</v>
      </c>
      <c r="AC37" s="3" t="n">
        <v>16</v>
      </c>
      <c r="AD37" s="3" t="n">
        <v>6</v>
      </c>
      <c r="AE37" s="3" t="n">
        <v>39</v>
      </c>
      <c r="AF37" s="3" t="n">
        <v>67</v>
      </c>
      <c r="AG37" s="3" t="n">
        <v>26</v>
      </c>
      <c r="AH37" s="2" t="s">
        <v>443</v>
      </c>
      <c r="AI37" s="3" t="n">
        <v>135</v>
      </c>
      <c r="AJ37" s="2" t="n">
        <v>6</v>
      </c>
      <c r="AK37" s="2" t="n">
        <f aca="false">COUNTIFS(secondary_acts!$A$2:$A$771,$A37,secondary_acts!$E$2:$E$771,"implementing")</f>
        <v>2</v>
      </c>
      <c r="AL37" s="2" t="n">
        <f aca="false">COUNTIFS(secondary_acts!$A$2:$A$771,$A37,secondary_acts!$E$2:$E$771,"delegated")</f>
        <v>0</v>
      </c>
      <c r="AM37" s="2" t="n">
        <f aca="false">COUNTIFS(secondary_acts!$A$2:$A$771,$A37,secondary_acts!$E$2:$E$771,"other Commission/Council act")</f>
        <v>0</v>
      </c>
      <c r="AN37" s="2" t="n">
        <f aca="false">COUNTIFS(secondary_acts!$A$2:$A$771,$A37,secondary_acts!$E$2:$E$771,"guidance")</f>
        <v>4</v>
      </c>
      <c r="AO37" s="2" t="n">
        <f aca="false">COUNTIF(guidance_web!$A$2:$A$7,$A37)</f>
        <v>0</v>
      </c>
      <c r="AP37" s="2" t="n">
        <f aca="false">COUNTIFS(guidance_agencies!$A$2:$A$81,$A37,guidance_agencies!$D$2:$D$81,"EDPB")</f>
        <v>0</v>
      </c>
      <c r="AQ37" s="2" t="n">
        <f aca="false">COUNTIFS(guidance_agencies!$A$2:$A$81,$A37,guidance_agencies!$D$2:$D$81,"EBA")</f>
        <v>0</v>
      </c>
      <c r="AR37" s="2" t="n">
        <f aca="false">COUNTIFS(guidance_agencies!$A$2:$A$81,$A37,guidance_agencies!$D$2:$D$81,"ESMA")</f>
        <v>0</v>
      </c>
      <c r="AS37" s="3" t="n">
        <f aca="false">SUMIFS(secondary_acts!$S$2:$S$771,secondary_acts!$A$2:$A$771,$A37,secondary_acts!$E$2:$E$771,"implementing")+SUMIFS(secondary_acts!$S$2:$S$771,secondary_acts!$A$2:$A$771,$A37,secondary_acts!$E$2:$E$771,"delegated")</f>
        <v>173</v>
      </c>
      <c r="AT37" s="3"/>
      <c r="AU37" s="2"/>
      <c r="AV37" s="2" t="n">
        <v>6</v>
      </c>
      <c r="AW37" s="2" t="s">
        <v>444</v>
      </c>
      <c r="AX37" s="2" t="s">
        <v>445</v>
      </c>
      <c r="AY37" s="2" t="n">
        <v>2</v>
      </c>
      <c r="AZ37" s="2" t="s">
        <v>446</v>
      </c>
      <c r="BA37" s="2" t="s">
        <v>139</v>
      </c>
      <c r="BB37" s="2" t="n">
        <v>12019</v>
      </c>
      <c r="BC37" s="2" t="n">
        <v>118</v>
      </c>
      <c r="BD37" s="2" t="n">
        <v>3</v>
      </c>
      <c r="BE37" s="2" t="n">
        <f aca="false">IF(ISNUMBER(BB37),Q37-BB37,"")</f>
        <v>8236</v>
      </c>
      <c r="BF37" s="4" t="n">
        <f aca="false">IF(AND(ISNUMBER(BB37),BB37&gt;0),(Q37-BB37)/BB37,"")</f>
        <v>0.68524835676845</v>
      </c>
      <c r="BG37" s="2" t="n">
        <f aca="false">IF(ISNUMBER(BC37),X37-BC37,"")</f>
        <v>20</v>
      </c>
      <c r="BH37" s="4" t="n">
        <f aca="false">IF(AND(ISNUMBER(BC37),BC37&gt;0),(X37-BC37)/BC37,"")</f>
        <v>0.169491525423729</v>
      </c>
      <c r="BI37" s="2" t="n">
        <f aca="false">IF(ISNUMBER(BD37),AD37-BD37,"")</f>
        <v>3</v>
      </c>
      <c r="BJ37" s="2"/>
    </row>
    <row r="38" customFormat="false" ht="15" hidden="false" customHeight="false" outlineLevel="0" collapsed="false">
      <c r="A38" s="2" t="n">
        <v>37</v>
      </c>
      <c r="B38" s="2" t="s">
        <v>447</v>
      </c>
      <c r="C38" s="2" t="s">
        <v>448</v>
      </c>
      <c r="D38" s="2" t="s">
        <v>449</v>
      </c>
      <c r="E38" s="2" t="s">
        <v>65</v>
      </c>
      <c r="F38" s="2" t="s">
        <v>150</v>
      </c>
      <c r="G38" s="2" t="s">
        <v>143</v>
      </c>
      <c r="H38" s="2" t="s">
        <v>102</v>
      </c>
      <c r="I38" s="2" t="s">
        <v>450</v>
      </c>
      <c r="J38" s="2" t="s">
        <v>451</v>
      </c>
      <c r="K38" s="2" t="s">
        <v>70</v>
      </c>
      <c r="L38" s="2" t="s">
        <v>70</v>
      </c>
      <c r="M38" s="2" t="s">
        <v>452</v>
      </c>
      <c r="N38" s="2" t="s">
        <v>72</v>
      </c>
      <c r="O38" s="2" t="s">
        <v>453</v>
      </c>
      <c r="P38" s="3" t="n">
        <v>55</v>
      </c>
      <c r="Q38" s="3" t="n">
        <v>30460</v>
      </c>
      <c r="R38" s="3" t="n">
        <v>12254</v>
      </c>
      <c r="S38" s="3" t="n">
        <v>12114</v>
      </c>
      <c r="T38" s="3" t="n">
        <v>17006</v>
      </c>
      <c r="U38" s="3" t="n">
        <v>1200</v>
      </c>
      <c r="V38" s="3" t="n">
        <v>0</v>
      </c>
      <c r="W38" s="3" t="n">
        <v>0</v>
      </c>
      <c r="X38" s="3" t="n">
        <v>382</v>
      </c>
      <c r="Y38" s="3" t="n">
        <v>354</v>
      </c>
      <c r="Z38" s="3" t="n">
        <v>20</v>
      </c>
      <c r="AA38" s="3" t="n">
        <v>0</v>
      </c>
      <c r="AB38" s="3" t="n">
        <v>2</v>
      </c>
      <c r="AC38" s="3" t="n">
        <v>6</v>
      </c>
      <c r="AD38" s="3" t="n">
        <v>18</v>
      </c>
      <c r="AE38" s="3" t="n">
        <v>43</v>
      </c>
      <c r="AF38" s="3" t="n">
        <v>219</v>
      </c>
      <c r="AG38" s="3" t="n">
        <v>102</v>
      </c>
      <c r="AH38" s="2" t="s">
        <v>454</v>
      </c>
      <c r="AI38" s="3" t="n">
        <v>388</v>
      </c>
      <c r="AJ38" s="2" t="n">
        <v>15</v>
      </c>
      <c r="AK38" s="2" t="n">
        <f aca="false">COUNTIFS(secondary_acts!$A$2:$A$771,$A38,secondary_acts!$E$2:$E$771,"implementing")</f>
        <v>5</v>
      </c>
      <c r="AL38" s="2" t="n">
        <f aca="false">COUNTIFS(secondary_acts!$A$2:$A$771,$A38,secondary_acts!$E$2:$E$771,"delegated")</f>
        <v>0</v>
      </c>
      <c r="AM38" s="2" t="n">
        <f aca="false">COUNTIFS(secondary_acts!$A$2:$A$771,$A38,secondary_acts!$E$2:$E$771,"other Commission/Council act")</f>
        <v>0</v>
      </c>
      <c r="AN38" s="2" t="n">
        <f aca="false">COUNTIFS(secondary_acts!$A$2:$A$771,$A38,secondary_acts!$E$2:$E$771,"guidance")</f>
        <v>0</v>
      </c>
      <c r="AO38" s="2" t="n">
        <f aca="false">COUNTIF(guidance_web!$A$2:$A$7,$A38)</f>
        <v>0</v>
      </c>
      <c r="AP38" s="2" t="n">
        <f aca="false">COUNTIFS(guidance_agencies!$A$2:$A$81,$A38,guidance_agencies!$D$2:$D$81,"EDPB")</f>
        <v>0</v>
      </c>
      <c r="AQ38" s="2" t="n">
        <f aca="false">COUNTIFS(guidance_agencies!$A$2:$A$81,$A38,guidance_agencies!$D$2:$D$81,"EBA")</f>
        <v>0</v>
      </c>
      <c r="AR38" s="2" t="n">
        <f aca="false">COUNTIFS(guidance_agencies!$A$2:$A$81,$A38,guidance_agencies!$D$2:$D$81,"ESMA")</f>
        <v>0</v>
      </c>
      <c r="AS38" s="3" t="n">
        <f aca="false">SUMIFS(secondary_acts!$S$2:$S$771,secondary_acts!$A$2:$A$771,$A38,secondary_acts!$E$2:$E$771,"implementing")+SUMIFS(secondary_acts!$S$2:$S$771,secondary_acts!$A$2:$A$771,$A38,secondary_acts!$E$2:$E$771,"delegated")</f>
        <v>383</v>
      </c>
      <c r="AT38" s="3"/>
      <c r="AU38" s="2"/>
      <c r="AV38" s="2" t="n">
        <v>1</v>
      </c>
      <c r="AW38" s="2" t="s">
        <v>384</v>
      </c>
      <c r="AX38" s="2" t="s">
        <v>384</v>
      </c>
      <c r="AY38" s="2" t="n">
        <v>7</v>
      </c>
      <c r="AZ38" s="2" t="s">
        <v>455</v>
      </c>
      <c r="BA38" s="2" t="s">
        <v>139</v>
      </c>
      <c r="BB38" s="2" t="n">
        <v>19728</v>
      </c>
      <c r="BC38" s="2" t="n">
        <v>262</v>
      </c>
      <c r="BD38" s="2" t="n">
        <v>19</v>
      </c>
      <c r="BE38" s="2" t="n">
        <f aca="false">IF(ISNUMBER(BB38),Q38-BB38,"")</f>
        <v>10732</v>
      </c>
      <c r="BF38" s="4" t="n">
        <f aca="false">IF(AND(ISNUMBER(BB38),BB38&gt;0),(Q38-BB38)/BB38,"")</f>
        <v>0.543998377939984</v>
      </c>
      <c r="BG38" s="2" t="n">
        <f aca="false">IF(ISNUMBER(BC38),X38-BC38,"")</f>
        <v>120</v>
      </c>
      <c r="BH38" s="4" t="n">
        <f aca="false">IF(AND(ISNUMBER(BC38),BC38&gt;0),(X38-BC38)/BC38,"")</f>
        <v>0.458015267175573</v>
      </c>
      <c r="BI38" s="2" t="n">
        <f aca="false">IF(ISNUMBER(BD38),AD38-BD38,"")</f>
        <v>-1</v>
      </c>
      <c r="BJ38" s="2"/>
    </row>
    <row r="39" customFormat="false" ht="15" hidden="false" customHeight="false" outlineLevel="0" collapsed="false">
      <c r="A39" s="2" t="n">
        <v>38</v>
      </c>
      <c r="B39" s="2" t="s">
        <v>456</v>
      </c>
      <c r="C39" s="2" t="s">
        <v>457</v>
      </c>
      <c r="D39" s="2" t="s">
        <v>164</v>
      </c>
      <c r="E39" s="2" t="s">
        <v>65</v>
      </c>
      <c r="F39" s="2" t="s">
        <v>150</v>
      </c>
      <c r="G39" s="2" t="s">
        <v>143</v>
      </c>
      <c r="H39" s="2" t="s">
        <v>238</v>
      </c>
      <c r="I39" s="2" t="s">
        <v>458</v>
      </c>
      <c r="J39" s="2" t="s">
        <v>459</v>
      </c>
      <c r="K39" s="2" t="s">
        <v>70</v>
      </c>
      <c r="L39" s="2" t="s">
        <v>70</v>
      </c>
      <c r="M39" s="2" t="s">
        <v>460</v>
      </c>
      <c r="N39" s="2" t="s">
        <v>72</v>
      </c>
      <c r="O39" s="2" t="s">
        <v>461</v>
      </c>
      <c r="P39" s="3" t="n">
        <v>10</v>
      </c>
      <c r="Q39" s="3" t="n">
        <v>6275</v>
      </c>
      <c r="R39" s="3" t="n">
        <v>4213</v>
      </c>
      <c r="S39" s="3" t="n">
        <v>4089</v>
      </c>
      <c r="T39" s="3" t="n">
        <v>2062</v>
      </c>
      <c r="U39" s="3" t="n">
        <v>0</v>
      </c>
      <c r="V39" s="3" t="n">
        <v>0</v>
      </c>
      <c r="W39" s="3" t="n">
        <v>0</v>
      </c>
      <c r="X39" s="3" t="n">
        <v>31</v>
      </c>
      <c r="Y39" s="3" t="n">
        <v>26</v>
      </c>
      <c r="Z39" s="3" t="n">
        <v>2</v>
      </c>
      <c r="AA39" s="3" t="n">
        <v>0</v>
      </c>
      <c r="AB39" s="3" t="n">
        <v>1</v>
      </c>
      <c r="AC39" s="3" t="n">
        <v>2</v>
      </c>
      <c r="AD39" s="3" t="n">
        <v>0</v>
      </c>
      <c r="AE39" s="3" t="n">
        <v>17</v>
      </c>
      <c r="AF39" s="3" t="n">
        <v>10</v>
      </c>
      <c r="AG39" s="3" t="n">
        <v>4</v>
      </c>
      <c r="AH39" s="2"/>
      <c r="AI39" s="3"/>
      <c r="AJ39" s="2"/>
      <c r="AK39" s="2" t="n">
        <f aca="false">COUNTIFS(secondary_acts!$A$2:$A$771,$A39,secondary_acts!$E$2:$E$771,"implementing")</f>
        <v>0</v>
      </c>
      <c r="AL39" s="2" t="n">
        <f aca="false">COUNTIFS(secondary_acts!$A$2:$A$771,$A39,secondary_acts!$E$2:$E$771,"delegated")</f>
        <v>0</v>
      </c>
      <c r="AM39" s="2" t="n">
        <f aca="false">COUNTIFS(secondary_acts!$A$2:$A$771,$A39,secondary_acts!$E$2:$E$771,"other Commission/Council act")</f>
        <v>0</v>
      </c>
      <c r="AN39" s="2" t="n">
        <f aca="false">COUNTIFS(secondary_acts!$A$2:$A$771,$A39,secondary_acts!$E$2:$E$771,"guidance")</f>
        <v>1</v>
      </c>
      <c r="AO39" s="2" t="n">
        <f aca="false">COUNTIF(guidance_web!$A$2:$A$7,$A39)</f>
        <v>0</v>
      </c>
      <c r="AP39" s="2" t="n">
        <f aca="false">COUNTIFS(guidance_agencies!$A$2:$A$81,$A39,guidance_agencies!$D$2:$D$81,"EDPB")</f>
        <v>0</v>
      </c>
      <c r="AQ39" s="2" t="n">
        <f aca="false">COUNTIFS(guidance_agencies!$A$2:$A$81,$A39,guidance_agencies!$D$2:$D$81,"EBA")</f>
        <v>0</v>
      </c>
      <c r="AR39" s="2" t="n">
        <f aca="false">COUNTIFS(guidance_agencies!$A$2:$A$81,$A39,guidance_agencies!$D$2:$D$81,"ESMA")</f>
        <v>0</v>
      </c>
      <c r="AS39" s="3" t="n">
        <f aca="false">SUMIFS(secondary_acts!$S$2:$S$771,secondary_acts!$A$2:$A$771,$A39,secondary_acts!$E$2:$E$771,"implementing")+SUMIFS(secondary_acts!$S$2:$S$771,secondary_acts!$A$2:$A$771,$A39,secondary_acts!$E$2:$E$771,"delegated")</f>
        <v>0</v>
      </c>
      <c r="AT39" s="3"/>
      <c r="AU39" s="2"/>
      <c r="AV39" s="2" t="n">
        <v>0</v>
      </c>
      <c r="AW39" s="2"/>
      <c r="AX39" s="2"/>
      <c r="AY39" s="2" t="n">
        <v>0</v>
      </c>
      <c r="AZ39" s="2" t="s">
        <v>462</v>
      </c>
      <c r="BA39" s="2" t="s">
        <v>139</v>
      </c>
      <c r="BB39" s="2" t="n">
        <v>4345</v>
      </c>
      <c r="BC39" s="2" t="n">
        <v>29</v>
      </c>
      <c r="BD39" s="2" t="n">
        <v>0</v>
      </c>
      <c r="BE39" s="2" t="n">
        <f aca="false">IF(ISNUMBER(BB39),Q39-BB39,"")</f>
        <v>1930</v>
      </c>
      <c r="BF39" s="4" t="n">
        <f aca="false">IF(AND(ISNUMBER(BB39),BB39&gt;0),(Q39-BB39)/BB39,"")</f>
        <v>0.444188722669735</v>
      </c>
      <c r="BG39" s="2" t="n">
        <f aca="false">IF(ISNUMBER(BC39),X39-BC39,"")</f>
        <v>2</v>
      </c>
      <c r="BH39" s="4" t="n">
        <f aca="false">IF(AND(ISNUMBER(BC39),BC39&gt;0),(X39-BC39)/BC39,"")</f>
        <v>0.0689655172413793</v>
      </c>
      <c r="BI39" s="2" t="n">
        <f aca="false">IF(ISNUMBER(BD39),AD39-BD39,"")</f>
        <v>0</v>
      </c>
      <c r="BJ39" s="2"/>
    </row>
    <row r="40" customFormat="false" ht="15" hidden="false" customHeight="false" outlineLevel="0" collapsed="false">
      <c r="A40" s="2" t="n">
        <v>39</v>
      </c>
      <c r="B40" s="2" t="s">
        <v>463</v>
      </c>
      <c r="C40" s="2" t="s">
        <v>464</v>
      </c>
      <c r="D40" s="2" t="s">
        <v>186</v>
      </c>
      <c r="E40" s="2" t="s">
        <v>65</v>
      </c>
      <c r="F40" s="2" t="s">
        <v>150</v>
      </c>
      <c r="G40" s="2" t="s">
        <v>143</v>
      </c>
      <c r="H40" s="2" t="s">
        <v>465</v>
      </c>
      <c r="I40" s="2" t="s">
        <v>466</v>
      </c>
      <c r="J40" s="2" t="s">
        <v>467</v>
      </c>
      <c r="K40" s="2" t="s">
        <v>70</v>
      </c>
      <c r="L40" s="2" t="s">
        <v>70</v>
      </c>
      <c r="M40" s="2" t="s">
        <v>468</v>
      </c>
      <c r="N40" s="2" t="s">
        <v>72</v>
      </c>
      <c r="O40" s="2" t="s">
        <v>469</v>
      </c>
      <c r="P40" s="3" t="n">
        <v>14</v>
      </c>
      <c r="Q40" s="3" t="n">
        <v>7814</v>
      </c>
      <c r="R40" s="3" t="n">
        <v>3363</v>
      </c>
      <c r="S40" s="3" t="n">
        <v>3238</v>
      </c>
      <c r="T40" s="3" t="n">
        <v>3948</v>
      </c>
      <c r="U40" s="3" t="n">
        <v>503</v>
      </c>
      <c r="V40" s="3" t="n">
        <v>0</v>
      </c>
      <c r="W40" s="3" t="n">
        <v>0</v>
      </c>
      <c r="X40" s="3" t="n">
        <v>70</v>
      </c>
      <c r="Y40" s="3" t="n">
        <v>67</v>
      </c>
      <c r="Z40" s="3" t="n">
        <v>0</v>
      </c>
      <c r="AA40" s="3" t="n">
        <v>0</v>
      </c>
      <c r="AB40" s="3" t="n">
        <v>0</v>
      </c>
      <c r="AC40" s="3" t="n">
        <v>3</v>
      </c>
      <c r="AD40" s="3" t="n">
        <v>5</v>
      </c>
      <c r="AE40" s="3" t="n">
        <v>24</v>
      </c>
      <c r="AF40" s="3" t="n">
        <v>25</v>
      </c>
      <c r="AG40" s="3" t="n">
        <v>16</v>
      </c>
      <c r="AH40" s="2" t="s">
        <v>470</v>
      </c>
      <c r="AI40" s="3" t="n">
        <v>70</v>
      </c>
      <c r="AJ40" s="2" t="n">
        <v>5</v>
      </c>
      <c r="AK40" s="2" t="n">
        <f aca="false">COUNTIFS(secondary_acts!$A$2:$A$771,$A40,secondary_acts!$E$2:$E$771,"implementing")</f>
        <v>0</v>
      </c>
      <c r="AL40" s="2" t="n">
        <f aca="false">COUNTIFS(secondary_acts!$A$2:$A$771,$A40,secondary_acts!$E$2:$E$771,"delegated")</f>
        <v>2</v>
      </c>
      <c r="AM40" s="2" t="n">
        <f aca="false">COUNTIFS(secondary_acts!$A$2:$A$771,$A40,secondary_acts!$E$2:$E$771,"other Commission/Council act")</f>
        <v>0</v>
      </c>
      <c r="AN40" s="2" t="n">
        <f aca="false">COUNTIFS(secondary_acts!$A$2:$A$771,$A40,secondary_acts!$E$2:$E$771,"guidance")</f>
        <v>1</v>
      </c>
      <c r="AO40" s="2" t="n">
        <f aca="false">COUNTIF(guidance_web!$A$2:$A$7,$A40)</f>
        <v>0</v>
      </c>
      <c r="AP40" s="2" t="n">
        <f aca="false">COUNTIFS(guidance_agencies!$A$2:$A$81,$A40,guidance_agencies!$D$2:$D$81,"EDPB")</f>
        <v>0</v>
      </c>
      <c r="AQ40" s="2" t="n">
        <f aca="false">COUNTIFS(guidance_agencies!$A$2:$A$81,$A40,guidance_agencies!$D$2:$D$81,"EBA")</f>
        <v>0</v>
      </c>
      <c r="AR40" s="2" t="n">
        <f aca="false">COUNTIFS(guidance_agencies!$A$2:$A$81,$A40,guidance_agencies!$D$2:$D$81,"ESMA")</f>
        <v>0</v>
      </c>
      <c r="AS40" s="3" t="n">
        <f aca="false">SUMIFS(secondary_acts!$S$2:$S$771,secondary_acts!$A$2:$A$771,$A40,secondary_acts!$E$2:$E$771,"implementing")+SUMIFS(secondary_acts!$S$2:$S$771,secondary_acts!$A$2:$A$771,$A40,secondary_acts!$E$2:$E$771,"delegated")</f>
        <v>1</v>
      </c>
      <c r="AT40" s="3"/>
      <c r="AU40" s="2"/>
      <c r="AV40" s="2" t="n">
        <v>2</v>
      </c>
      <c r="AW40" s="2" t="s">
        <v>471</v>
      </c>
      <c r="AX40" s="2" t="s">
        <v>472</v>
      </c>
      <c r="AY40" s="2" t="n">
        <v>1</v>
      </c>
      <c r="AZ40" s="2" t="s">
        <v>473</v>
      </c>
      <c r="BA40" s="2" t="s">
        <v>139</v>
      </c>
      <c r="BB40" s="2" t="n">
        <v>4087</v>
      </c>
      <c r="BC40" s="2" t="n">
        <v>31</v>
      </c>
      <c r="BD40" s="2" t="n">
        <v>2</v>
      </c>
      <c r="BE40" s="2" t="n">
        <f aca="false">IF(ISNUMBER(BB40),Q40-BB40,"")</f>
        <v>3727</v>
      </c>
      <c r="BF40" s="4" t="n">
        <f aca="false">IF(AND(ISNUMBER(BB40),BB40&gt;0),(Q40-BB40)/BB40,"")</f>
        <v>0.911915830682652</v>
      </c>
      <c r="BG40" s="2" t="n">
        <f aca="false">IF(ISNUMBER(BC40),X40-BC40,"")</f>
        <v>39</v>
      </c>
      <c r="BH40" s="4" t="n">
        <f aca="false">IF(AND(ISNUMBER(BC40),BC40&gt;0),(X40-BC40)/BC40,"")</f>
        <v>1.25806451612903</v>
      </c>
      <c r="BI40" s="2" t="n">
        <f aca="false">IF(ISNUMBER(BD40),AD40-BD40,"")</f>
        <v>3</v>
      </c>
      <c r="BJ40" s="2"/>
    </row>
    <row r="41" customFormat="false" ht="15" hidden="false" customHeight="false" outlineLevel="0" collapsed="false">
      <c r="A41" s="2" t="n">
        <v>40</v>
      </c>
      <c r="B41" s="2" t="s">
        <v>474</v>
      </c>
      <c r="C41" s="2" t="s">
        <v>475</v>
      </c>
      <c r="D41" s="2" t="s">
        <v>298</v>
      </c>
      <c r="E41" s="2" t="s">
        <v>65</v>
      </c>
      <c r="F41" s="2" t="s">
        <v>150</v>
      </c>
      <c r="G41" s="2" t="s">
        <v>143</v>
      </c>
      <c r="H41" s="2" t="s">
        <v>102</v>
      </c>
      <c r="I41" s="2" t="s">
        <v>476</v>
      </c>
      <c r="J41" s="2" t="s">
        <v>477</v>
      </c>
      <c r="K41" s="2" t="s">
        <v>70</v>
      </c>
      <c r="L41" s="2" t="s">
        <v>70</v>
      </c>
      <c r="M41" s="2" t="s">
        <v>478</v>
      </c>
      <c r="N41" s="2" t="s">
        <v>72</v>
      </c>
      <c r="O41" s="2" t="s">
        <v>479</v>
      </c>
      <c r="P41" s="3" t="n">
        <v>12</v>
      </c>
      <c r="Q41" s="3" t="n">
        <v>6609</v>
      </c>
      <c r="R41" s="3" t="n">
        <v>3611</v>
      </c>
      <c r="S41" s="3" t="n">
        <v>3493</v>
      </c>
      <c r="T41" s="3" t="n">
        <v>2998</v>
      </c>
      <c r="U41" s="3" t="n">
        <v>0</v>
      </c>
      <c r="V41" s="3" t="n">
        <v>0</v>
      </c>
      <c r="W41" s="3" t="n">
        <v>0</v>
      </c>
      <c r="X41" s="3" t="n">
        <v>52</v>
      </c>
      <c r="Y41" s="3" t="n">
        <v>46</v>
      </c>
      <c r="Z41" s="3" t="n">
        <v>1</v>
      </c>
      <c r="AA41" s="3" t="n">
        <v>0</v>
      </c>
      <c r="AB41" s="3" t="n">
        <v>0</v>
      </c>
      <c r="AC41" s="3" t="n">
        <v>5</v>
      </c>
      <c r="AD41" s="3" t="n">
        <v>1</v>
      </c>
      <c r="AE41" s="3" t="n">
        <v>42</v>
      </c>
      <c r="AF41" s="3" t="n">
        <v>7</v>
      </c>
      <c r="AG41" s="3" t="n">
        <v>2</v>
      </c>
      <c r="AH41" s="2"/>
      <c r="AI41" s="3"/>
      <c r="AJ41" s="2"/>
      <c r="AK41" s="2" t="n">
        <f aca="false">COUNTIFS(secondary_acts!$A$2:$A$771,$A41,secondary_acts!$E$2:$E$771,"implementing")</f>
        <v>0</v>
      </c>
      <c r="AL41" s="2" t="n">
        <f aca="false">COUNTIFS(secondary_acts!$A$2:$A$771,$A41,secondary_acts!$E$2:$E$771,"delegated")</f>
        <v>0</v>
      </c>
      <c r="AM41" s="2" t="n">
        <f aca="false">COUNTIFS(secondary_acts!$A$2:$A$771,$A41,secondary_acts!$E$2:$E$771,"other Commission/Council act")</f>
        <v>0</v>
      </c>
      <c r="AN41" s="2" t="n">
        <f aca="false">COUNTIFS(secondary_acts!$A$2:$A$771,$A41,secondary_acts!$E$2:$E$771,"guidance")</f>
        <v>0</v>
      </c>
      <c r="AO41" s="2" t="n">
        <f aca="false">COUNTIF(guidance_web!$A$2:$A$7,$A41)</f>
        <v>0</v>
      </c>
      <c r="AP41" s="2" t="n">
        <f aca="false">COUNTIFS(guidance_agencies!$A$2:$A$81,$A41,guidance_agencies!$D$2:$D$81,"EDPB")</f>
        <v>0</v>
      </c>
      <c r="AQ41" s="2" t="n">
        <f aca="false">COUNTIFS(guidance_agencies!$A$2:$A$81,$A41,guidance_agencies!$D$2:$D$81,"EBA")</f>
        <v>0</v>
      </c>
      <c r="AR41" s="2" t="n">
        <f aca="false">COUNTIFS(guidance_agencies!$A$2:$A$81,$A41,guidance_agencies!$D$2:$D$81,"ESMA")</f>
        <v>0</v>
      </c>
      <c r="AS41" s="3" t="n">
        <f aca="false">SUMIFS(secondary_acts!$S$2:$S$771,secondary_acts!$A$2:$A$771,$A41,secondary_acts!$E$2:$E$771,"implementing")+SUMIFS(secondary_acts!$S$2:$S$771,secondary_acts!$A$2:$A$771,$A41,secondary_acts!$E$2:$E$771,"delegated")</f>
        <v>0</v>
      </c>
      <c r="AT41" s="3" t="n">
        <v>2301</v>
      </c>
      <c r="AU41" s="2" t="n">
        <v>25</v>
      </c>
      <c r="AV41" s="2" t="n">
        <v>0</v>
      </c>
      <c r="AW41" s="2"/>
      <c r="AX41" s="2"/>
      <c r="AY41" s="2" t="n">
        <v>0</v>
      </c>
      <c r="AZ41" s="2" t="s">
        <v>480</v>
      </c>
      <c r="BA41" s="2" t="s">
        <v>139</v>
      </c>
      <c r="BB41" s="2" t="n">
        <v>5501</v>
      </c>
      <c r="BC41" s="2" t="n">
        <v>45</v>
      </c>
      <c r="BD41" s="2" t="n">
        <v>2</v>
      </c>
      <c r="BE41" s="2" t="n">
        <f aca="false">IF(ISNUMBER(BB41),Q41-BB41,"")</f>
        <v>1108</v>
      </c>
      <c r="BF41" s="4" t="n">
        <f aca="false">IF(AND(ISNUMBER(BB41),BB41&gt;0),(Q41-BB41)/BB41,"")</f>
        <v>0.201417924013816</v>
      </c>
      <c r="BG41" s="2" t="n">
        <f aca="false">IF(ISNUMBER(BC41),X41-BC41,"")</f>
        <v>7</v>
      </c>
      <c r="BH41" s="4" t="n">
        <f aca="false">IF(AND(ISNUMBER(BC41),BC41&gt;0),(X41-BC41)/BC41,"")</f>
        <v>0.155555555555556</v>
      </c>
      <c r="BI41" s="2" t="n">
        <f aca="false">IF(ISNUMBER(BD41),AD41-BD41,"")</f>
        <v>-1</v>
      </c>
      <c r="BJ41" s="2"/>
    </row>
    <row r="42" customFormat="false" ht="15" hidden="false" customHeight="false" outlineLevel="0" collapsed="false">
      <c r="A42" s="2" t="n">
        <v>41</v>
      </c>
      <c r="B42" s="2" t="s">
        <v>481</v>
      </c>
      <c r="C42" s="2" t="s">
        <v>482</v>
      </c>
      <c r="D42" s="2" t="s">
        <v>186</v>
      </c>
      <c r="E42" s="2" t="s">
        <v>65</v>
      </c>
      <c r="F42" s="2" t="s">
        <v>483</v>
      </c>
      <c r="G42" s="2" t="s">
        <v>143</v>
      </c>
      <c r="H42" s="2" t="s">
        <v>383</v>
      </c>
      <c r="I42" s="2" t="s">
        <v>484</v>
      </c>
      <c r="J42" s="2" t="s">
        <v>485</v>
      </c>
      <c r="K42" s="2" t="s">
        <v>70</v>
      </c>
      <c r="L42" s="2" t="s">
        <v>70</v>
      </c>
      <c r="M42" s="2" t="s">
        <v>486</v>
      </c>
      <c r="N42" s="2" t="s">
        <v>72</v>
      </c>
      <c r="O42" s="2" t="s">
        <v>487</v>
      </c>
      <c r="P42" s="3" t="n">
        <v>44</v>
      </c>
      <c r="Q42" s="3" t="n">
        <v>24088</v>
      </c>
      <c r="R42" s="3" t="n">
        <v>6826</v>
      </c>
      <c r="S42" s="3" t="n">
        <v>6697</v>
      </c>
      <c r="T42" s="3" t="n">
        <v>12819</v>
      </c>
      <c r="U42" s="3" t="n">
        <v>4443</v>
      </c>
      <c r="V42" s="3" t="n">
        <v>0</v>
      </c>
      <c r="W42" s="3" t="n">
        <v>0</v>
      </c>
      <c r="X42" s="3" t="n">
        <v>198</v>
      </c>
      <c r="Y42" s="3" t="n">
        <v>179</v>
      </c>
      <c r="Z42" s="3" t="n">
        <v>6</v>
      </c>
      <c r="AA42" s="3" t="n">
        <v>3</v>
      </c>
      <c r="AB42" s="3" t="n">
        <v>3</v>
      </c>
      <c r="AC42" s="3" t="n">
        <v>7</v>
      </c>
      <c r="AD42" s="3" t="n">
        <v>15</v>
      </c>
      <c r="AE42" s="3" t="n">
        <v>81</v>
      </c>
      <c r="AF42" s="3" t="n">
        <v>45</v>
      </c>
      <c r="AG42" s="3" t="n">
        <v>57</v>
      </c>
      <c r="AH42" s="2" t="s">
        <v>488</v>
      </c>
      <c r="AI42" s="3" t="n">
        <v>198</v>
      </c>
      <c r="AJ42" s="2" t="n">
        <v>15</v>
      </c>
      <c r="AK42" s="2" t="n">
        <f aca="false">COUNTIFS(secondary_acts!$A$2:$A$771,$A42,secondary_acts!$E$2:$E$771,"implementing")</f>
        <v>10</v>
      </c>
      <c r="AL42" s="2" t="n">
        <f aca="false">COUNTIFS(secondary_acts!$A$2:$A$771,$A42,secondary_acts!$E$2:$E$771,"delegated")</f>
        <v>0</v>
      </c>
      <c r="AM42" s="2" t="n">
        <f aca="false">COUNTIFS(secondary_acts!$A$2:$A$771,$A42,secondary_acts!$E$2:$E$771,"other Commission/Council act")</f>
        <v>0</v>
      </c>
      <c r="AN42" s="2" t="n">
        <f aca="false">COUNTIFS(secondary_acts!$A$2:$A$771,$A42,secondary_acts!$E$2:$E$771,"guidance")</f>
        <v>1</v>
      </c>
      <c r="AO42" s="2" t="n">
        <f aca="false">COUNTIF(guidance_web!$A$2:$A$7,$A42)</f>
        <v>0</v>
      </c>
      <c r="AP42" s="2" t="n">
        <f aca="false">COUNTIFS(guidance_agencies!$A$2:$A$81,$A42,guidance_agencies!$D$2:$D$81,"EDPB")</f>
        <v>0</v>
      </c>
      <c r="AQ42" s="2" t="n">
        <f aca="false">COUNTIFS(guidance_agencies!$A$2:$A$81,$A42,guidance_agencies!$D$2:$D$81,"EBA")</f>
        <v>0</v>
      </c>
      <c r="AR42" s="2" t="n">
        <f aca="false">COUNTIFS(guidance_agencies!$A$2:$A$81,$A42,guidance_agencies!$D$2:$D$81,"ESMA")</f>
        <v>0</v>
      </c>
      <c r="AS42" s="3" t="n">
        <f aca="false">SUMIFS(secondary_acts!$S$2:$S$771,secondary_acts!$A$2:$A$771,$A42,secondary_acts!$E$2:$E$771,"implementing")+SUMIFS(secondary_acts!$S$2:$S$771,secondary_acts!$A$2:$A$771,$A42,secondary_acts!$E$2:$E$771,"delegated")</f>
        <v>117</v>
      </c>
      <c r="AT42" s="3"/>
      <c r="AU42" s="2"/>
      <c r="AV42" s="2" t="n">
        <v>6</v>
      </c>
      <c r="AW42" s="2" t="s">
        <v>489</v>
      </c>
      <c r="AX42" s="2" t="s">
        <v>490</v>
      </c>
      <c r="AY42" s="2" t="n">
        <v>12</v>
      </c>
      <c r="AZ42" s="2" t="s">
        <v>491</v>
      </c>
      <c r="BA42" s="2" t="s">
        <v>139</v>
      </c>
      <c r="BB42" s="2" t="n">
        <v>19992</v>
      </c>
      <c r="BC42" s="2" t="n">
        <v>188</v>
      </c>
      <c r="BD42" s="2" t="n">
        <v>11</v>
      </c>
      <c r="BE42" s="2" t="n">
        <f aca="false">IF(ISNUMBER(BB42),Q42-BB42,"")</f>
        <v>4096</v>
      </c>
      <c r="BF42" s="4" t="n">
        <f aca="false">IF(AND(ISNUMBER(BB42),BB42&gt;0),(Q42-BB42)/BB42,"")</f>
        <v>0.204881952781112</v>
      </c>
      <c r="BG42" s="2" t="n">
        <f aca="false">IF(ISNUMBER(BC42),X42-BC42,"")</f>
        <v>10</v>
      </c>
      <c r="BH42" s="4" t="n">
        <f aca="false">IF(AND(ISNUMBER(BC42),BC42&gt;0),(X42-BC42)/BC42,"")</f>
        <v>0.0531914893617021</v>
      </c>
      <c r="BI42" s="2" t="n">
        <f aca="false">IF(ISNUMBER(BD42),AD42-BD42,"")</f>
        <v>4</v>
      </c>
      <c r="BJ42" s="2"/>
    </row>
    <row r="43" customFormat="false" ht="15" hidden="false" customHeight="false" outlineLevel="0" collapsed="false">
      <c r="A43" s="2" t="n">
        <v>42</v>
      </c>
      <c r="B43" s="2" t="s">
        <v>492</v>
      </c>
      <c r="C43" s="2" t="s">
        <v>493</v>
      </c>
      <c r="D43" s="2" t="s">
        <v>298</v>
      </c>
      <c r="E43" s="2" t="s">
        <v>65</v>
      </c>
      <c r="F43" s="2" t="s">
        <v>494</v>
      </c>
      <c r="G43" s="2" t="s">
        <v>143</v>
      </c>
      <c r="H43" s="2" t="s">
        <v>489</v>
      </c>
      <c r="I43" s="2" t="s">
        <v>495</v>
      </c>
      <c r="J43" s="2" t="s">
        <v>496</v>
      </c>
      <c r="K43" s="2" t="s">
        <v>70</v>
      </c>
      <c r="L43" s="2" t="s">
        <v>70</v>
      </c>
      <c r="M43" s="2" t="s">
        <v>497</v>
      </c>
      <c r="N43" s="2" t="s">
        <v>72</v>
      </c>
      <c r="O43" s="2" t="s">
        <v>498</v>
      </c>
      <c r="P43" s="3" t="n">
        <v>63</v>
      </c>
      <c r="Q43" s="3" t="n">
        <v>31180</v>
      </c>
      <c r="R43" s="3" t="n">
        <v>12820</v>
      </c>
      <c r="S43" s="3" t="n">
        <v>12696</v>
      </c>
      <c r="T43" s="3" t="n">
        <v>11844</v>
      </c>
      <c r="U43" s="3" t="n">
        <v>6516</v>
      </c>
      <c r="V43" s="3" t="n">
        <v>0</v>
      </c>
      <c r="W43" s="3" t="n">
        <v>0</v>
      </c>
      <c r="X43" s="3" t="n">
        <v>208</v>
      </c>
      <c r="Y43" s="3" t="n">
        <v>178</v>
      </c>
      <c r="Z43" s="3" t="n">
        <v>7</v>
      </c>
      <c r="AA43" s="3" t="n">
        <v>12</v>
      </c>
      <c r="AB43" s="3" t="n">
        <v>3</v>
      </c>
      <c r="AC43" s="3" t="n">
        <v>8</v>
      </c>
      <c r="AD43" s="3" t="n">
        <v>13</v>
      </c>
      <c r="AE43" s="3" t="n">
        <v>90</v>
      </c>
      <c r="AF43" s="3" t="n">
        <v>24</v>
      </c>
      <c r="AG43" s="3" t="n">
        <v>81</v>
      </c>
      <c r="AH43" s="2" t="s">
        <v>499</v>
      </c>
      <c r="AI43" s="3" t="n">
        <v>208</v>
      </c>
      <c r="AJ43" s="2" t="n">
        <v>14</v>
      </c>
      <c r="AK43" s="2" t="n">
        <f aca="false">COUNTIFS(secondary_acts!$A$2:$A$771,$A43,secondary_acts!$E$2:$E$771,"implementing")</f>
        <v>1</v>
      </c>
      <c r="AL43" s="2" t="n">
        <f aca="false">COUNTIFS(secondary_acts!$A$2:$A$771,$A43,secondary_acts!$E$2:$E$771,"delegated")</f>
        <v>0</v>
      </c>
      <c r="AM43" s="2" t="n">
        <f aca="false">COUNTIFS(secondary_acts!$A$2:$A$771,$A43,secondary_acts!$E$2:$E$771,"other Commission/Council act")</f>
        <v>0</v>
      </c>
      <c r="AN43" s="2" t="n">
        <f aca="false">COUNTIFS(secondary_acts!$A$2:$A$771,$A43,secondary_acts!$E$2:$E$771,"guidance")</f>
        <v>0</v>
      </c>
      <c r="AO43" s="2" t="n">
        <f aca="false">COUNTIF(guidance_web!$A$2:$A$7,$A43)</f>
        <v>0</v>
      </c>
      <c r="AP43" s="2" t="n">
        <f aca="false">COUNTIFS(guidance_agencies!$A$2:$A$81,$A43,guidance_agencies!$D$2:$D$81,"EDPB")</f>
        <v>0</v>
      </c>
      <c r="AQ43" s="2" t="n">
        <f aca="false">COUNTIFS(guidance_agencies!$A$2:$A$81,$A43,guidance_agencies!$D$2:$D$81,"EBA")</f>
        <v>0</v>
      </c>
      <c r="AR43" s="2" t="n">
        <f aca="false">COUNTIFS(guidance_agencies!$A$2:$A$81,$A43,guidance_agencies!$D$2:$D$81,"ESMA")</f>
        <v>0</v>
      </c>
      <c r="AS43" s="3" t="n">
        <f aca="false">SUMIFS(secondary_acts!$S$2:$S$771,secondary_acts!$A$2:$A$771,$A43,secondary_acts!$E$2:$E$771,"implementing")+SUMIFS(secondary_acts!$S$2:$S$771,secondary_acts!$A$2:$A$771,$A43,secondary_acts!$E$2:$E$771,"delegated")</f>
        <v>59</v>
      </c>
      <c r="AT43" s="3"/>
      <c r="AU43" s="2"/>
      <c r="AV43" s="2" t="n">
        <v>0</v>
      </c>
      <c r="AW43" s="2"/>
      <c r="AX43" s="2"/>
      <c r="AY43" s="2" t="n">
        <v>2</v>
      </c>
      <c r="AZ43" s="2" t="s">
        <v>500</v>
      </c>
      <c r="BA43" s="2" t="s">
        <v>139</v>
      </c>
      <c r="BB43" s="2" t="n">
        <v>16549</v>
      </c>
      <c r="BC43" s="2" t="n">
        <v>137</v>
      </c>
      <c r="BD43" s="2" t="n">
        <v>4</v>
      </c>
      <c r="BE43" s="2" t="n">
        <f aca="false">IF(ISNUMBER(BB43),Q43-BB43,"")</f>
        <v>14631</v>
      </c>
      <c r="BF43" s="4" t="n">
        <f aca="false">IF(AND(ISNUMBER(BB43),BB43&gt;0),(Q43-BB43)/BB43,"")</f>
        <v>0.884101758414406</v>
      </c>
      <c r="BG43" s="2" t="n">
        <f aca="false">IF(ISNUMBER(BC43),X43-BC43,"")</f>
        <v>71</v>
      </c>
      <c r="BH43" s="4" t="n">
        <f aca="false">IF(AND(ISNUMBER(BC43),BC43&gt;0),(X43-BC43)/BC43,"")</f>
        <v>0.518248175182482</v>
      </c>
      <c r="BI43" s="2" t="n">
        <f aca="false">IF(ISNUMBER(BD43),AD43-BD43,"")</f>
        <v>9</v>
      </c>
      <c r="BJ43" s="2"/>
    </row>
    <row r="44" customFormat="false" ht="15" hidden="false" customHeight="false" outlineLevel="0" collapsed="false">
      <c r="A44" s="2" t="n">
        <v>43</v>
      </c>
      <c r="B44" s="2" t="s">
        <v>501</v>
      </c>
      <c r="C44" s="2" t="s">
        <v>502</v>
      </c>
      <c r="D44" s="2" t="s">
        <v>164</v>
      </c>
      <c r="E44" s="2" t="s">
        <v>65</v>
      </c>
      <c r="F44" s="2" t="s">
        <v>503</v>
      </c>
      <c r="G44" s="2" t="s">
        <v>143</v>
      </c>
      <c r="H44" s="2" t="s">
        <v>383</v>
      </c>
      <c r="I44" s="2" t="s">
        <v>504</v>
      </c>
      <c r="J44" s="2" t="s">
        <v>505</v>
      </c>
      <c r="K44" s="2" t="s">
        <v>70</v>
      </c>
      <c r="L44" s="2" t="s">
        <v>70</v>
      </c>
      <c r="M44" s="2" t="s">
        <v>506</v>
      </c>
      <c r="N44" s="2" t="s">
        <v>72</v>
      </c>
      <c r="O44" s="2" t="s">
        <v>507</v>
      </c>
      <c r="P44" s="3" t="n">
        <v>28</v>
      </c>
      <c r="Q44" s="3" t="n">
        <v>14648</v>
      </c>
      <c r="R44" s="3" t="n">
        <v>8645</v>
      </c>
      <c r="S44" s="3" t="n">
        <v>8528</v>
      </c>
      <c r="T44" s="3" t="n">
        <v>5395</v>
      </c>
      <c r="U44" s="3" t="n">
        <v>608</v>
      </c>
      <c r="V44" s="3" t="n">
        <v>0</v>
      </c>
      <c r="W44" s="3" t="n">
        <v>0</v>
      </c>
      <c r="X44" s="3" t="n">
        <v>98</v>
      </c>
      <c r="Y44" s="3" t="n">
        <v>79</v>
      </c>
      <c r="Z44" s="3" t="n">
        <v>11</v>
      </c>
      <c r="AA44" s="3" t="n">
        <v>0</v>
      </c>
      <c r="AB44" s="3" t="n">
        <v>4</v>
      </c>
      <c r="AC44" s="3" t="n">
        <v>4</v>
      </c>
      <c r="AD44" s="3" t="n">
        <v>8</v>
      </c>
      <c r="AE44" s="3" t="n">
        <v>39</v>
      </c>
      <c r="AF44" s="3" t="n">
        <v>11</v>
      </c>
      <c r="AG44" s="3" t="n">
        <v>40</v>
      </c>
      <c r="AH44" s="2"/>
      <c r="AI44" s="3"/>
      <c r="AJ44" s="2"/>
      <c r="AK44" s="2" t="n">
        <f aca="false">COUNTIFS(secondary_acts!$A$2:$A$771,$A44,secondary_acts!$E$2:$E$771,"implementing")</f>
        <v>1</v>
      </c>
      <c r="AL44" s="2" t="n">
        <f aca="false">COUNTIFS(secondary_acts!$A$2:$A$771,$A44,secondary_acts!$E$2:$E$771,"delegated")</f>
        <v>0</v>
      </c>
      <c r="AM44" s="2" t="n">
        <f aca="false">COUNTIFS(secondary_acts!$A$2:$A$771,$A44,secondary_acts!$E$2:$E$771,"other Commission/Council act")</f>
        <v>0</v>
      </c>
      <c r="AN44" s="2" t="n">
        <f aca="false">COUNTIFS(secondary_acts!$A$2:$A$771,$A44,secondary_acts!$E$2:$E$771,"guidance")</f>
        <v>0</v>
      </c>
      <c r="AO44" s="2" t="n">
        <f aca="false">COUNTIF(guidance_web!$A$2:$A$7,$A44)</f>
        <v>0</v>
      </c>
      <c r="AP44" s="2" t="n">
        <f aca="false">COUNTIFS(guidance_agencies!$A$2:$A$81,$A44,guidance_agencies!$D$2:$D$81,"EDPB")</f>
        <v>0</v>
      </c>
      <c r="AQ44" s="2" t="n">
        <f aca="false">COUNTIFS(guidance_agencies!$A$2:$A$81,$A44,guidance_agencies!$D$2:$D$81,"EBA")</f>
        <v>0</v>
      </c>
      <c r="AR44" s="2" t="n">
        <f aca="false">COUNTIFS(guidance_agencies!$A$2:$A$81,$A44,guidance_agencies!$D$2:$D$81,"ESMA")</f>
        <v>0</v>
      </c>
      <c r="AS44" s="3" t="n">
        <f aca="false">SUMIFS(secondary_acts!$S$2:$S$771,secondary_acts!$A$2:$A$771,$A44,secondary_acts!$E$2:$E$771,"implementing")+SUMIFS(secondary_acts!$S$2:$S$771,secondary_acts!$A$2:$A$771,$A44,secondary_acts!$E$2:$E$771,"delegated")</f>
        <v>59</v>
      </c>
      <c r="AT44" s="3" t="n">
        <v>1064</v>
      </c>
      <c r="AU44" s="2" t="n">
        <v>27</v>
      </c>
      <c r="AV44" s="2" t="n">
        <v>0</v>
      </c>
      <c r="AW44" s="2"/>
      <c r="AX44" s="2"/>
      <c r="AY44" s="2" t="n">
        <v>0</v>
      </c>
      <c r="AZ44" s="2" t="s">
        <v>508</v>
      </c>
      <c r="BA44" s="2" t="s">
        <v>139</v>
      </c>
      <c r="BB44" s="2" t="n">
        <v>13415</v>
      </c>
      <c r="BC44" s="2" t="n">
        <v>93</v>
      </c>
      <c r="BD44" s="2" t="n">
        <v>7</v>
      </c>
      <c r="BE44" s="2" t="n">
        <f aca="false">IF(ISNUMBER(BB44),Q44-BB44,"")</f>
        <v>1233</v>
      </c>
      <c r="BF44" s="4" t="n">
        <f aca="false">IF(AND(ISNUMBER(BB44),BB44&gt;0),(Q44-BB44)/BB44,"")</f>
        <v>0.0919120387625792</v>
      </c>
      <c r="BG44" s="2" t="n">
        <f aca="false">IF(ISNUMBER(BC44),X44-BC44,"")</f>
        <v>5</v>
      </c>
      <c r="BH44" s="4" t="n">
        <f aca="false">IF(AND(ISNUMBER(BC44),BC44&gt;0),(X44-BC44)/BC44,"")</f>
        <v>0.0537634408602151</v>
      </c>
      <c r="BI44" s="2" t="n">
        <f aca="false">IF(ISNUMBER(BD44),AD44-BD44,"")</f>
        <v>1</v>
      </c>
      <c r="BJ44" s="2"/>
    </row>
    <row r="45" customFormat="false" ht="15" hidden="false" customHeight="false" outlineLevel="0" collapsed="false">
      <c r="A45" s="2" t="n">
        <v>44</v>
      </c>
      <c r="B45" s="2" t="s">
        <v>509</v>
      </c>
      <c r="C45" s="2" t="s">
        <v>510</v>
      </c>
      <c r="D45" s="2" t="s">
        <v>186</v>
      </c>
      <c r="E45" s="2" t="s">
        <v>65</v>
      </c>
      <c r="F45" s="2" t="s">
        <v>511</v>
      </c>
      <c r="G45" s="2" t="s">
        <v>143</v>
      </c>
      <c r="H45" s="2" t="s">
        <v>383</v>
      </c>
      <c r="I45" s="2" t="s">
        <v>512</v>
      </c>
      <c r="J45" s="2" t="s">
        <v>513</v>
      </c>
      <c r="K45" s="2" t="s">
        <v>70</v>
      </c>
      <c r="L45" s="2" t="s">
        <v>70</v>
      </c>
      <c r="M45" s="2" t="s">
        <v>514</v>
      </c>
      <c r="N45" s="2" t="s">
        <v>72</v>
      </c>
      <c r="O45" s="2" t="s">
        <v>515</v>
      </c>
      <c r="P45" s="3" t="n">
        <v>23</v>
      </c>
      <c r="Q45" s="3" t="n">
        <v>14939</v>
      </c>
      <c r="R45" s="3" t="n">
        <v>8985</v>
      </c>
      <c r="S45" s="3" t="n">
        <v>8863</v>
      </c>
      <c r="T45" s="3" t="n">
        <v>5954</v>
      </c>
      <c r="U45" s="3" t="n">
        <v>0</v>
      </c>
      <c r="V45" s="3" t="n">
        <v>0</v>
      </c>
      <c r="W45" s="3" t="n">
        <v>0</v>
      </c>
      <c r="X45" s="3" t="n">
        <v>78</v>
      </c>
      <c r="Y45" s="3" t="n">
        <v>70</v>
      </c>
      <c r="Z45" s="3" t="n">
        <v>1</v>
      </c>
      <c r="AA45" s="3" t="n">
        <v>1</v>
      </c>
      <c r="AB45" s="3" t="n">
        <v>1</v>
      </c>
      <c r="AC45" s="3" t="n">
        <v>5</v>
      </c>
      <c r="AD45" s="3" t="n">
        <v>40</v>
      </c>
      <c r="AE45" s="3" t="n">
        <v>8</v>
      </c>
      <c r="AF45" s="3" t="n">
        <v>13</v>
      </c>
      <c r="AG45" s="3" t="n">
        <v>17</v>
      </c>
      <c r="AH45" s="2" t="s">
        <v>516</v>
      </c>
      <c r="AI45" s="3" t="n">
        <v>78</v>
      </c>
      <c r="AJ45" s="2" t="n">
        <v>40</v>
      </c>
      <c r="AK45" s="2" t="n">
        <f aca="false">COUNTIFS(secondary_acts!$A$2:$A$771,$A45,secondary_acts!$E$2:$E$771,"implementing")</f>
        <v>0</v>
      </c>
      <c r="AL45" s="2" t="n">
        <f aca="false">COUNTIFS(secondary_acts!$A$2:$A$771,$A45,secondary_acts!$E$2:$E$771,"delegated")</f>
        <v>0</v>
      </c>
      <c r="AM45" s="2" t="n">
        <f aca="false">COUNTIFS(secondary_acts!$A$2:$A$771,$A45,secondary_acts!$E$2:$E$771,"other Commission/Council act")</f>
        <v>0</v>
      </c>
      <c r="AN45" s="2" t="n">
        <f aca="false">COUNTIFS(secondary_acts!$A$2:$A$771,$A45,secondary_acts!$E$2:$E$771,"guidance")</f>
        <v>1</v>
      </c>
      <c r="AO45" s="2" t="n">
        <f aca="false">COUNTIF(guidance_web!$A$2:$A$7,$A45)</f>
        <v>0</v>
      </c>
      <c r="AP45" s="2" t="n">
        <f aca="false">COUNTIFS(guidance_agencies!$A$2:$A$81,$A45,guidance_agencies!$D$2:$D$81,"EDPB")</f>
        <v>0</v>
      </c>
      <c r="AQ45" s="2" t="n">
        <f aca="false">COUNTIFS(guidance_agencies!$A$2:$A$81,$A45,guidance_agencies!$D$2:$D$81,"EBA")</f>
        <v>0</v>
      </c>
      <c r="AR45" s="2" t="n">
        <f aca="false">COUNTIFS(guidance_agencies!$A$2:$A$81,$A45,guidance_agencies!$D$2:$D$81,"ESMA")</f>
        <v>0</v>
      </c>
      <c r="AS45" s="3" t="n">
        <f aca="false">SUMIFS(secondary_acts!$S$2:$S$771,secondary_acts!$A$2:$A$771,$A45,secondary_acts!$E$2:$E$771,"implementing")+SUMIFS(secondary_acts!$S$2:$S$771,secondary_acts!$A$2:$A$771,$A45,secondary_acts!$E$2:$E$771,"delegated")</f>
        <v>0</v>
      </c>
      <c r="AT45" s="3"/>
      <c r="AU45" s="2"/>
      <c r="AV45" s="2" t="n">
        <v>0</v>
      </c>
      <c r="AW45" s="2"/>
      <c r="AX45" s="2"/>
      <c r="AY45" s="2" t="n">
        <v>2</v>
      </c>
      <c r="AZ45" s="2" t="s">
        <v>517</v>
      </c>
      <c r="BA45" s="2" t="s">
        <v>139</v>
      </c>
      <c r="BB45" s="2" t="n">
        <v>7530</v>
      </c>
      <c r="BC45" s="2" t="n">
        <v>42</v>
      </c>
      <c r="BD45" s="2" t="n">
        <v>23</v>
      </c>
      <c r="BE45" s="2" t="n">
        <f aca="false">IF(ISNUMBER(BB45),Q45-BB45,"")</f>
        <v>7409</v>
      </c>
      <c r="BF45" s="4" t="n">
        <f aca="false">IF(AND(ISNUMBER(BB45),BB45&gt;0),(Q45-BB45)/BB45,"")</f>
        <v>0.983930942895086</v>
      </c>
      <c r="BG45" s="2" t="n">
        <f aca="false">IF(ISNUMBER(BC45),X45-BC45,"")</f>
        <v>36</v>
      </c>
      <c r="BH45" s="4" t="n">
        <f aca="false">IF(AND(ISNUMBER(BC45),BC45&gt;0),(X45-BC45)/BC45,"")</f>
        <v>0.857142857142857</v>
      </c>
      <c r="BI45" s="2" t="n">
        <f aca="false">IF(ISNUMBER(BD45),AD45-BD45,"")</f>
        <v>17</v>
      </c>
      <c r="BJ45" s="2" t="s">
        <v>104</v>
      </c>
    </row>
    <row r="46" customFormat="false" ht="15" hidden="false" customHeight="false" outlineLevel="0" collapsed="false">
      <c r="A46" s="2" t="n">
        <v>45</v>
      </c>
      <c r="B46" s="2" t="s">
        <v>518</v>
      </c>
      <c r="C46" s="2" t="s">
        <v>519</v>
      </c>
      <c r="D46" s="2" t="s">
        <v>520</v>
      </c>
      <c r="E46" s="2" t="s">
        <v>65</v>
      </c>
      <c r="F46" s="2" t="s">
        <v>521</v>
      </c>
      <c r="G46" s="2" t="s">
        <v>143</v>
      </c>
      <c r="H46" s="2" t="s">
        <v>522</v>
      </c>
      <c r="I46" s="2" t="s">
        <v>523</v>
      </c>
      <c r="J46" s="2" t="s">
        <v>524</v>
      </c>
      <c r="K46" s="2" t="s">
        <v>70</v>
      </c>
      <c r="L46" s="2" t="s">
        <v>70</v>
      </c>
      <c r="M46" s="2" t="s">
        <v>525</v>
      </c>
      <c r="N46" s="2" t="s">
        <v>72</v>
      </c>
      <c r="O46" s="2" t="s">
        <v>526</v>
      </c>
      <c r="P46" s="3" t="n">
        <v>34</v>
      </c>
      <c r="Q46" s="3" t="n">
        <v>17444</v>
      </c>
      <c r="R46" s="3" t="n">
        <v>6687</v>
      </c>
      <c r="S46" s="3" t="n">
        <v>6557</v>
      </c>
      <c r="T46" s="3" t="n">
        <v>7371</v>
      </c>
      <c r="U46" s="3" t="n">
        <v>3386</v>
      </c>
      <c r="V46" s="3" t="n">
        <v>0</v>
      </c>
      <c r="W46" s="3" t="n">
        <v>0</v>
      </c>
      <c r="X46" s="3" t="n">
        <v>132</v>
      </c>
      <c r="Y46" s="3" t="n">
        <v>115</v>
      </c>
      <c r="Z46" s="3" t="n">
        <v>3</v>
      </c>
      <c r="AA46" s="3" t="n">
        <v>1</v>
      </c>
      <c r="AB46" s="3" t="n">
        <v>1</v>
      </c>
      <c r="AC46" s="3" t="n">
        <v>12</v>
      </c>
      <c r="AD46" s="3" t="n">
        <v>8</v>
      </c>
      <c r="AE46" s="3" t="n">
        <v>2</v>
      </c>
      <c r="AF46" s="3" t="n">
        <v>45</v>
      </c>
      <c r="AG46" s="3" t="n">
        <v>77</v>
      </c>
      <c r="AH46" s="2" t="s">
        <v>527</v>
      </c>
      <c r="AI46" s="3" t="n">
        <v>143</v>
      </c>
      <c r="AJ46" s="2" t="n">
        <v>8</v>
      </c>
      <c r="AK46" s="2" t="n">
        <f aca="false">COUNTIFS(secondary_acts!$A$2:$A$771,$A46,secondary_acts!$E$2:$E$771,"implementing")</f>
        <v>1</v>
      </c>
      <c r="AL46" s="2" t="n">
        <f aca="false">COUNTIFS(secondary_acts!$A$2:$A$771,$A46,secondary_acts!$E$2:$E$771,"delegated")</f>
        <v>0</v>
      </c>
      <c r="AM46" s="2" t="n">
        <f aca="false">COUNTIFS(secondary_acts!$A$2:$A$771,$A46,secondary_acts!$E$2:$E$771,"other Commission/Council act")</f>
        <v>0</v>
      </c>
      <c r="AN46" s="2" t="n">
        <f aca="false">COUNTIFS(secondary_acts!$A$2:$A$771,$A46,secondary_acts!$E$2:$E$771,"guidance")</f>
        <v>0</v>
      </c>
      <c r="AO46" s="2" t="n">
        <f aca="false">COUNTIF(guidance_web!$A$2:$A$7,$A46)</f>
        <v>0</v>
      </c>
      <c r="AP46" s="2" t="n">
        <f aca="false">COUNTIFS(guidance_agencies!$A$2:$A$81,$A46,guidance_agencies!$D$2:$D$81,"EDPB")</f>
        <v>0</v>
      </c>
      <c r="AQ46" s="2" t="n">
        <f aca="false">COUNTIFS(guidance_agencies!$A$2:$A$81,$A46,guidance_agencies!$D$2:$D$81,"EBA")</f>
        <v>0</v>
      </c>
      <c r="AR46" s="2" t="n">
        <f aca="false">COUNTIFS(guidance_agencies!$A$2:$A$81,$A46,guidance_agencies!$D$2:$D$81,"ESMA")</f>
        <v>0</v>
      </c>
      <c r="AS46" s="3" t="n">
        <f aca="false">SUMIFS(secondary_acts!$S$2:$S$771,secondary_acts!$A$2:$A$771,$A46,secondary_acts!$E$2:$E$771,"implementing")+SUMIFS(secondary_acts!$S$2:$S$771,secondary_acts!$A$2:$A$771,$A46,secondary_acts!$E$2:$E$771,"delegated")</f>
        <v>0</v>
      </c>
      <c r="AT46" s="3"/>
      <c r="AU46" s="2"/>
      <c r="AV46" s="2" t="n">
        <v>3</v>
      </c>
      <c r="AW46" s="2" t="s">
        <v>528</v>
      </c>
      <c r="AX46" s="2" t="s">
        <v>529</v>
      </c>
      <c r="AY46" s="2" t="n">
        <v>1</v>
      </c>
      <c r="AZ46" s="2" t="s">
        <v>530</v>
      </c>
      <c r="BA46" s="2" t="s">
        <v>139</v>
      </c>
      <c r="BB46" s="2" t="n">
        <v>11557</v>
      </c>
      <c r="BC46" s="2" t="n">
        <v>81</v>
      </c>
      <c r="BD46" s="2" t="n">
        <v>2</v>
      </c>
      <c r="BE46" s="2" t="n">
        <f aca="false">IF(ISNUMBER(BB46),Q46-BB46,"")</f>
        <v>5887</v>
      </c>
      <c r="BF46" s="4" t="n">
        <f aca="false">IF(AND(ISNUMBER(BB46),BB46&gt;0),(Q46-BB46)/BB46,"")</f>
        <v>0.50938824954573</v>
      </c>
      <c r="BG46" s="2" t="n">
        <f aca="false">IF(ISNUMBER(BC46),X46-BC46,"")</f>
        <v>51</v>
      </c>
      <c r="BH46" s="4" t="n">
        <f aca="false">IF(AND(ISNUMBER(BC46),BC46&gt;0),(X46-BC46)/BC46,"")</f>
        <v>0.62962962962963</v>
      </c>
      <c r="BI46" s="2" t="n">
        <f aca="false">IF(ISNUMBER(BD46),AD46-BD46,"")</f>
        <v>6</v>
      </c>
      <c r="BJ46" s="2"/>
    </row>
    <row r="47" customFormat="false" ht="15" hidden="false" customHeight="false" outlineLevel="0" collapsed="false">
      <c r="A47" s="2" t="n">
        <v>46</v>
      </c>
      <c r="B47" s="2" t="s">
        <v>531</v>
      </c>
      <c r="C47" s="2" t="s">
        <v>532</v>
      </c>
      <c r="D47" s="2" t="s">
        <v>533</v>
      </c>
      <c r="E47" s="2" t="s">
        <v>65</v>
      </c>
      <c r="F47" s="2" t="s">
        <v>521</v>
      </c>
      <c r="G47" s="2" t="s">
        <v>143</v>
      </c>
      <c r="H47" s="2" t="s">
        <v>534</v>
      </c>
      <c r="I47" s="2" t="s">
        <v>535</v>
      </c>
      <c r="J47" s="2" t="s">
        <v>535</v>
      </c>
      <c r="K47" s="2" t="s">
        <v>70</v>
      </c>
      <c r="L47" s="2" t="s">
        <v>70</v>
      </c>
      <c r="M47" s="2" t="s">
        <v>536</v>
      </c>
      <c r="N47" s="2" t="s">
        <v>72</v>
      </c>
      <c r="O47" s="2" t="s">
        <v>537</v>
      </c>
      <c r="P47" s="3" t="n">
        <v>60</v>
      </c>
      <c r="Q47" s="3" t="n">
        <v>32522</v>
      </c>
      <c r="R47" s="3" t="n">
        <v>9593</v>
      </c>
      <c r="S47" s="3" t="n">
        <v>9470</v>
      </c>
      <c r="T47" s="3" t="n">
        <v>16804</v>
      </c>
      <c r="U47" s="3" t="n">
        <v>6125</v>
      </c>
      <c r="V47" s="3" t="n">
        <v>0</v>
      </c>
      <c r="W47" s="3" t="n">
        <v>0</v>
      </c>
      <c r="X47" s="3" t="n">
        <v>262</v>
      </c>
      <c r="Y47" s="3" t="n">
        <v>247</v>
      </c>
      <c r="Z47" s="3" t="n">
        <v>6</v>
      </c>
      <c r="AA47" s="3" t="n">
        <v>3</v>
      </c>
      <c r="AB47" s="3" t="n">
        <v>0</v>
      </c>
      <c r="AC47" s="3" t="n">
        <v>6</v>
      </c>
      <c r="AD47" s="3" t="n">
        <v>18</v>
      </c>
      <c r="AE47" s="3" t="n">
        <v>9</v>
      </c>
      <c r="AF47" s="3" t="n">
        <v>101</v>
      </c>
      <c r="AG47" s="3" t="n">
        <v>134</v>
      </c>
      <c r="AH47" s="2" t="s">
        <v>538</v>
      </c>
      <c r="AI47" s="3" t="n">
        <v>285</v>
      </c>
      <c r="AJ47" s="2" t="n">
        <v>21</v>
      </c>
      <c r="AK47" s="2" t="n">
        <f aca="false">COUNTIFS(secondary_acts!$A$2:$A$771,$A47,secondary_acts!$E$2:$E$771,"implementing")</f>
        <v>2</v>
      </c>
      <c r="AL47" s="2" t="n">
        <f aca="false">COUNTIFS(secondary_acts!$A$2:$A$771,$A47,secondary_acts!$E$2:$E$771,"delegated")</f>
        <v>3</v>
      </c>
      <c r="AM47" s="2" t="n">
        <f aca="false">COUNTIFS(secondary_acts!$A$2:$A$771,$A47,secondary_acts!$E$2:$E$771,"other Commission/Council act")</f>
        <v>0</v>
      </c>
      <c r="AN47" s="2" t="n">
        <f aca="false">COUNTIFS(secondary_acts!$A$2:$A$771,$A47,secondary_acts!$E$2:$E$771,"guidance")</f>
        <v>2</v>
      </c>
      <c r="AO47" s="2" t="n">
        <f aca="false">COUNTIF(guidance_web!$A$2:$A$7,$A47)</f>
        <v>0</v>
      </c>
      <c r="AP47" s="2" t="n">
        <f aca="false">COUNTIFS(guidance_agencies!$A$2:$A$81,$A47,guidance_agencies!$D$2:$D$81,"EDPB")</f>
        <v>0</v>
      </c>
      <c r="AQ47" s="2" t="n">
        <f aca="false">COUNTIFS(guidance_agencies!$A$2:$A$81,$A47,guidance_agencies!$D$2:$D$81,"EBA")</f>
        <v>0</v>
      </c>
      <c r="AR47" s="2" t="n">
        <f aca="false">COUNTIFS(guidance_agencies!$A$2:$A$81,$A47,guidance_agencies!$D$2:$D$81,"ESMA")</f>
        <v>0</v>
      </c>
      <c r="AS47" s="3" t="n">
        <f aca="false">SUMIFS(secondary_acts!$S$2:$S$771,secondary_acts!$A$2:$A$771,$A47,secondary_acts!$E$2:$E$771,"implementing")+SUMIFS(secondary_acts!$S$2:$S$771,secondary_acts!$A$2:$A$771,$A47,secondary_acts!$E$2:$E$771,"delegated")</f>
        <v>300</v>
      </c>
      <c r="AT47" s="3"/>
      <c r="AU47" s="2"/>
      <c r="AV47" s="2" t="n">
        <v>3</v>
      </c>
      <c r="AW47" s="2" t="s">
        <v>539</v>
      </c>
      <c r="AX47" s="2" t="s">
        <v>540</v>
      </c>
      <c r="AY47" s="2" t="n">
        <v>2</v>
      </c>
      <c r="AZ47" s="2" t="s">
        <v>541</v>
      </c>
      <c r="BA47" s="2" t="s">
        <v>139</v>
      </c>
      <c r="BB47" s="2" t="n">
        <v>30916</v>
      </c>
      <c r="BC47" s="2" t="n">
        <v>277</v>
      </c>
      <c r="BD47" s="2" t="n">
        <v>23</v>
      </c>
      <c r="BE47" s="2" t="n">
        <f aca="false">IF(ISNUMBER(BB47),Q47-BB47,"")</f>
        <v>1606</v>
      </c>
      <c r="BF47" s="4" t="n">
        <f aca="false">IF(AND(ISNUMBER(BB47),BB47&gt;0),(Q47-BB47)/BB47,"")</f>
        <v>0.0519472117997154</v>
      </c>
      <c r="BG47" s="2" t="n">
        <f aca="false">IF(ISNUMBER(BC47),X47-BC47,"")</f>
        <v>-15</v>
      </c>
      <c r="BH47" s="4" t="n">
        <f aca="false">IF(AND(ISNUMBER(BC47),BC47&gt;0),(X47-BC47)/BC47,"")</f>
        <v>-0.0541516245487365</v>
      </c>
      <c r="BI47" s="2" t="n">
        <f aca="false">IF(ISNUMBER(BD47),AD47-BD47,"")</f>
        <v>-5</v>
      </c>
      <c r="BJ47" s="2"/>
    </row>
    <row r="48" customFormat="false" ht="15" hidden="false" customHeight="false" outlineLevel="0" collapsed="false">
      <c r="A48" s="2" t="n">
        <v>47</v>
      </c>
      <c r="B48" s="2" t="s">
        <v>542</v>
      </c>
      <c r="C48" s="2" t="s">
        <v>543</v>
      </c>
      <c r="D48" s="2" t="s">
        <v>533</v>
      </c>
      <c r="E48" s="2" t="s">
        <v>65</v>
      </c>
      <c r="F48" s="2" t="s">
        <v>521</v>
      </c>
      <c r="G48" s="2" t="s">
        <v>143</v>
      </c>
      <c r="H48" s="2" t="s">
        <v>544</v>
      </c>
      <c r="I48" s="2" t="s">
        <v>545</v>
      </c>
      <c r="J48" s="2" t="s">
        <v>545</v>
      </c>
      <c r="K48" s="2" t="s">
        <v>70</v>
      </c>
      <c r="L48" s="2" t="s">
        <v>70</v>
      </c>
      <c r="M48" s="2" t="s">
        <v>546</v>
      </c>
      <c r="N48" s="2" t="s">
        <v>72</v>
      </c>
      <c r="O48" s="2" t="s">
        <v>547</v>
      </c>
      <c r="P48" s="3" t="n">
        <v>44</v>
      </c>
      <c r="Q48" s="3" t="n">
        <v>21097</v>
      </c>
      <c r="R48" s="3" t="n">
        <v>7484</v>
      </c>
      <c r="S48" s="3" t="n">
        <v>7350</v>
      </c>
      <c r="T48" s="3" t="n">
        <v>9591</v>
      </c>
      <c r="U48" s="3" t="n">
        <v>4022</v>
      </c>
      <c r="V48" s="3" t="n">
        <v>0</v>
      </c>
      <c r="W48" s="3" t="n">
        <v>0</v>
      </c>
      <c r="X48" s="3" t="n">
        <v>138</v>
      </c>
      <c r="Y48" s="3" t="n">
        <v>117</v>
      </c>
      <c r="Z48" s="3" t="n">
        <v>16</v>
      </c>
      <c r="AA48" s="3" t="n">
        <v>2</v>
      </c>
      <c r="AB48" s="3" t="n">
        <v>1</v>
      </c>
      <c r="AC48" s="3" t="n">
        <v>2</v>
      </c>
      <c r="AD48" s="3" t="n">
        <v>11</v>
      </c>
      <c r="AE48" s="3" t="n">
        <v>6</v>
      </c>
      <c r="AF48" s="3" t="n">
        <v>37</v>
      </c>
      <c r="AG48" s="3" t="n">
        <v>84</v>
      </c>
      <c r="AH48" s="2" t="s">
        <v>548</v>
      </c>
      <c r="AI48" s="3" t="n">
        <v>141</v>
      </c>
      <c r="AJ48" s="2" t="n">
        <v>11</v>
      </c>
      <c r="AK48" s="2" t="n">
        <f aca="false">COUNTIFS(secondary_acts!$A$2:$A$771,$A48,secondary_acts!$E$2:$E$771,"implementing")</f>
        <v>1</v>
      </c>
      <c r="AL48" s="2" t="n">
        <f aca="false">COUNTIFS(secondary_acts!$A$2:$A$771,$A48,secondary_acts!$E$2:$E$771,"delegated")</f>
        <v>6</v>
      </c>
      <c r="AM48" s="2" t="n">
        <f aca="false">COUNTIFS(secondary_acts!$A$2:$A$771,$A48,secondary_acts!$E$2:$E$771,"other Commission/Council act")</f>
        <v>0</v>
      </c>
      <c r="AN48" s="2" t="n">
        <f aca="false">COUNTIFS(secondary_acts!$A$2:$A$771,$A48,secondary_acts!$E$2:$E$771,"guidance")</f>
        <v>1</v>
      </c>
      <c r="AO48" s="2" t="n">
        <f aca="false">COUNTIF(guidance_web!$A$2:$A$7,$A48)</f>
        <v>0</v>
      </c>
      <c r="AP48" s="2" t="n">
        <f aca="false">COUNTIFS(guidance_agencies!$A$2:$A$81,$A48,guidance_agencies!$D$2:$D$81,"EDPB")</f>
        <v>0</v>
      </c>
      <c r="AQ48" s="2" t="n">
        <f aca="false">COUNTIFS(guidance_agencies!$A$2:$A$81,$A48,guidance_agencies!$D$2:$D$81,"EBA")</f>
        <v>0</v>
      </c>
      <c r="AR48" s="2" t="n">
        <f aca="false">COUNTIFS(guidance_agencies!$A$2:$A$81,$A48,guidance_agencies!$D$2:$D$81,"ESMA")</f>
        <v>0</v>
      </c>
      <c r="AS48" s="3" t="n">
        <f aca="false">SUMIFS(secondary_acts!$S$2:$S$771,secondary_acts!$A$2:$A$771,$A48,secondary_acts!$E$2:$E$771,"implementing")+SUMIFS(secondary_acts!$S$2:$S$771,secondary_acts!$A$2:$A$771,$A48,secondary_acts!$E$2:$E$771,"delegated")</f>
        <v>53</v>
      </c>
      <c r="AT48" s="3"/>
      <c r="AU48" s="2"/>
      <c r="AV48" s="2" t="n">
        <v>3</v>
      </c>
      <c r="AW48" s="2" t="s">
        <v>372</v>
      </c>
      <c r="AX48" s="2" t="s">
        <v>529</v>
      </c>
      <c r="AY48" s="2" t="n">
        <v>2</v>
      </c>
      <c r="AZ48" s="2" t="s">
        <v>549</v>
      </c>
      <c r="BA48" s="2" t="s">
        <v>139</v>
      </c>
      <c r="BB48" s="2" t="n">
        <v>14679</v>
      </c>
      <c r="BC48" s="2" t="n">
        <v>91</v>
      </c>
      <c r="BD48" s="2" t="n">
        <v>6</v>
      </c>
      <c r="BE48" s="2" t="n">
        <f aca="false">IF(ISNUMBER(BB48),Q48-BB48,"")</f>
        <v>6418</v>
      </c>
      <c r="BF48" s="4" t="n">
        <f aca="false">IF(AND(ISNUMBER(BB48),BB48&gt;0),(Q48-BB48)/BB48,"")</f>
        <v>0.437223244090197</v>
      </c>
      <c r="BG48" s="2" t="n">
        <f aca="false">IF(ISNUMBER(BC48),X48-BC48,"")</f>
        <v>47</v>
      </c>
      <c r="BH48" s="4" t="n">
        <f aca="false">IF(AND(ISNUMBER(BC48),BC48&gt;0),(X48-BC48)/BC48,"")</f>
        <v>0.516483516483517</v>
      </c>
      <c r="BI48" s="2" t="n">
        <f aca="false">IF(ISNUMBER(BD48),AD48-BD48,"")</f>
        <v>5</v>
      </c>
      <c r="BJ48" s="2"/>
    </row>
    <row r="49" customFormat="false" ht="15" hidden="false" customHeight="false" outlineLevel="0" collapsed="false">
      <c r="A49" s="2" t="n">
        <v>48</v>
      </c>
      <c r="B49" s="2" t="s">
        <v>550</v>
      </c>
      <c r="C49" s="2" t="s">
        <v>551</v>
      </c>
      <c r="D49" s="2" t="s">
        <v>520</v>
      </c>
      <c r="E49" s="2" t="s">
        <v>65</v>
      </c>
      <c r="F49" s="2" t="s">
        <v>552</v>
      </c>
      <c r="G49" s="2" t="s">
        <v>143</v>
      </c>
      <c r="H49" s="2" t="s">
        <v>553</v>
      </c>
      <c r="I49" s="2" t="s">
        <v>524</v>
      </c>
      <c r="J49" s="2" t="s">
        <v>524</v>
      </c>
      <c r="K49" s="2" t="s">
        <v>70</v>
      </c>
      <c r="L49" s="2" t="s">
        <v>70</v>
      </c>
      <c r="M49" s="2" t="s">
        <v>554</v>
      </c>
      <c r="N49" s="2" t="s">
        <v>72</v>
      </c>
      <c r="O49" s="2" t="s">
        <v>555</v>
      </c>
      <c r="P49" s="3" t="n">
        <v>68</v>
      </c>
      <c r="Q49" s="3" t="n">
        <v>35488</v>
      </c>
      <c r="R49" s="3" t="n">
        <v>8462</v>
      </c>
      <c r="S49" s="3" t="n">
        <v>8304</v>
      </c>
      <c r="T49" s="3" t="n">
        <v>18587</v>
      </c>
      <c r="U49" s="3" t="n">
        <v>8439</v>
      </c>
      <c r="V49" s="3" t="n">
        <v>0</v>
      </c>
      <c r="W49" s="3" t="n">
        <v>0</v>
      </c>
      <c r="X49" s="3" t="n">
        <v>365</v>
      </c>
      <c r="Y49" s="3" t="n">
        <v>304</v>
      </c>
      <c r="Z49" s="3" t="n">
        <v>17</v>
      </c>
      <c r="AA49" s="3" t="n">
        <v>1</v>
      </c>
      <c r="AB49" s="3" t="n">
        <v>4</v>
      </c>
      <c r="AC49" s="3" t="n">
        <v>39</v>
      </c>
      <c r="AD49" s="3" t="n">
        <v>52</v>
      </c>
      <c r="AE49" s="3" t="n">
        <v>6</v>
      </c>
      <c r="AF49" s="3" t="n">
        <v>66</v>
      </c>
      <c r="AG49" s="3" t="n">
        <v>241</v>
      </c>
      <c r="AH49" s="2" t="s">
        <v>556</v>
      </c>
      <c r="AI49" s="3" t="n">
        <v>372</v>
      </c>
      <c r="AJ49" s="2" t="n">
        <v>55</v>
      </c>
      <c r="AK49" s="2" t="n">
        <f aca="false">COUNTIFS(secondary_acts!$A$2:$A$771,$A49,secondary_acts!$E$2:$E$771,"implementing")</f>
        <v>0</v>
      </c>
      <c r="AL49" s="2" t="n">
        <f aca="false">COUNTIFS(secondary_acts!$A$2:$A$771,$A49,secondary_acts!$E$2:$E$771,"delegated")</f>
        <v>0</v>
      </c>
      <c r="AM49" s="2" t="n">
        <f aca="false">COUNTIFS(secondary_acts!$A$2:$A$771,$A49,secondary_acts!$E$2:$E$771,"other Commission/Council act")</f>
        <v>0</v>
      </c>
      <c r="AN49" s="2" t="n">
        <f aca="false">COUNTIFS(secondary_acts!$A$2:$A$771,$A49,secondary_acts!$E$2:$E$771,"guidance")</f>
        <v>0</v>
      </c>
      <c r="AO49" s="2" t="n">
        <f aca="false">COUNTIF(guidance_web!$A$2:$A$7,$A49)</f>
        <v>0</v>
      </c>
      <c r="AP49" s="2" t="n">
        <f aca="false">COUNTIFS(guidance_agencies!$A$2:$A$81,$A49,guidance_agencies!$D$2:$D$81,"EDPB")</f>
        <v>0</v>
      </c>
      <c r="AQ49" s="2" t="n">
        <f aca="false">COUNTIFS(guidance_agencies!$A$2:$A$81,$A49,guidance_agencies!$D$2:$D$81,"EBA")</f>
        <v>0</v>
      </c>
      <c r="AR49" s="2" t="n">
        <f aca="false">COUNTIFS(guidance_agencies!$A$2:$A$81,$A49,guidance_agencies!$D$2:$D$81,"ESMA")</f>
        <v>0</v>
      </c>
      <c r="AS49" s="3" t="n">
        <f aca="false">SUMIFS(secondary_acts!$S$2:$S$771,secondary_acts!$A$2:$A$771,$A49,secondary_acts!$E$2:$E$771,"implementing")+SUMIFS(secondary_acts!$S$2:$S$771,secondary_acts!$A$2:$A$771,$A49,secondary_acts!$E$2:$E$771,"delegated")</f>
        <v>0</v>
      </c>
      <c r="AT49" s="3"/>
      <c r="AU49" s="2"/>
      <c r="AV49" s="2" t="n">
        <v>3</v>
      </c>
      <c r="AW49" s="2" t="s">
        <v>539</v>
      </c>
      <c r="AX49" s="2" t="s">
        <v>529</v>
      </c>
      <c r="AY49" s="2" t="n">
        <v>5</v>
      </c>
      <c r="AZ49" s="2" t="s">
        <v>557</v>
      </c>
      <c r="BA49" s="2" t="s">
        <v>139</v>
      </c>
      <c r="BB49" s="2" t="n">
        <v>22209</v>
      </c>
      <c r="BC49" s="2" t="n">
        <v>185</v>
      </c>
      <c r="BD49" s="2" t="n">
        <v>40</v>
      </c>
      <c r="BE49" s="2" t="n">
        <f aca="false">IF(ISNUMBER(BB49),Q49-BB49,"")</f>
        <v>13279</v>
      </c>
      <c r="BF49" s="4" t="n">
        <f aca="false">IF(AND(ISNUMBER(BB49),BB49&gt;0),(Q49-BB49)/BB49,"")</f>
        <v>0.597910756900356</v>
      </c>
      <c r="BG49" s="2" t="n">
        <f aca="false">IF(ISNUMBER(BC49),X49-BC49,"")</f>
        <v>180</v>
      </c>
      <c r="BH49" s="4" t="n">
        <f aca="false">IF(AND(ISNUMBER(BC49),BC49&gt;0),(X49-BC49)/BC49,"")</f>
        <v>0.972972972972973</v>
      </c>
      <c r="BI49" s="2" t="n">
        <f aca="false">IF(ISNUMBER(BD49),AD49-BD49,"")</f>
        <v>12</v>
      </c>
      <c r="BJ49" s="2"/>
    </row>
    <row r="50" customFormat="false" ht="15" hidden="false" customHeight="false" outlineLevel="0" collapsed="false">
      <c r="A50" s="2" t="n">
        <v>49</v>
      </c>
      <c r="B50" s="2" t="s">
        <v>558</v>
      </c>
      <c r="C50" s="2" t="s">
        <v>559</v>
      </c>
      <c r="D50" s="2" t="s">
        <v>186</v>
      </c>
      <c r="E50" s="2" t="s">
        <v>65</v>
      </c>
      <c r="F50" s="2" t="s">
        <v>552</v>
      </c>
      <c r="G50" s="2" t="s">
        <v>143</v>
      </c>
      <c r="H50" s="2" t="s">
        <v>553</v>
      </c>
      <c r="I50" s="2" t="s">
        <v>560</v>
      </c>
      <c r="J50" s="2" t="s">
        <v>560</v>
      </c>
      <c r="K50" s="2" t="s">
        <v>70</v>
      </c>
      <c r="L50" s="2" t="s">
        <v>70</v>
      </c>
      <c r="M50" s="2" t="s">
        <v>561</v>
      </c>
      <c r="N50" s="2" t="s">
        <v>72</v>
      </c>
      <c r="O50" s="2" t="s">
        <v>562</v>
      </c>
      <c r="P50" s="3" t="n">
        <v>47</v>
      </c>
      <c r="Q50" s="3" t="n">
        <v>25687</v>
      </c>
      <c r="R50" s="3" t="n">
        <v>12659</v>
      </c>
      <c r="S50" s="3" t="n">
        <v>12483</v>
      </c>
      <c r="T50" s="3" t="n">
        <v>8347</v>
      </c>
      <c r="U50" s="3" t="n">
        <v>4681</v>
      </c>
      <c r="V50" s="3" t="n">
        <v>0</v>
      </c>
      <c r="W50" s="3" t="n">
        <v>0</v>
      </c>
      <c r="X50" s="3" t="n">
        <v>78</v>
      </c>
      <c r="Y50" s="3" t="n">
        <v>74</v>
      </c>
      <c r="Z50" s="3" t="n">
        <v>3</v>
      </c>
      <c r="AA50" s="3" t="n">
        <v>0</v>
      </c>
      <c r="AB50" s="3" t="n">
        <v>0</v>
      </c>
      <c r="AC50" s="3" t="n">
        <v>1</v>
      </c>
      <c r="AD50" s="3" t="n">
        <v>2</v>
      </c>
      <c r="AE50" s="3" t="n">
        <v>3</v>
      </c>
      <c r="AF50" s="3" t="n">
        <v>32</v>
      </c>
      <c r="AG50" s="3" t="n">
        <v>41</v>
      </c>
      <c r="AH50" s="2" t="s">
        <v>563</v>
      </c>
      <c r="AI50" s="3" t="n">
        <v>78</v>
      </c>
      <c r="AJ50" s="2" t="n">
        <v>2</v>
      </c>
      <c r="AK50" s="2" t="n">
        <f aca="false">COUNTIFS(secondary_acts!$A$2:$A$771,$A50,secondary_acts!$E$2:$E$771,"implementing")</f>
        <v>0</v>
      </c>
      <c r="AL50" s="2" t="n">
        <f aca="false">COUNTIFS(secondary_acts!$A$2:$A$771,$A50,secondary_acts!$E$2:$E$771,"delegated")</f>
        <v>1</v>
      </c>
      <c r="AM50" s="2" t="n">
        <f aca="false">COUNTIFS(secondary_acts!$A$2:$A$771,$A50,secondary_acts!$E$2:$E$771,"other Commission/Council act")</f>
        <v>0</v>
      </c>
      <c r="AN50" s="2" t="n">
        <f aca="false">COUNTIFS(secondary_acts!$A$2:$A$771,$A50,secondary_acts!$E$2:$E$771,"guidance")</f>
        <v>0</v>
      </c>
      <c r="AO50" s="2" t="n">
        <f aca="false">COUNTIF(guidance_web!$A$2:$A$7,$A50)</f>
        <v>0</v>
      </c>
      <c r="AP50" s="2" t="n">
        <f aca="false">COUNTIFS(guidance_agencies!$A$2:$A$81,$A50,guidance_agencies!$D$2:$D$81,"EDPB")</f>
        <v>0</v>
      </c>
      <c r="AQ50" s="2" t="n">
        <f aca="false">COUNTIFS(guidance_agencies!$A$2:$A$81,$A50,guidance_agencies!$D$2:$D$81,"EBA")</f>
        <v>0</v>
      </c>
      <c r="AR50" s="2" t="n">
        <f aca="false">COUNTIFS(guidance_agencies!$A$2:$A$81,$A50,guidance_agencies!$D$2:$D$81,"ESMA")</f>
        <v>0</v>
      </c>
      <c r="AS50" s="3" t="n">
        <f aca="false">SUMIFS(secondary_acts!$S$2:$S$771,secondary_acts!$A$2:$A$771,$A50,secondary_acts!$E$2:$E$771,"implementing")+SUMIFS(secondary_acts!$S$2:$S$771,secondary_acts!$A$2:$A$771,$A50,secondary_acts!$E$2:$E$771,"delegated")</f>
        <v>7</v>
      </c>
      <c r="AT50" s="3"/>
      <c r="AU50" s="2"/>
      <c r="AV50" s="2" t="n">
        <v>0</v>
      </c>
      <c r="AW50" s="2"/>
      <c r="AX50" s="2"/>
      <c r="AY50" s="2" t="n">
        <v>3</v>
      </c>
      <c r="AZ50" s="2" t="s">
        <v>564</v>
      </c>
      <c r="BA50" s="2" t="s">
        <v>139</v>
      </c>
      <c r="BB50" s="2" t="n">
        <v>17461</v>
      </c>
      <c r="BC50" s="2" t="n">
        <v>43</v>
      </c>
      <c r="BD50" s="2" t="n">
        <v>1</v>
      </c>
      <c r="BE50" s="2" t="n">
        <f aca="false">IF(ISNUMBER(BB50),Q50-BB50,"")</f>
        <v>8226</v>
      </c>
      <c r="BF50" s="4" t="n">
        <f aca="false">IF(AND(ISNUMBER(BB50),BB50&gt;0),(Q50-BB50)/BB50,"")</f>
        <v>0.471107038543039</v>
      </c>
      <c r="BG50" s="2" t="n">
        <f aca="false">IF(ISNUMBER(BC50),X50-BC50,"")</f>
        <v>35</v>
      </c>
      <c r="BH50" s="4" t="n">
        <f aca="false">IF(AND(ISNUMBER(BC50),BC50&gt;0),(X50-BC50)/BC50,"")</f>
        <v>0.813953488372093</v>
      </c>
      <c r="BI50" s="2" t="n">
        <f aca="false">IF(ISNUMBER(BD50),AD50-BD50,"")</f>
        <v>1</v>
      </c>
      <c r="BJ50" s="2" t="s">
        <v>104</v>
      </c>
    </row>
    <row r="51" customFormat="false" ht="15" hidden="false" customHeight="false" outlineLevel="0" collapsed="false">
      <c r="A51" s="2" t="n">
        <v>50</v>
      </c>
      <c r="B51" s="2" t="s">
        <v>565</v>
      </c>
      <c r="C51" s="2" t="s">
        <v>566</v>
      </c>
      <c r="D51" s="2" t="s">
        <v>449</v>
      </c>
      <c r="E51" s="2" t="s">
        <v>65</v>
      </c>
      <c r="F51" s="2" t="s">
        <v>567</v>
      </c>
      <c r="G51" s="2" t="s">
        <v>143</v>
      </c>
      <c r="H51" s="2" t="s">
        <v>568</v>
      </c>
      <c r="I51" s="2" t="s">
        <v>569</v>
      </c>
      <c r="J51" s="2" t="s">
        <v>570</v>
      </c>
      <c r="K51" s="2" t="s">
        <v>70</v>
      </c>
      <c r="L51" s="2" t="s">
        <v>70</v>
      </c>
      <c r="M51" s="2" t="s">
        <v>571</v>
      </c>
      <c r="N51" s="2" t="s">
        <v>72</v>
      </c>
      <c r="O51" s="2" t="s">
        <v>572</v>
      </c>
      <c r="P51" s="3" t="n">
        <v>31</v>
      </c>
      <c r="Q51" s="3" t="n">
        <v>18406</v>
      </c>
      <c r="R51" s="3" t="n">
        <v>4968</v>
      </c>
      <c r="S51" s="3" t="n">
        <v>4844</v>
      </c>
      <c r="T51" s="3" t="n">
        <v>13438</v>
      </c>
      <c r="U51" s="3" t="n">
        <v>0</v>
      </c>
      <c r="V51" s="3" t="n">
        <v>0</v>
      </c>
      <c r="W51" s="3" t="n">
        <v>0</v>
      </c>
      <c r="X51" s="3" t="n">
        <v>241</v>
      </c>
      <c r="Y51" s="3" t="n">
        <v>227</v>
      </c>
      <c r="Z51" s="3" t="n">
        <v>7</v>
      </c>
      <c r="AA51" s="3" t="n">
        <v>0</v>
      </c>
      <c r="AB51" s="3" t="n">
        <v>0</v>
      </c>
      <c r="AC51" s="3" t="n">
        <v>7</v>
      </c>
      <c r="AD51" s="3" t="n">
        <v>6</v>
      </c>
      <c r="AE51" s="3" t="n">
        <v>32</v>
      </c>
      <c r="AF51" s="3" t="n">
        <v>102</v>
      </c>
      <c r="AG51" s="3" t="n">
        <v>101</v>
      </c>
      <c r="AH51" s="2"/>
      <c r="AI51" s="3"/>
      <c r="AJ51" s="2"/>
      <c r="AK51" s="2" t="n">
        <f aca="false">COUNTIFS(secondary_acts!$A$2:$A$771,$A51,secondary_acts!$E$2:$E$771,"implementing")</f>
        <v>0</v>
      </c>
      <c r="AL51" s="2" t="n">
        <f aca="false">COUNTIFS(secondary_acts!$A$2:$A$771,$A51,secondary_acts!$E$2:$E$771,"delegated")</f>
        <v>0</v>
      </c>
      <c r="AM51" s="2" t="n">
        <f aca="false">COUNTIFS(secondary_acts!$A$2:$A$771,$A51,secondary_acts!$E$2:$E$771,"other Commission/Council act")</f>
        <v>0</v>
      </c>
      <c r="AN51" s="2" t="n">
        <f aca="false">COUNTIFS(secondary_acts!$A$2:$A$771,$A51,secondary_acts!$E$2:$E$771,"guidance")</f>
        <v>0</v>
      </c>
      <c r="AO51" s="2" t="n">
        <f aca="false">COUNTIF(guidance_web!$A$2:$A$7,$A51)</f>
        <v>0</v>
      </c>
      <c r="AP51" s="2" t="n">
        <f aca="false">COUNTIFS(guidance_agencies!$A$2:$A$81,$A51,guidance_agencies!$D$2:$D$81,"EDPB")</f>
        <v>0</v>
      </c>
      <c r="AQ51" s="2" t="n">
        <f aca="false">COUNTIFS(guidance_agencies!$A$2:$A$81,$A51,guidance_agencies!$D$2:$D$81,"EBA")</f>
        <v>0</v>
      </c>
      <c r="AR51" s="2" t="n">
        <f aca="false">COUNTIFS(guidance_agencies!$A$2:$A$81,$A51,guidance_agencies!$D$2:$D$81,"ESMA")</f>
        <v>0</v>
      </c>
      <c r="AS51" s="3" t="n">
        <f aca="false">SUMIFS(secondary_acts!$S$2:$S$771,secondary_acts!$A$2:$A$771,$A51,secondary_acts!$E$2:$E$771,"implementing")+SUMIFS(secondary_acts!$S$2:$S$771,secondary_acts!$A$2:$A$771,$A51,secondary_acts!$E$2:$E$771,"delegated")</f>
        <v>0</v>
      </c>
      <c r="AT51" s="3"/>
      <c r="AU51" s="2"/>
      <c r="AV51" s="2" t="n">
        <v>0</v>
      </c>
      <c r="AW51" s="2"/>
      <c r="AX51" s="2"/>
      <c r="AY51" s="2" t="n">
        <v>0</v>
      </c>
      <c r="AZ51" s="2" t="s">
        <v>573</v>
      </c>
      <c r="BA51" s="2" t="s">
        <v>139</v>
      </c>
      <c r="BB51" s="2" t="n">
        <v>11396</v>
      </c>
      <c r="BC51" s="2" t="n">
        <v>179</v>
      </c>
      <c r="BD51" s="2" t="n">
        <v>4</v>
      </c>
      <c r="BE51" s="2" t="n">
        <f aca="false">IF(ISNUMBER(BB51),Q51-BB51,"")</f>
        <v>7010</v>
      </c>
      <c r="BF51" s="4" t="n">
        <f aca="false">IF(AND(ISNUMBER(BB51),BB51&gt;0),(Q51-BB51)/BB51,"")</f>
        <v>0.615128115128115</v>
      </c>
      <c r="BG51" s="2" t="n">
        <f aca="false">IF(ISNUMBER(BC51),X51-BC51,"")</f>
        <v>62</v>
      </c>
      <c r="BH51" s="4" t="n">
        <f aca="false">IF(AND(ISNUMBER(BC51),BC51&gt;0),(X51-BC51)/BC51,"")</f>
        <v>0.346368715083799</v>
      </c>
      <c r="BI51" s="2" t="n">
        <f aca="false">IF(ISNUMBER(BD51),AD51-BD51,"")</f>
        <v>2</v>
      </c>
      <c r="BJ51" s="2"/>
    </row>
    <row r="52" customFormat="false" ht="15" hidden="false" customHeight="false" outlineLevel="0" collapsed="false">
      <c r="A52" s="2" t="n">
        <v>51</v>
      </c>
      <c r="B52" s="2" t="s">
        <v>574</v>
      </c>
      <c r="C52" s="2" t="s">
        <v>575</v>
      </c>
      <c r="D52" s="2" t="s">
        <v>298</v>
      </c>
      <c r="E52" s="2" t="s">
        <v>65</v>
      </c>
      <c r="F52" s="2" t="s">
        <v>567</v>
      </c>
      <c r="G52" s="2" t="s">
        <v>143</v>
      </c>
      <c r="H52" s="2" t="s">
        <v>522</v>
      </c>
      <c r="I52" s="2" t="s">
        <v>576</v>
      </c>
      <c r="J52" s="2" t="s">
        <v>577</v>
      </c>
      <c r="K52" s="2" t="s">
        <v>70</v>
      </c>
      <c r="L52" s="2" t="s">
        <v>70</v>
      </c>
      <c r="M52" s="2" t="s">
        <v>578</v>
      </c>
      <c r="N52" s="2" t="s">
        <v>72</v>
      </c>
      <c r="O52" s="2" t="s">
        <v>579</v>
      </c>
      <c r="P52" s="3" t="n">
        <v>31</v>
      </c>
      <c r="Q52" s="3" t="n">
        <v>14863</v>
      </c>
      <c r="R52" s="3" t="n">
        <v>7025</v>
      </c>
      <c r="S52" s="3" t="n">
        <v>6914</v>
      </c>
      <c r="T52" s="3" t="n">
        <v>6635</v>
      </c>
      <c r="U52" s="3" t="n">
        <v>1203</v>
      </c>
      <c r="V52" s="3" t="n">
        <v>0</v>
      </c>
      <c r="W52" s="3" t="n">
        <v>0</v>
      </c>
      <c r="X52" s="3" t="n">
        <v>118</v>
      </c>
      <c r="Y52" s="3" t="n">
        <v>101</v>
      </c>
      <c r="Z52" s="3" t="n">
        <v>6</v>
      </c>
      <c r="AA52" s="3" t="n">
        <v>0</v>
      </c>
      <c r="AB52" s="3" t="n">
        <v>1</v>
      </c>
      <c r="AC52" s="3" t="n">
        <v>10</v>
      </c>
      <c r="AD52" s="3" t="n">
        <v>37</v>
      </c>
      <c r="AE52" s="3" t="n">
        <v>37</v>
      </c>
      <c r="AF52" s="3" t="n">
        <v>11</v>
      </c>
      <c r="AG52" s="3" t="n">
        <v>33</v>
      </c>
      <c r="AH52" s="2" t="s">
        <v>580</v>
      </c>
      <c r="AI52" s="3" t="n">
        <v>118</v>
      </c>
      <c r="AJ52" s="2" t="n">
        <v>37</v>
      </c>
      <c r="AK52" s="2" t="n">
        <f aca="false">COUNTIFS(secondary_acts!$A$2:$A$771,$A52,secondary_acts!$E$2:$E$771,"implementing")</f>
        <v>0</v>
      </c>
      <c r="AL52" s="2" t="n">
        <f aca="false">COUNTIFS(secondary_acts!$A$2:$A$771,$A52,secondary_acts!$E$2:$E$771,"delegated")</f>
        <v>0</v>
      </c>
      <c r="AM52" s="2" t="n">
        <f aca="false">COUNTIFS(secondary_acts!$A$2:$A$771,$A52,secondary_acts!$E$2:$E$771,"other Commission/Council act")</f>
        <v>0</v>
      </c>
      <c r="AN52" s="2" t="n">
        <f aca="false">COUNTIFS(secondary_acts!$A$2:$A$771,$A52,secondary_acts!$E$2:$E$771,"guidance")</f>
        <v>0</v>
      </c>
      <c r="AO52" s="2" t="n">
        <f aca="false">COUNTIF(guidance_web!$A$2:$A$7,$A52)</f>
        <v>0</v>
      </c>
      <c r="AP52" s="2" t="n">
        <f aca="false">COUNTIFS(guidance_agencies!$A$2:$A$81,$A52,guidance_agencies!$D$2:$D$81,"EDPB")</f>
        <v>0</v>
      </c>
      <c r="AQ52" s="2" t="n">
        <f aca="false">COUNTIFS(guidance_agencies!$A$2:$A$81,$A52,guidance_agencies!$D$2:$D$81,"EBA")</f>
        <v>0</v>
      </c>
      <c r="AR52" s="2" t="n">
        <f aca="false">COUNTIFS(guidance_agencies!$A$2:$A$81,$A52,guidance_agencies!$D$2:$D$81,"ESMA")</f>
        <v>0</v>
      </c>
      <c r="AS52" s="3" t="n">
        <f aca="false">SUMIFS(secondary_acts!$S$2:$S$771,secondary_acts!$A$2:$A$771,$A52,secondary_acts!$E$2:$E$771,"implementing")+SUMIFS(secondary_acts!$S$2:$S$771,secondary_acts!$A$2:$A$771,$A52,secondary_acts!$E$2:$E$771,"delegated")</f>
        <v>0</v>
      </c>
      <c r="AT52" s="3"/>
      <c r="AU52" s="2"/>
      <c r="AV52" s="2" t="n">
        <v>0</v>
      </c>
      <c r="AW52" s="2"/>
      <c r="AX52" s="2"/>
      <c r="AY52" s="2" t="n">
        <v>3</v>
      </c>
      <c r="AZ52" s="2" t="s">
        <v>581</v>
      </c>
      <c r="BA52" s="2" t="s">
        <v>139</v>
      </c>
      <c r="BB52" s="2" t="n">
        <v>11209</v>
      </c>
      <c r="BC52" s="2" t="n">
        <v>95</v>
      </c>
      <c r="BD52" s="2" t="n">
        <v>35</v>
      </c>
      <c r="BE52" s="2" t="n">
        <f aca="false">IF(ISNUMBER(BB52),Q52-BB52,"")</f>
        <v>3654</v>
      </c>
      <c r="BF52" s="4" t="n">
        <f aca="false">IF(AND(ISNUMBER(BB52),BB52&gt;0),(Q52-BB52)/BB52,"")</f>
        <v>0.325988045320724</v>
      </c>
      <c r="BG52" s="2" t="n">
        <f aca="false">IF(ISNUMBER(BC52),X52-BC52,"")</f>
        <v>23</v>
      </c>
      <c r="BH52" s="4" t="n">
        <f aca="false">IF(AND(ISNUMBER(BC52),BC52&gt;0),(X52-BC52)/BC52,"")</f>
        <v>0.242105263157895</v>
      </c>
      <c r="BI52" s="2" t="n">
        <f aca="false">IF(ISNUMBER(BD52),AD52-BD52,"")</f>
        <v>2</v>
      </c>
      <c r="BJ52" s="2" t="s">
        <v>104</v>
      </c>
    </row>
    <row r="53" customFormat="false" ht="15" hidden="false" customHeight="false" outlineLevel="0" collapsed="false">
      <c r="A53" s="2" t="n">
        <v>52</v>
      </c>
      <c r="B53" s="2" t="s">
        <v>582</v>
      </c>
      <c r="C53" s="2" t="s">
        <v>583</v>
      </c>
      <c r="D53" s="2" t="s">
        <v>533</v>
      </c>
      <c r="E53" s="2" t="s">
        <v>65</v>
      </c>
      <c r="F53" s="2" t="s">
        <v>584</v>
      </c>
      <c r="G53" s="2" t="s">
        <v>143</v>
      </c>
      <c r="H53" s="2" t="s">
        <v>585</v>
      </c>
      <c r="I53" s="2" t="s">
        <v>586</v>
      </c>
      <c r="J53" s="2" t="s">
        <v>587</v>
      </c>
      <c r="K53" s="2" t="s">
        <v>70</v>
      </c>
      <c r="L53" s="2" t="s">
        <v>70</v>
      </c>
      <c r="M53" s="2" t="s">
        <v>588</v>
      </c>
      <c r="N53" s="2" t="s">
        <v>72</v>
      </c>
      <c r="O53" s="2" t="s">
        <v>589</v>
      </c>
      <c r="P53" s="3" t="n">
        <v>59</v>
      </c>
      <c r="Q53" s="3" t="n">
        <v>29391</v>
      </c>
      <c r="R53" s="3" t="n">
        <v>8842</v>
      </c>
      <c r="S53" s="3" t="n">
        <v>8721</v>
      </c>
      <c r="T53" s="3" t="n">
        <v>11556</v>
      </c>
      <c r="U53" s="3" t="n">
        <v>8993</v>
      </c>
      <c r="V53" s="3" t="n">
        <v>0</v>
      </c>
      <c r="W53" s="3" t="n">
        <v>0</v>
      </c>
      <c r="X53" s="3" t="n">
        <v>189</v>
      </c>
      <c r="Y53" s="3" t="n">
        <v>177</v>
      </c>
      <c r="Z53" s="3" t="n">
        <v>7</v>
      </c>
      <c r="AA53" s="3" t="n">
        <v>3</v>
      </c>
      <c r="AB53" s="3" t="n">
        <v>1</v>
      </c>
      <c r="AC53" s="3" t="n">
        <v>1</v>
      </c>
      <c r="AD53" s="3" t="n">
        <v>8</v>
      </c>
      <c r="AE53" s="3" t="n">
        <v>29</v>
      </c>
      <c r="AF53" s="3" t="n">
        <v>91</v>
      </c>
      <c r="AG53" s="3" t="n">
        <v>61</v>
      </c>
      <c r="AH53" s="2" t="s">
        <v>590</v>
      </c>
      <c r="AI53" s="3" t="n">
        <v>226</v>
      </c>
      <c r="AJ53" s="2" t="n">
        <v>14</v>
      </c>
      <c r="AK53" s="2" t="n">
        <f aca="false">COUNTIFS(secondary_acts!$A$2:$A$771,$A53,secondary_acts!$E$2:$E$771,"implementing")</f>
        <v>1</v>
      </c>
      <c r="AL53" s="2" t="n">
        <f aca="false">COUNTIFS(secondary_acts!$A$2:$A$771,$A53,secondary_acts!$E$2:$E$771,"delegated")</f>
        <v>2</v>
      </c>
      <c r="AM53" s="2" t="n">
        <f aca="false">COUNTIFS(secondary_acts!$A$2:$A$771,$A53,secondary_acts!$E$2:$E$771,"other Commission/Council act")</f>
        <v>0</v>
      </c>
      <c r="AN53" s="2" t="n">
        <f aca="false">COUNTIFS(secondary_acts!$A$2:$A$771,$A53,secondary_acts!$E$2:$E$771,"guidance")</f>
        <v>4</v>
      </c>
      <c r="AO53" s="2" t="n">
        <f aca="false">COUNTIF(guidance_web!$A$2:$A$7,$A53)</f>
        <v>0</v>
      </c>
      <c r="AP53" s="2" t="n">
        <f aca="false">COUNTIFS(guidance_agencies!$A$2:$A$81,$A53,guidance_agencies!$D$2:$D$81,"EDPB")</f>
        <v>0</v>
      </c>
      <c r="AQ53" s="2" t="n">
        <f aca="false">COUNTIFS(guidance_agencies!$A$2:$A$81,$A53,guidance_agencies!$D$2:$D$81,"EBA")</f>
        <v>0</v>
      </c>
      <c r="AR53" s="2" t="n">
        <f aca="false">COUNTIFS(guidance_agencies!$A$2:$A$81,$A53,guidance_agencies!$D$2:$D$81,"ESMA")</f>
        <v>0</v>
      </c>
      <c r="AS53" s="3" t="n">
        <f aca="false">SUMIFS(secondary_acts!$S$2:$S$771,secondary_acts!$A$2:$A$771,$A53,secondary_acts!$E$2:$E$771,"implementing")+SUMIFS(secondary_acts!$S$2:$S$771,secondary_acts!$A$2:$A$771,$A53,secondary_acts!$E$2:$E$771,"delegated")</f>
        <v>111</v>
      </c>
      <c r="AT53" s="3"/>
      <c r="AU53" s="2"/>
      <c r="AV53" s="2" t="n">
        <v>2</v>
      </c>
      <c r="AW53" s="2" t="s">
        <v>591</v>
      </c>
      <c r="AX53" s="2" t="s">
        <v>539</v>
      </c>
      <c r="AY53" s="2" t="n">
        <v>9</v>
      </c>
      <c r="AZ53" s="2" t="s">
        <v>592</v>
      </c>
      <c r="BA53" s="2" t="s">
        <v>139</v>
      </c>
      <c r="BB53" s="2" t="n">
        <v>12953</v>
      </c>
      <c r="BC53" s="2" t="n">
        <v>117</v>
      </c>
      <c r="BD53" s="2" t="n">
        <v>5</v>
      </c>
      <c r="BE53" s="2" t="n">
        <f aca="false">IF(ISNUMBER(BB53),Q53-BB53,"")</f>
        <v>16438</v>
      </c>
      <c r="BF53" s="4" t="n">
        <f aca="false">IF(AND(ISNUMBER(BB53),BB53&gt;0),(Q53-BB53)/BB53,"")</f>
        <v>1.2690496410098</v>
      </c>
      <c r="BG53" s="2" t="n">
        <f aca="false">IF(ISNUMBER(BC53),X53-BC53,"")</f>
        <v>72</v>
      </c>
      <c r="BH53" s="4" t="n">
        <f aca="false">IF(AND(ISNUMBER(BC53),BC53&gt;0),(X53-BC53)/BC53,"")</f>
        <v>0.615384615384615</v>
      </c>
      <c r="BI53" s="2" t="n">
        <f aca="false">IF(ISNUMBER(BD53),AD53-BD53,"")</f>
        <v>3</v>
      </c>
      <c r="BJ53" s="2"/>
    </row>
    <row r="54" customFormat="false" ht="15" hidden="false" customHeight="false" outlineLevel="0" collapsed="false">
      <c r="A54" s="2" t="n">
        <v>53</v>
      </c>
      <c r="B54" s="2" t="s">
        <v>593</v>
      </c>
      <c r="C54" s="2" t="s">
        <v>594</v>
      </c>
      <c r="D54" s="2" t="s">
        <v>298</v>
      </c>
      <c r="E54" s="2" t="s">
        <v>65</v>
      </c>
      <c r="F54" s="2" t="s">
        <v>595</v>
      </c>
      <c r="G54" s="2" t="s">
        <v>143</v>
      </c>
      <c r="H54" s="2" t="s">
        <v>545</v>
      </c>
      <c r="I54" s="2" t="s">
        <v>596</v>
      </c>
      <c r="J54" s="2" t="s">
        <v>597</v>
      </c>
      <c r="K54" s="2" t="s">
        <v>70</v>
      </c>
      <c r="L54" s="2" t="s">
        <v>70</v>
      </c>
      <c r="M54" s="2" t="s">
        <v>598</v>
      </c>
      <c r="N54" s="2" t="s">
        <v>72</v>
      </c>
      <c r="O54" s="2" t="s">
        <v>599</v>
      </c>
      <c r="P54" s="3" t="n">
        <v>11</v>
      </c>
      <c r="Q54" s="3" t="n">
        <v>6315</v>
      </c>
      <c r="R54" s="3" t="n">
        <v>4021</v>
      </c>
      <c r="S54" s="3" t="n">
        <v>3869</v>
      </c>
      <c r="T54" s="3" t="n">
        <v>2294</v>
      </c>
      <c r="U54" s="3" t="n">
        <v>0</v>
      </c>
      <c r="V54" s="3" t="n">
        <v>0</v>
      </c>
      <c r="W54" s="3" t="n">
        <v>0</v>
      </c>
      <c r="X54" s="3" t="n">
        <v>11</v>
      </c>
      <c r="Y54" s="3" t="n">
        <v>11</v>
      </c>
      <c r="Z54" s="3" t="n">
        <v>0</v>
      </c>
      <c r="AA54" s="3" t="n">
        <v>0</v>
      </c>
      <c r="AB54" s="3" t="n">
        <v>0</v>
      </c>
      <c r="AC54" s="3" t="n">
        <v>0</v>
      </c>
      <c r="AD54" s="3" t="n">
        <v>2</v>
      </c>
      <c r="AE54" s="3" t="n">
        <v>1</v>
      </c>
      <c r="AF54" s="3" t="n">
        <v>7</v>
      </c>
      <c r="AG54" s="3" t="n">
        <v>1</v>
      </c>
      <c r="AH54" s="2" t="s">
        <v>600</v>
      </c>
      <c r="AI54" s="3" t="n">
        <v>16</v>
      </c>
      <c r="AJ54" s="2" t="n">
        <v>2</v>
      </c>
      <c r="AK54" s="2" t="n">
        <f aca="false">COUNTIFS(secondary_acts!$A$2:$A$771,$A54,secondary_acts!$E$2:$E$771,"implementing")</f>
        <v>1</v>
      </c>
      <c r="AL54" s="2" t="n">
        <f aca="false">COUNTIFS(secondary_acts!$A$2:$A$771,$A54,secondary_acts!$E$2:$E$771,"delegated")</f>
        <v>0</v>
      </c>
      <c r="AM54" s="2" t="n">
        <f aca="false">COUNTIFS(secondary_acts!$A$2:$A$771,$A54,secondary_acts!$E$2:$E$771,"other Commission/Council act")</f>
        <v>0</v>
      </c>
      <c r="AN54" s="2" t="n">
        <f aca="false">COUNTIFS(secondary_acts!$A$2:$A$771,$A54,secondary_acts!$E$2:$E$771,"guidance")</f>
        <v>0</v>
      </c>
      <c r="AO54" s="2" t="n">
        <f aca="false">COUNTIF(guidance_web!$A$2:$A$7,$A54)</f>
        <v>0</v>
      </c>
      <c r="AP54" s="2" t="n">
        <f aca="false">COUNTIFS(guidance_agencies!$A$2:$A$81,$A54,guidance_agencies!$D$2:$D$81,"EDPB")</f>
        <v>0</v>
      </c>
      <c r="AQ54" s="2" t="n">
        <f aca="false">COUNTIFS(guidance_agencies!$A$2:$A$81,$A54,guidance_agencies!$D$2:$D$81,"EBA")</f>
        <v>0</v>
      </c>
      <c r="AR54" s="2" t="n">
        <f aca="false">COUNTIFS(guidance_agencies!$A$2:$A$81,$A54,guidance_agencies!$D$2:$D$81,"ESMA")</f>
        <v>0</v>
      </c>
      <c r="AS54" s="3" t="n">
        <f aca="false">SUMIFS(secondary_acts!$S$2:$S$771,secondary_acts!$A$2:$A$771,$A54,secondary_acts!$E$2:$E$771,"implementing")+SUMIFS(secondary_acts!$S$2:$S$771,secondary_acts!$A$2:$A$771,$A54,secondary_acts!$E$2:$E$771,"delegated")</f>
        <v>1</v>
      </c>
      <c r="AT54" s="3"/>
      <c r="AU54" s="2"/>
      <c r="AV54" s="2" t="n">
        <v>1</v>
      </c>
      <c r="AW54" s="2" t="s">
        <v>334</v>
      </c>
      <c r="AX54" s="2" t="s">
        <v>334</v>
      </c>
      <c r="AY54" s="2" t="n">
        <v>0</v>
      </c>
      <c r="AZ54" s="2" t="s">
        <v>601</v>
      </c>
      <c r="BA54" s="2" t="s">
        <v>139</v>
      </c>
      <c r="BB54" s="2" t="n">
        <v>2709</v>
      </c>
      <c r="BC54" s="2" t="n">
        <v>1</v>
      </c>
      <c r="BD54" s="2" t="n">
        <v>1</v>
      </c>
      <c r="BE54" s="2" t="n">
        <f aca="false">IF(ISNUMBER(BB54),Q54-BB54,"")</f>
        <v>3606</v>
      </c>
      <c r="BF54" s="4" t="n">
        <f aca="false">IF(AND(ISNUMBER(BB54),BB54&gt;0),(Q54-BB54)/BB54,"")</f>
        <v>1.33111849390919</v>
      </c>
      <c r="BG54" s="2" t="n">
        <f aca="false">IF(ISNUMBER(BC54),X54-BC54,"")</f>
        <v>10</v>
      </c>
      <c r="BH54" s="4" t="n">
        <f aca="false">IF(AND(ISNUMBER(BC54),BC54&gt;0),(X54-BC54)/BC54,"")</f>
        <v>10</v>
      </c>
      <c r="BI54" s="2" t="n">
        <f aca="false">IF(ISNUMBER(BD54),AD54-BD54,"")</f>
        <v>1</v>
      </c>
      <c r="BJ54" s="2"/>
    </row>
    <row r="55" customFormat="false" ht="15" hidden="false" customHeight="false" outlineLevel="0" collapsed="false">
      <c r="A55" s="2" t="n">
        <v>54</v>
      </c>
      <c r="B55" s="2" t="s">
        <v>602</v>
      </c>
      <c r="C55" s="2" t="s">
        <v>603</v>
      </c>
      <c r="D55" s="2" t="s">
        <v>533</v>
      </c>
      <c r="E55" s="2" t="s">
        <v>65</v>
      </c>
      <c r="F55" s="2" t="s">
        <v>604</v>
      </c>
      <c r="G55" s="2" t="s">
        <v>143</v>
      </c>
      <c r="H55" s="2" t="s">
        <v>605</v>
      </c>
      <c r="I55" s="2" t="s">
        <v>606</v>
      </c>
      <c r="J55" s="2" t="s">
        <v>607</v>
      </c>
      <c r="K55" s="2" t="s">
        <v>70</v>
      </c>
      <c r="L55" s="2" t="s">
        <v>70</v>
      </c>
      <c r="M55" s="2" t="s">
        <v>608</v>
      </c>
      <c r="N55" s="2" t="s">
        <v>72</v>
      </c>
      <c r="O55" s="2" t="s">
        <v>609</v>
      </c>
      <c r="P55" s="3" t="n">
        <v>49</v>
      </c>
      <c r="Q55" s="3" t="n">
        <v>26545</v>
      </c>
      <c r="R55" s="3" t="n">
        <v>7467</v>
      </c>
      <c r="S55" s="3" t="n">
        <v>7367</v>
      </c>
      <c r="T55" s="3" t="n">
        <v>11295</v>
      </c>
      <c r="U55" s="3" t="n">
        <v>7783</v>
      </c>
      <c r="V55" s="3" t="n">
        <v>0</v>
      </c>
      <c r="W55" s="3" t="n">
        <v>0</v>
      </c>
      <c r="X55" s="3" t="n">
        <v>340</v>
      </c>
      <c r="Y55" s="3" t="n">
        <v>313</v>
      </c>
      <c r="Z55" s="3" t="n">
        <v>18</v>
      </c>
      <c r="AA55" s="3" t="n">
        <v>3</v>
      </c>
      <c r="AB55" s="3" t="n">
        <v>1</v>
      </c>
      <c r="AC55" s="3" t="n">
        <v>5</v>
      </c>
      <c r="AD55" s="3" t="n">
        <v>33</v>
      </c>
      <c r="AE55" s="3" t="n">
        <v>7</v>
      </c>
      <c r="AF55" s="3" t="n">
        <v>204</v>
      </c>
      <c r="AG55" s="3" t="n">
        <v>96</v>
      </c>
      <c r="AH55" s="2" t="s">
        <v>610</v>
      </c>
      <c r="AI55" s="3" t="n">
        <v>438</v>
      </c>
      <c r="AJ55" s="2" t="n">
        <v>47</v>
      </c>
      <c r="AK55" s="2" t="n">
        <f aca="false">COUNTIFS(secondary_acts!$A$2:$A$771,$A55,secondary_acts!$E$2:$E$771,"implementing")</f>
        <v>0</v>
      </c>
      <c r="AL55" s="2" t="n">
        <f aca="false">COUNTIFS(secondary_acts!$A$2:$A$771,$A55,secondary_acts!$E$2:$E$771,"delegated")</f>
        <v>0</v>
      </c>
      <c r="AM55" s="2" t="n">
        <f aca="false">COUNTIFS(secondary_acts!$A$2:$A$771,$A55,secondary_acts!$E$2:$E$771,"other Commission/Council act")</f>
        <v>0</v>
      </c>
      <c r="AN55" s="2" t="n">
        <f aca="false">COUNTIFS(secondary_acts!$A$2:$A$771,$A55,secondary_acts!$E$2:$E$771,"guidance")</f>
        <v>0</v>
      </c>
      <c r="AO55" s="2" t="n">
        <f aca="false">COUNTIF(guidance_web!$A$2:$A$7,$A55)</f>
        <v>0</v>
      </c>
      <c r="AP55" s="2" t="n">
        <f aca="false">COUNTIFS(guidance_agencies!$A$2:$A$81,$A55,guidance_agencies!$D$2:$D$81,"EDPB")</f>
        <v>0</v>
      </c>
      <c r="AQ55" s="2" t="n">
        <f aca="false">COUNTIFS(guidance_agencies!$A$2:$A$81,$A55,guidance_agencies!$D$2:$D$81,"EBA")</f>
        <v>0</v>
      </c>
      <c r="AR55" s="2" t="n">
        <f aca="false">COUNTIFS(guidance_agencies!$A$2:$A$81,$A55,guidance_agencies!$D$2:$D$81,"ESMA")</f>
        <v>0</v>
      </c>
      <c r="AS55" s="3" t="n">
        <f aca="false">SUMIFS(secondary_acts!$S$2:$S$771,secondary_acts!$A$2:$A$771,$A55,secondary_acts!$E$2:$E$771,"implementing")+SUMIFS(secondary_acts!$S$2:$S$771,secondary_acts!$A$2:$A$771,$A55,secondary_acts!$E$2:$E$771,"delegated")</f>
        <v>0</v>
      </c>
      <c r="AT55" s="3"/>
      <c r="AU55" s="2"/>
      <c r="AV55" s="2" t="n">
        <v>2</v>
      </c>
      <c r="AW55" s="2" t="s">
        <v>611</v>
      </c>
      <c r="AX55" s="2" t="s">
        <v>612</v>
      </c>
      <c r="AY55" s="2" t="n">
        <v>2</v>
      </c>
      <c r="AZ55" s="2" t="s">
        <v>613</v>
      </c>
      <c r="BA55" s="2" t="s">
        <v>139</v>
      </c>
      <c r="BB55" s="2" t="n">
        <v>24251</v>
      </c>
      <c r="BC55" s="2" t="n">
        <v>318</v>
      </c>
      <c r="BD55" s="2" t="n">
        <v>29</v>
      </c>
      <c r="BE55" s="2" t="n">
        <f aca="false">IF(ISNUMBER(BB55),Q55-BB55,"")</f>
        <v>2294</v>
      </c>
      <c r="BF55" s="4" t="n">
        <f aca="false">IF(AND(ISNUMBER(BB55),BB55&gt;0),(Q55-BB55)/BB55,"")</f>
        <v>0.0945940373592842</v>
      </c>
      <c r="BG55" s="2" t="n">
        <f aca="false">IF(ISNUMBER(BC55),X55-BC55,"")</f>
        <v>22</v>
      </c>
      <c r="BH55" s="4" t="n">
        <f aca="false">IF(AND(ISNUMBER(BC55),BC55&gt;0),(X55-BC55)/BC55,"")</f>
        <v>0.0691823899371069</v>
      </c>
      <c r="BI55" s="2" t="n">
        <f aca="false">IF(ISNUMBER(BD55),AD55-BD55,"")</f>
        <v>4</v>
      </c>
      <c r="BJ55" s="2"/>
    </row>
    <row r="56" customFormat="false" ht="15" hidden="false" customHeight="false" outlineLevel="0" collapsed="false">
      <c r="A56" s="2" t="n">
        <v>55</v>
      </c>
      <c r="B56" s="2" t="s">
        <v>614</v>
      </c>
      <c r="C56" s="2" t="s">
        <v>615</v>
      </c>
      <c r="D56" s="2" t="s">
        <v>520</v>
      </c>
      <c r="E56" s="2" t="s">
        <v>65</v>
      </c>
      <c r="F56" s="2" t="s">
        <v>616</v>
      </c>
      <c r="G56" s="2" t="s">
        <v>143</v>
      </c>
      <c r="H56" s="2" t="s">
        <v>444</v>
      </c>
      <c r="I56" s="2" t="s">
        <v>617</v>
      </c>
      <c r="J56" s="2" t="s">
        <v>618</v>
      </c>
      <c r="K56" s="2" t="s">
        <v>70</v>
      </c>
      <c r="L56" s="2" t="s">
        <v>70</v>
      </c>
      <c r="M56" s="2" t="s">
        <v>619</v>
      </c>
      <c r="N56" s="2" t="s">
        <v>72</v>
      </c>
      <c r="O56" s="2" t="s">
        <v>620</v>
      </c>
      <c r="P56" s="3" t="n">
        <v>33</v>
      </c>
      <c r="Q56" s="3" t="n">
        <v>20926</v>
      </c>
      <c r="R56" s="3" t="n">
        <v>8227</v>
      </c>
      <c r="S56" s="3" t="n">
        <v>8084</v>
      </c>
      <c r="T56" s="3" t="n">
        <v>12699</v>
      </c>
      <c r="U56" s="3" t="n">
        <v>0</v>
      </c>
      <c r="V56" s="3" t="n">
        <v>0</v>
      </c>
      <c r="W56" s="3" t="n">
        <v>0</v>
      </c>
      <c r="X56" s="3" t="n">
        <v>178</v>
      </c>
      <c r="Y56" s="3" t="n">
        <v>159</v>
      </c>
      <c r="Z56" s="3" t="n">
        <v>11</v>
      </c>
      <c r="AA56" s="3" t="n">
        <v>1</v>
      </c>
      <c r="AB56" s="3" t="n">
        <v>1</v>
      </c>
      <c r="AC56" s="3" t="n">
        <v>6</v>
      </c>
      <c r="AD56" s="3" t="n">
        <v>53</v>
      </c>
      <c r="AE56" s="3" t="n">
        <v>53</v>
      </c>
      <c r="AF56" s="3" t="n">
        <v>34</v>
      </c>
      <c r="AG56" s="3" t="n">
        <v>38</v>
      </c>
      <c r="AH56" s="2" t="s">
        <v>621</v>
      </c>
      <c r="AI56" s="3" t="n">
        <v>178</v>
      </c>
      <c r="AJ56" s="2" t="n">
        <v>53</v>
      </c>
      <c r="AK56" s="2" t="n">
        <f aca="false">COUNTIFS(secondary_acts!$A$2:$A$771,$A56,secondary_acts!$E$2:$E$771,"implementing")</f>
        <v>0</v>
      </c>
      <c r="AL56" s="2" t="n">
        <f aca="false">COUNTIFS(secondary_acts!$A$2:$A$771,$A56,secondary_acts!$E$2:$E$771,"delegated")</f>
        <v>0</v>
      </c>
      <c r="AM56" s="2" t="n">
        <f aca="false">COUNTIFS(secondary_acts!$A$2:$A$771,$A56,secondary_acts!$E$2:$E$771,"other Commission/Council act")</f>
        <v>0</v>
      </c>
      <c r="AN56" s="2" t="n">
        <f aca="false">COUNTIFS(secondary_acts!$A$2:$A$771,$A56,secondary_acts!$E$2:$E$771,"guidance")</f>
        <v>0</v>
      </c>
      <c r="AO56" s="2" t="n">
        <f aca="false">COUNTIF(guidance_web!$A$2:$A$7,$A56)</f>
        <v>0</v>
      </c>
      <c r="AP56" s="2" t="n">
        <f aca="false">COUNTIFS(guidance_agencies!$A$2:$A$81,$A56,guidance_agencies!$D$2:$D$81,"EDPB")</f>
        <v>0</v>
      </c>
      <c r="AQ56" s="2" t="n">
        <f aca="false">COUNTIFS(guidance_agencies!$A$2:$A$81,$A56,guidance_agencies!$D$2:$D$81,"EBA")</f>
        <v>0</v>
      </c>
      <c r="AR56" s="2" t="n">
        <f aca="false">COUNTIFS(guidance_agencies!$A$2:$A$81,$A56,guidance_agencies!$D$2:$D$81,"ESMA")</f>
        <v>1</v>
      </c>
      <c r="AS56" s="3" t="n">
        <f aca="false">SUMIFS(secondary_acts!$S$2:$S$771,secondary_acts!$A$2:$A$771,$A56,secondary_acts!$E$2:$E$771,"implementing")+SUMIFS(secondary_acts!$S$2:$S$771,secondary_acts!$A$2:$A$771,$A56,secondary_acts!$E$2:$E$771,"delegated")</f>
        <v>0</v>
      </c>
      <c r="AT56" s="3"/>
      <c r="AU56" s="2"/>
      <c r="AV56" s="2" t="n">
        <v>0</v>
      </c>
      <c r="AW56" s="2"/>
      <c r="AX56" s="2"/>
      <c r="AY56" s="2" t="n">
        <v>1</v>
      </c>
      <c r="AZ56" s="2" t="s">
        <v>622</v>
      </c>
      <c r="BA56" s="2" t="s">
        <v>139</v>
      </c>
      <c r="BB56" s="2" t="n">
        <v>12859</v>
      </c>
      <c r="BC56" s="2" t="n">
        <v>84</v>
      </c>
      <c r="BD56" s="2" t="n">
        <v>34</v>
      </c>
      <c r="BE56" s="2" t="n">
        <f aca="false">IF(ISNUMBER(BB56),Q56-BB56,"")</f>
        <v>8067</v>
      </c>
      <c r="BF56" s="4" t="n">
        <f aca="false">IF(AND(ISNUMBER(BB56),BB56&gt;0),(Q56-BB56)/BB56,"")</f>
        <v>0.627342717163076</v>
      </c>
      <c r="BG56" s="2" t="n">
        <f aca="false">IF(ISNUMBER(BC56),X56-BC56,"")</f>
        <v>94</v>
      </c>
      <c r="BH56" s="4" t="n">
        <f aca="false">IF(AND(ISNUMBER(BC56),BC56&gt;0),(X56-BC56)/BC56,"")</f>
        <v>1.11904761904762</v>
      </c>
      <c r="BI56" s="2" t="n">
        <f aca="false">IF(ISNUMBER(BD56),AD56-BD56,"")</f>
        <v>19</v>
      </c>
      <c r="BJ56" s="2" t="s">
        <v>104</v>
      </c>
    </row>
    <row r="57" customFormat="false" ht="15" hidden="false" customHeight="false" outlineLevel="0" collapsed="false">
      <c r="A57" s="2" t="n">
        <v>56</v>
      </c>
      <c r="B57" s="2" t="s">
        <v>623</v>
      </c>
      <c r="C57" s="2" t="s">
        <v>624</v>
      </c>
      <c r="D57" s="2" t="s">
        <v>218</v>
      </c>
      <c r="E57" s="2" t="s">
        <v>65</v>
      </c>
      <c r="F57" s="2" t="s">
        <v>616</v>
      </c>
      <c r="G57" s="2" t="s">
        <v>143</v>
      </c>
      <c r="H57" s="2" t="s">
        <v>625</v>
      </c>
      <c r="I57" s="2" t="s">
        <v>626</v>
      </c>
      <c r="J57" s="2" t="s">
        <v>627</v>
      </c>
      <c r="K57" s="2" t="s">
        <v>70</v>
      </c>
      <c r="L57" s="2" t="s">
        <v>70</v>
      </c>
      <c r="M57" s="2" t="s">
        <v>628</v>
      </c>
      <c r="N57" s="2" t="s">
        <v>72</v>
      </c>
      <c r="O57" s="2" t="s">
        <v>629</v>
      </c>
      <c r="P57" s="3" t="n">
        <v>166</v>
      </c>
      <c r="Q57" s="3" t="n">
        <v>95588</v>
      </c>
      <c r="R57" s="3" t="n">
        <v>15644</v>
      </c>
      <c r="S57" s="3" t="n">
        <v>15505</v>
      </c>
      <c r="T57" s="3" t="n">
        <v>69742</v>
      </c>
      <c r="U57" s="3" t="n">
        <v>10202</v>
      </c>
      <c r="V57" s="3" t="n">
        <v>0</v>
      </c>
      <c r="W57" s="3" t="n">
        <v>0</v>
      </c>
      <c r="X57" s="3" t="n">
        <v>1117</v>
      </c>
      <c r="Y57" s="3" t="n">
        <v>969</v>
      </c>
      <c r="Z57" s="3" t="n">
        <v>84</v>
      </c>
      <c r="AA57" s="3" t="n">
        <v>13</v>
      </c>
      <c r="AB57" s="3" t="n">
        <v>14</v>
      </c>
      <c r="AC57" s="3" t="n">
        <v>37</v>
      </c>
      <c r="AD57" s="3" t="n">
        <v>444</v>
      </c>
      <c r="AE57" s="3" t="n">
        <v>209</v>
      </c>
      <c r="AF57" s="3" t="n">
        <v>262</v>
      </c>
      <c r="AG57" s="3" t="n">
        <v>202</v>
      </c>
      <c r="AH57" s="2" t="s">
        <v>630</v>
      </c>
      <c r="AI57" s="3" t="n">
        <v>1129</v>
      </c>
      <c r="AJ57" s="2" t="n">
        <v>446</v>
      </c>
      <c r="AK57" s="2" t="n">
        <f aca="false">COUNTIFS(secondary_acts!$A$2:$A$771,$A57,secondary_acts!$E$2:$E$771,"implementing")</f>
        <v>8</v>
      </c>
      <c r="AL57" s="2" t="n">
        <f aca="false">COUNTIFS(secondary_acts!$A$2:$A$771,$A57,secondary_acts!$E$2:$E$771,"delegated")</f>
        <v>29</v>
      </c>
      <c r="AM57" s="2" t="n">
        <f aca="false">COUNTIFS(secondary_acts!$A$2:$A$771,$A57,secondary_acts!$E$2:$E$771,"other Commission/Council act")</f>
        <v>0</v>
      </c>
      <c r="AN57" s="2" t="n">
        <f aca="false">COUNTIFS(secondary_acts!$A$2:$A$771,$A57,secondary_acts!$E$2:$E$771,"guidance")</f>
        <v>0</v>
      </c>
      <c r="AO57" s="2" t="n">
        <f aca="false">COUNTIF(guidance_web!$A$2:$A$7,$A57)</f>
        <v>0</v>
      </c>
      <c r="AP57" s="2" t="n">
        <f aca="false">COUNTIFS(guidance_agencies!$A$2:$A$81,$A57,guidance_agencies!$D$2:$D$81,"EDPB")</f>
        <v>0</v>
      </c>
      <c r="AQ57" s="2" t="n">
        <f aca="false">COUNTIFS(guidance_agencies!$A$2:$A$81,$A57,guidance_agencies!$D$2:$D$81,"EBA")</f>
        <v>7</v>
      </c>
      <c r="AR57" s="2" t="n">
        <f aca="false">COUNTIFS(guidance_agencies!$A$2:$A$81,$A57,guidance_agencies!$D$2:$D$81,"ESMA")</f>
        <v>7</v>
      </c>
      <c r="AS57" s="3" t="n">
        <f aca="false">SUMIFS(secondary_acts!$S$2:$S$771,secondary_acts!$A$2:$A$771,$A57,secondary_acts!$E$2:$E$771,"implementing")+SUMIFS(secondary_acts!$S$2:$S$771,secondary_acts!$A$2:$A$771,$A57,secondary_acts!$E$2:$E$771,"delegated")</f>
        <v>1340</v>
      </c>
      <c r="AT57" s="3"/>
      <c r="AU57" s="2"/>
      <c r="AV57" s="2" t="n">
        <v>1</v>
      </c>
      <c r="AW57" s="2" t="s">
        <v>631</v>
      </c>
      <c r="AX57" s="2" t="s">
        <v>631</v>
      </c>
      <c r="AY57" s="2" t="n">
        <v>6</v>
      </c>
      <c r="AZ57" s="2" t="s">
        <v>632</v>
      </c>
      <c r="BA57" s="2" t="s">
        <v>139</v>
      </c>
      <c r="BB57" s="2" t="n">
        <v>64264</v>
      </c>
      <c r="BC57" s="2" t="n">
        <v>766</v>
      </c>
      <c r="BD57" s="2" t="n">
        <v>335</v>
      </c>
      <c r="BE57" s="2" t="n">
        <f aca="false">IF(ISNUMBER(BB57),Q57-BB57,"")</f>
        <v>31324</v>
      </c>
      <c r="BF57" s="4" t="n">
        <f aca="false">IF(AND(ISNUMBER(BB57),BB57&gt;0),(Q57-BB57)/BB57,"")</f>
        <v>0.487426864185236</v>
      </c>
      <c r="BG57" s="2" t="n">
        <f aca="false">IF(ISNUMBER(BC57),X57-BC57,"")</f>
        <v>351</v>
      </c>
      <c r="BH57" s="4" t="n">
        <f aca="false">IF(AND(ISNUMBER(BC57),BC57&gt;0),(X57-BC57)/BC57,"")</f>
        <v>0.45822454308094</v>
      </c>
      <c r="BI57" s="2" t="n">
        <f aca="false">IF(ISNUMBER(BD57),AD57-BD57,"")</f>
        <v>109</v>
      </c>
      <c r="BJ57" s="2"/>
    </row>
    <row r="58" customFormat="false" ht="15" hidden="false" customHeight="false" outlineLevel="0" collapsed="false">
      <c r="A58" s="2" t="n">
        <v>57</v>
      </c>
      <c r="B58" s="2" t="s">
        <v>633</v>
      </c>
      <c r="C58" s="2" t="s">
        <v>634</v>
      </c>
      <c r="D58" s="2" t="s">
        <v>218</v>
      </c>
      <c r="E58" s="2" t="s">
        <v>65</v>
      </c>
      <c r="F58" s="2" t="s">
        <v>616</v>
      </c>
      <c r="G58" s="2" t="s">
        <v>143</v>
      </c>
      <c r="H58" s="2" t="s">
        <v>313</v>
      </c>
      <c r="I58" s="2" t="s">
        <v>635</v>
      </c>
      <c r="J58" s="2" t="s">
        <v>636</v>
      </c>
      <c r="K58" s="2" t="s">
        <v>70</v>
      </c>
      <c r="L58" s="2" t="s">
        <v>70</v>
      </c>
      <c r="M58" s="2" t="s">
        <v>637</v>
      </c>
      <c r="N58" s="2" t="s">
        <v>72</v>
      </c>
      <c r="O58" s="2" t="s">
        <v>638</v>
      </c>
      <c r="P58" s="3" t="n">
        <v>79</v>
      </c>
      <c r="Q58" s="3" t="n">
        <v>43943</v>
      </c>
      <c r="R58" s="3" t="n">
        <v>14445</v>
      </c>
      <c r="S58" s="3" t="n">
        <v>14300</v>
      </c>
      <c r="T58" s="3" t="n">
        <v>29498</v>
      </c>
      <c r="U58" s="3" t="n">
        <v>0</v>
      </c>
      <c r="V58" s="3" t="n">
        <v>0</v>
      </c>
      <c r="W58" s="3" t="n">
        <v>0</v>
      </c>
      <c r="X58" s="3" t="n">
        <v>431</v>
      </c>
      <c r="Y58" s="3" t="n">
        <v>397</v>
      </c>
      <c r="Z58" s="3" t="n">
        <v>8</v>
      </c>
      <c r="AA58" s="3" t="n">
        <v>5</v>
      </c>
      <c r="AB58" s="3" t="n">
        <v>8</v>
      </c>
      <c r="AC58" s="3" t="n">
        <v>13</v>
      </c>
      <c r="AD58" s="3" t="n">
        <v>185</v>
      </c>
      <c r="AE58" s="3" t="n">
        <v>48</v>
      </c>
      <c r="AF58" s="3" t="n">
        <v>30</v>
      </c>
      <c r="AG58" s="3" t="n">
        <v>168</v>
      </c>
      <c r="AH58" s="2" t="s">
        <v>639</v>
      </c>
      <c r="AI58" s="3" t="n">
        <v>431</v>
      </c>
      <c r="AJ58" s="2" t="n">
        <v>185</v>
      </c>
      <c r="AK58" s="2" t="n">
        <f aca="false">COUNTIFS(secondary_acts!$A$2:$A$771,$A58,secondary_acts!$E$2:$E$771,"implementing")</f>
        <v>2</v>
      </c>
      <c r="AL58" s="2" t="n">
        <f aca="false">COUNTIFS(secondary_acts!$A$2:$A$771,$A58,secondary_acts!$E$2:$E$771,"delegated")</f>
        <v>10</v>
      </c>
      <c r="AM58" s="2" t="n">
        <f aca="false">COUNTIFS(secondary_acts!$A$2:$A$771,$A58,secondary_acts!$E$2:$E$771,"other Commission/Council act")</f>
        <v>0</v>
      </c>
      <c r="AN58" s="2" t="n">
        <f aca="false">COUNTIFS(secondary_acts!$A$2:$A$771,$A58,secondary_acts!$E$2:$E$771,"guidance")</f>
        <v>0</v>
      </c>
      <c r="AO58" s="2" t="n">
        <f aca="false">COUNTIF(guidance_web!$A$2:$A$7,$A58)</f>
        <v>0</v>
      </c>
      <c r="AP58" s="2" t="n">
        <f aca="false">COUNTIFS(guidance_agencies!$A$2:$A$81,$A58,guidance_agencies!$D$2:$D$81,"EDPB")</f>
        <v>0</v>
      </c>
      <c r="AQ58" s="2" t="n">
        <f aca="false">COUNTIFS(guidance_agencies!$A$2:$A$81,$A58,guidance_agencies!$D$2:$D$81,"EBA")</f>
        <v>2</v>
      </c>
      <c r="AR58" s="2" t="n">
        <f aca="false">COUNTIFS(guidance_agencies!$A$2:$A$81,$A58,guidance_agencies!$D$2:$D$81,"ESMA")</f>
        <v>0</v>
      </c>
      <c r="AS58" s="3" t="n">
        <f aca="false">SUMIFS(secondary_acts!$S$2:$S$771,secondary_acts!$A$2:$A$771,$A58,secondary_acts!$E$2:$E$771,"implementing")+SUMIFS(secondary_acts!$S$2:$S$771,secondary_acts!$A$2:$A$771,$A58,secondary_acts!$E$2:$E$771,"delegated")</f>
        <v>828</v>
      </c>
      <c r="AT58" s="3"/>
      <c r="AU58" s="2"/>
      <c r="AV58" s="2" t="n">
        <v>0</v>
      </c>
      <c r="AW58" s="2"/>
      <c r="AX58" s="2"/>
      <c r="AY58" s="2" t="n">
        <v>9</v>
      </c>
      <c r="AZ58" s="2" t="s">
        <v>640</v>
      </c>
      <c r="BA58" s="2" t="s">
        <v>139</v>
      </c>
      <c r="BB58" s="2" t="n">
        <v>35110</v>
      </c>
      <c r="BC58" s="2" t="n">
        <v>323</v>
      </c>
      <c r="BD58" s="2" t="n">
        <v>162</v>
      </c>
      <c r="BE58" s="2" t="n">
        <f aca="false">IF(ISNUMBER(BB58),Q58-BB58,"")</f>
        <v>8833</v>
      </c>
      <c r="BF58" s="4" t="n">
        <f aca="false">IF(AND(ISNUMBER(BB58),BB58&gt;0),(Q58-BB58)/BB58,"")</f>
        <v>0.251580746226146</v>
      </c>
      <c r="BG58" s="2" t="n">
        <f aca="false">IF(ISNUMBER(BC58),X58-BC58,"")</f>
        <v>108</v>
      </c>
      <c r="BH58" s="4" t="n">
        <f aca="false">IF(AND(ISNUMBER(BC58),BC58&gt;0),(X58-BC58)/BC58,"")</f>
        <v>0.334365325077399</v>
      </c>
      <c r="BI58" s="2" t="n">
        <f aca="false">IF(ISNUMBER(BD58),AD58-BD58,"")</f>
        <v>23</v>
      </c>
      <c r="BJ58" s="2" t="s">
        <v>104</v>
      </c>
    </row>
    <row r="59" customFormat="false" ht="15" hidden="false" customHeight="false" outlineLevel="0" collapsed="false">
      <c r="A59" s="2" t="n">
        <v>58</v>
      </c>
      <c r="B59" s="2" t="s">
        <v>641</v>
      </c>
      <c r="C59" s="2" t="s">
        <v>642</v>
      </c>
      <c r="D59" s="2" t="s">
        <v>164</v>
      </c>
      <c r="E59" s="2" t="s">
        <v>65</v>
      </c>
      <c r="F59" s="2" t="s">
        <v>643</v>
      </c>
      <c r="G59" s="2" t="s">
        <v>143</v>
      </c>
      <c r="H59" s="2" t="s">
        <v>444</v>
      </c>
      <c r="I59" s="2" t="s">
        <v>644</v>
      </c>
      <c r="J59" s="2" t="s">
        <v>645</v>
      </c>
      <c r="K59" s="2" t="s">
        <v>70</v>
      </c>
      <c r="L59" s="2" t="s">
        <v>70</v>
      </c>
      <c r="M59" s="2" t="s">
        <v>646</v>
      </c>
      <c r="N59" s="2" t="s">
        <v>72</v>
      </c>
      <c r="O59" s="2" t="s">
        <v>647</v>
      </c>
      <c r="P59" s="3" t="n">
        <v>44</v>
      </c>
      <c r="Q59" s="3" t="n">
        <v>27006</v>
      </c>
      <c r="R59" s="3" t="n">
        <v>12417</v>
      </c>
      <c r="S59" s="3" t="n">
        <v>12294</v>
      </c>
      <c r="T59" s="3" t="n">
        <v>14589</v>
      </c>
      <c r="U59" s="3" t="n">
        <v>0</v>
      </c>
      <c r="V59" s="3" t="n">
        <v>0</v>
      </c>
      <c r="W59" s="3" t="n">
        <v>0</v>
      </c>
      <c r="X59" s="3" t="n">
        <v>215</v>
      </c>
      <c r="Y59" s="3" t="n">
        <v>191</v>
      </c>
      <c r="Z59" s="3" t="n">
        <v>15</v>
      </c>
      <c r="AA59" s="3" t="n">
        <v>0</v>
      </c>
      <c r="AB59" s="3" t="n">
        <v>1</v>
      </c>
      <c r="AC59" s="3" t="n">
        <v>8</v>
      </c>
      <c r="AD59" s="3" t="n">
        <v>54</v>
      </c>
      <c r="AE59" s="3" t="n">
        <v>78</v>
      </c>
      <c r="AF59" s="3" t="n">
        <v>37</v>
      </c>
      <c r="AG59" s="3" t="n">
        <v>46</v>
      </c>
      <c r="AH59" s="2" t="s">
        <v>648</v>
      </c>
      <c r="AI59" s="3" t="n">
        <v>215</v>
      </c>
      <c r="AJ59" s="2" t="n">
        <v>54</v>
      </c>
      <c r="AK59" s="2" t="n">
        <f aca="false">COUNTIFS(secondary_acts!$A$2:$A$771,$A59,secondary_acts!$E$2:$E$771,"implementing")</f>
        <v>1</v>
      </c>
      <c r="AL59" s="2" t="n">
        <f aca="false">COUNTIFS(secondary_acts!$A$2:$A$771,$A59,secondary_acts!$E$2:$E$771,"delegated")</f>
        <v>0</v>
      </c>
      <c r="AM59" s="2" t="n">
        <f aca="false">COUNTIFS(secondary_acts!$A$2:$A$771,$A59,secondary_acts!$E$2:$E$771,"other Commission/Council act")</f>
        <v>0</v>
      </c>
      <c r="AN59" s="2" t="n">
        <f aca="false">COUNTIFS(secondary_acts!$A$2:$A$771,$A59,secondary_acts!$E$2:$E$771,"guidance")</f>
        <v>0</v>
      </c>
      <c r="AO59" s="2" t="n">
        <f aca="false">COUNTIF(guidance_web!$A$2:$A$7,$A59)</f>
        <v>1</v>
      </c>
      <c r="AP59" s="2" t="n">
        <f aca="false">COUNTIFS(guidance_agencies!$A$2:$A$81,$A59,guidance_agencies!$D$2:$D$81,"EDPB")</f>
        <v>0</v>
      </c>
      <c r="AQ59" s="2" t="n">
        <f aca="false">COUNTIFS(guidance_agencies!$A$2:$A$81,$A59,guidance_agencies!$D$2:$D$81,"EBA")</f>
        <v>0</v>
      </c>
      <c r="AR59" s="2" t="n">
        <f aca="false">COUNTIFS(guidance_agencies!$A$2:$A$81,$A59,guidance_agencies!$D$2:$D$81,"ESMA")</f>
        <v>0</v>
      </c>
      <c r="AS59" s="3" t="n">
        <f aca="false">SUMIFS(secondary_acts!$S$2:$S$771,secondary_acts!$A$2:$A$771,$A59,secondary_acts!$E$2:$E$771,"implementing")+SUMIFS(secondary_acts!$S$2:$S$771,secondary_acts!$A$2:$A$771,$A59,secondary_acts!$E$2:$E$771,"delegated")</f>
        <v>7</v>
      </c>
      <c r="AT59" s="3"/>
      <c r="AU59" s="2"/>
      <c r="AV59" s="2" t="n">
        <v>0</v>
      </c>
      <c r="AW59" s="2"/>
      <c r="AX59" s="2"/>
      <c r="AY59" s="2" t="n">
        <v>6</v>
      </c>
      <c r="AZ59" s="2" t="s">
        <v>649</v>
      </c>
      <c r="BA59" s="2" t="s">
        <v>139</v>
      </c>
      <c r="BB59" s="2" t="n">
        <v>15916</v>
      </c>
      <c r="BC59" s="2" t="n">
        <v>143</v>
      </c>
      <c r="BD59" s="2" t="n">
        <v>28</v>
      </c>
      <c r="BE59" s="2" t="n">
        <f aca="false">IF(ISNUMBER(BB59),Q59-BB59,"")</f>
        <v>11090</v>
      </c>
      <c r="BF59" s="4" t="n">
        <f aca="false">IF(AND(ISNUMBER(BB59),BB59&gt;0),(Q59-BB59)/BB59,"")</f>
        <v>0.696783111334506</v>
      </c>
      <c r="BG59" s="2" t="n">
        <f aca="false">IF(ISNUMBER(BC59),X59-BC59,"")</f>
        <v>72</v>
      </c>
      <c r="BH59" s="4" t="n">
        <f aca="false">IF(AND(ISNUMBER(BC59),BC59&gt;0),(X59-BC59)/BC59,"")</f>
        <v>0.503496503496504</v>
      </c>
      <c r="BI59" s="2" t="n">
        <f aca="false">IF(ISNUMBER(BD59),AD59-BD59,"")</f>
        <v>26</v>
      </c>
      <c r="BJ59" s="2" t="s">
        <v>104</v>
      </c>
    </row>
    <row r="60" customFormat="false" ht="15" hidden="false" customHeight="false" outlineLevel="0" collapsed="false">
      <c r="A60" s="2" t="n">
        <v>59</v>
      </c>
      <c r="B60" s="2" t="s">
        <v>650</v>
      </c>
      <c r="C60" s="2" t="s">
        <v>651</v>
      </c>
      <c r="D60" s="2" t="s">
        <v>186</v>
      </c>
      <c r="E60" s="2" t="s">
        <v>65</v>
      </c>
      <c r="F60" s="2" t="s">
        <v>652</v>
      </c>
      <c r="G60" s="2" t="s">
        <v>143</v>
      </c>
      <c r="H60" s="2" t="s">
        <v>653</v>
      </c>
      <c r="I60" s="2" t="s">
        <v>654</v>
      </c>
      <c r="J60" s="2" t="s">
        <v>655</v>
      </c>
      <c r="K60" s="2" t="s">
        <v>70</v>
      </c>
      <c r="L60" s="2" t="s">
        <v>70</v>
      </c>
      <c r="M60" s="2" t="s">
        <v>656</v>
      </c>
      <c r="N60" s="2" t="s">
        <v>72</v>
      </c>
      <c r="O60" s="2" t="s">
        <v>657</v>
      </c>
      <c r="P60" s="3" t="n">
        <v>66</v>
      </c>
      <c r="Q60" s="3" t="n">
        <v>39028</v>
      </c>
      <c r="R60" s="3" t="n">
        <v>18191</v>
      </c>
      <c r="S60" s="3" t="n">
        <v>18054</v>
      </c>
      <c r="T60" s="3" t="n">
        <v>18770</v>
      </c>
      <c r="U60" s="3" t="n">
        <v>2067</v>
      </c>
      <c r="V60" s="3" t="n">
        <v>0</v>
      </c>
      <c r="W60" s="3" t="n">
        <v>0</v>
      </c>
      <c r="X60" s="3" t="n">
        <v>281</v>
      </c>
      <c r="Y60" s="3" t="n">
        <v>233</v>
      </c>
      <c r="Z60" s="3" t="n">
        <v>34</v>
      </c>
      <c r="AA60" s="3" t="n">
        <v>3</v>
      </c>
      <c r="AB60" s="3" t="n">
        <v>4</v>
      </c>
      <c r="AC60" s="3" t="n">
        <v>7</v>
      </c>
      <c r="AD60" s="3" t="n">
        <v>111</v>
      </c>
      <c r="AE60" s="3" t="n">
        <v>20</v>
      </c>
      <c r="AF60" s="3" t="n">
        <v>118</v>
      </c>
      <c r="AG60" s="3" t="n">
        <v>32</v>
      </c>
      <c r="AH60" s="2" t="s">
        <v>658</v>
      </c>
      <c r="AI60" s="3" t="n">
        <v>281</v>
      </c>
      <c r="AJ60" s="2" t="n">
        <v>111</v>
      </c>
      <c r="AK60" s="2" t="n">
        <f aca="false">COUNTIFS(secondary_acts!$A$2:$A$771,$A60,secondary_acts!$E$2:$E$771,"implementing")</f>
        <v>1</v>
      </c>
      <c r="AL60" s="2" t="n">
        <f aca="false">COUNTIFS(secondary_acts!$A$2:$A$771,$A60,secondary_acts!$E$2:$E$771,"delegated")</f>
        <v>0</v>
      </c>
      <c r="AM60" s="2" t="n">
        <f aca="false">COUNTIFS(secondary_acts!$A$2:$A$771,$A60,secondary_acts!$E$2:$E$771,"other Commission/Council act")</f>
        <v>0</v>
      </c>
      <c r="AN60" s="2" t="n">
        <f aca="false">COUNTIFS(secondary_acts!$A$2:$A$771,$A60,secondary_acts!$E$2:$E$771,"guidance")</f>
        <v>0</v>
      </c>
      <c r="AO60" s="2" t="n">
        <f aca="false">COUNTIF(guidance_web!$A$2:$A$7,$A60)</f>
        <v>0</v>
      </c>
      <c r="AP60" s="2" t="n">
        <f aca="false">COUNTIFS(guidance_agencies!$A$2:$A$81,$A60,guidance_agencies!$D$2:$D$81,"EDPB")</f>
        <v>0</v>
      </c>
      <c r="AQ60" s="2" t="n">
        <f aca="false">COUNTIFS(guidance_agencies!$A$2:$A$81,$A60,guidance_agencies!$D$2:$D$81,"EBA")</f>
        <v>0</v>
      </c>
      <c r="AR60" s="2" t="n">
        <f aca="false">COUNTIFS(guidance_agencies!$A$2:$A$81,$A60,guidance_agencies!$D$2:$D$81,"ESMA")</f>
        <v>0</v>
      </c>
      <c r="AS60" s="3" t="n">
        <f aca="false">SUMIFS(secondary_acts!$S$2:$S$771,secondary_acts!$A$2:$A$771,$A60,secondary_acts!$E$2:$E$771,"implementing")+SUMIFS(secondary_acts!$S$2:$S$771,secondary_acts!$A$2:$A$771,$A60,secondary_acts!$E$2:$E$771,"delegated")</f>
        <v>72</v>
      </c>
      <c r="AT60" s="3"/>
      <c r="AU60" s="2"/>
      <c r="AV60" s="2" t="n">
        <v>0</v>
      </c>
      <c r="AW60" s="2"/>
      <c r="AX60" s="2"/>
      <c r="AY60" s="2" t="n">
        <v>3</v>
      </c>
      <c r="AZ60" s="2" t="s">
        <v>659</v>
      </c>
      <c r="BA60" s="2" t="s">
        <v>139</v>
      </c>
      <c r="BB60" s="2" t="n">
        <v>21090</v>
      </c>
      <c r="BC60" s="2" t="n">
        <v>141</v>
      </c>
      <c r="BD60" s="2" t="n">
        <v>40</v>
      </c>
      <c r="BE60" s="2" t="n">
        <f aca="false">IF(ISNUMBER(BB60),Q60-BB60,"")</f>
        <v>17938</v>
      </c>
      <c r="BF60" s="4" t="n">
        <f aca="false">IF(AND(ISNUMBER(BB60),BB60&gt;0),(Q60-BB60)/BB60,"")</f>
        <v>0.85054528212423</v>
      </c>
      <c r="BG60" s="2" t="n">
        <f aca="false">IF(ISNUMBER(BC60),X60-BC60,"")</f>
        <v>140</v>
      </c>
      <c r="BH60" s="4" t="n">
        <f aca="false">IF(AND(ISNUMBER(BC60),BC60&gt;0),(X60-BC60)/BC60,"")</f>
        <v>0.99290780141844</v>
      </c>
      <c r="BI60" s="2" t="n">
        <f aca="false">IF(ISNUMBER(BD60),AD60-BD60,"")</f>
        <v>71</v>
      </c>
      <c r="BJ60" s="2"/>
    </row>
    <row r="61" customFormat="false" ht="15" hidden="false" customHeight="false" outlineLevel="0" collapsed="false">
      <c r="A61" s="2" t="n">
        <v>60</v>
      </c>
      <c r="B61" s="2" t="s">
        <v>660</v>
      </c>
      <c r="C61" s="2" t="s">
        <v>661</v>
      </c>
      <c r="D61" s="2" t="s">
        <v>80</v>
      </c>
      <c r="E61" s="2" t="s">
        <v>65</v>
      </c>
      <c r="F61" s="2" t="s">
        <v>652</v>
      </c>
      <c r="G61" s="2" t="s">
        <v>143</v>
      </c>
      <c r="H61" s="2" t="s">
        <v>160</v>
      </c>
      <c r="I61" s="2" t="s">
        <v>662</v>
      </c>
      <c r="J61" s="2" t="s">
        <v>663</v>
      </c>
      <c r="K61" s="2" t="s">
        <v>70</v>
      </c>
      <c r="L61" s="2" t="s">
        <v>70</v>
      </c>
      <c r="M61" s="2" t="s">
        <v>664</v>
      </c>
      <c r="N61" s="2" t="s">
        <v>72</v>
      </c>
      <c r="O61" s="2" t="s">
        <v>665</v>
      </c>
      <c r="P61" s="3" t="n">
        <v>102</v>
      </c>
      <c r="Q61" s="3" t="n">
        <v>62625</v>
      </c>
      <c r="R61" s="3" t="n">
        <v>29191</v>
      </c>
      <c r="S61" s="3" t="n">
        <v>29060</v>
      </c>
      <c r="T61" s="3" t="n">
        <v>33434</v>
      </c>
      <c r="U61" s="3" t="n">
        <v>0</v>
      </c>
      <c r="V61" s="3" t="n">
        <v>0</v>
      </c>
      <c r="W61" s="3" t="n">
        <v>0</v>
      </c>
      <c r="X61" s="3" t="n">
        <v>479</v>
      </c>
      <c r="Y61" s="3" t="n">
        <v>413</v>
      </c>
      <c r="Z61" s="3" t="n">
        <v>28</v>
      </c>
      <c r="AA61" s="3" t="n">
        <v>4</v>
      </c>
      <c r="AB61" s="3" t="n">
        <v>2</v>
      </c>
      <c r="AC61" s="3" t="n">
        <v>32</v>
      </c>
      <c r="AD61" s="3" t="n">
        <v>139</v>
      </c>
      <c r="AE61" s="3" t="n">
        <v>101</v>
      </c>
      <c r="AF61" s="3" t="n">
        <v>151</v>
      </c>
      <c r="AG61" s="3" t="n">
        <v>88</v>
      </c>
      <c r="AH61" s="2" t="s">
        <v>666</v>
      </c>
      <c r="AI61" s="3" t="n">
        <v>479</v>
      </c>
      <c r="AJ61" s="2" t="n">
        <v>139</v>
      </c>
      <c r="AK61" s="2" t="n">
        <f aca="false">COUNTIFS(secondary_acts!$A$2:$A$771,$A61,secondary_acts!$E$2:$E$771,"implementing")</f>
        <v>3</v>
      </c>
      <c r="AL61" s="2" t="n">
        <f aca="false">COUNTIFS(secondary_acts!$A$2:$A$771,$A61,secondary_acts!$E$2:$E$771,"delegated")</f>
        <v>3</v>
      </c>
      <c r="AM61" s="2" t="n">
        <f aca="false">COUNTIFS(secondary_acts!$A$2:$A$771,$A61,secondary_acts!$E$2:$E$771,"other Commission/Council act")</f>
        <v>0</v>
      </c>
      <c r="AN61" s="2" t="n">
        <f aca="false">COUNTIFS(secondary_acts!$A$2:$A$771,$A61,secondary_acts!$E$2:$E$771,"guidance")</f>
        <v>2</v>
      </c>
      <c r="AO61" s="2" t="n">
        <f aca="false">COUNTIF(guidance_web!$A$2:$A$7,$A61)</f>
        <v>0</v>
      </c>
      <c r="AP61" s="2" t="n">
        <f aca="false">COUNTIFS(guidance_agencies!$A$2:$A$81,$A61,guidance_agencies!$D$2:$D$81,"EDPB")</f>
        <v>1</v>
      </c>
      <c r="AQ61" s="2" t="n">
        <f aca="false">COUNTIFS(guidance_agencies!$A$2:$A$81,$A61,guidance_agencies!$D$2:$D$81,"EBA")</f>
        <v>0</v>
      </c>
      <c r="AR61" s="2" t="n">
        <f aca="false">COUNTIFS(guidance_agencies!$A$2:$A$81,$A61,guidance_agencies!$D$2:$D$81,"ESMA")</f>
        <v>0</v>
      </c>
      <c r="AS61" s="3" t="n">
        <f aca="false">SUMIFS(secondary_acts!$S$2:$S$771,secondary_acts!$A$2:$A$771,$A61,secondary_acts!$E$2:$E$771,"implementing")+SUMIFS(secondary_acts!$S$2:$S$771,secondary_acts!$A$2:$A$771,$A61,secondary_acts!$E$2:$E$771,"delegated")</f>
        <v>543</v>
      </c>
      <c r="AT61" s="3"/>
      <c r="AU61" s="2"/>
      <c r="AV61" s="2" t="n">
        <v>0</v>
      </c>
      <c r="AW61" s="2"/>
      <c r="AX61" s="2"/>
      <c r="AY61" s="2" t="n">
        <v>10</v>
      </c>
      <c r="AZ61" s="2" t="s">
        <v>667</v>
      </c>
      <c r="BA61" s="2" t="s">
        <v>139</v>
      </c>
      <c r="BB61" s="2" t="n">
        <v>33588</v>
      </c>
      <c r="BC61" s="2" t="n">
        <v>284</v>
      </c>
      <c r="BD61" s="2" t="n">
        <v>84</v>
      </c>
      <c r="BE61" s="2" t="n">
        <f aca="false">IF(ISNUMBER(BB61),Q61-BB61,"")</f>
        <v>29037</v>
      </c>
      <c r="BF61" s="4" t="n">
        <f aca="false">IF(AND(ISNUMBER(BB61),BB61&gt;0),(Q61-BB61)/BB61,"")</f>
        <v>0.864505180421579</v>
      </c>
      <c r="BG61" s="2" t="n">
        <f aca="false">IF(ISNUMBER(BC61),X61-BC61,"")</f>
        <v>195</v>
      </c>
      <c r="BH61" s="4" t="n">
        <f aca="false">IF(AND(ISNUMBER(BC61),BC61&gt;0),(X61-BC61)/BC61,"")</f>
        <v>0.686619718309859</v>
      </c>
      <c r="BI61" s="2" t="n">
        <f aca="false">IF(ISNUMBER(BD61),AD61-BD61,"")</f>
        <v>55</v>
      </c>
      <c r="BJ61" s="2" t="s">
        <v>104</v>
      </c>
    </row>
    <row r="62" customFormat="false" ht="15" hidden="false" customHeight="false" outlineLevel="0" collapsed="false">
      <c r="A62" s="2" t="n">
        <v>61</v>
      </c>
      <c r="B62" s="2" t="s">
        <v>668</v>
      </c>
      <c r="C62" s="2" t="s">
        <v>669</v>
      </c>
      <c r="D62" s="2" t="s">
        <v>449</v>
      </c>
      <c r="E62" s="2" t="s">
        <v>65</v>
      </c>
      <c r="F62" s="2" t="s">
        <v>670</v>
      </c>
      <c r="G62" s="2" t="s">
        <v>143</v>
      </c>
      <c r="H62" s="2" t="s">
        <v>313</v>
      </c>
      <c r="I62" s="2" t="s">
        <v>635</v>
      </c>
      <c r="J62" s="2" t="s">
        <v>636</v>
      </c>
      <c r="K62" s="2" t="s">
        <v>70</v>
      </c>
      <c r="L62" s="2" t="s">
        <v>70</v>
      </c>
      <c r="M62" s="2" t="s">
        <v>671</v>
      </c>
      <c r="N62" s="2" t="s">
        <v>72</v>
      </c>
      <c r="O62" s="2" t="s">
        <v>672</v>
      </c>
      <c r="P62" s="3" t="n">
        <v>73</v>
      </c>
      <c r="Q62" s="3" t="n">
        <v>40220</v>
      </c>
      <c r="R62" s="3" t="n">
        <v>18851</v>
      </c>
      <c r="S62" s="3" t="n">
        <v>18698</v>
      </c>
      <c r="T62" s="3" t="n">
        <v>18071</v>
      </c>
      <c r="U62" s="3" t="n">
        <v>3298</v>
      </c>
      <c r="V62" s="3" t="n">
        <v>0</v>
      </c>
      <c r="W62" s="3" t="n">
        <v>0</v>
      </c>
      <c r="X62" s="3" t="n">
        <v>288</v>
      </c>
      <c r="Y62" s="3" t="n">
        <v>219</v>
      </c>
      <c r="Z62" s="3" t="n">
        <v>7</v>
      </c>
      <c r="AA62" s="3" t="n">
        <v>0</v>
      </c>
      <c r="AB62" s="3" t="n">
        <v>2</v>
      </c>
      <c r="AC62" s="3" t="n">
        <v>60</v>
      </c>
      <c r="AD62" s="3" t="n">
        <v>11</v>
      </c>
      <c r="AE62" s="3" t="n">
        <v>179</v>
      </c>
      <c r="AF62" s="3" t="n">
        <v>52</v>
      </c>
      <c r="AG62" s="3" t="n">
        <v>46</v>
      </c>
      <c r="AH62" s="2" t="s">
        <v>673</v>
      </c>
      <c r="AI62" s="3" t="n">
        <v>288</v>
      </c>
      <c r="AJ62" s="2" t="n">
        <v>11</v>
      </c>
      <c r="AK62" s="2" t="n">
        <f aca="false">COUNTIFS(secondary_acts!$A$2:$A$771,$A62,secondary_acts!$E$2:$E$771,"implementing")</f>
        <v>1</v>
      </c>
      <c r="AL62" s="2" t="n">
        <f aca="false">COUNTIFS(secondary_acts!$A$2:$A$771,$A62,secondary_acts!$E$2:$E$771,"delegated")</f>
        <v>0</v>
      </c>
      <c r="AM62" s="2" t="n">
        <f aca="false">COUNTIFS(secondary_acts!$A$2:$A$771,$A62,secondary_acts!$E$2:$E$771,"other Commission/Council act")</f>
        <v>0</v>
      </c>
      <c r="AN62" s="2" t="n">
        <f aca="false">COUNTIFS(secondary_acts!$A$2:$A$771,$A62,secondary_acts!$E$2:$E$771,"guidance")</f>
        <v>3</v>
      </c>
      <c r="AO62" s="2" t="n">
        <f aca="false">COUNTIF(guidance_web!$A$2:$A$7,$A62)</f>
        <v>0</v>
      </c>
      <c r="AP62" s="2" t="n">
        <f aca="false">COUNTIFS(guidance_agencies!$A$2:$A$81,$A62,guidance_agencies!$D$2:$D$81,"EDPB")</f>
        <v>0</v>
      </c>
      <c r="AQ62" s="2" t="n">
        <f aca="false">COUNTIFS(guidance_agencies!$A$2:$A$81,$A62,guidance_agencies!$D$2:$D$81,"EBA")</f>
        <v>0</v>
      </c>
      <c r="AR62" s="2" t="n">
        <f aca="false">COUNTIFS(guidance_agencies!$A$2:$A$81,$A62,guidance_agencies!$D$2:$D$81,"ESMA")</f>
        <v>0</v>
      </c>
      <c r="AS62" s="3" t="n">
        <f aca="false">SUMIFS(secondary_acts!$S$2:$S$771,secondary_acts!$A$2:$A$771,$A62,secondary_acts!$E$2:$E$771,"implementing")+SUMIFS(secondary_acts!$S$2:$S$771,secondary_acts!$A$2:$A$771,$A62,secondary_acts!$E$2:$E$771,"delegated")</f>
        <v>219</v>
      </c>
      <c r="AT62" s="3" t="n">
        <v>3232</v>
      </c>
      <c r="AU62" s="2" t="n">
        <v>25</v>
      </c>
      <c r="AV62" s="2" t="n">
        <v>0</v>
      </c>
      <c r="AW62" s="2"/>
      <c r="AX62" s="2"/>
      <c r="AY62" s="2" t="n">
        <v>9</v>
      </c>
      <c r="AZ62" s="2" t="s">
        <v>674</v>
      </c>
      <c r="BA62" s="2" t="s">
        <v>139</v>
      </c>
      <c r="BB62" s="2" t="n">
        <v>31823</v>
      </c>
      <c r="BC62" s="2" t="n">
        <v>227</v>
      </c>
      <c r="BD62" s="2" t="n">
        <v>12</v>
      </c>
      <c r="BE62" s="2" t="n">
        <f aca="false">IF(ISNUMBER(BB62),Q62-BB62,"")</f>
        <v>8397</v>
      </c>
      <c r="BF62" s="4" t="n">
        <f aca="false">IF(AND(ISNUMBER(BB62),BB62&gt;0),(Q62-BB62)/BB62,"")</f>
        <v>0.263865757471012</v>
      </c>
      <c r="BG62" s="2" t="n">
        <f aca="false">IF(ISNUMBER(BC62),X62-BC62,"")</f>
        <v>61</v>
      </c>
      <c r="BH62" s="4" t="n">
        <f aca="false">IF(AND(ISNUMBER(BC62),BC62&gt;0),(X62-BC62)/BC62,"")</f>
        <v>0.268722466960352</v>
      </c>
      <c r="BI62" s="2" t="n">
        <f aca="false">IF(ISNUMBER(BD62),AD62-BD62,"")</f>
        <v>-1</v>
      </c>
      <c r="BJ62" s="2"/>
    </row>
    <row r="63" customFormat="false" ht="15" hidden="false" customHeight="false" outlineLevel="0" collapsed="false">
      <c r="A63" s="2" t="n">
        <v>62</v>
      </c>
      <c r="B63" s="2" t="s">
        <v>675</v>
      </c>
      <c r="C63" s="2" t="s">
        <v>676</v>
      </c>
      <c r="D63" s="2" t="s">
        <v>533</v>
      </c>
      <c r="E63" s="2" t="s">
        <v>65</v>
      </c>
      <c r="F63" s="2" t="s">
        <v>677</v>
      </c>
      <c r="G63" s="2" t="s">
        <v>143</v>
      </c>
      <c r="H63" s="2" t="s">
        <v>678</v>
      </c>
      <c r="I63" s="2" t="s">
        <v>679</v>
      </c>
      <c r="J63" s="2" t="s">
        <v>679</v>
      </c>
      <c r="K63" s="2" t="s">
        <v>70</v>
      </c>
      <c r="L63" s="2" t="s">
        <v>70</v>
      </c>
      <c r="M63" s="2" t="s">
        <v>680</v>
      </c>
      <c r="N63" s="2" t="s">
        <v>72</v>
      </c>
      <c r="O63" s="2" t="s">
        <v>681</v>
      </c>
      <c r="P63" s="3" t="n">
        <v>103</v>
      </c>
      <c r="Q63" s="3" t="n">
        <v>50649</v>
      </c>
      <c r="R63" s="3" t="n">
        <v>13039</v>
      </c>
      <c r="S63" s="3" t="n">
        <v>12915</v>
      </c>
      <c r="T63" s="3" t="n">
        <v>34391</v>
      </c>
      <c r="U63" s="3" t="n">
        <v>3219</v>
      </c>
      <c r="V63" s="3" t="n">
        <v>0</v>
      </c>
      <c r="W63" s="3" t="n">
        <v>0</v>
      </c>
      <c r="X63" s="3" t="n">
        <v>553</v>
      </c>
      <c r="Y63" s="3" t="n">
        <v>504</v>
      </c>
      <c r="Z63" s="3" t="n">
        <v>28</v>
      </c>
      <c r="AA63" s="3" t="n">
        <v>2</v>
      </c>
      <c r="AB63" s="3" t="n">
        <v>3</v>
      </c>
      <c r="AC63" s="3" t="n">
        <v>16</v>
      </c>
      <c r="AD63" s="3" t="n">
        <v>13</v>
      </c>
      <c r="AE63" s="3" t="n">
        <v>11</v>
      </c>
      <c r="AF63" s="3" t="n">
        <v>361</v>
      </c>
      <c r="AG63" s="3" t="n">
        <v>168</v>
      </c>
      <c r="AH63" s="2" t="s">
        <v>682</v>
      </c>
      <c r="AI63" s="3" t="n">
        <v>573</v>
      </c>
      <c r="AJ63" s="2" t="n">
        <v>14</v>
      </c>
      <c r="AK63" s="2" t="n">
        <f aca="false">COUNTIFS(secondary_acts!$A$2:$A$771,$A63,secondary_acts!$E$2:$E$771,"implementing")</f>
        <v>0</v>
      </c>
      <c r="AL63" s="2" t="n">
        <f aca="false">COUNTIFS(secondary_acts!$A$2:$A$771,$A63,secondary_acts!$E$2:$E$771,"delegated")</f>
        <v>0</v>
      </c>
      <c r="AM63" s="2" t="n">
        <f aca="false">COUNTIFS(secondary_acts!$A$2:$A$771,$A63,secondary_acts!$E$2:$E$771,"other Commission/Council act")</f>
        <v>0</v>
      </c>
      <c r="AN63" s="2" t="n">
        <f aca="false">COUNTIFS(secondary_acts!$A$2:$A$771,$A63,secondary_acts!$E$2:$E$771,"guidance")</f>
        <v>0</v>
      </c>
      <c r="AO63" s="2" t="n">
        <f aca="false">COUNTIF(guidance_web!$A$2:$A$7,$A63)</f>
        <v>0</v>
      </c>
      <c r="AP63" s="2" t="n">
        <f aca="false">COUNTIFS(guidance_agencies!$A$2:$A$81,$A63,guidance_agencies!$D$2:$D$81,"EDPB")</f>
        <v>0</v>
      </c>
      <c r="AQ63" s="2" t="n">
        <f aca="false">COUNTIFS(guidance_agencies!$A$2:$A$81,$A63,guidance_agencies!$D$2:$D$81,"EBA")</f>
        <v>0</v>
      </c>
      <c r="AR63" s="2" t="n">
        <f aca="false">COUNTIFS(guidance_agencies!$A$2:$A$81,$A63,guidance_agencies!$D$2:$D$81,"ESMA")</f>
        <v>0</v>
      </c>
      <c r="AS63" s="3" t="n">
        <f aca="false">SUMIFS(secondary_acts!$S$2:$S$771,secondary_acts!$A$2:$A$771,$A63,secondary_acts!$E$2:$E$771,"implementing")+SUMIFS(secondary_acts!$S$2:$S$771,secondary_acts!$A$2:$A$771,$A63,secondary_acts!$E$2:$E$771,"delegated")</f>
        <v>0</v>
      </c>
      <c r="AT63" s="3"/>
      <c r="AU63" s="2"/>
      <c r="AV63" s="2" t="n">
        <v>1</v>
      </c>
      <c r="AW63" s="2" t="s">
        <v>683</v>
      </c>
      <c r="AX63" s="2" t="s">
        <v>683</v>
      </c>
      <c r="AY63" s="2" t="n">
        <v>1</v>
      </c>
      <c r="AZ63" s="2" t="s">
        <v>684</v>
      </c>
      <c r="BA63" s="2" t="s">
        <v>139</v>
      </c>
      <c r="BB63" s="2" t="n">
        <v>46901</v>
      </c>
      <c r="BC63" s="2" t="n">
        <v>523</v>
      </c>
      <c r="BD63" s="2" t="n">
        <v>11</v>
      </c>
      <c r="BE63" s="2" t="n">
        <f aca="false">IF(ISNUMBER(BB63),Q63-BB63,"")</f>
        <v>3748</v>
      </c>
      <c r="BF63" s="4" t="n">
        <f aca="false">IF(AND(ISNUMBER(BB63),BB63&gt;0),(Q63-BB63)/BB63,"")</f>
        <v>0.0799130082514232</v>
      </c>
      <c r="BG63" s="2" t="n">
        <f aca="false">IF(ISNUMBER(BC63),X63-BC63,"")</f>
        <v>30</v>
      </c>
      <c r="BH63" s="4" t="n">
        <f aca="false">IF(AND(ISNUMBER(BC63),BC63&gt;0),(X63-BC63)/BC63,"")</f>
        <v>0.0573613766730402</v>
      </c>
      <c r="BI63" s="2" t="n">
        <f aca="false">IF(ISNUMBER(BD63),AD63-BD63,"")</f>
        <v>2</v>
      </c>
      <c r="BJ63" s="2"/>
    </row>
    <row r="64" customFormat="false" ht="15" hidden="false" customHeight="false" outlineLevel="0" collapsed="false">
      <c r="A64" s="2" t="n">
        <v>63</v>
      </c>
      <c r="B64" s="2" t="s">
        <v>685</v>
      </c>
      <c r="C64" s="2" t="s">
        <v>686</v>
      </c>
      <c r="D64" s="2" t="s">
        <v>64</v>
      </c>
      <c r="E64" s="2" t="s">
        <v>65</v>
      </c>
      <c r="F64" s="2" t="s">
        <v>687</v>
      </c>
      <c r="G64" s="2" t="s">
        <v>143</v>
      </c>
      <c r="H64" s="2" t="s">
        <v>688</v>
      </c>
      <c r="I64" s="2" t="s">
        <v>689</v>
      </c>
      <c r="J64" s="2" t="s">
        <v>690</v>
      </c>
      <c r="K64" s="2" t="s">
        <v>70</v>
      </c>
      <c r="L64" s="2" t="s">
        <v>70</v>
      </c>
      <c r="M64" s="2" t="s">
        <v>691</v>
      </c>
      <c r="N64" s="2" t="s">
        <v>72</v>
      </c>
      <c r="O64" s="2" t="s">
        <v>692</v>
      </c>
      <c r="P64" s="3" t="n">
        <v>37</v>
      </c>
      <c r="Q64" s="3" t="n">
        <v>22492</v>
      </c>
      <c r="R64" s="3" t="n">
        <v>11653</v>
      </c>
      <c r="S64" s="3" t="n">
        <v>11532</v>
      </c>
      <c r="T64" s="3" t="n">
        <v>10036</v>
      </c>
      <c r="U64" s="3" t="n">
        <v>803</v>
      </c>
      <c r="V64" s="3" t="n">
        <v>0</v>
      </c>
      <c r="W64" s="3" t="n">
        <v>0</v>
      </c>
      <c r="X64" s="3" t="n">
        <v>162</v>
      </c>
      <c r="Y64" s="3" t="n">
        <v>141</v>
      </c>
      <c r="Z64" s="3" t="n">
        <v>14</v>
      </c>
      <c r="AA64" s="3" t="n">
        <v>1</v>
      </c>
      <c r="AB64" s="3" t="n">
        <v>0</v>
      </c>
      <c r="AC64" s="3" t="n">
        <v>6</v>
      </c>
      <c r="AD64" s="3" t="n">
        <v>60</v>
      </c>
      <c r="AE64" s="3" t="n">
        <v>29</v>
      </c>
      <c r="AF64" s="3" t="n">
        <v>25</v>
      </c>
      <c r="AG64" s="3" t="n">
        <v>48</v>
      </c>
      <c r="AH64" s="2" t="s">
        <v>693</v>
      </c>
      <c r="AI64" s="3" t="n">
        <v>162</v>
      </c>
      <c r="AJ64" s="2" t="n">
        <v>60</v>
      </c>
      <c r="AK64" s="2" t="n">
        <f aca="false">COUNTIFS(secondary_acts!$A$2:$A$771,$A64,secondary_acts!$E$2:$E$771,"implementing")</f>
        <v>0</v>
      </c>
      <c r="AL64" s="2" t="n">
        <f aca="false">COUNTIFS(secondary_acts!$A$2:$A$771,$A64,secondary_acts!$E$2:$E$771,"delegated")</f>
        <v>0</v>
      </c>
      <c r="AM64" s="2" t="n">
        <f aca="false">COUNTIFS(secondary_acts!$A$2:$A$771,$A64,secondary_acts!$E$2:$E$771,"other Commission/Council act")</f>
        <v>0</v>
      </c>
      <c r="AN64" s="2" t="n">
        <f aca="false">COUNTIFS(secondary_acts!$A$2:$A$771,$A64,secondary_acts!$E$2:$E$771,"guidance")</f>
        <v>0</v>
      </c>
      <c r="AO64" s="2" t="n">
        <f aca="false">COUNTIF(guidance_web!$A$2:$A$7,$A64)</f>
        <v>0</v>
      </c>
      <c r="AP64" s="2" t="n">
        <f aca="false">COUNTIFS(guidance_agencies!$A$2:$A$81,$A64,guidance_agencies!$D$2:$D$81,"EDPB")</f>
        <v>0</v>
      </c>
      <c r="AQ64" s="2" t="n">
        <f aca="false">COUNTIFS(guidance_agencies!$A$2:$A$81,$A64,guidance_agencies!$D$2:$D$81,"EBA")</f>
        <v>0</v>
      </c>
      <c r="AR64" s="2" t="n">
        <f aca="false">COUNTIFS(guidance_agencies!$A$2:$A$81,$A64,guidance_agencies!$D$2:$D$81,"ESMA")</f>
        <v>0</v>
      </c>
      <c r="AS64" s="3" t="n">
        <f aca="false">SUMIFS(secondary_acts!$S$2:$S$771,secondary_acts!$A$2:$A$771,$A64,secondary_acts!$E$2:$E$771,"implementing")+SUMIFS(secondary_acts!$S$2:$S$771,secondary_acts!$A$2:$A$771,$A64,secondary_acts!$E$2:$E$771,"delegated")</f>
        <v>0</v>
      </c>
      <c r="AT64" s="3"/>
      <c r="AU64" s="2"/>
      <c r="AV64" s="2" t="n">
        <v>0</v>
      </c>
      <c r="AW64" s="2"/>
      <c r="AX64" s="2"/>
      <c r="AY64" s="2" t="n">
        <v>2</v>
      </c>
      <c r="AZ64" s="2" t="s">
        <v>694</v>
      </c>
      <c r="BA64" s="2" t="s">
        <v>139</v>
      </c>
      <c r="BB64" s="2" t="n">
        <v>29549</v>
      </c>
      <c r="BC64" s="2" t="n">
        <v>184</v>
      </c>
      <c r="BD64" s="2" t="n">
        <v>64</v>
      </c>
      <c r="BE64" s="2" t="n">
        <f aca="false">IF(ISNUMBER(BB64),Q64-BB64,"")</f>
        <v>-7057</v>
      </c>
      <c r="BF64" s="4" t="n">
        <f aca="false">IF(AND(ISNUMBER(BB64),BB64&gt;0),(Q64-BB64)/BB64,"")</f>
        <v>-0.238823648854445</v>
      </c>
      <c r="BG64" s="2" t="n">
        <f aca="false">IF(ISNUMBER(BC64),X64-BC64,"")</f>
        <v>-22</v>
      </c>
      <c r="BH64" s="4" t="n">
        <f aca="false">IF(AND(ISNUMBER(BC64),BC64&gt;0),(X64-BC64)/BC64,"")</f>
        <v>-0.119565217391304</v>
      </c>
      <c r="BI64" s="2" t="n">
        <f aca="false">IF(ISNUMBER(BD64),AD64-BD64,"")</f>
        <v>-4</v>
      </c>
      <c r="BJ64" s="2" t="s">
        <v>104</v>
      </c>
    </row>
    <row r="65" customFormat="false" ht="15" hidden="false" customHeight="false" outlineLevel="0" collapsed="false">
      <c r="A65" s="2" t="n">
        <v>64</v>
      </c>
      <c r="B65" s="2" t="s">
        <v>695</v>
      </c>
      <c r="C65" s="2" t="s">
        <v>696</v>
      </c>
      <c r="D65" s="2" t="s">
        <v>255</v>
      </c>
      <c r="E65" s="2" t="s">
        <v>65</v>
      </c>
      <c r="F65" s="2" t="s">
        <v>697</v>
      </c>
      <c r="G65" s="2" t="s">
        <v>143</v>
      </c>
      <c r="H65" s="2" t="s">
        <v>372</v>
      </c>
      <c r="I65" s="2" t="s">
        <v>698</v>
      </c>
      <c r="J65" s="2" t="s">
        <v>699</v>
      </c>
      <c r="K65" s="2" t="s">
        <v>70</v>
      </c>
      <c r="L65" s="2" t="s">
        <v>70</v>
      </c>
      <c r="M65" s="2" t="s">
        <v>700</v>
      </c>
      <c r="N65" s="2" t="s">
        <v>72</v>
      </c>
      <c r="O65" s="2" t="s">
        <v>701</v>
      </c>
      <c r="P65" s="3" t="n">
        <v>144</v>
      </c>
      <c r="Q65" s="3" t="n">
        <v>88508</v>
      </c>
      <c r="R65" s="3" t="n">
        <v>34913</v>
      </c>
      <c r="S65" s="3" t="n">
        <v>34737</v>
      </c>
      <c r="T65" s="3" t="n">
        <v>45964</v>
      </c>
      <c r="U65" s="3" t="n">
        <v>7631</v>
      </c>
      <c r="V65" s="3" t="n">
        <v>0</v>
      </c>
      <c r="W65" s="3" t="n">
        <v>0</v>
      </c>
      <c r="X65" s="3" t="n">
        <v>767</v>
      </c>
      <c r="Y65" s="3" t="n">
        <v>688</v>
      </c>
      <c r="Z65" s="3" t="n">
        <v>37</v>
      </c>
      <c r="AA65" s="3" t="n">
        <v>4</v>
      </c>
      <c r="AB65" s="3" t="n">
        <v>5</v>
      </c>
      <c r="AC65" s="3" t="n">
        <v>33</v>
      </c>
      <c r="AD65" s="3" t="n">
        <v>217</v>
      </c>
      <c r="AE65" s="3" t="n">
        <v>133</v>
      </c>
      <c r="AF65" s="3" t="n">
        <v>173</v>
      </c>
      <c r="AG65" s="3" t="n">
        <v>244</v>
      </c>
      <c r="AH65" s="2" t="s">
        <v>702</v>
      </c>
      <c r="AI65" s="3" t="n">
        <v>863</v>
      </c>
      <c r="AJ65" s="2" t="n">
        <v>229</v>
      </c>
      <c r="AK65" s="2" t="n">
        <f aca="false">COUNTIFS(secondary_acts!$A$2:$A$771,$A65,secondary_acts!$E$2:$E$771,"implementing")</f>
        <v>2</v>
      </c>
      <c r="AL65" s="2" t="n">
        <f aca="false">COUNTIFS(secondary_acts!$A$2:$A$771,$A65,secondary_acts!$E$2:$E$771,"delegated")</f>
        <v>0</v>
      </c>
      <c r="AM65" s="2" t="n">
        <f aca="false">COUNTIFS(secondary_acts!$A$2:$A$771,$A65,secondary_acts!$E$2:$E$771,"other Commission/Council act")</f>
        <v>0</v>
      </c>
      <c r="AN65" s="2" t="n">
        <f aca="false">COUNTIFS(secondary_acts!$A$2:$A$771,$A65,secondary_acts!$E$2:$E$771,"guidance")</f>
        <v>0</v>
      </c>
      <c r="AO65" s="2" t="n">
        <f aca="false">COUNTIF(guidance_web!$A$2:$A$7,$A65)</f>
        <v>3</v>
      </c>
      <c r="AP65" s="2" t="n">
        <f aca="false">COUNTIFS(guidance_agencies!$A$2:$A$81,$A65,guidance_agencies!$D$2:$D$81,"EDPB")</f>
        <v>0</v>
      </c>
      <c r="AQ65" s="2" t="n">
        <f aca="false">COUNTIFS(guidance_agencies!$A$2:$A$81,$A65,guidance_agencies!$D$2:$D$81,"EBA")</f>
        <v>0</v>
      </c>
      <c r="AR65" s="2" t="n">
        <f aca="false">COUNTIFS(guidance_agencies!$A$2:$A$81,$A65,guidance_agencies!$D$2:$D$81,"ESMA")</f>
        <v>0</v>
      </c>
      <c r="AS65" s="3" t="n">
        <f aca="false">SUMIFS(secondary_acts!$S$2:$S$771,secondary_acts!$A$2:$A$771,$A65,secondary_acts!$E$2:$E$771,"implementing")+SUMIFS(secondary_acts!$S$2:$S$771,secondary_acts!$A$2:$A$771,$A65,secondary_acts!$E$2:$E$771,"delegated")</f>
        <v>159</v>
      </c>
      <c r="AT65" s="3"/>
      <c r="AU65" s="2"/>
      <c r="AV65" s="2" t="n">
        <v>1</v>
      </c>
      <c r="AW65" s="2" t="s">
        <v>490</v>
      </c>
      <c r="AX65" s="2" t="s">
        <v>490</v>
      </c>
      <c r="AY65" s="2" t="n">
        <v>4</v>
      </c>
      <c r="AZ65" s="2" t="s">
        <v>703</v>
      </c>
      <c r="BA65" s="2" t="s">
        <v>139</v>
      </c>
      <c r="BB65" s="2" t="n">
        <v>38412</v>
      </c>
      <c r="BC65" s="2" t="n">
        <v>394</v>
      </c>
      <c r="BD65" s="2" t="n">
        <v>126</v>
      </c>
      <c r="BE65" s="2" t="n">
        <f aca="false">IF(ISNUMBER(BB65),Q65-BB65,"")</f>
        <v>50096</v>
      </c>
      <c r="BF65" s="4" t="n">
        <f aca="false">IF(AND(ISNUMBER(BB65),BB65&gt;0),(Q65-BB65)/BB65,"")</f>
        <v>1.30417577840258</v>
      </c>
      <c r="BG65" s="2" t="n">
        <f aca="false">IF(ISNUMBER(BC65),X65-BC65,"")</f>
        <v>373</v>
      </c>
      <c r="BH65" s="4" t="n">
        <f aca="false">IF(AND(ISNUMBER(BC65),BC65&gt;0),(X65-BC65)/BC65,"")</f>
        <v>0.946700507614213</v>
      </c>
      <c r="BI65" s="2" t="n">
        <f aca="false">IF(ISNUMBER(BD65),AD65-BD65,"")</f>
        <v>91</v>
      </c>
      <c r="BJ65" s="2"/>
    </row>
    <row r="66" customFormat="false" ht="15" hidden="false" customHeight="false" outlineLevel="0" collapsed="false">
      <c r="A66" s="2" t="n">
        <v>65</v>
      </c>
      <c r="B66" s="2" t="s">
        <v>704</v>
      </c>
      <c r="C66" s="2" t="s">
        <v>705</v>
      </c>
      <c r="D66" s="2" t="s">
        <v>255</v>
      </c>
      <c r="E66" s="2" t="s">
        <v>65</v>
      </c>
      <c r="F66" s="2" t="s">
        <v>697</v>
      </c>
      <c r="G66" s="2" t="s">
        <v>143</v>
      </c>
      <c r="H66" s="2" t="s">
        <v>706</v>
      </c>
      <c r="I66" s="2" t="s">
        <v>627</v>
      </c>
      <c r="J66" s="2" t="s">
        <v>707</v>
      </c>
      <c r="K66" s="2" t="s">
        <v>70</v>
      </c>
      <c r="L66" s="2" t="s">
        <v>70</v>
      </c>
      <c r="M66" s="2" t="s">
        <v>708</v>
      </c>
      <c r="N66" s="2" t="s">
        <v>72</v>
      </c>
      <c r="O66" s="2" t="s">
        <v>709</v>
      </c>
      <c r="P66" s="3" t="n">
        <v>102</v>
      </c>
      <c r="Q66" s="3" t="n">
        <v>51980</v>
      </c>
      <c r="R66" s="3" t="n">
        <v>7189</v>
      </c>
      <c r="S66" s="3" t="n">
        <v>7064</v>
      </c>
      <c r="T66" s="3" t="n">
        <v>16691</v>
      </c>
      <c r="U66" s="3" t="n">
        <v>28100</v>
      </c>
      <c r="V66" s="3" t="n">
        <v>0</v>
      </c>
      <c r="W66" s="3" t="n">
        <v>0</v>
      </c>
      <c r="X66" s="3" t="n">
        <v>921</v>
      </c>
      <c r="Y66" s="3" t="n">
        <v>806</v>
      </c>
      <c r="Z66" s="3" t="n">
        <v>62</v>
      </c>
      <c r="AA66" s="3" t="n">
        <v>8</v>
      </c>
      <c r="AB66" s="3" t="n">
        <v>8</v>
      </c>
      <c r="AC66" s="3" t="n">
        <v>37</v>
      </c>
      <c r="AD66" s="3" t="n">
        <v>292</v>
      </c>
      <c r="AE66" s="3" t="n">
        <v>53</v>
      </c>
      <c r="AF66" s="3" t="n">
        <v>61</v>
      </c>
      <c r="AG66" s="3" t="n">
        <v>515</v>
      </c>
      <c r="AH66" s="2" t="s">
        <v>710</v>
      </c>
      <c r="AI66" s="3" t="n">
        <v>956</v>
      </c>
      <c r="AJ66" s="2" t="n">
        <v>297</v>
      </c>
      <c r="AK66" s="2" t="n">
        <f aca="false">COUNTIFS(secondary_acts!$A$2:$A$771,$A66,secondary_acts!$E$2:$E$771,"implementing")</f>
        <v>1</v>
      </c>
      <c r="AL66" s="2" t="n">
        <f aca="false">COUNTIFS(secondary_acts!$A$2:$A$771,$A66,secondary_acts!$E$2:$E$771,"delegated")</f>
        <v>0</v>
      </c>
      <c r="AM66" s="2" t="n">
        <f aca="false">COUNTIFS(secondary_acts!$A$2:$A$771,$A66,secondary_acts!$E$2:$E$771,"other Commission/Council act")</f>
        <v>0</v>
      </c>
      <c r="AN66" s="2" t="n">
        <f aca="false">COUNTIFS(secondary_acts!$A$2:$A$771,$A66,secondary_acts!$E$2:$E$771,"guidance")</f>
        <v>1</v>
      </c>
      <c r="AO66" s="2" t="n">
        <f aca="false">COUNTIF(guidance_web!$A$2:$A$7,$A66)</f>
        <v>0</v>
      </c>
      <c r="AP66" s="2" t="n">
        <f aca="false">COUNTIFS(guidance_agencies!$A$2:$A$81,$A66,guidance_agencies!$D$2:$D$81,"EDPB")</f>
        <v>0</v>
      </c>
      <c r="AQ66" s="2" t="n">
        <f aca="false">COUNTIFS(guidance_agencies!$A$2:$A$81,$A66,guidance_agencies!$D$2:$D$81,"EBA")</f>
        <v>0</v>
      </c>
      <c r="AR66" s="2" t="n">
        <f aca="false">COUNTIFS(guidance_agencies!$A$2:$A$81,$A66,guidance_agencies!$D$2:$D$81,"ESMA")</f>
        <v>0</v>
      </c>
      <c r="AS66" s="3" t="n">
        <f aca="false">SUMIFS(secondary_acts!$S$2:$S$771,secondary_acts!$A$2:$A$771,$A66,secondary_acts!$E$2:$E$771,"implementing")+SUMIFS(secondary_acts!$S$2:$S$771,secondary_acts!$A$2:$A$771,$A66,secondary_acts!$E$2:$E$771,"delegated")</f>
        <v>1</v>
      </c>
      <c r="AT66" s="3"/>
      <c r="AU66" s="2"/>
      <c r="AV66" s="2" t="n">
        <v>2</v>
      </c>
      <c r="AW66" s="2" t="s">
        <v>711</v>
      </c>
      <c r="AX66" s="2" t="s">
        <v>490</v>
      </c>
      <c r="AY66" s="2" t="n">
        <v>3</v>
      </c>
      <c r="AZ66" s="2" t="s">
        <v>712</v>
      </c>
      <c r="BA66" s="2" t="s">
        <v>139</v>
      </c>
      <c r="BB66" s="2" t="n">
        <v>43556</v>
      </c>
      <c r="BC66" s="2" t="n">
        <v>814</v>
      </c>
      <c r="BD66" s="2" t="n">
        <v>240</v>
      </c>
      <c r="BE66" s="2" t="n">
        <f aca="false">IF(ISNUMBER(BB66),Q66-BB66,"")</f>
        <v>8424</v>
      </c>
      <c r="BF66" s="4" t="n">
        <f aca="false">IF(AND(ISNUMBER(BB66),BB66&gt;0),(Q66-BB66)/BB66,"")</f>
        <v>0.193406189732758</v>
      </c>
      <c r="BG66" s="2" t="n">
        <f aca="false">IF(ISNUMBER(BC66),X66-BC66,"")</f>
        <v>107</v>
      </c>
      <c r="BH66" s="4" t="n">
        <f aca="false">IF(AND(ISNUMBER(BC66),BC66&gt;0),(X66-BC66)/BC66,"")</f>
        <v>0.131449631449631</v>
      </c>
      <c r="BI66" s="2" t="n">
        <f aca="false">IF(ISNUMBER(BD66),AD66-BD66,"")</f>
        <v>52</v>
      </c>
      <c r="BJ66" s="2"/>
    </row>
    <row r="67" customFormat="false" ht="15" hidden="false" customHeight="false" outlineLevel="0" collapsed="false">
      <c r="A67" s="2" t="n">
        <v>66</v>
      </c>
      <c r="B67" s="2" t="s">
        <v>713</v>
      </c>
      <c r="C67" s="2" t="s">
        <v>714</v>
      </c>
      <c r="D67" s="2" t="s">
        <v>186</v>
      </c>
      <c r="E67" s="2" t="s">
        <v>65</v>
      </c>
      <c r="F67" s="2" t="s">
        <v>715</v>
      </c>
      <c r="G67" s="2" t="s">
        <v>143</v>
      </c>
      <c r="H67" s="2" t="s">
        <v>313</v>
      </c>
      <c r="I67" s="2" t="s">
        <v>716</v>
      </c>
      <c r="J67" s="2" t="s">
        <v>717</v>
      </c>
      <c r="K67" s="2" t="s">
        <v>70</v>
      </c>
      <c r="L67" s="2" t="s">
        <v>70</v>
      </c>
      <c r="M67" s="2" t="s">
        <v>718</v>
      </c>
      <c r="N67" s="2" t="s">
        <v>72</v>
      </c>
      <c r="O67" s="2" t="s">
        <v>719</v>
      </c>
      <c r="P67" s="3" t="n">
        <v>45</v>
      </c>
      <c r="Q67" s="3" t="n">
        <v>23466</v>
      </c>
      <c r="R67" s="3" t="n">
        <v>7459</v>
      </c>
      <c r="S67" s="3" t="n">
        <v>7351</v>
      </c>
      <c r="T67" s="3" t="n">
        <v>16007</v>
      </c>
      <c r="U67" s="3" t="n">
        <v>0</v>
      </c>
      <c r="V67" s="3" t="n">
        <v>0</v>
      </c>
      <c r="W67" s="3" t="n">
        <v>0</v>
      </c>
      <c r="X67" s="3" t="n">
        <v>176</v>
      </c>
      <c r="Y67" s="3" t="n">
        <v>146</v>
      </c>
      <c r="Z67" s="3" t="n">
        <v>26</v>
      </c>
      <c r="AA67" s="3" t="n">
        <v>0</v>
      </c>
      <c r="AB67" s="3" t="n">
        <v>2</v>
      </c>
      <c r="AC67" s="3" t="n">
        <v>2</v>
      </c>
      <c r="AD67" s="3" t="n">
        <v>20</v>
      </c>
      <c r="AE67" s="3" t="n">
        <v>14</v>
      </c>
      <c r="AF67" s="3" t="n">
        <v>86</v>
      </c>
      <c r="AG67" s="3" t="n">
        <v>56</v>
      </c>
      <c r="AH67" s="2" t="s">
        <v>720</v>
      </c>
      <c r="AI67" s="3" t="n">
        <v>176</v>
      </c>
      <c r="AJ67" s="2" t="n">
        <v>20</v>
      </c>
      <c r="AK67" s="2" t="n">
        <f aca="false">COUNTIFS(secondary_acts!$A$2:$A$771,$A67,secondary_acts!$E$2:$E$771,"implementing")</f>
        <v>2</v>
      </c>
      <c r="AL67" s="2" t="n">
        <f aca="false">COUNTIFS(secondary_acts!$A$2:$A$771,$A67,secondary_acts!$E$2:$E$771,"delegated")</f>
        <v>0</v>
      </c>
      <c r="AM67" s="2" t="n">
        <f aca="false">COUNTIFS(secondary_acts!$A$2:$A$771,$A67,secondary_acts!$E$2:$E$771,"other Commission/Council act")</f>
        <v>0</v>
      </c>
      <c r="AN67" s="2" t="n">
        <f aca="false">COUNTIFS(secondary_acts!$A$2:$A$771,$A67,secondary_acts!$E$2:$E$771,"guidance")</f>
        <v>1</v>
      </c>
      <c r="AO67" s="2" t="n">
        <f aca="false">COUNTIF(guidance_web!$A$2:$A$7,$A67)</f>
        <v>0</v>
      </c>
      <c r="AP67" s="2" t="n">
        <f aca="false">COUNTIFS(guidance_agencies!$A$2:$A$81,$A67,guidance_agencies!$D$2:$D$81,"EDPB")</f>
        <v>0</v>
      </c>
      <c r="AQ67" s="2" t="n">
        <f aca="false">COUNTIFS(guidance_agencies!$A$2:$A$81,$A67,guidance_agencies!$D$2:$D$81,"EBA")</f>
        <v>0</v>
      </c>
      <c r="AR67" s="2" t="n">
        <f aca="false">COUNTIFS(guidance_agencies!$A$2:$A$81,$A67,guidance_agencies!$D$2:$D$81,"ESMA")</f>
        <v>0</v>
      </c>
      <c r="AS67" s="3" t="n">
        <f aca="false">SUMIFS(secondary_acts!$S$2:$S$771,secondary_acts!$A$2:$A$771,$A67,secondary_acts!$E$2:$E$771,"implementing")+SUMIFS(secondary_acts!$S$2:$S$771,secondary_acts!$A$2:$A$771,$A67,secondary_acts!$E$2:$E$771,"delegated")</f>
        <v>191</v>
      </c>
      <c r="AT67" s="3"/>
      <c r="AU67" s="2"/>
      <c r="AV67" s="2" t="n">
        <v>0</v>
      </c>
      <c r="AW67" s="2"/>
      <c r="AX67" s="2"/>
      <c r="AY67" s="2" t="n">
        <v>2</v>
      </c>
      <c r="AZ67" s="2" t="s">
        <v>721</v>
      </c>
      <c r="BA67" s="2" t="s">
        <v>139</v>
      </c>
      <c r="BB67" s="2" t="n">
        <v>13590</v>
      </c>
      <c r="BC67" s="2" t="n">
        <v>112</v>
      </c>
      <c r="BD67" s="2" t="n">
        <v>20</v>
      </c>
      <c r="BE67" s="2" t="n">
        <f aca="false">IF(ISNUMBER(BB67),Q67-BB67,"")</f>
        <v>9876</v>
      </c>
      <c r="BF67" s="4" t="n">
        <f aca="false">IF(AND(ISNUMBER(BB67),BB67&gt;0),(Q67-BB67)/BB67,"")</f>
        <v>0.726710816777042</v>
      </c>
      <c r="BG67" s="2" t="n">
        <f aca="false">IF(ISNUMBER(BC67),X67-BC67,"")</f>
        <v>64</v>
      </c>
      <c r="BH67" s="4" t="n">
        <f aca="false">IF(AND(ISNUMBER(BC67),BC67&gt;0),(X67-BC67)/BC67,"")</f>
        <v>0.571428571428571</v>
      </c>
      <c r="BI67" s="2" t="n">
        <f aca="false">IF(ISNUMBER(BD67),AD67-BD67,"")</f>
        <v>0</v>
      </c>
      <c r="BJ67" s="2"/>
    </row>
    <row r="68" customFormat="false" ht="15" hidden="false" customHeight="false" outlineLevel="0" collapsed="false">
      <c r="A68" s="2" t="n">
        <v>67</v>
      </c>
      <c r="B68" s="2" t="s">
        <v>722</v>
      </c>
      <c r="C68" s="2" t="s">
        <v>723</v>
      </c>
      <c r="D68" s="2" t="s">
        <v>255</v>
      </c>
      <c r="E68" s="2" t="s">
        <v>65</v>
      </c>
      <c r="F68" s="2" t="s">
        <v>724</v>
      </c>
      <c r="G68" s="2" t="s">
        <v>143</v>
      </c>
      <c r="H68" s="2" t="s">
        <v>725</v>
      </c>
      <c r="I68" s="2" t="s">
        <v>726</v>
      </c>
      <c r="J68" s="2" t="s">
        <v>727</v>
      </c>
      <c r="K68" s="2" t="s">
        <v>70</v>
      </c>
      <c r="L68" s="2" t="s">
        <v>70</v>
      </c>
      <c r="M68" s="2" t="s">
        <v>728</v>
      </c>
      <c r="N68" s="2" t="s">
        <v>72</v>
      </c>
      <c r="O68" s="2" t="s">
        <v>729</v>
      </c>
      <c r="P68" s="3" t="n">
        <v>51</v>
      </c>
      <c r="Q68" s="3" t="n">
        <v>27494</v>
      </c>
      <c r="R68" s="3" t="n">
        <v>11555</v>
      </c>
      <c r="S68" s="3" t="n">
        <v>11402</v>
      </c>
      <c r="T68" s="3" t="n">
        <v>15446</v>
      </c>
      <c r="U68" s="3" t="n">
        <v>493</v>
      </c>
      <c r="V68" s="3" t="n">
        <v>0</v>
      </c>
      <c r="W68" s="3" t="n">
        <v>0</v>
      </c>
      <c r="X68" s="3" t="n">
        <v>249</v>
      </c>
      <c r="Y68" s="3" t="n">
        <v>209</v>
      </c>
      <c r="Z68" s="3" t="n">
        <v>11</v>
      </c>
      <c r="AA68" s="3" t="n">
        <v>7</v>
      </c>
      <c r="AB68" s="3" t="n">
        <v>1</v>
      </c>
      <c r="AC68" s="3" t="n">
        <v>21</v>
      </c>
      <c r="AD68" s="3" t="n">
        <v>102</v>
      </c>
      <c r="AE68" s="3" t="n">
        <v>33</v>
      </c>
      <c r="AF68" s="3" t="n">
        <v>74</v>
      </c>
      <c r="AG68" s="3" t="n">
        <v>40</v>
      </c>
      <c r="AH68" s="2" t="s">
        <v>730</v>
      </c>
      <c r="AI68" s="3" t="n">
        <v>248</v>
      </c>
      <c r="AJ68" s="2" t="n">
        <v>102</v>
      </c>
      <c r="AK68" s="2" t="n">
        <f aca="false">COUNTIFS(secondary_acts!$A$2:$A$771,$A68,secondary_acts!$E$2:$E$771,"implementing")</f>
        <v>5</v>
      </c>
      <c r="AL68" s="2" t="n">
        <f aca="false">COUNTIFS(secondary_acts!$A$2:$A$771,$A68,secondary_acts!$E$2:$E$771,"delegated")</f>
        <v>1</v>
      </c>
      <c r="AM68" s="2" t="n">
        <f aca="false">COUNTIFS(secondary_acts!$A$2:$A$771,$A68,secondary_acts!$E$2:$E$771,"other Commission/Council act")</f>
        <v>0</v>
      </c>
      <c r="AN68" s="2" t="n">
        <f aca="false">COUNTIFS(secondary_acts!$A$2:$A$771,$A68,secondary_acts!$E$2:$E$771,"guidance")</f>
        <v>2</v>
      </c>
      <c r="AO68" s="2" t="n">
        <f aca="false">COUNTIF(guidance_web!$A$2:$A$7,$A68)</f>
        <v>0</v>
      </c>
      <c r="AP68" s="2" t="n">
        <f aca="false">COUNTIFS(guidance_agencies!$A$2:$A$81,$A68,guidance_agencies!$D$2:$D$81,"EDPB")</f>
        <v>0</v>
      </c>
      <c r="AQ68" s="2" t="n">
        <f aca="false">COUNTIFS(guidance_agencies!$A$2:$A$81,$A68,guidance_agencies!$D$2:$D$81,"EBA")</f>
        <v>0</v>
      </c>
      <c r="AR68" s="2" t="n">
        <f aca="false">COUNTIFS(guidance_agencies!$A$2:$A$81,$A68,guidance_agencies!$D$2:$D$81,"ESMA")</f>
        <v>0</v>
      </c>
      <c r="AS68" s="3" t="n">
        <f aca="false">SUMIFS(secondary_acts!$S$2:$S$771,secondary_acts!$A$2:$A$771,$A68,secondary_acts!$E$2:$E$771,"implementing")+SUMIFS(secondary_acts!$S$2:$S$771,secondary_acts!$A$2:$A$771,$A68,secondary_acts!$E$2:$E$771,"delegated")</f>
        <v>138</v>
      </c>
      <c r="AT68" s="3"/>
      <c r="AU68" s="2"/>
      <c r="AV68" s="2" t="n">
        <v>1</v>
      </c>
      <c r="AW68" s="2" t="s">
        <v>711</v>
      </c>
      <c r="AX68" s="2" t="s">
        <v>711</v>
      </c>
      <c r="AY68" s="2" t="n">
        <v>4</v>
      </c>
      <c r="AZ68" s="2" t="s">
        <v>731</v>
      </c>
      <c r="BA68" s="2" t="s">
        <v>139</v>
      </c>
      <c r="BB68" s="2" t="n">
        <v>19646</v>
      </c>
      <c r="BC68" s="2" t="n">
        <v>198</v>
      </c>
      <c r="BD68" s="2" t="n">
        <v>83</v>
      </c>
      <c r="BE68" s="2" t="n">
        <f aca="false">IF(ISNUMBER(BB68),Q68-BB68,"")</f>
        <v>7848</v>
      </c>
      <c r="BF68" s="4" t="n">
        <f aca="false">IF(AND(ISNUMBER(BB68),BB68&gt;0),(Q68-BB68)/BB68,"")</f>
        <v>0.399470630153721</v>
      </c>
      <c r="BG68" s="2" t="n">
        <f aca="false">IF(ISNUMBER(BC68),X68-BC68,"")</f>
        <v>51</v>
      </c>
      <c r="BH68" s="4" t="n">
        <f aca="false">IF(AND(ISNUMBER(BC68),BC68&gt;0),(X68-BC68)/BC68,"")</f>
        <v>0.257575757575758</v>
      </c>
      <c r="BI68" s="2" t="n">
        <f aca="false">IF(ISNUMBER(BD68),AD68-BD68,"")</f>
        <v>19</v>
      </c>
      <c r="BJ68" s="2"/>
    </row>
    <row r="69" customFormat="false" ht="15" hidden="false" customHeight="false" outlineLevel="0" collapsed="false">
      <c r="A69" s="2" t="n">
        <v>68</v>
      </c>
      <c r="B69" s="2" t="s">
        <v>732</v>
      </c>
      <c r="C69" s="2" t="s">
        <v>733</v>
      </c>
      <c r="D69" s="2" t="s">
        <v>218</v>
      </c>
      <c r="E69" s="2" t="s">
        <v>65</v>
      </c>
      <c r="F69" s="2" t="s">
        <v>734</v>
      </c>
      <c r="G69" s="2" t="s">
        <v>143</v>
      </c>
      <c r="H69" s="2" t="s">
        <v>735</v>
      </c>
      <c r="I69" s="2" t="s">
        <v>736</v>
      </c>
      <c r="J69" s="2" t="s">
        <v>737</v>
      </c>
      <c r="K69" s="2" t="s">
        <v>70</v>
      </c>
      <c r="L69" s="2" t="s">
        <v>70</v>
      </c>
      <c r="M69" s="2" t="s">
        <v>738</v>
      </c>
      <c r="N69" s="2" t="s">
        <v>72</v>
      </c>
      <c r="O69" s="2" t="s">
        <v>739</v>
      </c>
      <c r="P69" s="3" t="n">
        <v>111</v>
      </c>
      <c r="Q69" s="3" t="n">
        <v>63417</v>
      </c>
      <c r="R69" s="3" t="n">
        <v>25391</v>
      </c>
      <c r="S69" s="3" t="n">
        <v>25257</v>
      </c>
      <c r="T69" s="3" t="n">
        <v>35314</v>
      </c>
      <c r="U69" s="3" t="n">
        <v>2712</v>
      </c>
      <c r="V69" s="3" t="n">
        <v>0</v>
      </c>
      <c r="W69" s="3" t="n">
        <v>0</v>
      </c>
      <c r="X69" s="3" t="n">
        <v>467</v>
      </c>
      <c r="Y69" s="3" t="n">
        <v>408</v>
      </c>
      <c r="Z69" s="3" t="n">
        <v>26</v>
      </c>
      <c r="AA69" s="3" t="n">
        <v>8</v>
      </c>
      <c r="AB69" s="3" t="n">
        <v>4</v>
      </c>
      <c r="AC69" s="3" t="n">
        <v>21</v>
      </c>
      <c r="AD69" s="3" t="n">
        <v>234</v>
      </c>
      <c r="AE69" s="3" t="n">
        <v>48</v>
      </c>
      <c r="AF69" s="3" t="n">
        <v>87</v>
      </c>
      <c r="AG69" s="3" t="n">
        <v>98</v>
      </c>
      <c r="AH69" s="2" t="s">
        <v>740</v>
      </c>
      <c r="AI69" s="3" t="n">
        <v>467</v>
      </c>
      <c r="AJ69" s="2" t="n">
        <v>234</v>
      </c>
      <c r="AK69" s="2" t="n">
        <f aca="false">COUNTIFS(secondary_acts!$A$2:$A$771,$A69,secondary_acts!$E$2:$E$771,"implementing")</f>
        <v>0</v>
      </c>
      <c r="AL69" s="2" t="n">
        <f aca="false">COUNTIFS(secondary_acts!$A$2:$A$771,$A69,secondary_acts!$E$2:$E$771,"delegated")</f>
        <v>0</v>
      </c>
      <c r="AM69" s="2" t="n">
        <f aca="false">COUNTIFS(secondary_acts!$A$2:$A$771,$A69,secondary_acts!$E$2:$E$771,"other Commission/Council act")</f>
        <v>0</v>
      </c>
      <c r="AN69" s="2" t="n">
        <f aca="false">COUNTIFS(secondary_acts!$A$2:$A$771,$A69,secondary_acts!$E$2:$E$771,"guidance")</f>
        <v>0</v>
      </c>
      <c r="AO69" s="2" t="n">
        <f aca="false">COUNTIF(guidance_web!$A$2:$A$7,$A69)</f>
        <v>0</v>
      </c>
      <c r="AP69" s="2" t="n">
        <f aca="false">COUNTIFS(guidance_agencies!$A$2:$A$81,$A69,guidance_agencies!$D$2:$D$81,"EDPB")</f>
        <v>0</v>
      </c>
      <c r="AQ69" s="2" t="n">
        <f aca="false">COUNTIFS(guidance_agencies!$A$2:$A$81,$A69,guidance_agencies!$D$2:$D$81,"EBA")</f>
        <v>0</v>
      </c>
      <c r="AR69" s="2" t="n">
        <f aca="false">COUNTIFS(guidance_agencies!$A$2:$A$81,$A69,guidance_agencies!$D$2:$D$81,"ESMA")</f>
        <v>0</v>
      </c>
      <c r="AS69" s="3" t="n">
        <f aca="false">SUMIFS(secondary_acts!$S$2:$S$771,secondary_acts!$A$2:$A$771,$A69,secondary_acts!$E$2:$E$771,"implementing")+SUMIFS(secondary_acts!$S$2:$S$771,secondary_acts!$A$2:$A$771,$A69,secondary_acts!$E$2:$E$771,"delegated")</f>
        <v>0</v>
      </c>
      <c r="AT69" s="3"/>
      <c r="AU69" s="2"/>
      <c r="AV69" s="2" t="n">
        <v>0</v>
      </c>
      <c r="AW69" s="2"/>
      <c r="AX69" s="2"/>
      <c r="AY69" s="2" t="n">
        <v>4</v>
      </c>
      <c r="AZ69" s="2" t="s">
        <v>741</v>
      </c>
      <c r="BA69" s="2" t="s">
        <v>139</v>
      </c>
      <c r="BB69" s="2" t="n">
        <v>33016</v>
      </c>
      <c r="BC69" s="2" t="n">
        <v>264</v>
      </c>
      <c r="BD69" s="2" t="n">
        <v>129</v>
      </c>
      <c r="BE69" s="2" t="n">
        <f aca="false">IF(ISNUMBER(BB69),Q69-BB69,"")</f>
        <v>30401</v>
      </c>
      <c r="BF69" s="4" t="n">
        <f aca="false">IF(AND(ISNUMBER(BB69),BB69&gt;0),(Q69-BB69)/BB69,"")</f>
        <v>0.920795977707778</v>
      </c>
      <c r="BG69" s="2" t="n">
        <f aca="false">IF(ISNUMBER(BC69),X69-BC69,"")</f>
        <v>203</v>
      </c>
      <c r="BH69" s="4" t="n">
        <f aca="false">IF(AND(ISNUMBER(BC69),BC69&gt;0),(X69-BC69)/BC69,"")</f>
        <v>0.768939393939394</v>
      </c>
      <c r="BI69" s="2" t="n">
        <f aca="false">IF(ISNUMBER(BD69),AD69-BD69,"")</f>
        <v>105</v>
      </c>
      <c r="BJ69" s="2" t="s">
        <v>104</v>
      </c>
    </row>
    <row r="70" customFormat="false" ht="15" hidden="false" customHeight="false" outlineLevel="0" collapsed="false">
      <c r="A70" s="2" t="n">
        <v>69</v>
      </c>
      <c r="B70" s="2" t="s">
        <v>742</v>
      </c>
      <c r="C70" s="2" t="s">
        <v>743</v>
      </c>
      <c r="D70" s="2" t="s">
        <v>186</v>
      </c>
      <c r="E70" s="2" t="s">
        <v>65</v>
      </c>
      <c r="F70" s="2" t="s">
        <v>744</v>
      </c>
      <c r="G70" s="2" t="s">
        <v>67</v>
      </c>
      <c r="H70" s="2" t="s">
        <v>745</v>
      </c>
      <c r="I70" s="2" t="s">
        <v>746</v>
      </c>
      <c r="J70" s="2" t="s">
        <v>747</v>
      </c>
      <c r="K70" s="2" t="s">
        <v>70</v>
      </c>
      <c r="L70" s="2" t="s">
        <v>70</v>
      </c>
      <c r="M70" s="2" t="s">
        <v>748</v>
      </c>
      <c r="N70" s="2" t="s">
        <v>72</v>
      </c>
      <c r="O70" s="2" t="s">
        <v>749</v>
      </c>
      <c r="P70" s="3" t="n">
        <v>10</v>
      </c>
      <c r="Q70" s="3" t="n">
        <v>5548</v>
      </c>
      <c r="R70" s="3" t="n">
        <v>1985</v>
      </c>
      <c r="S70" s="3" t="n">
        <v>1860</v>
      </c>
      <c r="T70" s="3" t="n">
        <v>3563</v>
      </c>
      <c r="U70" s="3" t="n">
        <v>0</v>
      </c>
      <c r="V70" s="3" t="n">
        <v>0</v>
      </c>
      <c r="W70" s="3" t="n">
        <v>0</v>
      </c>
      <c r="X70" s="3" t="n">
        <v>4</v>
      </c>
      <c r="Y70" s="3" t="n">
        <v>3</v>
      </c>
      <c r="Z70" s="3" t="n">
        <v>1</v>
      </c>
      <c r="AA70" s="3" t="n">
        <v>0</v>
      </c>
      <c r="AB70" s="3" t="n">
        <v>0</v>
      </c>
      <c r="AC70" s="3" t="n">
        <v>0</v>
      </c>
      <c r="AD70" s="3" t="n">
        <v>1</v>
      </c>
      <c r="AE70" s="3" t="n">
        <v>0</v>
      </c>
      <c r="AF70" s="3" t="n">
        <v>0</v>
      </c>
      <c r="AG70" s="3" t="n">
        <v>3</v>
      </c>
      <c r="AH70" s="2" t="s">
        <v>750</v>
      </c>
      <c r="AI70" s="3" t="n">
        <v>4</v>
      </c>
      <c r="AJ70" s="2" t="n">
        <v>1</v>
      </c>
      <c r="AK70" s="2" t="n">
        <f aca="false">COUNTIFS(secondary_acts!$A$2:$A$771,$A70,secondary_acts!$E$2:$E$771,"implementing")</f>
        <v>0</v>
      </c>
      <c r="AL70" s="2" t="n">
        <f aca="false">COUNTIFS(secondary_acts!$A$2:$A$771,$A70,secondary_acts!$E$2:$E$771,"delegated")</f>
        <v>0</v>
      </c>
      <c r="AM70" s="2" t="n">
        <f aca="false">COUNTIFS(secondary_acts!$A$2:$A$771,$A70,secondary_acts!$E$2:$E$771,"other Commission/Council act")</f>
        <v>0</v>
      </c>
      <c r="AN70" s="2" t="n">
        <f aca="false">COUNTIFS(secondary_acts!$A$2:$A$771,$A70,secondary_acts!$E$2:$E$771,"guidance")</f>
        <v>1</v>
      </c>
      <c r="AO70" s="2" t="n">
        <f aca="false">COUNTIF(guidance_web!$A$2:$A$7,$A70)</f>
        <v>0</v>
      </c>
      <c r="AP70" s="2" t="n">
        <f aca="false">COUNTIFS(guidance_agencies!$A$2:$A$81,$A70,guidance_agencies!$D$2:$D$81,"EDPB")</f>
        <v>0</v>
      </c>
      <c r="AQ70" s="2" t="n">
        <f aca="false">COUNTIFS(guidance_agencies!$A$2:$A$81,$A70,guidance_agencies!$D$2:$D$81,"EBA")</f>
        <v>0</v>
      </c>
      <c r="AR70" s="2" t="n">
        <f aca="false">COUNTIFS(guidance_agencies!$A$2:$A$81,$A70,guidance_agencies!$D$2:$D$81,"ESMA")</f>
        <v>0</v>
      </c>
      <c r="AS70" s="3" t="n">
        <f aca="false">SUMIFS(secondary_acts!$S$2:$S$771,secondary_acts!$A$2:$A$771,$A70,secondary_acts!$E$2:$E$771,"implementing")+SUMIFS(secondary_acts!$S$2:$S$771,secondary_acts!$A$2:$A$771,$A70,secondary_acts!$E$2:$E$771,"delegated")</f>
        <v>0</v>
      </c>
      <c r="AT70" s="3"/>
      <c r="AU70" s="2"/>
      <c r="AV70" s="2" t="n">
        <v>1</v>
      </c>
      <c r="AW70" s="2" t="s">
        <v>751</v>
      </c>
      <c r="AX70" s="2" t="s">
        <v>751</v>
      </c>
      <c r="AY70" s="2" t="n">
        <v>1</v>
      </c>
      <c r="AZ70" s="2"/>
      <c r="BA70" s="2" t="s">
        <v>345</v>
      </c>
      <c r="BB70" s="2"/>
      <c r="BC70" s="2"/>
      <c r="BD70" s="2"/>
      <c r="BE70" s="2" t="str">
        <f aca="false">IF(ISNUMBER(BB70),Q70-BB70,"")</f>
        <v/>
      </c>
      <c r="BF70" s="4" t="str">
        <f aca="false">IF(AND(ISNUMBER(BB70),BB70&gt;0),(Q70-BB70)/BB70,"")</f>
        <v/>
      </c>
      <c r="BG70" s="2" t="str">
        <f aca="false">IF(ISNUMBER(BC70),X70-BC70,"")</f>
        <v/>
      </c>
      <c r="BH70" s="4" t="str">
        <f aca="false">IF(AND(ISNUMBER(BC70),BC70&gt;0),(X70-BC70)/BC70,"")</f>
        <v/>
      </c>
      <c r="BI70" s="2" t="str">
        <f aca="false">IF(ISNUMBER(BD70),AD70-BD70,"")</f>
        <v/>
      </c>
      <c r="BJ70" s="2" t="s">
        <v>346</v>
      </c>
    </row>
    <row r="71" customFormat="false" ht="15" hidden="false" customHeight="false" outlineLevel="0" collapsed="false">
      <c r="A71" s="2" t="n">
        <v>70</v>
      </c>
      <c r="B71" s="2" t="s">
        <v>752</v>
      </c>
      <c r="C71" s="2" t="s">
        <v>753</v>
      </c>
      <c r="D71" s="2" t="s">
        <v>533</v>
      </c>
      <c r="E71" s="2" t="s">
        <v>65</v>
      </c>
      <c r="F71" s="2" t="s">
        <v>754</v>
      </c>
      <c r="G71" s="2" t="s">
        <v>143</v>
      </c>
      <c r="H71" s="2" t="s">
        <v>313</v>
      </c>
      <c r="I71" s="2" t="s">
        <v>755</v>
      </c>
      <c r="J71" s="2" t="s">
        <v>756</v>
      </c>
      <c r="K71" s="2" t="s">
        <v>70</v>
      </c>
      <c r="L71" s="2" t="s">
        <v>70</v>
      </c>
      <c r="M71" s="2" t="s">
        <v>757</v>
      </c>
      <c r="N71" s="2" t="s">
        <v>72</v>
      </c>
      <c r="O71" s="2" t="s">
        <v>758</v>
      </c>
      <c r="P71" s="3" t="n">
        <v>23</v>
      </c>
      <c r="Q71" s="3" t="n">
        <v>12229</v>
      </c>
      <c r="R71" s="3" t="n">
        <v>5675</v>
      </c>
      <c r="S71" s="3" t="n">
        <v>5557</v>
      </c>
      <c r="T71" s="3" t="n">
        <v>6391</v>
      </c>
      <c r="U71" s="3" t="n">
        <v>163</v>
      </c>
      <c r="V71" s="3" t="n">
        <v>0</v>
      </c>
      <c r="W71" s="3" t="n">
        <v>0</v>
      </c>
      <c r="X71" s="3" t="n">
        <v>114</v>
      </c>
      <c r="Y71" s="3" t="n">
        <v>110</v>
      </c>
      <c r="Z71" s="3" t="n">
        <v>2</v>
      </c>
      <c r="AA71" s="3" t="n">
        <v>0</v>
      </c>
      <c r="AB71" s="3" t="n">
        <v>1</v>
      </c>
      <c r="AC71" s="3" t="n">
        <v>1</v>
      </c>
      <c r="AD71" s="3" t="n">
        <v>0</v>
      </c>
      <c r="AE71" s="3" t="n">
        <v>20</v>
      </c>
      <c r="AF71" s="3" t="n">
        <v>50</v>
      </c>
      <c r="AG71" s="3" t="n">
        <v>44</v>
      </c>
      <c r="AH71" s="2"/>
      <c r="AI71" s="3"/>
      <c r="AJ71" s="2"/>
      <c r="AK71" s="2" t="n">
        <f aca="false">COUNTIFS(secondary_acts!$A$2:$A$771,$A71,secondary_acts!$E$2:$E$771,"implementing")</f>
        <v>8</v>
      </c>
      <c r="AL71" s="2" t="n">
        <f aca="false">COUNTIFS(secondary_acts!$A$2:$A$771,$A71,secondary_acts!$E$2:$E$771,"delegated")</f>
        <v>0</v>
      </c>
      <c r="AM71" s="2" t="n">
        <f aca="false">COUNTIFS(secondary_acts!$A$2:$A$771,$A71,secondary_acts!$E$2:$E$771,"other Commission/Council act")</f>
        <v>0</v>
      </c>
      <c r="AN71" s="2" t="n">
        <f aca="false">COUNTIFS(secondary_acts!$A$2:$A$771,$A71,secondary_acts!$E$2:$E$771,"guidance")</f>
        <v>1</v>
      </c>
      <c r="AO71" s="2" t="n">
        <f aca="false">COUNTIF(guidance_web!$A$2:$A$7,$A71)</f>
        <v>0</v>
      </c>
      <c r="AP71" s="2" t="n">
        <f aca="false">COUNTIFS(guidance_agencies!$A$2:$A$81,$A71,guidance_agencies!$D$2:$D$81,"EDPB")</f>
        <v>0</v>
      </c>
      <c r="AQ71" s="2" t="n">
        <f aca="false">COUNTIFS(guidance_agencies!$A$2:$A$81,$A71,guidance_agencies!$D$2:$D$81,"EBA")</f>
        <v>0</v>
      </c>
      <c r="AR71" s="2" t="n">
        <f aca="false">COUNTIFS(guidance_agencies!$A$2:$A$81,$A71,guidance_agencies!$D$2:$D$81,"ESMA")</f>
        <v>0</v>
      </c>
      <c r="AS71" s="3" t="n">
        <f aca="false">SUMIFS(secondary_acts!$S$2:$S$771,secondary_acts!$A$2:$A$771,$A71,secondary_acts!$E$2:$E$771,"implementing")+SUMIFS(secondary_acts!$S$2:$S$771,secondary_acts!$A$2:$A$771,$A71,secondary_acts!$E$2:$E$771,"delegated")</f>
        <v>68</v>
      </c>
      <c r="AT71" s="3"/>
      <c r="AU71" s="2"/>
      <c r="AV71" s="2" t="n">
        <v>0</v>
      </c>
      <c r="AW71" s="2"/>
      <c r="AX71" s="2"/>
      <c r="AY71" s="2" t="n">
        <v>0</v>
      </c>
      <c r="AZ71" s="2" t="s">
        <v>759</v>
      </c>
      <c r="BA71" s="2" t="s">
        <v>139</v>
      </c>
      <c r="BB71" s="2" t="n">
        <v>8794</v>
      </c>
      <c r="BC71" s="2" t="n">
        <v>90</v>
      </c>
      <c r="BD71" s="2" t="n">
        <v>1</v>
      </c>
      <c r="BE71" s="2" t="n">
        <f aca="false">IF(ISNUMBER(BB71),Q71-BB71,"")</f>
        <v>3435</v>
      </c>
      <c r="BF71" s="4" t="n">
        <f aca="false">IF(AND(ISNUMBER(BB71),BB71&gt;0),(Q71-BB71)/BB71,"")</f>
        <v>0.390607232203775</v>
      </c>
      <c r="BG71" s="2" t="n">
        <f aca="false">IF(ISNUMBER(BC71),X71-BC71,"")</f>
        <v>24</v>
      </c>
      <c r="BH71" s="4" t="n">
        <f aca="false">IF(AND(ISNUMBER(BC71),BC71&gt;0),(X71-BC71)/BC71,"")</f>
        <v>0.266666666666667</v>
      </c>
      <c r="BI71" s="2" t="n">
        <f aca="false">IF(ISNUMBER(BD71),AD71-BD71,"")</f>
        <v>-1</v>
      </c>
      <c r="BJ71" s="2"/>
    </row>
    <row r="72" customFormat="false" ht="15" hidden="false" customHeight="false" outlineLevel="0" collapsed="false">
      <c r="A72" s="2" t="n">
        <v>71</v>
      </c>
      <c r="B72" s="2" t="s">
        <v>760</v>
      </c>
      <c r="C72" s="2" t="s">
        <v>761</v>
      </c>
      <c r="D72" s="2" t="s">
        <v>80</v>
      </c>
      <c r="E72" s="2" t="s">
        <v>65</v>
      </c>
      <c r="F72" s="2" t="s">
        <v>762</v>
      </c>
      <c r="G72" s="2" t="s">
        <v>143</v>
      </c>
      <c r="H72" s="2" t="s">
        <v>323</v>
      </c>
      <c r="I72" s="2" t="s">
        <v>763</v>
      </c>
      <c r="J72" s="2" t="s">
        <v>764</v>
      </c>
      <c r="K72" s="2" t="s">
        <v>70</v>
      </c>
      <c r="L72" s="2" t="s">
        <v>70</v>
      </c>
      <c r="M72" s="2" t="s">
        <v>765</v>
      </c>
      <c r="N72" s="2" t="s">
        <v>72</v>
      </c>
      <c r="O72" s="2" t="s">
        <v>766</v>
      </c>
      <c r="P72" s="3" t="n">
        <v>44</v>
      </c>
      <c r="Q72" s="3" t="n">
        <v>25259</v>
      </c>
      <c r="R72" s="3" t="n">
        <v>14100</v>
      </c>
      <c r="S72" s="3" t="n">
        <v>13974</v>
      </c>
      <c r="T72" s="3" t="n">
        <v>11159</v>
      </c>
      <c r="U72" s="3" t="n">
        <v>0</v>
      </c>
      <c r="V72" s="3" t="n">
        <v>0</v>
      </c>
      <c r="W72" s="3" t="n">
        <v>0</v>
      </c>
      <c r="X72" s="3" t="n">
        <v>187</v>
      </c>
      <c r="Y72" s="3" t="n">
        <v>157</v>
      </c>
      <c r="Z72" s="3" t="n">
        <v>9</v>
      </c>
      <c r="AA72" s="3" t="n">
        <v>1</v>
      </c>
      <c r="AB72" s="3" t="n">
        <v>0</v>
      </c>
      <c r="AC72" s="3" t="n">
        <v>20</v>
      </c>
      <c r="AD72" s="3" t="n">
        <v>77</v>
      </c>
      <c r="AE72" s="3" t="n">
        <v>44</v>
      </c>
      <c r="AF72" s="3" t="n">
        <v>23</v>
      </c>
      <c r="AG72" s="3" t="n">
        <v>43</v>
      </c>
      <c r="AH72" s="2" t="s">
        <v>767</v>
      </c>
      <c r="AI72" s="3" t="n">
        <v>187</v>
      </c>
      <c r="AJ72" s="2" t="n">
        <v>77</v>
      </c>
      <c r="AK72" s="2" t="n">
        <f aca="false">COUNTIFS(secondary_acts!$A$2:$A$771,$A72,secondary_acts!$E$2:$E$771,"implementing")</f>
        <v>2</v>
      </c>
      <c r="AL72" s="2" t="n">
        <f aca="false">COUNTIFS(secondary_acts!$A$2:$A$771,$A72,secondary_acts!$E$2:$E$771,"delegated")</f>
        <v>0</v>
      </c>
      <c r="AM72" s="2" t="n">
        <f aca="false">COUNTIFS(secondary_acts!$A$2:$A$771,$A72,secondary_acts!$E$2:$E$771,"other Commission/Council act")</f>
        <v>0</v>
      </c>
      <c r="AN72" s="2" t="n">
        <f aca="false">COUNTIFS(secondary_acts!$A$2:$A$771,$A72,secondary_acts!$E$2:$E$771,"guidance")</f>
        <v>1</v>
      </c>
      <c r="AO72" s="2" t="n">
        <f aca="false">COUNTIF(guidance_web!$A$2:$A$7,$A72)</f>
        <v>0</v>
      </c>
      <c r="AP72" s="2" t="n">
        <f aca="false">COUNTIFS(guidance_agencies!$A$2:$A$81,$A72,guidance_agencies!$D$2:$D$81,"EDPB")</f>
        <v>0</v>
      </c>
      <c r="AQ72" s="2" t="n">
        <f aca="false">COUNTIFS(guidance_agencies!$A$2:$A$81,$A72,guidance_agencies!$D$2:$D$81,"EBA")</f>
        <v>0</v>
      </c>
      <c r="AR72" s="2" t="n">
        <f aca="false">COUNTIFS(guidance_agencies!$A$2:$A$81,$A72,guidance_agencies!$D$2:$D$81,"ESMA")</f>
        <v>0</v>
      </c>
      <c r="AS72" s="3" t="n">
        <f aca="false">SUMIFS(secondary_acts!$S$2:$S$771,secondary_acts!$A$2:$A$771,$A72,secondary_acts!$E$2:$E$771,"implementing")+SUMIFS(secondary_acts!$S$2:$S$771,secondary_acts!$A$2:$A$771,$A72,secondary_acts!$E$2:$E$771,"delegated")</f>
        <v>70</v>
      </c>
      <c r="AT72" s="3"/>
      <c r="AU72" s="2"/>
      <c r="AV72" s="2" t="n">
        <v>0</v>
      </c>
      <c r="AW72" s="2"/>
      <c r="AX72" s="2"/>
      <c r="AY72" s="2" t="n">
        <v>1</v>
      </c>
      <c r="AZ72" s="2" t="s">
        <v>768</v>
      </c>
      <c r="BA72" s="2" t="s">
        <v>139</v>
      </c>
      <c r="BB72" s="2" t="n">
        <v>12473</v>
      </c>
      <c r="BC72" s="2" t="n">
        <v>86</v>
      </c>
      <c r="BD72" s="2" t="n">
        <v>31</v>
      </c>
      <c r="BE72" s="2" t="n">
        <f aca="false">IF(ISNUMBER(BB72),Q72-BB72,"")</f>
        <v>12786</v>
      </c>
      <c r="BF72" s="4" t="n">
        <f aca="false">IF(AND(ISNUMBER(BB72),BB72&gt;0),(Q72-BB72)/BB72,"")</f>
        <v>1.02509420347952</v>
      </c>
      <c r="BG72" s="2" t="n">
        <f aca="false">IF(ISNUMBER(BC72),X72-BC72,"")</f>
        <v>101</v>
      </c>
      <c r="BH72" s="4" t="n">
        <f aca="false">IF(AND(ISNUMBER(BC72),BC72&gt;0),(X72-BC72)/BC72,"")</f>
        <v>1.17441860465116</v>
      </c>
      <c r="BI72" s="2" t="n">
        <f aca="false">IF(ISNUMBER(BD72),AD72-BD72,"")</f>
        <v>46</v>
      </c>
      <c r="BJ72" s="2" t="s">
        <v>104</v>
      </c>
    </row>
    <row r="73" customFormat="false" ht="15" hidden="false" customHeight="false" outlineLevel="0" collapsed="false">
      <c r="A73" s="2" t="n">
        <v>72</v>
      </c>
      <c r="B73" s="2" t="s">
        <v>769</v>
      </c>
      <c r="C73" s="2" t="s">
        <v>770</v>
      </c>
      <c r="D73" s="2" t="s">
        <v>298</v>
      </c>
      <c r="E73" s="2" t="s">
        <v>65</v>
      </c>
      <c r="F73" s="2" t="s">
        <v>771</v>
      </c>
      <c r="G73" s="2" t="s">
        <v>143</v>
      </c>
      <c r="H73" s="2" t="s">
        <v>631</v>
      </c>
      <c r="I73" s="2" t="s">
        <v>772</v>
      </c>
      <c r="J73" s="2" t="s">
        <v>773</v>
      </c>
      <c r="K73" s="2" t="s">
        <v>70</v>
      </c>
      <c r="L73" s="2" t="s">
        <v>70</v>
      </c>
      <c r="M73" s="2" t="s">
        <v>774</v>
      </c>
      <c r="N73" s="2" t="s">
        <v>72</v>
      </c>
      <c r="O73" s="2" t="s">
        <v>775</v>
      </c>
      <c r="P73" s="3" t="n">
        <v>29</v>
      </c>
      <c r="Q73" s="3" t="n">
        <v>15400</v>
      </c>
      <c r="R73" s="3" t="n">
        <v>5996</v>
      </c>
      <c r="S73" s="3" t="n">
        <v>5858</v>
      </c>
      <c r="T73" s="3" t="n">
        <v>8635</v>
      </c>
      <c r="U73" s="3" t="n">
        <v>769</v>
      </c>
      <c r="V73" s="3" t="n">
        <v>0</v>
      </c>
      <c r="W73" s="3" t="n">
        <v>0</v>
      </c>
      <c r="X73" s="3" t="n">
        <v>135</v>
      </c>
      <c r="Y73" s="3" t="n">
        <v>121</v>
      </c>
      <c r="Z73" s="3" t="n">
        <v>4</v>
      </c>
      <c r="AA73" s="3" t="n">
        <v>0</v>
      </c>
      <c r="AB73" s="3" t="n">
        <v>1</v>
      </c>
      <c r="AC73" s="3" t="n">
        <v>9</v>
      </c>
      <c r="AD73" s="3" t="n">
        <v>9</v>
      </c>
      <c r="AE73" s="3" t="n">
        <v>63</v>
      </c>
      <c r="AF73" s="3" t="n">
        <v>25</v>
      </c>
      <c r="AG73" s="3" t="n">
        <v>38</v>
      </c>
      <c r="AH73" s="2" t="s">
        <v>776</v>
      </c>
      <c r="AI73" s="3" t="n">
        <v>125</v>
      </c>
      <c r="AJ73" s="2" t="n">
        <v>9</v>
      </c>
      <c r="AK73" s="2" t="n">
        <f aca="false">COUNTIFS(secondary_acts!$A$2:$A$771,$A73,secondary_acts!$E$2:$E$771,"implementing")</f>
        <v>2</v>
      </c>
      <c r="AL73" s="2" t="n">
        <f aca="false">COUNTIFS(secondary_acts!$A$2:$A$771,$A73,secondary_acts!$E$2:$E$771,"delegated")</f>
        <v>0</v>
      </c>
      <c r="AM73" s="2" t="n">
        <f aca="false">COUNTIFS(secondary_acts!$A$2:$A$771,$A73,secondary_acts!$E$2:$E$771,"other Commission/Council act")</f>
        <v>0</v>
      </c>
      <c r="AN73" s="2" t="n">
        <f aca="false">COUNTIFS(secondary_acts!$A$2:$A$771,$A73,secondary_acts!$E$2:$E$771,"guidance")</f>
        <v>0</v>
      </c>
      <c r="AO73" s="2" t="n">
        <f aca="false">COUNTIF(guidance_web!$A$2:$A$7,$A73)</f>
        <v>0</v>
      </c>
      <c r="AP73" s="2" t="n">
        <f aca="false">COUNTIFS(guidance_agencies!$A$2:$A$81,$A73,guidance_agencies!$D$2:$D$81,"EDPB")</f>
        <v>0</v>
      </c>
      <c r="AQ73" s="2" t="n">
        <f aca="false">COUNTIFS(guidance_agencies!$A$2:$A$81,$A73,guidance_agencies!$D$2:$D$81,"EBA")</f>
        <v>0</v>
      </c>
      <c r="AR73" s="2" t="n">
        <f aca="false">COUNTIFS(guidance_agencies!$A$2:$A$81,$A73,guidance_agencies!$D$2:$D$81,"ESMA")</f>
        <v>0</v>
      </c>
      <c r="AS73" s="3" t="n">
        <f aca="false">SUMIFS(secondary_acts!$S$2:$S$771,secondary_acts!$A$2:$A$771,$A73,secondary_acts!$E$2:$E$771,"implementing")+SUMIFS(secondary_acts!$S$2:$S$771,secondary_acts!$A$2:$A$771,$A73,secondary_acts!$E$2:$E$771,"delegated")</f>
        <v>214</v>
      </c>
      <c r="AT73" s="3"/>
      <c r="AU73" s="2"/>
      <c r="AV73" s="2" t="n">
        <v>0</v>
      </c>
      <c r="AW73" s="2"/>
      <c r="AX73" s="2"/>
      <c r="AY73" s="2" t="n">
        <v>2</v>
      </c>
      <c r="AZ73" s="2" t="s">
        <v>777</v>
      </c>
      <c r="BA73" s="2" t="s">
        <v>139</v>
      </c>
      <c r="BB73" s="2" t="n">
        <v>9442</v>
      </c>
      <c r="BC73" s="2" t="n">
        <v>101</v>
      </c>
      <c r="BD73" s="2" t="n">
        <v>1</v>
      </c>
      <c r="BE73" s="2" t="n">
        <f aca="false">IF(ISNUMBER(BB73),Q73-BB73,"")</f>
        <v>5958</v>
      </c>
      <c r="BF73" s="4" t="n">
        <f aca="false">IF(AND(ISNUMBER(BB73),BB73&gt;0),(Q73-BB73)/BB73,"")</f>
        <v>0.631010379156958</v>
      </c>
      <c r="BG73" s="2" t="n">
        <f aca="false">IF(ISNUMBER(BC73),X73-BC73,"")</f>
        <v>34</v>
      </c>
      <c r="BH73" s="4" t="n">
        <f aca="false">IF(AND(ISNUMBER(BC73),BC73&gt;0),(X73-BC73)/BC73,"")</f>
        <v>0.336633663366337</v>
      </c>
      <c r="BI73" s="2" t="n">
        <f aca="false">IF(ISNUMBER(BD73),AD73-BD73,"")</f>
        <v>8</v>
      </c>
      <c r="BJ73" s="2"/>
    </row>
    <row r="74" customFormat="false" ht="15" hidden="false" customHeight="false" outlineLevel="0" collapsed="false">
      <c r="A74" s="2" t="n">
        <v>73</v>
      </c>
      <c r="B74" s="2" t="s">
        <v>778</v>
      </c>
      <c r="C74" s="2" t="s">
        <v>779</v>
      </c>
      <c r="D74" s="2" t="s">
        <v>186</v>
      </c>
      <c r="E74" s="2" t="s">
        <v>65</v>
      </c>
      <c r="F74" s="2" t="s">
        <v>780</v>
      </c>
      <c r="G74" s="2" t="s">
        <v>143</v>
      </c>
      <c r="H74" s="2" t="s">
        <v>126</v>
      </c>
      <c r="I74" s="2" t="s">
        <v>781</v>
      </c>
      <c r="J74" s="2" t="s">
        <v>782</v>
      </c>
      <c r="K74" s="2" t="s">
        <v>70</v>
      </c>
      <c r="L74" s="2" t="s">
        <v>70</v>
      </c>
      <c r="M74" s="2" t="s">
        <v>783</v>
      </c>
      <c r="N74" s="2" t="s">
        <v>72</v>
      </c>
      <c r="O74" s="2" t="s">
        <v>784</v>
      </c>
      <c r="P74" s="3" t="n">
        <v>26</v>
      </c>
      <c r="Q74" s="3" t="n">
        <v>16094</v>
      </c>
      <c r="R74" s="3" t="n">
        <v>9641</v>
      </c>
      <c r="S74" s="3" t="n">
        <v>9503</v>
      </c>
      <c r="T74" s="3" t="n">
        <v>6453</v>
      </c>
      <c r="U74" s="3" t="n">
        <v>0</v>
      </c>
      <c r="V74" s="3" t="n">
        <v>0</v>
      </c>
      <c r="W74" s="3" t="n">
        <v>0</v>
      </c>
      <c r="X74" s="3" t="n">
        <v>100</v>
      </c>
      <c r="Y74" s="3" t="n">
        <v>77</v>
      </c>
      <c r="Z74" s="3" t="n">
        <v>4</v>
      </c>
      <c r="AA74" s="3" t="n">
        <v>0</v>
      </c>
      <c r="AB74" s="3" t="n">
        <v>0</v>
      </c>
      <c r="AC74" s="3" t="n">
        <v>19</v>
      </c>
      <c r="AD74" s="3" t="n">
        <v>33</v>
      </c>
      <c r="AE74" s="3" t="n">
        <v>50</v>
      </c>
      <c r="AF74" s="3" t="n">
        <v>2</v>
      </c>
      <c r="AG74" s="3" t="n">
        <v>15</v>
      </c>
      <c r="AH74" s="2" t="s">
        <v>785</v>
      </c>
      <c r="AI74" s="3" t="n">
        <v>100</v>
      </c>
      <c r="AJ74" s="2" t="n">
        <v>33</v>
      </c>
      <c r="AK74" s="2" t="n">
        <f aca="false">COUNTIFS(secondary_acts!$A$2:$A$771,$A74,secondary_acts!$E$2:$E$771,"implementing")</f>
        <v>0</v>
      </c>
      <c r="AL74" s="2" t="n">
        <f aca="false">COUNTIFS(secondary_acts!$A$2:$A$771,$A74,secondary_acts!$E$2:$E$771,"delegated")</f>
        <v>0</v>
      </c>
      <c r="AM74" s="2" t="n">
        <f aca="false">COUNTIFS(secondary_acts!$A$2:$A$771,$A74,secondary_acts!$E$2:$E$771,"other Commission/Council act")</f>
        <v>0</v>
      </c>
      <c r="AN74" s="2" t="n">
        <f aca="false">COUNTIFS(secondary_acts!$A$2:$A$771,$A74,secondary_acts!$E$2:$E$771,"guidance")</f>
        <v>0</v>
      </c>
      <c r="AO74" s="2" t="n">
        <f aca="false">COUNTIF(guidance_web!$A$2:$A$7,$A74)</f>
        <v>0</v>
      </c>
      <c r="AP74" s="2" t="n">
        <f aca="false">COUNTIFS(guidance_agencies!$A$2:$A$81,$A74,guidance_agencies!$D$2:$D$81,"EDPB")</f>
        <v>0</v>
      </c>
      <c r="AQ74" s="2" t="n">
        <f aca="false">COUNTIFS(guidance_agencies!$A$2:$A$81,$A74,guidance_agencies!$D$2:$D$81,"EBA")</f>
        <v>0</v>
      </c>
      <c r="AR74" s="2" t="n">
        <f aca="false">COUNTIFS(guidance_agencies!$A$2:$A$81,$A74,guidance_agencies!$D$2:$D$81,"ESMA")</f>
        <v>0</v>
      </c>
      <c r="AS74" s="3" t="n">
        <f aca="false">SUMIFS(secondary_acts!$S$2:$S$771,secondary_acts!$A$2:$A$771,$A74,secondary_acts!$E$2:$E$771,"implementing")+SUMIFS(secondary_acts!$S$2:$S$771,secondary_acts!$A$2:$A$771,$A74,secondary_acts!$E$2:$E$771,"delegated")</f>
        <v>0</v>
      </c>
      <c r="AT74" s="3" t="n">
        <v>0</v>
      </c>
      <c r="AU74" s="2" t="n">
        <v>0</v>
      </c>
      <c r="AV74" s="2" t="n">
        <v>0</v>
      </c>
      <c r="AW74" s="2"/>
      <c r="AX74" s="2"/>
      <c r="AY74" s="2" t="n">
        <v>1</v>
      </c>
      <c r="AZ74" s="2" t="s">
        <v>786</v>
      </c>
      <c r="BA74" s="2" t="s">
        <v>139</v>
      </c>
      <c r="BB74" s="2" t="n">
        <v>10937</v>
      </c>
      <c r="BC74" s="2" t="n">
        <v>67</v>
      </c>
      <c r="BD74" s="2" t="n">
        <v>18</v>
      </c>
      <c r="BE74" s="2" t="n">
        <f aca="false">IF(ISNUMBER(BB74),Q74-BB74,"")</f>
        <v>5157</v>
      </c>
      <c r="BF74" s="4" t="n">
        <f aca="false">IF(AND(ISNUMBER(BB74),BB74&gt;0),(Q74-BB74)/BB74,"")</f>
        <v>0.471518697997623</v>
      </c>
      <c r="BG74" s="2" t="n">
        <f aca="false">IF(ISNUMBER(BC74),X74-BC74,"")</f>
        <v>33</v>
      </c>
      <c r="BH74" s="4" t="n">
        <f aca="false">IF(AND(ISNUMBER(BC74),BC74&gt;0),(X74-BC74)/BC74,"")</f>
        <v>0.492537313432836</v>
      </c>
      <c r="BI74" s="2" t="n">
        <f aca="false">IF(ISNUMBER(BD74),AD74-BD74,"")</f>
        <v>15</v>
      </c>
      <c r="BJ74" s="2"/>
    </row>
    <row r="75" customFormat="false" ht="15" hidden="false" customHeight="false" outlineLevel="0" collapsed="false">
      <c r="A75" s="2" t="n">
        <v>74</v>
      </c>
      <c r="B75" s="2" t="s">
        <v>787</v>
      </c>
      <c r="C75" s="2" t="s">
        <v>788</v>
      </c>
      <c r="D75" s="2" t="s">
        <v>533</v>
      </c>
      <c r="E75" s="2" t="s">
        <v>65</v>
      </c>
      <c r="F75" s="2" t="s">
        <v>789</v>
      </c>
      <c r="G75" s="2" t="s">
        <v>143</v>
      </c>
      <c r="H75" s="2" t="s">
        <v>528</v>
      </c>
      <c r="I75" s="2" t="s">
        <v>790</v>
      </c>
      <c r="J75" s="2" t="s">
        <v>791</v>
      </c>
      <c r="K75" s="2" t="s">
        <v>70</v>
      </c>
      <c r="L75" s="2" t="s">
        <v>70</v>
      </c>
      <c r="M75" s="2" t="s">
        <v>792</v>
      </c>
      <c r="N75" s="2" t="s">
        <v>72</v>
      </c>
      <c r="O75" s="2" t="s">
        <v>793</v>
      </c>
      <c r="P75" s="3" t="n">
        <v>53</v>
      </c>
      <c r="Q75" s="3" t="n">
        <v>28299</v>
      </c>
      <c r="R75" s="3" t="n">
        <v>11733</v>
      </c>
      <c r="S75" s="3" t="n">
        <v>11596</v>
      </c>
      <c r="T75" s="3" t="n">
        <v>14035</v>
      </c>
      <c r="U75" s="3" t="n">
        <v>2531</v>
      </c>
      <c r="V75" s="3" t="n">
        <v>0</v>
      </c>
      <c r="W75" s="3" t="n">
        <v>0</v>
      </c>
      <c r="X75" s="3" t="n">
        <v>242</v>
      </c>
      <c r="Y75" s="3" t="n">
        <v>210</v>
      </c>
      <c r="Z75" s="3" t="n">
        <v>12</v>
      </c>
      <c r="AA75" s="3" t="n">
        <v>0</v>
      </c>
      <c r="AB75" s="3" t="n">
        <v>5</v>
      </c>
      <c r="AC75" s="3" t="n">
        <v>15</v>
      </c>
      <c r="AD75" s="3" t="n">
        <v>14</v>
      </c>
      <c r="AE75" s="3" t="n">
        <v>28</v>
      </c>
      <c r="AF75" s="3" t="n">
        <v>114</v>
      </c>
      <c r="AG75" s="3" t="n">
        <v>86</v>
      </c>
      <c r="AH75" s="2"/>
      <c r="AI75" s="3"/>
      <c r="AJ75" s="2"/>
      <c r="AK75" s="2" t="n">
        <f aca="false">COUNTIFS(secondary_acts!$A$2:$A$771,$A75,secondary_acts!$E$2:$E$771,"implementing")</f>
        <v>0</v>
      </c>
      <c r="AL75" s="2" t="n">
        <f aca="false">COUNTIFS(secondary_acts!$A$2:$A$771,$A75,secondary_acts!$E$2:$E$771,"delegated")</f>
        <v>0</v>
      </c>
      <c r="AM75" s="2" t="n">
        <f aca="false">COUNTIFS(secondary_acts!$A$2:$A$771,$A75,secondary_acts!$E$2:$E$771,"other Commission/Council act")</f>
        <v>0</v>
      </c>
      <c r="AN75" s="2" t="n">
        <f aca="false">COUNTIFS(secondary_acts!$A$2:$A$771,$A75,secondary_acts!$E$2:$E$771,"guidance")</f>
        <v>1</v>
      </c>
      <c r="AO75" s="2" t="n">
        <f aca="false">COUNTIF(guidance_web!$A$2:$A$7,$A75)</f>
        <v>0</v>
      </c>
      <c r="AP75" s="2" t="n">
        <f aca="false">COUNTIFS(guidance_agencies!$A$2:$A$81,$A75,guidance_agencies!$D$2:$D$81,"EDPB")</f>
        <v>0</v>
      </c>
      <c r="AQ75" s="2" t="n">
        <f aca="false">COUNTIFS(guidance_agencies!$A$2:$A$81,$A75,guidance_agencies!$D$2:$D$81,"EBA")</f>
        <v>0</v>
      </c>
      <c r="AR75" s="2" t="n">
        <f aca="false">COUNTIFS(guidance_agencies!$A$2:$A$81,$A75,guidance_agencies!$D$2:$D$81,"ESMA")</f>
        <v>0</v>
      </c>
      <c r="AS75" s="3" t="n">
        <f aca="false">SUMIFS(secondary_acts!$S$2:$S$771,secondary_acts!$A$2:$A$771,$A75,secondary_acts!$E$2:$E$771,"implementing")+SUMIFS(secondary_acts!$S$2:$S$771,secondary_acts!$A$2:$A$771,$A75,secondary_acts!$E$2:$E$771,"delegated")</f>
        <v>0</v>
      </c>
      <c r="AT75" s="3"/>
      <c r="AU75" s="2"/>
      <c r="AV75" s="2" t="n">
        <v>0</v>
      </c>
      <c r="AW75" s="2"/>
      <c r="AX75" s="2"/>
      <c r="AY75" s="2" t="n">
        <v>0</v>
      </c>
      <c r="AZ75" s="2" t="s">
        <v>794</v>
      </c>
      <c r="BA75" s="2" t="s">
        <v>139</v>
      </c>
      <c r="BB75" s="2" t="n">
        <v>19811</v>
      </c>
      <c r="BC75" s="2" t="n">
        <v>171</v>
      </c>
      <c r="BD75" s="2" t="n">
        <v>13</v>
      </c>
      <c r="BE75" s="2" t="n">
        <f aca="false">IF(ISNUMBER(BB75),Q75-BB75,"")</f>
        <v>8488</v>
      </c>
      <c r="BF75" s="4" t="n">
        <f aca="false">IF(AND(ISNUMBER(BB75),BB75&gt;0),(Q75-BB75)/BB75,"")</f>
        <v>0.428448841552673</v>
      </c>
      <c r="BG75" s="2" t="n">
        <f aca="false">IF(ISNUMBER(BC75),X75-BC75,"")</f>
        <v>71</v>
      </c>
      <c r="BH75" s="4" t="n">
        <f aca="false">IF(AND(ISNUMBER(BC75),BC75&gt;0),(X75-BC75)/BC75,"")</f>
        <v>0.415204678362573</v>
      </c>
      <c r="BI75" s="2" t="n">
        <f aca="false">IF(ISNUMBER(BD75),AD75-BD75,"")</f>
        <v>1</v>
      </c>
      <c r="BJ75" s="2"/>
    </row>
    <row r="76" customFormat="false" ht="15" hidden="false" customHeight="false" outlineLevel="0" collapsed="false">
      <c r="A76" s="2" t="n">
        <v>75</v>
      </c>
      <c r="B76" s="2" t="s">
        <v>795</v>
      </c>
      <c r="C76" s="2" t="s">
        <v>796</v>
      </c>
      <c r="D76" s="2" t="s">
        <v>64</v>
      </c>
      <c r="E76" s="2" t="s">
        <v>65</v>
      </c>
      <c r="F76" s="2" t="s">
        <v>797</v>
      </c>
      <c r="G76" s="2" t="s">
        <v>143</v>
      </c>
      <c r="H76" s="2" t="s">
        <v>798</v>
      </c>
      <c r="I76" s="2" t="s">
        <v>799</v>
      </c>
      <c r="J76" s="2" t="s">
        <v>800</v>
      </c>
      <c r="K76" s="2" t="s">
        <v>70</v>
      </c>
      <c r="L76" s="2" t="s">
        <v>70</v>
      </c>
      <c r="M76" s="2" t="s">
        <v>801</v>
      </c>
      <c r="N76" s="2" t="s">
        <v>72</v>
      </c>
      <c r="O76" s="2" t="s">
        <v>802</v>
      </c>
      <c r="P76" s="3" t="n">
        <v>39</v>
      </c>
      <c r="Q76" s="3" t="n">
        <v>19825</v>
      </c>
      <c r="R76" s="3" t="n">
        <v>8242</v>
      </c>
      <c r="S76" s="3" t="n">
        <v>8145</v>
      </c>
      <c r="T76" s="3" t="n">
        <v>10757</v>
      </c>
      <c r="U76" s="3" t="n">
        <v>826</v>
      </c>
      <c r="V76" s="3" t="n">
        <v>0</v>
      </c>
      <c r="W76" s="3" t="n">
        <v>0</v>
      </c>
      <c r="X76" s="3" t="n">
        <v>174</v>
      </c>
      <c r="Y76" s="3" t="n">
        <v>154</v>
      </c>
      <c r="Z76" s="3" t="n">
        <v>4</v>
      </c>
      <c r="AA76" s="3" t="n">
        <v>0</v>
      </c>
      <c r="AB76" s="3" t="n">
        <v>1</v>
      </c>
      <c r="AC76" s="3" t="n">
        <v>15</v>
      </c>
      <c r="AD76" s="3" t="n">
        <v>10</v>
      </c>
      <c r="AE76" s="3" t="n">
        <v>14</v>
      </c>
      <c r="AF76" s="3" t="n">
        <v>82</v>
      </c>
      <c r="AG76" s="3" t="n">
        <v>68</v>
      </c>
      <c r="AH76" s="2"/>
      <c r="AI76" s="3"/>
      <c r="AJ76" s="2"/>
      <c r="AK76" s="2" t="n">
        <f aca="false">COUNTIFS(secondary_acts!$A$2:$A$771,$A76,secondary_acts!$E$2:$E$771,"implementing")</f>
        <v>2</v>
      </c>
      <c r="AL76" s="2" t="n">
        <f aca="false">COUNTIFS(secondary_acts!$A$2:$A$771,$A76,secondary_acts!$E$2:$E$771,"delegated")</f>
        <v>0</v>
      </c>
      <c r="AM76" s="2" t="n">
        <f aca="false">COUNTIFS(secondary_acts!$A$2:$A$771,$A76,secondary_acts!$E$2:$E$771,"other Commission/Council act")</f>
        <v>0</v>
      </c>
      <c r="AN76" s="2" t="n">
        <f aca="false">COUNTIFS(secondary_acts!$A$2:$A$771,$A76,secondary_acts!$E$2:$E$771,"guidance")</f>
        <v>0</v>
      </c>
      <c r="AO76" s="2" t="n">
        <f aca="false">COUNTIF(guidance_web!$A$2:$A$7,$A76)</f>
        <v>0</v>
      </c>
      <c r="AP76" s="2" t="n">
        <f aca="false">COUNTIFS(guidance_agencies!$A$2:$A$81,$A76,guidance_agencies!$D$2:$D$81,"EDPB")</f>
        <v>0</v>
      </c>
      <c r="AQ76" s="2" t="n">
        <f aca="false">COUNTIFS(guidance_agencies!$A$2:$A$81,$A76,guidance_agencies!$D$2:$D$81,"EBA")</f>
        <v>0</v>
      </c>
      <c r="AR76" s="2" t="n">
        <f aca="false">COUNTIFS(guidance_agencies!$A$2:$A$81,$A76,guidance_agencies!$D$2:$D$81,"ESMA")</f>
        <v>0</v>
      </c>
      <c r="AS76" s="3" t="n">
        <f aca="false">SUMIFS(secondary_acts!$S$2:$S$771,secondary_acts!$A$2:$A$771,$A76,secondary_acts!$E$2:$E$771,"implementing")+SUMIFS(secondary_acts!$S$2:$S$771,secondary_acts!$A$2:$A$771,$A76,secondary_acts!$E$2:$E$771,"delegated")</f>
        <v>16</v>
      </c>
      <c r="AT76" s="3"/>
      <c r="AU76" s="2"/>
      <c r="AV76" s="2" t="n">
        <v>0</v>
      </c>
      <c r="AW76" s="2"/>
      <c r="AX76" s="2"/>
      <c r="AY76" s="2" t="n">
        <v>0</v>
      </c>
      <c r="AZ76" s="2" t="s">
        <v>803</v>
      </c>
      <c r="BA76" s="2" t="s">
        <v>139</v>
      </c>
      <c r="BB76" s="2" t="n">
        <v>15371</v>
      </c>
      <c r="BC76" s="2" t="n">
        <v>133</v>
      </c>
      <c r="BD76" s="2" t="n">
        <v>10</v>
      </c>
      <c r="BE76" s="2" t="n">
        <f aca="false">IF(ISNUMBER(BB76),Q76-BB76,"")</f>
        <v>4454</v>
      </c>
      <c r="BF76" s="4" t="n">
        <f aca="false">IF(AND(ISNUMBER(BB76),BB76&gt;0),(Q76-BB76)/BB76,"")</f>
        <v>0.289766443302323</v>
      </c>
      <c r="BG76" s="2" t="n">
        <f aca="false">IF(ISNUMBER(BC76),X76-BC76,"")</f>
        <v>41</v>
      </c>
      <c r="BH76" s="4" t="n">
        <f aca="false">IF(AND(ISNUMBER(BC76),BC76&gt;0),(X76-BC76)/BC76,"")</f>
        <v>0.308270676691729</v>
      </c>
      <c r="BI76" s="2" t="n">
        <f aca="false">IF(ISNUMBER(BD76),AD76-BD76,"")</f>
        <v>0</v>
      </c>
      <c r="BJ76" s="2"/>
    </row>
    <row r="77" customFormat="false" ht="15" hidden="false" customHeight="false" outlineLevel="0" collapsed="false">
      <c r="A77" s="2" t="n">
        <v>76</v>
      </c>
      <c r="B77" s="2" t="s">
        <v>804</v>
      </c>
      <c r="C77" s="2" t="s">
        <v>805</v>
      </c>
      <c r="D77" s="2" t="s">
        <v>164</v>
      </c>
      <c r="E77" s="2" t="s">
        <v>65</v>
      </c>
      <c r="F77" s="2" t="s">
        <v>806</v>
      </c>
      <c r="G77" s="2" t="s">
        <v>143</v>
      </c>
      <c r="H77" s="2" t="s">
        <v>631</v>
      </c>
      <c r="I77" s="2" t="s">
        <v>807</v>
      </c>
      <c r="J77" s="2" t="s">
        <v>808</v>
      </c>
      <c r="K77" s="2" t="s">
        <v>70</v>
      </c>
      <c r="L77" s="2" t="s">
        <v>70</v>
      </c>
      <c r="M77" s="2" t="s">
        <v>809</v>
      </c>
      <c r="N77" s="2" t="s">
        <v>72</v>
      </c>
      <c r="O77" s="2" t="s">
        <v>810</v>
      </c>
      <c r="P77" s="3" t="n">
        <v>71</v>
      </c>
      <c r="Q77" s="3" t="n">
        <v>44522</v>
      </c>
      <c r="R77" s="3" t="n">
        <v>22506</v>
      </c>
      <c r="S77" s="3" t="n">
        <v>22355</v>
      </c>
      <c r="T77" s="3" t="n">
        <v>22016</v>
      </c>
      <c r="U77" s="3" t="n">
        <v>0</v>
      </c>
      <c r="V77" s="3" t="n">
        <v>0</v>
      </c>
      <c r="W77" s="3" t="n">
        <v>0</v>
      </c>
      <c r="X77" s="3" t="n">
        <v>264</v>
      </c>
      <c r="Y77" s="3" t="n">
        <v>216</v>
      </c>
      <c r="Z77" s="3" t="n">
        <v>37</v>
      </c>
      <c r="AA77" s="3" t="n">
        <v>2</v>
      </c>
      <c r="AB77" s="3" t="n">
        <v>5</v>
      </c>
      <c r="AC77" s="3" t="n">
        <v>4</v>
      </c>
      <c r="AD77" s="3" t="n">
        <v>110</v>
      </c>
      <c r="AE77" s="3" t="n">
        <v>44</v>
      </c>
      <c r="AF77" s="3" t="n">
        <v>56</v>
      </c>
      <c r="AG77" s="3" t="n">
        <v>54</v>
      </c>
      <c r="AH77" s="2" t="s">
        <v>811</v>
      </c>
      <c r="AI77" s="3" t="n">
        <v>264</v>
      </c>
      <c r="AJ77" s="2" t="n">
        <v>110</v>
      </c>
      <c r="AK77" s="2" t="n">
        <f aca="false">COUNTIFS(secondary_acts!$A$2:$A$771,$A77,secondary_acts!$E$2:$E$771,"implementing")</f>
        <v>0</v>
      </c>
      <c r="AL77" s="2" t="n">
        <f aca="false">COUNTIFS(secondary_acts!$A$2:$A$771,$A77,secondary_acts!$E$2:$E$771,"delegated")</f>
        <v>0</v>
      </c>
      <c r="AM77" s="2" t="n">
        <f aca="false">COUNTIFS(secondary_acts!$A$2:$A$771,$A77,secondary_acts!$E$2:$E$771,"other Commission/Council act")</f>
        <v>0</v>
      </c>
      <c r="AN77" s="2" t="n">
        <f aca="false">COUNTIFS(secondary_acts!$A$2:$A$771,$A77,secondary_acts!$E$2:$E$771,"guidance")</f>
        <v>1</v>
      </c>
      <c r="AO77" s="2" t="n">
        <f aca="false">COUNTIF(guidance_web!$A$2:$A$7,$A77)</f>
        <v>0</v>
      </c>
      <c r="AP77" s="2" t="n">
        <f aca="false">COUNTIFS(guidance_agencies!$A$2:$A$81,$A77,guidance_agencies!$D$2:$D$81,"EDPB")</f>
        <v>0</v>
      </c>
      <c r="AQ77" s="2" t="n">
        <f aca="false">COUNTIFS(guidance_agencies!$A$2:$A$81,$A77,guidance_agencies!$D$2:$D$81,"EBA")</f>
        <v>0</v>
      </c>
      <c r="AR77" s="2" t="n">
        <f aca="false">COUNTIFS(guidance_agencies!$A$2:$A$81,$A77,guidance_agencies!$D$2:$D$81,"ESMA")</f>
        <v>0</v>
      </c>
      <c r="AS77" s="3" t="n">
        <f aca="false">SUMIFS(secondary_acts!$S$2:$S$771,secondary_acts!$A$2:$A$771,$A77,secondary_acts!$E$2:$E$771,"implementing")+SUMIFS(secondary_acts!$S$2:$S$771,secondary_acts!$A$2:$A$771,$A77,secondary_acts!$E$2:$E$771,"delegated")</f>
        <v>0</v>
      </c>
      <c r="AT77" s="3"/>
      <c r="AU77" s="2"/>
      <c r="AV77" s="2" t="n">
        <v>0</v>
      </c>
      <c r="AW77" s="2"/>
      <c r="AX77" s="2"/>
      <c r="AY77" s="2" t="n">
        <v>6</v>
      </c>
      <c r="AZ77" s="2" t="s">
        <v>812</v>
      </c>
      <c r="BA77" s="2" t="s">
        <v>139</v>
      </c>
      <c r="BB77" s="2" t="n">
        <v>23623</v>
      </c>
      <c r="BC77" s="2" t="n">
        <v>150</v>
      </c>
      <c r="BD77" s="2" t="n">
        <v>58</v>
      </c>
      <c r="BE77" s="2" t="n">
        <f aca="false">IF(ISNUMBER(BB77),Q77-BB77,"")</f>
        <v>20899</v>
      </c>
      <c r="BF77" s="4" t="n">
        <f aca="false">IF(AND(ISNUMBER(BB77),BB77&gt;0),(Q77-BB77)/BB77,"")</f>
        <v>0.884688650891081</v>
      </c>
      <c r="BG77" s="2" t="n">
        <f aca="false">IF(ISNUMBER(BC77),X77-BC77,"")</f>
        <v>114</v>
      </c>
      <c r="BH77" s="4" t="n">
        <f aca="false">IF(AND(ISNUMBER(BC77),BC77&gt;0),(X77-BC77)/BC77,"")</f>
        <v>0.76</v>
      </c>
      <c r="BI77" s="2" t="n">
        <f aca="false">IF(ISNUMBER(BD77),AD77-BD77,"")</f>
        <v>52</v>
      </c>
      <c r="BJ77" s="2" t="s">
        <v>104</v>
      </c>
    </row>
    <row r="78" customFormat="false" ht="15" hidden="false" customHeight="false" outlineLevel="0" collapsed="false">
      <c r="A78" s="2" t="n">
        <v>77</v>
      </c>
      <c r="B78" s="2" t="s">
        <v>813</v>
      </c>
      <c r="C78" s="2" t="s">
        <v>814</v>
      </c>
      <c r="D78" s="2" t="s">
        <v>298</v>
      </c>
      <c r="E78" s="2" t="s">
        <v>65</v>
      </c>
      <c r="F78" s="2" t="s">
        <v>815</v>
      </c>
      <c r="G78" s="2" t="s">
        <v>143</v>
      </c>
      <c r="H78" s="2" t="s">
        <v>816</v>
      </c>
      <c r="I78" s="2" t="s">
        <v>817</v>
      </c>
      <c r="J78" s="2" t="s">
        <v>372</v>
      </c>
      <c r="K78" s="2" t="s">
        <v>70</v>
      </c>
      <c r="L78" s="2" t="s">
        <v>70</v>
      </c>
      <c r="M78" s="2" t="s">
        <v>818</v>
      </c>
      <c r="N78" s="2" t="s">
        <v>72</v>
      </c>
      <c r="O78" s="2" t="s">
        <v>819</v>
      </c>
      <c r="P78" s="3" t="n">
        <v>36</v>
      </c>
      <c r="Q78" s="3" t="n">
        <v>21341</v>
      </c>
      <c r="R78" s="3" t="n">
        <v>10771</v>
      </c>
      <c r="S78" s="3" t="n">
        <v>10658</v>
      </c>
      <c r="T78" s="3" t="n">
        <v>10570</v>
      </c>
      <c r="U78" s="3" t="n">
        <v>0</v>
      </c>
      <c r="V78" s="3" t="n">
        <v>0</v>
      </c>
      <c r="W78" s="3" t="n">
        <v>0</v>
      </c>
      <c r="X78" s="3" t="n">
        <v>206</v>
      </c>
      <c r="Y78" s="3" t="n">
        <v>132</v>
      </c>
      <c r="Z78" s="3" t="n">
        <v>3</v>
      </c>
      <c r="AA78" s="3" t="n">
        <v>0</v>
      </c>
      <c r="AB78" s="3" t="n">
        <v>0</v>
      </c>
      <c r="AC78" s="3" t="n">
        <v>71</v>
      </c>
      <c r="AD78" s="3" t="n">
        <v>6</v>
      </c>
      <c r="AE78" s="3" t="n">
        <v>131</v>
      </c>
      <c r="AF78" s="3" t="n">
        <v>3</v>
      </c>
      <c r="AG78" s="3" t="n">
        <v>66</v>
      </c>
      <c r="AH78" s="2"/>
      <c r="AI78" s="3"/>
      <c r="AJ78" s="2"/>
      <c r="AK78" s="2" t="n">
        <f aca="false">COUNTIFS(secondary_acts!$A$2:$A$771,$A78,secondary_acts!$E$2:$E$771,"implementing")</f>
        <v>0</v>
      </c>
      <c r="AL78" s="2" t="n">
        <f aca="false">COUNTIFS(secondary_acts!$A$2:$A$771,$A78,secondary_acts!$E$2:$E$771,"delegated")</f>
        <v>0</v>
      </c>
      <c r="AM78" s="2" t="n">
        <f aca="false">COUNTIFS(secondary_acts!$A$2:$A$771,$A78,secondary_acts!$E$2:$E$771,"other Commission/Council act")</f>
        <v>0</v>
      </c>
      <c r="AN78" s="2" t="n">
        <f aca="false">COUNTIFS(secondary_acts!$A$2:$A$771,$A78,secondary_acts!$E$2:$E$771,"guidance")</f>
        <v>0</v>
      </c>
      <c r="AO78" s="2" t="n">
        <f aca="false">COUNTIF(guidance_web!$A$2:$A$7,$A78)</f>
        <v>0</v>
      </c>
      <c r="AP78" s="2" t="n">
        <f aca="false">COUNTIFS(guidance_agencies!$A$2:$A$81,$A78,guidance_agencies!$D$2:$D$81,"EDPB")</f>
        <v>0</v>
      </c>
      <c r="AQ78" s="2" t="n">
        <f aca="false">COUNTIFS(guidance_agencies!$A$2:$A$81,$A78,guidance_agencies!$D$2:$D$81,"EBA")</f>
        <v>0</v>
      </c>
      <c r="AR78" s="2" t="n">
        <f aca="false">COUNTIFS(guidance_agencies!$A$2:$A$81,$A78,guidance_agencies!$D$2:$D$81,"ESMA")</f>
        <v>0</v>
      </c>
      <c r="AS78" s="3" t="n">
        <f aca="false">SUMIFS(secondary_acts!$S$2:$S$771,secondary_acts!$A$2:$A$771,$A78,secondary_acts!$E$2:$E$771,"implementing")+SUMIFS(secondary_acts!$S$2:$S$771,secondary_acts!$A$2:$A$771,$A78,secondary_acts!$E$2:$E$771,"delegated")</f>
        <v>0</v>
      </c>
      <c r="AT78" s="3" t="n">
        <v>3503</v>
      </c>
      <c r="AU78" s="2" t="n">
        <v>4</v>
      </c>
      <c r="AV78" s="2" t="n">
        <v>0</v>
      </c>
      <c r="AW78" s="2"/>
      <c r="AX78" s="2"/>
      <c r="AY78" s="2" t="n">
        <v>0</v>
      </c>
      <c r="AZ78" s="2" t="s">
        <v>820</v>
      </c>
      <c r="BA78" s="2" t="s">
        <v>139</v>
      </c>
      <c r="BB78" s="2" t="n">
        <v>15874</v>
      </c>
      <c r="BC78" s="2" t="n">
        <v>187</v>
      </c>
      <c r="BD78" s="2" t="n">
        <v>3</v>
      </c>
      <c r="BE78" s="2" t="n">
        <f aca="false">IF(ISNUMBER(BB78),Q78-BB78,"")</f>
        <v>5467</v>
      </c>
      <c r="BF78" s="4" t="n">
        <f aca="false">IF(AND(ISNUMBER(BB78),BB78&gt;0),(Q78-BB78)/BB78,"")</f>
        <v>0.344399647221872</v>
      </c>
      <c r="BG78" s="2" t="n">
        <f aca="false">IF(ISNUMBER(BC78),X78-BC78,"")</f>
        <v>19</v>
      </c>
      <c r="BH78" s="4" t="n">
        <f aca="false">IF(AND(ISNUMBER(BC78),BC78&gt;0),(X78-BC78)/BC78,"")</f>
        <v>0.101604278074866</v>
      </c>
      <c r="BI78" s="2" t="n">
        <f aca="false">IF(ISNUMBER(BD78),AD78-BD78,"")</f>
        <v>3</v>
      </c>
      <c r="BJ78" s="2"/>
    </row>
    <row r="79" customFormat="false" ht="15" hidden="false" customHeight="false" outlineLevel="0" collapsed="false">
      <c r="A79" s="2" t="n">
        <v>78</v>
      </c>
      <c r="B79" s="2" t="s">
        <v>821</v>
      </c>
      <c r="C79" s="2" t="s">
        <v>822</v>
      </c>
      <c r="D79" s="2" t="s">
        <v>449</v>
      </c>
      <c r="E79" s="2" t="s">
        <v>65</v>
      </c>
      <c r="F79" s="2" t="s">
        <v>823</v>
      </c>
      <c r="G79" s="2" t="s">
        <v>143</v>
      </c>
      <c r="H79" s="2" t="s">
        <v>631</v>
      </c>
      <c r="I79" s="2" t="s">
        <v>824</v>
      </c>
      <c r="J79" s="2" t="s">
        <v>825</v>
      </c>
      <c r="K79" s="2" t="s">
        <v>70</v>
      </c>
      <c r="L79" s="2" t="s">
        <v>70</v>
      </c>
      <c r="M79" s="2" t="s">
        <v>826</v>
      </c>
      <c r="N79" s="2" t="s">
        <v>72</v>
      </c>
      <c r="O79" s="2" t="s">
        <v>827</v>
      </c>
      <c r="P79" s="3" t="n">
        <v>27</v>
      </c>
      <c r="Q79" s="3" t="n">
        <v>14545</v>
      </c>
      <c r="R79" s="3" t="n">
        <v>5325</v>
      </c>
      <c r="S79" s="3" t="n">
        <v>5200</v>
      </c>
      <c r="T79" s="3" t="n">
        <v>9220</v>
      </c>
      <c r="U79" s="3" t="n">
        <v>0</v>
      </c>
      <c r="V79" s="3" t="n">
        <v>0</v>
      </c>
      <c r="W79" s="3" t="n">
        <v>0</v>
      </c>
      <c r="X79" s="3" t="n">
        <v>166</v>
      </c>
      <c r="Y79" s="3" t="n">
        <v>153</v>
      </c>
      <c r="Z79" s="3" t="n">
        <v>6</v>
      </c>
      <c r="AA79" s="3" t="n">
        <v>1</v>
      </c>
      <c r="AB79" s="3" t="n">
        <v>2</v>
      </c>
      <c r="AC79" s="3" t="n">
        <v>4</v>
      </c>
      <c r="AD79" s="3" t="n">
        <v>1</v>
      </c>
      <c r="AE79" s="3" t="n">
        <v>1</v>
      </c>
      <c r="AF79" s="3" t="n">
        <v>126</v>
      </c>
      <c r="AG79" s="3" t="n">
        <v>38</v>
      </c>
      <c r="AH79" s="2" t="s">
        <v>828</v>
      </c>
      <c r="AI79" s="3" t="n">
        <v>166</v>
      </c>
      <c r="AJ79" s="2" t="n">
        <v>1</v>
      </c>
      <c r="AK79" s="2" t="n">
        <f aca="false">COUNTIFS(secondary_acts!$A$2:$A$771,$A79,secondary_acts!$E$2:$E$771,"implementing")</f>
        <v>0</v>
      </c>
      <c r="AL79" s="2" t="n">
        <f aca="false">COUNTIFS(secondary_acts!$A$2:$A$771,$A79,secondary_acts!$E$2:$E$771,"delegated")</f>
        <v>0</v>
      </c>
      <c r="AM79" s="2" t="n">
        <f aca="false">COUNTIFS(secondary_acts!$A$2:$A$771,$A79,secondary_acts!$E$2:$E$771,"other Commission/Council act")</f>
        <v>0</v>
      </c>
      <c r="AN79" s="2" t="n">
        <f aca="false">COUNTIFS(secondary_acts!$A$2:$A$771,$A79,secondary_acts!$E$2:$E$771,"guidance")</f>
        <v>0</v>
      </c>
      <c r="AO79" s="2" t="n">
        <f aca="false">COUNTIF(guidance_web!$A$2:$A$7,$A79)</f>
        <v>0</v>
      </c>
      <c r="AP79" s="2" t="n">
        <f aca="false">COUNTIFS(guidance_agencies!$A$2:$A$81,$A79,guidance_agencies!$D$2:$D$81,"EDPB")</f>
        <v>0</v>
      </c>
      <c r="AQ79" s="2" t="n">
        <f aca="false">COUNTIFS(guidance_agencies!$A$2:$A$81,$A79,guidance_agencies!$D$2:$D$81,"EBA")</f>
        <v>0</v>
      </c>
      <c r="AR79" s="2" t="n">
        <f aca="false">COUNTIFS(guidance_agencies!$A$2:$A$81,$A79,guidance_agencies!$D$2:$D$81,"ESMA")</f>
        <v>0</v>
      </c>
      <c r="AS79" s="3" t="n">
        <f aca="false">SUMIFS(secondary_acts!$S$2:$S$771,secondary_acts!$A$2:$A$771,$A79,secondary_acts!$E$2:$E$771,"implementing")+SUMIFS(secondary_acts!$S$2:$S$771,secondary_acts!$A$2:$A$771,$A79,secondary_acts!$E$2:$E$771,"delegated")</f>
        <v>0</v>
      </c>
      <c r="AT79" s="3"/>
      <c r="AU79" s="2"/>
      <c r="AV79" s="2" t="n">
        <v>0</v>
      </c>
      <c r="AW79" s="2"/>
      <c r="AX79" s="2"/>
      <c r="AY79" s="2" t="n">
        <v>2</v>
      </c>
      <c r="AZ79" s="2" t="s">
        <v>829</v>
      </c>
      <c r="BA79" s="2" t="s">
        <v>139</v>
      </c>
      <c r="BB79" s="2" t="n">
        <v>7223</v>
      </c>
      <c r="BC79" s="2" t="n">
        <v>94</v>
      </c>
      <c r="BD79" s="2" t="n">
        <v>6</v>
      </c>
      <c r="BE79" s="2" t="n">
        <f aca="false">IF(ISNUMBER(BB79),Q79-BB79,"")</f>
        <v>7322</v>
      </c>
      <c r="BF79" s="4" t="n">
        <f aca="false">IF(AND(ISNUMBER(BB79),BB79&gt;0),(Q79-BB79)/BB79,"")</f>
        <v>1.01370621625363</v>
      </c>
      <c r="BG79" s="2" t="n">
        <f aca="false">IF(ISNUMBER(BC79),X79-BC79,"")</f>
        <v>72</v>
      </c>
      <c r="BH79" s="4" t="n">
        <f aca="false">IF(AND(ISNUMBER(BC79),BC79&gt;0),(X79-BC79)/BC79,"")</f>
        <v>0.765957446808511</v>
      </c>
      <c r="BI79" s="2" t="n">
        <f aca="false">IF(ISNUMBER(BD79),AD79-BD79,"")</f>
        <v>-5</v>
      </c>
      <c r="BJ79" s="2" t="s">
        <v>104</v>
      </c>
    </row>
    <row r="80" customFormat="false" ht="15" hidden="false" customHeight="false" outlineLevel="0" collapsed="false">
      <c r="A80" s="2" t="n">
        <v>79</v>
      </c>
      <c r="B80" s="2" t="s">
        <v>830</v>
      </c>
      <c r="C80" s="2" t="s">
        <v>831</v>
      </c>
      <c r="D80" s="2" t="s">
        <v>449</v>
      </c>
      <c r="E80" s="2" t="s">
        <v>832</v>
      </c>
      <c r="F80" s="2" t="s">
        <v>823</v>
      </c>
      <c r="G80" s="2" t="s">
        <v>143</v>
      </c>
      <c r="H80" s="2"/>
      <c r="I80" s="2"/>
      <c r="J80" s="2"/>
      <c r="K80" s="2" t="s">
        <v>833</v>
      </c>
      <c r="L80" s="2" t="s">
        <v>833</v>
      </c>
      <c r="M80" s="2" t="s">
        <v>834</v>
      </c>
      <c r="N80" s="2" t="s">
        <v>835</v>
      </c>
      <c r="O80" s="2" t="s">
        <v>836</v>
      </c>
      <c r="P80" s="3" t="n">
        <v>90</v>
      </c>
      <c r="Q80" s="3" t="n">
        <v>22121</v>
      </c>
      <c r="R80" s="3" t="n">
        <v>2056</v>
      </c>
      <c r="S80" s="3" t="n">
        <v>1958</v>
      </c>
      <c r="T80" s="3" t="n">
        <v>13090</v>
      </c>
      <c r="U80" s="3" t="n">
        <v>6975</v>
      </c>
      <c r="V80" s="3" t="n">
        <v>3755</v>
      </c>
      <c r="W80" s="3" t="n">
        <v>4388</v>
      </c>
      <c r="X80" s="3" t="n">
        <v>398</v>
      </c>
      <c r="Y80" s="3" t="n">
        <v>364</v>
      </c>
      <c r="Z80" s="3" t="n">
        <v>19</v>
      </c>
      <c r="AA80" s="3" t="n">
        <v>5</v>
      </c>
      <c r="AB80" s="3" t="n">
        <v>2</v>
      </c>
      <c r="AC80" s="3" t="n">
        <v>8</v>
      </c>
      <c r="AD80" s="3" t="n">
        <v>30</v>
      </c>
      <c r="AE80" s="3" t="n">
        <v>15</v>
      </c>
      <c r="AF80" s="3" t="n">
        <v>163</v>
      </c>
      <c r="AG80" s="3" t="n">
        <v>190</v>
      </c>
      <c r="AH80" s="2"/>
      <c r="AI80" s="3"/>
      <c r="AJ80" s="2"/>
      <c r="AK80" s="2" t="n">
        <f aca="false">COUNTIFS(secondary_acts!$A$2:$A$771,$A80,secondary_acts!$E$2:$E$771,"implementing")</f>
        <v>0</v>
      </c>
      <c r="AL80" s="2" t="n">
        <f aca="false">COUNTIFS(secondary_acts!$A$2:$A$771,$A80,secondary_acts!$E$2:$E$771,"delegated")</f>
        <v>0</v>
      </c>
      <c r="AM80" s="2" t="n">
        <f aca="false">COUNTIFS(secondary_acts!$A$2:$A$771,$A80,secondary_acts!$E$2:$E$771,"other Commission/Council act")</f>
        <v>0</v>
      </c>
      <c r="AN80" s="2" t="n">
        <f aca="false">COUNTIFS(secondary_acts!$A$2:$A$771,$A80,secondary_acts!$E$2:$E$771,"guidance")</f>
        <v>0</v>
      </c>
      <c r="AO80" s="2" t="n">
        <f aca="false">COUNTIF(guidance_web!$A$2:$A$7,$A80)</f>
        <v>0</v>
      </c>
      <c r="AP80" s="2" t="n">
        <f aca="false">COUNTIFS(guidance_agencies!$A$2:$A$81,$A80,guidance_agencies!$D$2:$D$81,"EDPB")</f>
        <v>0</v>
      </c>
      <c r="AQ80" s="2" t="n">
        <f aca="false">COUNTIFS(guidance_agencies!$A$2:$A$81,$A80,guidance_agencies!$D$2:$D$81,"EBA")</f>
        <v>0</v>
      </c>
      <c r="AR80" s="2" t="n">
        <f aca="false">COUNTIFS(guidance_agencies!$A$2:$A$81,$A80,guidance_agencies!$D$2:$D$81,"ESMA")</f>
        <v>0</v>
      </c>
      <c r="AS80" s="3" t="n">
        <f aca="false">SUMIFS(secondary_acts!$S$2:$S$771,secondary_acts!$A$2:$A$771,$A80,secondary_acts!$E$2:$E$771,"implementing")+SUMIFS(secondary_acts!$S$2:$S$771,secondary_acts!$A$2:$A$771,$A80,secondary_acts!$E$2:$E$771,"delegated")</f>
        <v>0</v>
      </c>
      <c r="AT80" s="3"/>
      <c r="AU80" s="2"/>
      <c r="AV80" s="2"/>
      <c r="AW80" s="2"/>
      <c r="AX80" s="2"/>
      <c r="AY80" s="2"/>
      <c r="AZ80" s="2"/>
      <c r="BA80" s="2" t="s">
        <v>837</v>
      </c>
      <c r="BB80" s="2"/>
      <c r="BC80" s="2"/>
      <c r="BD80" s="2"/>
      <c r="BE80" s="2" t="str">
        <f aca="false">IF(ISNUMBER(BB80),Q80-BB80,"")</f>
        <v/>
      </c>
      <c r="BF80" s="4" t="str">
        <f aca="false">IF(AND(ISNUMBER(BB80),BB80&gt;0),(Q80-BB80)/BB80,"")</f>
        <v/>
      </c>
      <c r="BG80" s="2" t="str">
        <f aca="false">IF(ISNUMBER(BC80),X80-BC80,"")</f>
        <v/>
      </c>
      <c r="BH80" s="4" t="str">
        <f aca="false">IF(AND(ISNUMBER(BC80),BC80&gt;0),(X80-BC80)/BC80,"")</f>
        <v/>
      </c>
      <c r="BI80" s="2" t="str">
        <f aca="false">IF(ISNUMBER(BD80),AD80-BD80,"")</f>
        <v/>
      </c>
      <c r="BJ80" s="2"/>
    </row>
    <row r="81" customFormat="false" ht="15" hidden="false" customHeight="false" outlineLevel="0" collapsed="false">
      <c r="A81" s="2" t="n">
        <v>80</v>
      </c>
      <c r="B81" s="2" t="s">
        <v>838</v>
      </c>
      <c r="C81" s="2" t="s">
        <v>839</v>
      </c>
      <c r="D81" s="2" t="s">
        <v>255</v>
      </c>
      <c r="E81" s="2" t="s">
        <v>65</v>
      </c>
      <c r="F81" s="2" t="s">
        <v>840</v>
      </c>
      <c r="G81" s="2" t="s">
        <v>143</v>
      </c>
      <c r="H81" s="2" t="s">
        <v>372</v>
      </c>
      <c r="I81" s="2" t="s">
        <v>841</v>
      </c>
      <c r="J81" s="2" t="s">
        <v>842</v>
      </c>
      <c r="K81" s="2" t="s">
        <v>70</v>
      </c>
      <c r="L81" s="2" t="s">
        <v>70</v>
      </c>
      <c r="M81" s="2" t="s">
        <v>843</v>
      </c>
      <c r="N81" s="2" t="s">
        <v>72</v>
      </c>
      <c r="O81" s="2" t="s">
        <v>844</v>
      </c>
      <c r="P81" s="3" t="n">
        <v>89</v>
      </c>
      <c r="Q81" s="3" t="n">
        <v>49096</v>
      </c>
      <c r="R81" s="3" t="n">
        <v>18418</v>
      </c>
      <c r="S81" s="3" t="n">
        <v>18286</v>
      </c>
      <c r="T81" s="3" t="n">
        <v>27289</v>
      </c>
      <c r="U81" s="3" t="n">
        <v>3389</v>
      </c>
      <c r="V81" s="3" t="n">
        <v>0</v>
      </c>
      <c r="W81" s="3" t="n">
        <v>0</v>
      </c>
      <c r="X81" s="3" t="n">
        <v>466</v>
      </c>
      <c r="Y81" s="3" t="n">
        <v>395</v>
      </c>
      <c r="Z81" s="3" t="n">
        <v>34</v>
      </c>
      <c r="AA81" s="3" t="n">
        <v>6</v>
      </c>
      <c r="AB81" s="3" t="n">
        <v>4</v>
      </c>
      <c r="AC81" s="3" t="n">
        <v>27</v>
      </c>
      <c r="AD81" s="3" t="n">
        <v>116</v>
      </c>
      <c r="AE81" s="3" t="n">
        <v>58</v>
      </c>
      <c r="AF81" s="3" t="n">
        <v>149</v>
      </c>
      <c r="AG81" s="3" t="n">
        <v>143</v>
      </c>
      <c r="AH81" s="2" t="s">
        <v>845</v>
      </c>
      <c r="AI81" s="3" t="n">
        <v>466</v>
      </c>
      <c r="AJ81" s="2" t="n">
        <v>116</v>
      </c>
      <c r="AK81" s="2" t="n">
        <f aca="false">COUNTIFS(secondary_acts!$A$2:$A$771,$A81,secondary_acts!$E$2:$E$771,"implementing")</f>
        <v>2</v>
      </c>
      <c r="AL81" s="2" t="n">
        <f aca="false">COUNTIFS(secondary_acts!$A$2:$A$771,$A81,secondary_acts!$E$2:$E$771,"delegated")</f>
        <v>1</v>
      </c>
      <c r="AM81" s="2" t="n">
        <f aca="false">COUNTIFS(secondary_acts!$A$2:$A$771,$A81,secondary_acts!$E$2:$E$771,"other Commission/Council act")</f>
        <v>0</v>
      </c>
      <c r="AN81" s="2" t="n">
        <f aca="false">COUNTIFS(secondary_acts!$A$2:$A$771,$A81,secondary_acts!$E$2:$E$771,"guidance")</f>
        <v>0</v>
      </c>
      <c r="AO81" s="2" t="n">
        <f aca="false">COUNTIF(guidance_web!$A$2:$A$7,$A81)</f>
        <v>0</v>
      </c>
      <c r="AP81" s="2" t="n">
        <f aca="false">COUNTIFS(guidance_agencies!$A$2:$A$81,$A81,guidance_agencies!$D$2:$D$81,"EDPB")</f>
        <v>0</v>
      </c>
      <c r="AQ81" s="2" t="n">
        <f aca="false">COUNTIFS(guidance_agencies!$A$2:$A$81,$A81,guidance_agencies!$D$2:$D$81,"EBA")</f>
        <v>0</v>
      </c>
      <c r="AR81" s="2" t="n">
        <f aca="false">COUNTIFS(guidance_agencies!$A$2:$A$81,$A81,guidance_agencies!$D$2:$D$81,"ESMA")</f>
        <v>0</v>
      </c>
      <c r="AS81" s="3" t="n">
        <f aca="false">SUMIFS(secondary_acts!$S$2:$S$771,secondary_acts!$A$2:$A$771,$A81,secondary_acts!$E$2:$E$771,"implementing")+SUMIFS(secondary_acts!$S$2:$S$771,secondary_acts!$A$2:$A$771,$A81,secondary_acts!$E$2:$E$771,"delegated")</f>
        <v>145</v>
      </c>
      <c r="AT81" s="3"/>
      <c r="AU81" s="2"/>
      <c r="AV81" s="2" t="n">
        <v>0</v>
      </c>
      <c r="AW81" s="2"/>
      <c r="AX81" s="2"/>
      <c r="AY81" s="2" t="n">
        <v>4</v>
      </c>
      <c r="AZ81" s="2" t="s">
        <v>846</v>
      </c>
      <c r="BA81" s="2" t="s">
        <v>139</v>
      </c>
      <c r="BB81" s="2" t="n">
        <v>38936</v>
      </c>
      <c r="BC81" s="2" t="n">
        <v>474</v>
      </c>
      <c r="BD81" s="2" t="n">
        <v>117</v>
      </c>
      <c r="BE81" s="2" t="n">
        <f aca="false">IF(ISNUMBER(BB81),Q81-BB81,"")</f>
        <v>10160</v>
      </c>
      <c r="BF81" s="4" t="n">
        <f aca="false">IF(AND(ISNUMBER(BB81),BB81&gt;0),(Q81-BB81)/BB81,"")</f>
        <v>0.260941031436203</v>
      </c>
      <c r="BG81" s="2" t="n">
        <f aca="false">IF(ISNUMBER(BC81),X81-BC81,"")</f>
        <v>-8</v>
      </c>
      <c r="BH81" s="4" t="n">
        <f aca="false">IF(AND(ISNUMBER(BC81),BC81&gt;0),(X81-BC81)/BC81,"")</f>
        <v>-0.0168776371308017</v>
      </c>
      <c r="BI81" s="2" t="n">
        <f aca="false">IF(ISNUMBER(BD81),AD81-BD81,"")</f>
        <v>-1</v>
      </c>
      <c r="BJ81" s="2"/>
    </row>
    <row r="82" customFormat="false" ht="15" hidden="false" customHeight="false" outlineLevel="0" collapsed="false">
      <c r="A82" s="2" t="n">
        <v>81</v>
      </c>
      <c r="B82" s="2" t="s">
        <v>847</v>
      </c>
      <c r="C82" s="2" t="s">
        <v>848</v>
      </c>
      <c r="D82" s="2" t="s">
        <v>164</v>
      </c>
      <c r="E82" s="2" t="s">
        <v>65</v>
      </c>
      <c r="F82" s="2" t="s">
        <v>849</v>
      </c>
      <c r="G82" s="2" t="s">
        <v>143</v>
      </c>
      <c r="H82" s="2" t="s">
        <v>850</v>
      </c>
      <c r="I82" s="2" t="s">
        <v>851</v>
      </c>
      <c r="J82" s="2" t="s">
        <v>852</v>
      </c>
      <c r="K82" s="2" t="s">
        <v>70</v>
      </c>
      <c r="L82" s="2" t="s">
        <v>70</v>
      </c>
      <c r="M82" s="2" t="s">
        <v>853</v>
      </c>
      <c r="N82" s="2" t="s">
        <v>72</v>
      </c>
      <c r="O82" s="2" t="s">
        <v>854</v>
      </c>
      <c r="P82" s="3" t="n">
        <v>96</v>
      </c>
      <c r="Q82" s="3" t="n">
        <v>59369</v>
      </c>
      <c r="R82" s="3" t="n">
        <v>22349</v>
      </c>
      <c r="S82" s="3" t="n">
        <v>22214</v>
      </c>
      <c r="T82" s="3" t="n">
        <v>35353</v>
      </c>
      <c r="U82" s="3" t="n">
        <v>1667</v>
      </c>
      <c r="V82" s="3" t="n">
        <v>0</v>
      </c>
      <c r="W82" s="3" t="n">
        <v>0</v>
      </c>
      <c r="X82" s="3" t="n">
        <v>609</v>
      </c>
      <c r="Y82" s="3" t="n">
        <v>541</v>
      </c>
      <c r="Z82" s="3" t="n">
        <v>26</v>
      </c>
      <c r="AA82" s="3" t="n">
        <v>6</v>
      </c>
      <c r="AB82" s="3" t="n">
        <v>4</v>
      </c>
      <c r="AC82" s="3" t="n">
        <v>32</v>
      </c>
      <c r="AD82" s="3" t="n">
        <v>164</v>
      </c>
      <c r="AE82" s="3" t="n">
        <v>128</v>
      </c>
      <c r="AF82" s="3" t="n">
        <v>140</v>
      </c>
      <c r="AG82" s="3" t="n">
        <v>177</v>
      </c>
      <c r="AH82" s="2" t="s">
        <v>855</v>
      </c>
      <c r="AI82" s="3" t="n">
        <v>609</v>
      </c>
      <c r="AJ82" s="2" t="n">
        <v>164</v>
      </c>
      <c r="AK82" s="2" t="n">
        <f aca="false">COUNTIFS(secondary_acts!$A$2:$A$771,$A82,secondary_acts!$E$2:$E$771,"implementing")</f>
        <v>4</v>
      </c>
      <c r="AL82" s="2" t="n">
        <f aca="false">COUNTIFS(secondary_acts!$A$2:$A$771,$A82,secondary_acts!$E$2:$E$771,"delegated")</f>
        <v>0</v>
      </c>
      <c r="AM82" s="2" t="n">
        <f aca="false">COUNTIFS(secondary_acts!$A$2:$A$771,$A82,secondary_acts!$E$2:$E$771,"other Commission/Council act")</f>
        <v>0</v>
      </c>
      <c r="AN82" s="2" t="n">
        <f aca="false">COUNTIFS(secondary_acts!$A$2:$A$771,$A82,secondary_acts!$E$2:$E$771,"guidance")</f>
        <v>0</v>
      </c>
      <c r="AO82" s="2" t="n">
        <f aca="false">COUNTIF(guidance_web!$A$2:$A$7,$A82)</f>
        <v>0</v>
      </c>
      <c r="AP82" s="2" t="n">
        <f aca="false">COUNTIFS(guidance_agencies!$A$2:$A$81,$A82,guidance_agencies!$D$2:$D$81,"EDPB")</f>
        <v>0</v>
      </c>
      <c r="AQ82" s="2" t="n">
        <f aca="false">COUNTIFS(guidance_agencies!$A$2:$A$81,$A82,guidance_agencies!$D$2:$D$81,"EBA")</f>
        <v>0</v>
      </c>
      <c r="AR82" s="2" t="n">
        <f aca="false">COUNTIFS(guidance_agencies!$A$2:$A$81,$A82,guidance_agencies!$D$2:$D$81,"ESMA")</f>
        <v>0</v>
      </c>
      <c r="AS82" s="3" t="n">
        <f aca="false">SUMIFS(secondary_acts!$S$2:$S$771,secondary_acts!$A$2:$A$771,$A82,secondary_acts!$E$2:$E$771,"implementing")+SUMIFS(secondary_acts!$S$2:$S$771,secondary_acts!$A$2:$A$771,$A82,secondary_acts!$E$2:$E$771,"delegated")</f>
        <v>144</v>
      </c>
      <c r="AT82" s="3"/>
      <c r="AU82" s="2"/>
      <c r="AV82" s="2" t="n">
        <v>0</v>
      </c>
      <c r="AW82" s="2"/>
      <c r="AX82" s="2"/>
      <c r="AY82" s="2" t="n">
        <v>3</v>
      </c>
      <c r="AZ82" s="2" t="s">
        <v>856</v>
      </c>
      <c r="BA82" s="2" t="s">
        <v>139</v>
      </c>
      <c r="BB82" s="2" t="n">
        <v>37113</v>
      </c>
      <c r="BC82" s="2" t="n">
        <v>398</v>
      </c>
      <c r="BD82" s="2" t="n">
        <v>91</v>
      </c>
      <c r="BE82" s="2" t="n">
        <f aca="false">IF(ISNUMBER(BB82),Q82-BB82,"")</f>
        <v>22256</v>
      </c>
      <c r="BF82" s="4" t="n">
        <f aca="false">IF(AND(ISNUMBER(BB82),BB82&gt;0),(Q82-BB82)/BB82,"")</f>
        <v>0.59968205211112</v>
      </c>
      <c r="BG82" s="2" t="n">
        <f aca="false">IF(ISNUMBER(BC82),X82-BC82,"")</f>
        <v>211</v>
      </c>
      <c r="BH82" s="4" t="n">
        <f aca="false">IF(AND(ISNUMBER(BC82),BC82&gt;0),(X82-BC82)/BC82,"")</f>
        <v>0.530150753768844</v>
      </c>
      <c r="BI82" s="2" t="n">
        <f aca="false">IF(ISNUMBER(BD82),AD82-BD82,"")</f>
        <v>73</v>
      </c>
      <c r="BJ82" s="2" t="s">
        <v>104</v>
      </c>
    </row>
    <row r="83" customFormat="false" ht="15" hidden="false" customHeight="false" outlineLevel="0" collapsed="false">
      <c r="A83" s="2" t="n">
        <v>82</v>
      </c>
      <c r="B83" s="2" t="s">
        <v>857</v>
      </c>
      <c r="C83" s="2" t="s">
        <v>858</v>
      </c>
      <c r="D83" s="2" t="s">
        <v>298</v>
      </c>
      <c r="E83" s="2" t="s">
        <v>859</v>
      </c>
      <c r="F83" s="2" t="s">
        <v>746</v>
      </c>
      <c r="G83" s="2" t="s">
        <v>143</v>
      </c>
      <c r="H83" s="2"/>
      <c r="I83" s="2"/>
      <c r="J83" s="2"/>
      <c r="K83" s="2" t="s">
        <v>833</v>
      </c>
      <c r="L83" s="2" t="s">
        <v>833</v>
      </c>
      <c r="M83" s="2" t="s">
        <v>860</v>
      </c>
      <c r="N83" s="2" t="s">
        <v>835</v>
      </c>
      <c r="O83" s="2" t="s">
        <v>861</v>
      </c>
      <c r="P83" s="3" t="n">
        <v>156</v>
      </c>
      <c r="Q83" s="3" t="n">
        <v>41850</v>
      </c>
      <c r="R83" s="3" t="n">
        <v>9755</v>
      </c>
      <c r="S83" s="3" t="n">
        <v>9630</v>
      </c>
      <c r="T83" s="3" t="n">
        <v>28710</v>
      </c>
      <c r="U83" s="3" t="n">
        <v>3385</v>
      </c>
      <c r="V83" s="3" t="n">
        <v>10245</v>
      </c>
      <c r="W83" s="3" t="n">
        <v>8749</v>
      </c>
      <c r="X83" s="3" t="n">
        <v>467</v>
      </c>
      <c r="Y83" s="3" t="n">
        <v>410</v>
      </c>
      <c r="Z83" s="3" t="n">
        <v>20</v>
      </c>
      <c r="AA83" s="3" t="n">
        <v>5</v>
      </c>
      <c r="AB83" s="3" t="n">
        <v>5</v>
      </c>
      <c r="AC83" s="3" t="n">
        <v>27</v>
      </c>
      <c r="AD83" s="3" t="n">
        <v>67</v>
      </c>
      <c r="AE83" s="3" t="n">
        <v>124</v>
      </c>
      <c r="AF83" s="3" t="n">
        <v>125</v>
      </c>
      <c r="AG83" s="3" t="n">
        <v>151</v>
      </c>
      <c r="AH83" s="2"/>
      <c r="AI83" s="3"/>
      <c r="AJ83" s="2"/>
      <c r="AK83" s="2" t="n">
        <f aca="false">COUNTIFS(secondary_acts!$A$2:$A$771,$A83,secondary_acts!$E$2:$E$771,"implementing")</f>
        <v>0</v>
      </c>
      <c r="AL83" s="2" t="n">
        <f aca="false">COUNTIFS(secondary_acts!$A$2:$A$771,$A83,secondary_acts!$E$2:$E$771,"delegated")</f>
        <v>0</v>
      </c>
      <c r="AM83" s="2" t="n">
        <f aca="false">COUNTIFS(secondary_acts!$A$2:$A$771,$A83,secondary_acts!$E$2:$E$771,"other Commission/Council act")</f>
        <v>0</v>
      </c>
      <c r="AN83" s="2" t="n">
        <f aca="false">COUNTIFS(secondary_acts!$A$2:$A$771,$A83,secondary_acts!$E$2:$E$771,"guidance")</f>
        <v>0</v>
      </c>
      <c r="AO83" s="2" t="n">
        <f aca="false">COUNTIF(guidance_web!$A$2:$A$7,$A83)</f>
        <v>0</v>
      </c>
      <c r="AP83" s="2" t="n">
        <f aca="false">COUNTIFS(guidance_agencies!$A$2:$A$81,$A83,guidance_agencies!$D$2:$D$81,"EDPB")</f>
        <v>0</v>
      </c>
      <c r="AQ83" s="2" t="n">
        <f aca="false">COUNTIFS(guidance_agencies!$A$2:$A$81,$A83,guidance_agencies!$D$2:$D$81,"EBA")</f>
        <v>0</v>
      </c>
      <c r="AR83" s="2" t="n">
        <f aca="false">COUNTIFS(guidance_agencies!$A$2:$A$81,$A83,guidance_agencies!$D$2:$D$81,"ESMA")</f>
        <v>0</v>
      </c>
      <c r="AS83" s="3" t="n">
        <f aca="false">SUMIFS(secondary_acts!$S$2:$S$771,secondary_acts!$A$2:$A$771,$A83,secondary_acts!$E$2:$E$771,"implementing")+SUMIFS(secondary_acts!$S$2:$S$771,secondary_acts!$A$2:$A$771,$A83,secondary_acts!$E$2:$E$771,"delegated")</f>
        <v>0</v>
      </c>
      <c r="AT83" s="3"/>
      <c r="AU83" s="2"/>
      <c r="AV83" s="2"/>
      <c r="AW83" s="2"/>
      <c r="AX83" s="2"/>
      <c r="AY83" s="2"/>
      <c r="AZ83" s="2"/>
      <c r="BA83" s="2" t="s">
        <v>837</v>
      </c>
      <c r="BB83" s="2"/>
      <c r="BC83" s="2"/>
      <c r="BD83" s="2"/>
      <c r="BE83" s="2" t="str">
        <f aca="false">IF(ISNUMBER(BB83),Q83-BB83,"")</f>
        <v/>
      </c>
      <c r="BF83" s="4" t="str">
        <f aca="false">IF(AND(ISNUMBER(BB83),BB83&gt;0),(Q83-BB83)/BB83,"")</f>
        <v/>
      </c>
      <c r="BG83" s="2" t="str">
        <f aca="false">IF(ISNUMBER(BC83),X83-BC83,"")</f>
        <v/>
      </c>
      <c r="BH83" s="4" t="str">
        <f aca="false">IF(AND(ISNUMBER(BC83),BC83&gt;0),(X83-BC83)/BC83,"")</f>
        <v/>
      </c>
      <c r="BI83" s="2" t="str">
        <f aca="false">IF(ISNUMBER(BD83),AD83-BD83,"")</f>
        <v/>
      </c>
      <c r="BJ83" s="2"/>
    </row>
    <row r="84" customFormat="false" ht="15" hidden="false" customHeight="false" outlineLevel="0" collapsed="false">
      <c r="A84" s="2" t="n">
        <v>83</v>
      </c>
      <c r="B84" s="2" t="s">
        <v>862</v>
      </c>
      <c r="C84" s="2" t="s">
        <v>863</v>
      </c>
      <c r="D84" s="2" t="s">
        <v>449</v>
      </c>
      <c r="E84" s="2" t="s">
        <v>65</v>
      </c>
      <c r="F84" s="2" t="s">
        <v>864</v>
      </c>
      <c r="G84" s="2" t="s">
        <v>143</v>
      </c>
      <c r="H84" s="2" t="s">
        <v>126</v>
      </c>
      <c r="I84" s="2" t="s">
        <v>865</v>
      </c>
      <c r="J84" s="2" t="s">
        <v>866</v>
      </c>
      <c r="K84" s="2" t="s">
        <v>70</v>
      </c>
      <c r="L84" s="2" t="s">
        <v>70</v>
      </c>
      <c r="M84" s="2" t="s">
        <v>867</v>
      </c>
      <c r="N84" s="2" t="s">
        <v>72</v>
      </c>
      <c r="O84" s="2" t="s">
        <v>868</v>
      </c>
      <c r="P84" s="3" t="n">
        <v>81</v>
      </c>
      <c r="Q84" s="3" t="n">
        <v>51049</v>
      </c>
      <c r="R84" s="3" t="n">
        <v>21364</v>
      </c>
      <c r="S84" s="3" t="n">
        <v>21224</v>
      </c>
      <c r="T84" s="3" t="n">
        <v>23872</v>
      </c>
      <c r="U84" s="3" t="n">
        <v>5813</v>
      </c>
      <c r="V84" s="3" t="n">
        <v>0</v>
      </c>
      <c r="W84" s="3" t="n">
        <v>0</v>
      </c>
      <c r="X84" s="3" t="n">
        <v>501</v>
      </c>
      <c r="Y84" s="3" t="n">
        <v>451</v>
      </c>
      <c r="Z84" s="3" t="n">
        <v>18</v>
      </c>
      <c r="AA84" s="3" t="n">
        <v>2</v>
      </c>
      <c r="AB84" s="3" t="n">
        <v>3</v>
      </c>
      <c r="AC84" s="3" t="n">
        <v>27</v>
      </c>
      <c r="AD84" s="3" t="n">
        <v>183</v>
      </c>
      <c r="AE84" s="3" t="n">
        <v>90</v>
      </c>
      <c r="AF84" s="3" t="n">
        <v>102</v>
      </c>
      <c r="AG84" s="3" t="n">
        <v>126</v>
      </c>
      <c r="AH84" s="2" t="s">
        <v>869</v>
      </c>
      <c r="AI84" s="3" t="n">
        <v>501</v>
      </c>
      <c r="AJ84" s="2" t="n">
        <v>183</v>
      </c>
      <c r="AK84" s="2" t="n">
        <f aca="false">COUNTIFS(secondary_acts!$A$2:$A$771,$A84,secondary_acts!$E$2:$E$771,"implementing")</f>
        <v>1</v>
      </c>
      <c r="AL84" s="2" t="n">
        <f aca="false">COUNTIFS(secondary_acts!$A$2:$A$771,$A84,secondary_acts!$E$2:$E$771,"delegated")</f>
        <v>2</v>
      </c>
      <c r="AM84" s="2" t="n">
        <f aca="false">COUNTIFS(secondary_acts!$A$2:$A$771,$A84,secondary_acts!$E$2:$E$771,"other Commission/Council act")</f>
        <v>0</v>
      </c>
      <c r="AN84" s="2" t="n">
        <f aca="false">COUNTIFS(secondary_acts!$A$2:$A$771,$A84,secondary_acts!$E$2:$E$771,"guidance")</f>
        <v>0</v>
      </c>
      <c r="AO84" s="2" t="n">
        <f aca="false">COUNTIF(guidance_web!$A$2:$A$7,$A84)</f>
        <v>2</v>
      </c>
      <c r="AP84" s="2" t="n">
        <f aca="false">COUNTIFS(guidance_agencies!$A$2:$A$81,$A84,guidance_agencies!$D$2:$D$81,"EDPB")</f>
        <v>0</v>
      </c>
      <c r="AQ84" s="2" t="n">
        <f aca="false">COUNTIFS(guidance_agencies!$A$2:$A$81,$A84,guidance_agencies!$D$2:$D$81,"EBA")</f>
        <v>0</v>
      </c>
      <c r="AR84" s="2" t="n">
        <f aca="false">COUNTIFS(guidance_agencies!$A$2:$A$81,$A84,guidance_agencies!$D$2:$D$81,"ESMA")</f>
        <v>0</v>
      </c>
      <c r="AS84" s="3" t="n">
        <f aca="false">SUMIFS(secondary_acts!$S$2:$S$771,secondary_acts!$A$2:$A$771,$A84,secondary_acts!$E$2:$E$771,"implementing")+SUMIFS(secondary_acts!$S$2:$S$771,secondary_acts!$A$2:$A$771,$A84,secondary_acts!$E$2:$E$771,"delegated")</f>
        <v>7</v>
      </c>
      <c r="AT84" s="3"/>
      <c r="AU84" s="2"/>
      <c r="AV84" s="2" t="n">
        <v>1</v>
      </c>
      <c r="AW84" s="2" t="s">
        <v>850</v>
      </c>
      <c r="AX84" s="2" t="s">
        <v>850</v>
      </c>
      <c r="AY84" s="2" t="n">
        <v>8</v>
      </c>
      <c r="AZ84" s="2" t="s">
        <v>870</v>
      </c>
      <c r="BA84" s="2" t="s">
        <v>139</v>
      </c>
      <c r="BB84" s="2" t="n">
        <v>30753</v>
      </c>
      <c r="BC84" s="2" t="n">
        <v>356</v>
      </c>
      <c r="BD84" s="2" t="n">
        <v>140</v>
      </c>
      <c r="BE84" s="2" t="n">
        <f aca="false">IF(ISNUMBER(BB84),Q84-BB84,"")</f>
        <v>20296</v>
      </c>
      <c r="BF84" s="4" t="n">
        <f aca="false">IF(AND(ISNUMBER(BB84),BB84&gt;0),(Q84-BB84)/BB84,"")</f>
        <v>0.659968133190258</v>
      </c>
      <c r="BG84" s="2" t="n">
        <f aca="false">IF(ISNUMBER(BC84),X84-BC84,"")</f>
        <v>145</v>
      </c>
      <c r="BH84" s="4" t="n">
        <f aca="false">IF(AND(ISNUMBER(BC84),BC84&gt;0),(X84-BC84)/BC84,"")</f>
        <v>0.407303370786517</v>
      </c>
      <c r="BI84" s="2" t="n">
        <f aca="false">IF(ISNUMBER(BD84),AD84-BD84,"")</f>
        <v>43</v>
      </c>
      <c r="BJ84" s="2"/>
    </row>
    <row r="85" customFormat="false" ht="15" hidden="false" customHeight="false" outlineLevel="0" collapsed="false">
      <c r="A85" s="2" t="n">
        <v>84</v>
      </c>
      <c r="B85" s="2" t="s">
        <v>871</v>
      </c>
      <c r="C85" s="2" t="s">
        <v>872</v>
      </c>
      <c r="D85" s="2" t="s">
        <v>94</v>
      </c>
      <c r="E85" s="2" t="s">
        <v>65</v>
      </c>
      <c r="F85" s="2" t="s">
        <v>873</v>
      </c>
      <c r="G85" s="2" t="s">
        <v>143</v>
      </c>
      <c r="H85" s="2" t="s">
        <v>239</v>
      </c>
      <c r="I85" s="2" t="s">
        <v>874</v>
      </c>
      <c r="J85" s="2" t="s">
        <v>875</v>
      </c>
      <c r="K85" s="2" t="s">
        <v>70</v>
      </c>
      <c r="L85" s="2" t="s">
        <v>70</v>
      </c>
      <c r="M85" s="2" t="s">
        <v>876</v>
      </c>
      <c r="N85" s="2" t="s">
        <v>72</v>
      </c>
      <c r="O85" s="2" t="s">
        <v>877</v>
      </c>
      <c r="P85" s="3" t="n">
        <v>37</v>
      </c>
      <c r="Q85" s="3" t="n">
        <v>26160</v>
      </c>
      <c r="R85" s="3" t="n">
        <v>16599</v>
      </c>
      <c r="S85" s="3" t="n">
        <v>16462</v>
      </c>
      <c r="T85" s="3" t="n">
        <v>9561</v>
      </c>
      <c r="U85" s="3" t="n">
        <v>0</v>
      </c>
      <c r="V85" s="3" t="n">
        <v>0</v>
      </c>
      <c r="W85" s="3" t="n">
        <v>0</v>
      </c>
      <c r="X85" s="3" t="n">
        <v>153</v>
      </c>
      <c r="Y85" s="3" t="n">
        <v>131</v>
      </c>
      <c r="Z85" s="3" t="n">
        <v>3</v>
      </c>
      <c r="AA85" s="3" t="n">
        <v>1</v>
      </c>
      <c r="AB85" s="3" t="n">
        <v>1</v>
      </c>
      <c r="AC85" s="3" t="n">
        <v>17</v>
      </c>
      <c r="AD85" s="3" t="n">
        <v>24</v>
      </c>
      <c r="AE85" s="3" t="n">
        <v>48</v>
      </c>
      <c r="AF85" s="3" t="n">
        <v>63</v>
      </c>
      <c r="AG85" s="3" t="n">
        <v>18</v>
      </c>
      <c r="AH85" s="2" t="s">
        <v>878</v>
      </c>
      <c r="AI85" s="3" t="n">
        <v>153</v>
      </c>
      <c r="AJ85" s="2" t="n">
        <v>24</v>
      </c>
      <c r="AK85" s="2" t="n">
        <f aca="false">COUNTIFS(secondary_acts!$A$2:$A$771,$A85,secondary_acts!$E$2:$E$771,"implementing")</f>
        <v>0</v>
      </c>
      <c r="AL85" s="2" t="n">
        <f aca="false">COUNTIFS(secondary_acts!$A$2:$A$771,$A85,secondary_acts!$E$2:$E$771,"delegated")</f>
        <v>0</v>
      </c>
      <c r="AM85" s="2" t="n">
        <f aca="false">COUNTIFS(secondary_acts!$A$2:$A$771,$A85,secondary_acts!$E$2:$E$771,"other Commission/Council act")</f>
        <v>0</v>
      </c>
      <c r="AN85" s="2" t="n">
        <f aca="false">COUNTIFS(secondary_acts!$A$2:$A$771,$A85,secondary_acts!$E$2:$E$771,"guidance")</f>
        <v>1</v>
      </c>
      <c r="AO85" s="2" t="n">
        <f aca="false">COUNTIF(guidance_web!$A$2:$A$7,$A85)</f>
        <v>0</v>
      </c>
      <c r="AP85" s="2" t="n">
        <f aca="false">COUNTIFS(guidance_agencies!$A$2:$A$81,$A85,guidance_agencies!$D$2:$D$81,"EDPB")</f>
        <v>0</v>
      </c>
      <c r="AQ85" s="2" t="n">
        <f aca="false">COUNTIFS(guidance_agencies!$A$2:$A$81,$A85,guidance_agencies!$D$2:$D$81,"EBA")</f>
        <v>0</v>
      </c>
      <c r="AR85" s="2" t="n">
        <f aca="false">COUNTIFS(guidance_agencies!$A$2:$A$81,$A85,guidance_agencies!$D$2:$D$81,"ESMA")</f>
        <v>0</v>
      </c>
      <c r="AS85" s="3" t="n">
        <f aca="false">SUMIFS(secondary_acts!$S$2:$S$771,secondary_acts!$A$2:$A$771,$A85,secondary_acts!$E$2:$E$771,"implementing")+SUMIFS(secondary_acts!$S$2:$S$771,secondary_acts!$A$2:$A$771,$A85,secondary_acts!$E$2:$E$771,"delegated")</f>
        <v>0</v>
      </c>
      <c r="AT85" s="3"/>
      <c r="AU85" s="2"/>
      <c r="AV85" s="2" t="n">
        <v>0</v>
      </c>
      <c r="AW85" s="2"/>
      <c r="AX85" s="2"/>
      <c r="AY85" s="2" t="n">
        <v>4</v>
      </c>
      <c r="AZ85" s="2" t="s">
        <v>879</v>
      </c>
      <c r="BA85" s="2" t="s">
        <v>139</v>
      </c>
      <c r="BB85" s="2" t="n">
        <v>14840</v>
      </c>
      <c r="BC85" s="2" t="n">
        <v>108</v>
      </c>
      <c r="BD85" s="2" t="n">
        <v>13</v>
      </c>
      <c r="BE85" s="2" t="n">
        <f aca="false">IF(ISNUMBER(BB85),Q85-BB85,"")</f>
        <v>11320</v>
      </c>
      <c r="BF85" s="4" t="n">
        <f aca="false">IF(AND(ISNUMBER(BB85),BB85&gt;0),(Q85-BB85)/BB85,"")</f>
        <v>0.762803234501348</v>
      </c>
      <c r="BG85" s="2" t="n">
        <f aca="false">IF(ISNUMBER(BC85),X85-BC85,"")</f>
        <v>45</v>
      </c>
      <c r="BH85" s="4" t="n">
        <f aca="false">IF(AND(ISNUMBER(BC85),BC85&gt;0),(X85-BC85)/BC85,"")</f>
        <v>0.416666666666667</v>
      </c>
      <c r="BI85" s="2" t="n">
        <f aca="false">IF(ISNUMBER(BD85),AD85-BD85,"")</f>
        <v>11</v>
      </c>
      <c r="BJ85" s="2" t="s">
        <v>104</v>
      </c>
    </row>
    <row r="86" customFormat="false" ht="15" hidden="false" customHeight="false" outlineLevel="0" collapsed="false">
      <c r="A86" s="2" t="n">
        <v>85</v>
      </c>
      <c r="B86" s="2" t="s">
        <v>880</v>
      </c>
      <c r="C86" s="2" t="s">
        <v>881</v>
      </c>
      <c r="D86" s="2" t="s">
        <v>186</v>
      </c>
      <c r="E86" s="2" t="s">
        <v>65</v>
      </c>
      <c r="F86" s="2" t="s">
        <v>882</v>
      </c>
      <c r="G86" s="2" t="s">
        <v>143</v>
      </c>
      <c r="H86" s="2" t="s">
        <v>711</v>
      </c>
      <c r="I86" s="2" t="s">
        <v>883</v>
      </c>
      <c r="J86" s="2" t="s">
        <v>884</v>
      </c>
      <c r="K86" s="2" t="s">
        <v>70</v>
      </c>
      <c r="L86" s="2" t="s">
        <v>70</v>
      </c>
      <c r="M86" s="2" t="s">
        <v>885</v>
      </c>
      <c r="N86" s="2" t="s">
        <v>72</v>
      </c>
      <c r="O86" s="2" t="s">
        <v>886</v>
      </c>
      <c r="P86" s="3" t="n">
        <v>43</v>
      </c>
      <c r="Q86" s="3" t="n">
        <v>24374</v>
      </c>
      <c r="R86" s="3" t="n">
        <v>10138</v>
      </c>
      <c r="S86" s="3" t="n">
        <v>9986</v>
      </c>
      <c r="T86" s="3" t="n">
        <v>14236</v>
      </c>
      <c r="U86" s="3" t="n">
        <v>0</v>
      </c>
      <c r="V86" s="3" t="n">
        <v>0</v>
      </c>
      <c r="W86" s="3" t="n">
        <v>0</v>
      </c>
      <c r="X86" s="3" t="n">
        <v>204</v>
      </c>
      <c r="Y86" s="3" t="n">
        <v>172</v>
      </c>
      <c r="Z86" s="3" t="n">
        <v>15</v>
      </c>
      <c r="AA86" s="3" t="n">
        <v>2</v>
      </c>
      <c r="AB86" s="3" t="n">
        <v>1</v>
      </c>
      <c r="AC86" s="3" t="n">
        <v>14</v>
      </c>
      <c r="AD86" s="3" t="n">
        <v>8</v>
      </c>
      <c r="AE86" s="3" t="n">
        <v>33</v>
      </c>
      <c r="AF86" s="3" t="n">
        <v>127</v>
      </c>
      <c r="AG86" s="3" t="n">
        <v>36</v>
      </c>
      <c r="AH86" s="2" t="s">
        <v>887</v>
      </c>
      <c r="AI86" s="3" t="n">
        <v>204</v>
      </c>
      <c r="AJ86" s="2" t="n">
        <v>8</v>
      </c>
      <c r="AK86" s="2" t="n">
        <f aca="false">COUNTIFS(secondary_acts!$A$2:$A$771,$A86,secondary_acts!$E$2:$E$771,"implementing")</f>
        <v>0</v>
      </c>
      <c r="AL86" s="2" t="n">
        <f aca="false">COUNTIFS(secondary_acts!$A$2:$A$771,$A86,secondary_acts!$E$2:$E$771,"delegated")</f>
        <v>0</v>
      </c>
      <c r="AM86" s="2" t="n">
        <f aca="false">COUNTIFS(secondary_acts!$A$2:$A$771,$A86,secondary_acts!$E$2:$E$771,"other Commission/Council act")</f>
        <v>0</v>
      </c>
      <c r="AN86" s="2" t="n">
        <f aca="false">COUNTIFS(secondary_acts!$A$2:$A$771,$A86,secondary_acts!$E$2:$E$771,"guidance")</f>
        <v>0</v>
      </c>
      <c r="AO86" s="2" t="n">
        <f aca="false">COUNTIF(guidance_web!$A$2:$A$7,$A86)</f>
        <v>0</v>
      </c>
      <c r="AP86" s="2" t="n">
        <f aca="false">COUNTIFS(guidance_agencies!$A$2:$A$81,$A86,guidance_agencies!$D$2:$D$81,"EDPB")</f>
        <v>0</v>
      </c>
      <c r="AQ86" s="2" t="n">
        <f aca="false">COUNTIFS(guidance_agencies!$A$2:$A$81,$A86,guidance_agencies!$D$2:$D$81,"EBA")</f>
        <v>0</v>
      </c>
      <c r="AR86" s="2" t="n">
        <f aca="false">COUNTIFS(guidance_agencies!$A$2:$A$81,$A86,guidance_agencies!$D$2:$D$81,"ESMA")</f>
        <v>0</v>
      </c>
      <c r="AS86" s="3" t="n">
        <f aca="false">SUMIFS(secondary_acts!$S$2:$S$771,secondary_acts!$A$2:$A$771,$A86,secondary_acts!$E$2:$E$771,"implementing")+SUMIFS(secondary_acts!$S$2:$S$771,secondary_acts!$A$2:$A$771,$A86,secondary_acts!$E$2:$E$771,"delegated")</f>
        <v>0</v>
      </c>
      <c r="AT86" s="3"/>
      <c r="AU86" s="2"/>
      <c r="AV86" s="2" t="n">
        <v>0</v>
      </c>
      <c r="AW86" s="2"/>
      <c r="AX86" s="2"/>
      <c r="AY86" s="2" t="n">
        <v>2</v>
      </c>
      <c r="AZ86" s="2" t="s">
        <v>888</v>
      </c>
      <c r="BA86" s="2" t="s">
        <v>139</v>
      </c>
      <c r="BB86" s="2" t="n">
        <v>16426</v>
      </c>
      <c r="BC86" s="2" t="n">
        <v>191</v>
      </c>
      <c r="BD86" s="2" t="n">
        <v>7</v>
      </c>
      <c r="BE86" s="2" t="n">
        <f aca="false">IF(ISNUMBER(BB86),Q86-BB86,"")</f>
        <v>7948</v>
      </c>
      <c r="BF86" s="4" t="n">
        <f aca="false">IF(AND(ISNUMBER(BB86),BB86&gt;0),(Q86-BB86)/BB86,"")</f>
        <v>0.483867040058444</v>
      </c>
      <c r="BG86" s="2" t="n">
        <f aca="false">IF(ISNUMBER(BC86),X86-BC86,"")</f>
        <v>13</v>
      </c>
      <c r="BH86" s="4" t="n">
        <f aca="false">IF(AND(ISNUMBER(BC86),BC86&gt;0),(X86-BC86)/BC86,"")</f>
        <v>0.0680628272251309</v>
      </c>
      <c r="BI86" s="2" t="n">
        <f aca="false">IF(ISNUMBER(BD86),AD86-BD86,"")</f>
        <v>1</v>
      </c>
      <c r="BJ86" s="2" t="s">
        <v>104</v>
      </c>
    </row>
    <row r="87" customFormat="false" ht="15" hidden="false" customHeight="false" outlineLevel="0" collapsed="false">
      <c r="A87" s="2" t="n">
        <v>86</v>
      </c>
      <c r="B87" s="2" t="s">
        <v>889</v>
      </c>
      <c r="C87" s="2" t="s">
        <v>890</v>
      </c>
      <c r="D87" s="2" t="s">
        <v>255</v>
      </c>
      <c r="E87" s="2" t="s">
        <v>65</v>
      </c>
      <c r="F87" s="2" t="s">
        <v>891</v>
      </c>
      <c r="G87" s="2" t="s">
        <v>143</v>
      </c>
      <c r="H87" s="2" t="s">
        <v>126</v>
      </c>
      <c r="I87" s="2" t="s">
        <v>892</v>
      </c>
      <c r="J87" s="2" t="s">
        <v>893</v>
      </c>
      <c r="K87" s="2" t="s">
        <v>70</v>
      </c>
      <c r="L87" s="2" t="s">
        <v>70</v>
      </c>
      <c r="M87" s="2" t="s">
        <v>894</v>
      </c>
      <c r="N87" s="2" t="s">
        <v>72</v>
      </c>
      <c r="O87" s="2" t="s">
        <v>895</v>
      </c>
      <c r="P87" s="3" t="n">
        <v>22</v>
      </c>
      <c r="Q87" s="3" t="n">
        <v>13026</v>
      </c>
      <c r="R87" s="3" t="n">
        <v>8269</v>
      </c>
      <c r="S87" s="3" t="n">
        <v>8153</v>
      </c>
      <c r="T87" s="3" t="n">
        <v>4486</v>
      </c>
      <c r="U87" s="3" t="n">
        <v>271</v>
      </c>
      <c r="V87" s="3" t="n">
        <v>0</v>
      </c>
      <c r="W87" s="3" t="n">
        <v>0</v>
      </c>
      <c r="X87" s="3" t="n">
        <v>46</v>
      </c>
      <c r="Y87" s="3" t="n">
        <v>24</v>
      </c>
      <c r="Z87" s="3" t="n">
        <v>4</v>
      </c>
      <c r="AA87" s="3" t="n">
        <v>0</v>
      </c>
      <c r="AB87" s="3" t="n">
        <v>2</v>
      </c>
      <c r="AC87" s="3" t="n">
        <v>16</v>
      </c>
      <c r="AD87" s="3" t="n">
        <v>5</v>
      </c>
      <c r="AE87" s="3" t="n">
        <v>30</v>
      </c>
      <c r="AF87" s="3" t="n">
        <v>4</v>
      </c>
      <c r="AG87" s="3" t="n">
        <v>7</v>
      </c>
      <c r="AH87" s="2" t="s">
        <v>896</v>
      </c>
      <c r="AI87" s="3" t="n">
        <v>46</v>
      </c>
      <c r="AJ87" s="2" t="n">
        <v>5</v>
      </c>
      <c r="AK87" s="2" t="n">
        <f aca="false">COUNTIFS(secondary_acts!$A$2:$A$771,$A87,secondary_acts!$E$2:$E$771,"implementing")</f>
        <v>0</v>
      </c>
      <c r="AL87" s="2" t="n">
        <f aca="false">COUNTIFS(secondary_acts!$A$2:$A$771,$A87,secondary_acts!$E$2:$E$771,"delegated")</f>
        <v>0</v>
      </c>
      <c r="AM87" s="2" t="n">
        <f aca="false">COUNTIFS(secondary_acts!$A$2:$A$771,$A87,secondary_acts!$E$2:$E$771,"other Commission/Council act")</f>
        <v>0</v>
      </c>
      <c r="AN87" s="2" t="n">
        <f aca="false">COUNTIFS(secondary_acts!$A$2:$A$771,$A87,secondary_acts!$E$2:$E$771,"guidance")</f>
        <v>0</v>
      </c>
      <c r="AO87" s="2" t="n">
        <f aca="false">COUNTIF(guidance_web!$A$2:$A$7,$A87)</f>
        <v>0</v>
      </c>
      <c r="AP87" s="2" t="n">
        <f aca="false">COUNTIFS(guidance_agencies!$A$2:$A$81,$A87,guidance_agencies!$D$2:$D$81,"EDPB")</f>
        <v>0</v>
      </c>
      <c r="AQ87" s="2" t="n">
        <f aca="false">COUNTIFS(guidance_agencies!$A$2:$A$81,$A87,guidance_agencies!$D$2:$D$81,"EBA")</f>
        <v>0</v>
      </c>
      <c r="AR87" s="2" t="n">
        <f aca="false">COUNTIFS(guidance_agencies!$A$2:$A$81,$A87,guidance_agencies!$D$2:$D$81,"ESMA")</f>
        <v>0</v>
      </c>
      <c r="AS87" s="3" t="n">
        <f aca="false">SUMIFS(secondary_acts!$S$2:$S$771,secondary_acts!$A$2:$A$771,$A87,secondary_acts!$E$2:$E$771,"implementing")+SUMIFS(secondary_acts!$S$2:$S$771,secondary_acts!$A$2:$A$771,$A87,secondary_acts!$E$2:$E$771,"delegated")</f>
        <v>0</v>
      </c>
      <c r="AT87" s="3" t="n">
        <v>80</v>
      </c>
      <c r="AU87" s="2" t="n">
        <v>2</v>
      </c>
      <c r="AV87" s="2" t="n">
        <v>0</v>
      </c>
      <c r="AW87" s="2"/>
      <c r="AX87" s="2"/>
      <c r="AY87" s="2" t="n">
        <v>2</v>
      </c>
      <c r="AZ87" s="2" t="s">
        <v>897</v>
      </c>
      <c r="BA87" s="2" t="s">
        <v>139</v>
      </c>
      <c r="BB87" s="2" t="n">
        <v>8628</v>
      </c>
      <c r="BC87" s="2" t="n">
        <v>32</v>
      </c>
      <c r="BD87" s="2" t="n">
        <v>2</v>
      </c>
      <c r="BE87" s="2" t="n">
        <f aca="false">IF(ISNUMBER(BB87),Q87-BB87,"")</f>
        <v>4398</v>
      </c>
      <c r="BF87" s="4" t="n">
        <f aca="false">IF(AND(ISNUMBER(BB87),BB87&gt;0),(Q87-BB87)/BB87,"")</f>
        <v>0.509735744089013</v>
      </c>
      <c r="BG87" s="2" t="n">
        <f aca="false">IF(ISNUMBER(BC87),X87-BC87,"")</f>
        <v>14</v>
      </c>
      <c r="BH87" s="4" t="n">
        <f aca="false">IF(AND(ISNUMBER(BC87),BC87&gt;0),(X87-BC87)/BC87,"")</f>
        <v>0.4375</v>
      </c>
      <c r="BI87" s="2" t="n">
        <f aca="false">IF(ISNUMBER(BD87),AD87-BD87,"")</f>
        <v>3</v>
      </c>
      <c r="BJ87" s="2"/>
    </row>
    <row r="88" customFormat="false" ht="15" hidden="false" customHeight="false" outlineLevel="0" collapsed="false">
      <c r="A88" s="2" t="n">
        <v>87</v>
      </c>
      <c r="B88" s="2" t="s">
        <v>898</v>
      </c>
      <c r="C88" s="2" t="s">
        <v>899</v>
      </c>
      <c r="D88" s="2" t="s">
        <v>186</v>
      </c>
      <c r="E88" s="2" t="s">
        <v>65</v>
      </c>
      <c r="F88" s="2" t="s">
        <v>900</v>
      </c>
      <c r="G88" s="2" t="s">
        <v>67</v>
      </c>
      <c r="H88" s="2" t="s">
        <v>901</v>
      </c>
      <c r="I88" s="2" t="s">
        <v>902</v>
      </c>
      <c r="J88" s="2" t="s">
        <v>903</v>
      </c>
      <c r="K88" s="2" t="s">
        <v>70</v>
      </c>
      <c r="L88" s="2" t="s">
        <v>70</v>
      </c>
      <c r="M88" s="2" t="s">
        <v>904</v>
      </c>
      <c r="N88" s="2" t="s">
        <v>72</v>
      </c>
      <c r="O88" s="2" t="s">
        <v>905</v>
      </c>
      <c r="P88" s="3" t="n">
        <v>18</v>
      </c>
      <c r="Q88" s="3" t="n">
        <v>8700</v>
      </c>
      <c r="R88" s="3" t="n">
        <v>3248</v>
      </c>
      <c r="S88" s="3" t="n">
        <v>2996</v>
      </c>
      <c r="T88" s="3" t="n">
        <v>5452</v>
      </c>
      <c r="U88" s="3" t="n">
        <v>0</v>
      </c>
      <c r="V88" s="3" t="n">
        <v>0</v>
      </c>
      <c r="W88" s="3" t="n">
        <v>0</v>
      </c>
      <c r="X88" s="3" t="n">
        <v>12</v>
      </c>
      <c r="Y88" s="3" t="n">
        <v>5</v>
      </c>
      <c r="Z88" s="3" t="n">
        <v>2</v>
      </c>
      <c r="AA88" s="3" t="n">
        <v>0</v>
      </c>
      <c r="AB88" s="3" t="n">
        <v>5</v>
      </c>
      <c r="AC88" s="3" t="n">
        <v>0</v>
      </c>
      <c r="AD88" s="3" t="n">
        <v>2</v>
      </c>
      <c r="AE88" s="3" t="n">
        <v>0</v>
      </c>
      <c r="AF88" s="3" t="n">
        <v>0</v>
      </c>
      <c r="AG88" s="3" t="n">
        <v>10</v>
      </c>
      <c r="AH88" s="2" t="s">
        <v>906</v>
      </c>
      <c r="AI88" s="3" t="n">
        <v>12</v>
      </c>
      <c r="AJ88" s="2" t="n">
        <v>2</v>
      </c>
      <c r="AK88" s="2" t="n">
        <f aca="false">COUNTIFS(secondary_acts!$A$2:$A$771,$A88,secondary_acts!$E$2:$E$771,"implementing")</f>
        <v>0</v>
      </c>
      <c r="AL88" s="2" t="n">
        <f aca="false">COUNTIFS(secondary_acts!$A$2:$A$771,$A88,secondary_acts!$E$2:$E$771,"delegated")</f>
        <v>0</v>
      </c>
      <c r="AM88" s="2" t="n">
        <f aca="false">COUNTIFS(secondary_acts!$A$2:$A$771,$A88,secondary_acts!$E$2:$E$771,"other Commission/Council act")</f>
        <v>0</v>
      </c>
      <c r="AN88" s="2" t="n">
        <f aca="false">COUNTIFS(secondary_acts!$A$2:$A$771,$A88,secondary_acts!$E$2:$E$771,"guidance")</f>
        <v>0</v>
      </c>
      <c r="AO88" s="2" t="n">
        <f aca="false">COUNTIF(guidance_web!$A$2:$A$7,$A88)</f>
        <v>0</v>
      </c>
      <c r="AP88" s="2" t="n">
        <f aca="false">COUNTIFS(guidance_agencies!$A$2:$A$81,$A88,guidance_agencies!$D$2:$D$81,"EDPB")</f>
        <v>0</v>
      </c>
      <c r="AQ88" s="2" t="n">
        <f aca="false">COUNTIFS(guidance_agencies!$A$2:$A$81,$A88,guidance_agencies!$D$2:$D$81,"EBA")</f>
        <v>0</v>
      </c>
      <c r="AR88" s="2" t="n">
        <f aca="false">COUNTIFS(guidance_agencies!$A$2:$A$81,$A88,guidance_agencies!$D$2:$D$81,"ESMA")</f>
        <v>0</v>
      </c>
      <c r="AS88" s="3" t="n">
        <f aca="false">SUMIFS(secondary_acts!$S$2:$S$771,secondary_acts!$A$2:$A$771,$A88,secondary_acts!$E$2:$E$771,"implementing")+SUMIFS(secondary_acts!$S$2:$S$771,secondary_acts!$A$2:$A$771,$A88,secondary_acts!$E$2:$E$771,"delegated")</f>
        <v>0</v>
      </c>
      <c r="AT88" s="3"/>
      <c r="AU88" s="2"/>
      <c r="AV88" s="2" t="n">
        <v>0</v>
      </c>
      <c r="AW88" s="2"/>
      <c r="AX88" s="2"/>
      <c r="AY88" s="2" t="n">
        <v>2</v>
      </c>
      <c r="AZ88" s="2"/>
      <c r="BA88" s="2" t="s">
        <v>345</v>
      </c>
      <c r="BB88" s="2"/>
      <c r="BC88" s="2"/>
      <c r="BD88" s="2"/>
      <c r="BE88" s="2" t="str">
        <f aca="false">IF(ISNUMBER(BB88),Q88-BB88,"")</f>
        <v/>
      </c>
      <c r="BF88" s="4" t="str">
        <f aca="false">IF(AND(ISNUMBER(BB88),BB88&gt;0),(Q88-BB88)/BB88,"")</f>
        <v/>
      </c>
      <c r="BG88" s="2" t="str">
        <f aca="false">IF(ISNUMBER(BC88),X88-BC88,"")</f>
        <v/>
      </c>
      <c r="BH88" s="4" t="str">
        <f aca="false">IF(AND(ISNUMBER(BC88),BC88&gt;0),(X88-BC88)/BC88,"")</f>
        <v/>
      </c>
      <c r="BI88" s="2" t="str">
        <f aca="false">IF(ISNUMBER(BD88),AD88-BD88,"")</f>
        <v/>
      </c>
      <c r="BJ88" s="2" t="s">
        <v>346</v>
      </c>
    </row>
    <row r="89" customFormat="false" ht="15" hidden="false" customHeight="false" outlineLevel="0" collapsed="false">
      <c r="A89" s="2" t="n">
        <v>88</v>
      </c>
      <c r="B89" s="2" t="s">
        <v>907</v>
      </c>
      <c r="C89" s="2" t="s">
        <v>908</v>
      </c>
      <c r="D89" s="2" t="s">
        <v>164</v>
      </c>
      <c r="E89" s="2" t="s">
        <v>65</v>
      </c>
      <c r="F89" s="2" t="s">
        <v>909</v>
      </c>
      <c r="G89" s="2" t="s">
        <v>143</v>
      </c>
      <c r="H89" s="2" t="s">
        <v>323</v>
      </c>
      <c r="I89" s="2" t="s">
        <v>910</v>
      </c>
      <c r="J89" s="2" t="s">
        <v>239</v>
      </c>
      <c r="K89" s="2" t="s">
        <v>70</v>
      </c>
      <c r="L89" s="2" t="s">
        <v>70</v>
      </c>
      <c r="M89" s="2" t="s">
        <v>911</v>
      </c>
      <c r="N89" s="2" t="s">
        <v>72</v>
      </c>
      <c r="O89" s="2" t="s">
        <v>912</v>
      </c>
      <c r="P89" s="3" t="n">
        <v>26</v>
      </c>
      <c r="Q89" s="3" t="n">
        <v>13633</v>
      </c>
      <c r="R89" s="3" t="n">
        <v>6335</v>
      </c>
      <c r="S89" s="3" t="n">
        <v>6206</v>
      </c>
      <c r="T89" s="3" t="n">
        <v>7199</v>
      </c>
      <c r="U89" s="3" t="n">
        <v>99</v>
      </c>
      <c r="V89" s="3" t="n">
        <v>0</v>
      </c>
      <c r="W89" s="3" t="n">
        <v>0</v>
      </c>
      <c r="X89" s="3" t="n">
        <v>129</v>
      </c>
      <c r="Y89" s="3" t="n">
        <v>116</v>
      </c>
      <c r="Z89" s="3" t="n">
        <v>8</v>
      </c>
      <c r="AA89" s="3" t="n">
        <v>0</v>
      </c>
      <c r="AB89" s="3" t="n">
        <v>1</v>
      </c>
      <c r="AC89" s="3" t="n">
        <v>4</v>
      </c>
      <c r="AD89" s="3" t="n">
        <v>6</v>
      </c>
      <c r="AE89" s="3" t="n">
        <v>14</v>
      </c>
      <c r="AF89" s="3" t="n">
        <v>66</v>
      </c>
      <c r="AG89" s="3" t="n">
        <v>43</v>
      </c>
      <c r="AH89" s="2"/>
      <c r="AI89" s="3"/>
      <c r="AJ89" s="2"/>
      <c r="AK89" s="2" t="n">
        <f aca="false">COUNTIFS(secondary_acts!$A$2:$A$771,$A89,secondary_acts!$E$2:$E$771,"implementing")</f>
        <v>1</v>
      </c>
      <c r="AL89" s="2" t="n">
        <f aca="false">COUNTIFS(secondary_acts!$A$2:$A$771,$A89,secondary_acts!$E$2:$E$771,"delegated")</f>
        <v>0</v>
      </c>
      <c r="AM89" s="2" t="n">
        <f aca="false">COUNTIFS(secondary_acts!$A$2:$A$771,$A89,secondary_acts!$E$2:$E$771,"other Commission/Council act")</f>
        <v>0</v>
      </c>
      <c r="AN89" s="2" t="n">
        <f aca="false">COUNTIFS(secondary_acts!$A$2:$A$771,$A89,secondary_acts!$E$2:$E$771,"guidance")</f>
        <v>0</v>
      </c>
      <c r="AO89" s="2" t="n">
        <f aca="false">COUNTIF(guidance_web!$A$2:$A$7,$A89)</f>
        <v>0</v>
      </c>
      <c r="AP89" s="2" t="n">
        <f aca="false">COUNTIFS(guidance_agencies!$A$2:$A$81,$A89,guidance_agencies!$D$2:$D$81,"EDPB")</f>
        <v>0</v>
      </c>
      <c r="AQ89" s="2" t="n">
        <f aca="false">COUNTIFS(guidance_agencies!$A$2:$A$81,$A89,guidance_agencies!$D$2:$D$81,"EBA")</f>
        <v>0</v>
      </c>
      <c r="AR89" s="2" t="n">
        <f aca="false">COUNTIFS(guidance_agencies!$A$2:$A$81,$A89,guidance_agencies!$D$2:$D$81,"ESMA")</f>
        <v>0</v>
      </c>
      <c r="AS89" s="3" t="n">
        <f aca="false">SUMIFS(secondary_acts!$S$2:$S$771,secondary_acts!$A$2:$A$771,$A89,secondary_acts!$E$2:$E$771,"implementing")+SUMIFS(secondary_acts!$S$2:$S$771,secondary_acts!$A$2:$A$771,$A89,secondary_acts!$E$2:$E$771,"delegated")</f>
        <v>55</v>
      </c>
      <c r="AT89" s="3"/>
      <c r="AU89" s="2"/>
      <c r="AV89" s="2" t="n">
        <v>0</v>
      </c>
      <c r="AW89" s="2"/>
      <c r="AX89" s="2"/>
      <c r="AY89" s="2" t="n">
        <v>0</v>
      </c>
      <c r="AZ89" s="2" t="s">
        <v>913</v>
      </c>
      <c r="BA89" s="2" t="s">
        <v>139</v>
      </c>
      <c r="BB89" s="2" t="n">
        <v>9785</v>
      </c>
      <c r="BC89" s="2" t="n">
        <v>99</v>
      </c>
      <c r="BD89" s="2" t="n">
        <v>4</v>
      </c>
      <c r="BE89" s="2" t="n">
        <f aca="false">IF(ISNUMBER(BB89),Q89-BB89,"")</f>
        <v>3848</v>
      </c>
      <c r="BF89" s="4" t="n">
        <f aca="false">IF(AND(ISNUMBER(BB89),BB89&gt;0),(Q89-BB89)/BB89,"")</f>
        <v>0.393254982115483</v>
      </c>
      <c r="BG89" s="2" t="n">
        <f aca="false">IF(ISNUMBER(BC89),X89-BC89,"")</f>
        <v>30</v>
      </c>
      <c r="BH89" s="4" t="n">
        <f aca="false">IF(AND(ISNUMBER(BC89),BC89&gt;0),(X89-BC89)/BC89,"")</f>
        <v>0.303030303030303</v>
      </c>
      <c r="BI89" s="2" t="n">
        <f aca="false">IF(ISNUMBER(BD89),AD89-BD89,"")</f>
        <v>2</v>
      </c>
      <c r="BJ89" s="2"/>
    </row>
    <row r="90" customFormat="false" ht="15" hidden="false" customHeight="false" outlineLevel="0" collapsed="false">
      <c r="A90" s="2" t="n">
        <v>89</v>
      </c>
      <c r="B90" s="2" t="s">
        <v>914</v>
      </c>
      <c r="C90" s="2" t="s">
        <v>915</v>
      </c>
      <c r="D90" s="2" t="s">
        <v>107</v>
      </c>
      <c r="E90" s="2" t="s">
        <v>65</v>
      </c>
      <c r="F90" s="2" t="s">
        <v>916</v>
      </c>
      <c r="G90" s="2" t="s">
        <v>143</v>
      </c>
      <c r="H90" s="2" t="s">
        <v>126</v>
      </c>
      <c r="I90" s="2" t="s">
        <v>892</v>
      </c>
      <c r="J90" s="2" t="s">
        <v>893</v>
      </c>
      <c r="K90" s="2" t="s">
        <v>70</v>
      </c>
      <c r="L90" s="2" t="s">
        <v>70</v>
      </c>
      <c r="M90" s="2" t="s">
        <v>917</v>
      </c>
      <c r="N90" s="2" t="s">
        <v>72</v>
      </c>
      <c r="O90" s="2" t="s">
        <v>918</v>
      </c>
      <c r="P90" s="3" t="n">
        <v>18</v>
      </c>
      <c r="Q90" s="3" t="n">
        <v>9716</v>
      </c>
      <c r="R90" s="3" t="n">
        <v>4254</v>
      </c>
      <c r="S90" s="3" t="n">
        <v>4142</v>
      </c>
      <c r="T90" s="3" t="n">
        <v>5241</v>
      </c>
      <c r="U90" s="3" t="n">
        <v>221</v>
      </c>
      <c r="V90" s="3" t="n">
        <v>0</v>
      </c>
      <c r="W90" s="3" t="n">
        <v>0</v>
      </c>
      <c r="X90" s="3" t="n">
        <v>69</v>
      </c>
      <c r="Y90" s="3" t="n">
        <v>55</v>
      </c>
      <c r="Z90" s="3" t="n">
        <v>14</v>
      </c>
      <c r="AA90" s="3" t="n">
        <v>0</v>
      </c>
      <c r="AB90" s="3" t="n">
        <v>0</v>
      </c>
      <c r="AC90" s="3" t="n">
        <v>0</v>
      </c>
      <c r="AD90" s="3" t="n">
        <v>4</v>
      </c>
      <c r="AE90" s="3" t="n">
        <v>12</v>
      </c>
      <c r="AF90" s="3" t="n">
        <v>4</v>
      </c>
      <c r="AG90" s="3" t="n">
        <v>49</v>
      </c>
      <c r="AH90" s="2" t="s">
        <v>919</v>
      </c>
      <c r="AI90" s="3" t="n">
        <v>69</v>
      </c>
      <c r="AJ90" s="2" t="n">
        <v>4</v>
      </c>
      <c r="AK90" s="2" t="n">
        <f aca="false">COUNTIFS(secondary_acts!$A$2:$A$771,$A90,secondary_acts!$E$2:$E$771,"implementing")</f>
        <v>0</v>
      </c>
      <c r="AL90" s="2" t="n">
        <f aca="false">COUNTIFS(secondary_acts!$A$2:$A$771,$A90,secondary_acts!$E$2:$E$771,"delegated")</f>
        <v>0</v>
      </c>
      <c r="AM90" s="2" t="n">
        <f aca="false">COUNTIFS(secondary_acts!$A$2:$A$771,$A90,secondary_acts!$E$2:$E$771,"other Commission/Council act")</f>
        <v>0</v>
      </c>
      <c r="AN90" s="2" t="n">
        <f aca="false">COUNTIFS(secondary_acts!$A$2:$A$771,$A90,secondary_acts!$E$2:$E$771,"guidance")</f>
        <v>0</v>
      </c>
      <c r="AO90" s="2" t="n">
        <f aca="false">COUNTIF(guidance_web!$A$2:$A$7,$A90)</f>
        <v>0</v>
      </c>
      <c r="AP90" s="2" t="n">
        <f aca="false">COUNTIFS(guidance_agencies!$A$2:$A$81,$A90,guidance_agencies!$D$2:$D$81,"EDPB")</f>
        <v>0</v>
      </c>
      <c r="AQ90" s="2" t="n">
        <f aca="false">COUNTIFS(guidance_agencies!$A$2:$A$81,$A90,guidance_agencies!$D$2:$D$81,"EBA")</f>
        <v>0</v>
      </c>
      <c r="AR90" s="2" t="n">
        <f aca="false">COUNTIFS(guidance_agencies!$A$2:$A$81,$A90,guidance_agencies!$D$2:$D$81,"ESMA")</f>
        <v>0</v>
      </c>
      <c r="AS90" s="3" t="n">
        <f aca="false">SUMIFS(secondary_acts!$S$2:$S$771,secondary_acts!$A$2:$A$771,$A90,secondary_acts!$E$2:$E$771,"implementing")+SUMIFS(secondary_acts!$S$2:$S$771,secondary_acts!$A$2:$A$771,$A90,secondary_acts!$E$2:$E$771,"delegated")</f>
        <v>0</v>
      </c>
      <c r="AT90" s="3" t="n">
        <v>0</v>
      </c>
      <c r="AU90" s="2" t="n">
        <v>0</v>
      </c>
      <c r="AV90" s="2" t="n">
        <v>0</v>
      </c>
      <c r="AW90" s="2"/>
      <c r="AX90" s="2"/>
      <c r="AY90" s="2" t="n">
        <v>2</v>
      </c>
      <c r="AZ90" s="2" t="s">
        <v>920</v>
      </c>
      <c r="BA90" s="2" t="s">
        <v>139</v>
      </c>
      <c r="BB90" s="2" t="n">
        <v>10541</v>
      </c>
      <c r="BC90" s="2" t="n">
        <v>81</v>
      </c>
      <c r="BD90" s="2" t="n">
        <v>3</v>
      </c>
      <c r="BE90" s="2" t="n">
        <f aca="false">IF(ISNUMBER(BB90),Q90-BB90,"")</f>
        <v>-825</v>
      </c>
      <c r="BF90" s="4" t="n">
        <f aca="false">IF(AND(ISNUMBER(BB90),BB90&gt;0),(Q90-BB90)/BB90,"")</f>
        <v>-0.0782658191822408</v>
      </c>
      <c r="BG90" s="2" t="n">
        <f aca="false">IF(ISNUMBER(BC90),X90-BC90,"")</f>
        <v>-12</v>
      </c>
      <c r="BH90" s="4" t="n">
        <f aca="false">IF(AND(ISNUMBER(BC90),BC90&gt;0),(X90-BC90)/BC90,"")</f>
        <v>-0.148148148148148</v>
      </c>
      <c r="BI90" s="2" t="n">
        <f aca="false">IF(ISNUMBER(BD90),AD90-BD90,"")</f>
        <v>1</v>
      </c>
      <c r="BJ90" s="2" t="s">
        <v>104</v>
      </c>
    </row>
    <row r="91" customFormat="false" ht="15" hidden="false" customHeight="false" outlineLevel="0" collapsed="false">
      <c r="A91" s="2" t="n">
        <v>90</v>
      </c>
      <c r="B91" s="2" t="s">
        <v>921</v>
      </c>
      <c r="C91" s="2" t="s">
        <v>922</v>
      </c>
      <c r="D91" s="2" t="s">
        <v>218</v>
      </c>
      <c r="E91" s="2" t="s">
        <v>859</v>
      </c>
      <c r="F91" s="2" t="s">
        <v>923</v>
      </c>
      <c r="G91" s="2" t="s">
        <v>143</v>
      </c>
      <c r="H91" s="2" t="s">
        <v>924</v>
      </c>
      <c r="I91" s="2" t="s">
        <v>852</v>
      </c>
      <c r="J91" s="2" t="s">
        <v>284</v>
      </c>
      <c r="K91" s="2" t="s">
        <v>833</v>
      </c>
      <c r="L91" s="2" t="s">
        <v>70</v>
      </c>
      <c r="M91" s="2" t="s">
        <v>925</v>
      </c>
      <c r="N91" s="2" t="s">
        <v>72</v>
      </c>
      <c r="O91" s="2" t="s">
        <v>926</v>
      </c>
      <c r="P91" s="3" t="n">
        <v>28</v>
      </c>
      <c r="Q91" s="3" t="n">
        <v>16279</v>
      </c>
      <c r="R91" s="3" t="n">
        <v>4856</v>
      </c>
      <c r="S91" s="3" t="n">
        <v>4745</v>
      </c>
      <c r="T91" s="3" t="n">
        <v>11423</v>
      </c>
      <c r="U91" s="3" t="n">
        <v>0</v>
      </c>
      <c r="V91" s="3" t="n">
        <v>0</v>
      </c>
      <c r="W91" s="3" t="n">
        <v>0</v>
      </c>
      <c r="X91" s="3" t="n">
        <v>86</v>
      </c>
      <c r="Y91" s="3" t="n">
        <v>76</v>
      </c>
      <c r="Z91" s="3" t="n">
        <v>7</v>
      </c>
      <c r="AA91" s="3" t="n">
        <v>0</v>
      </c>
      <c r="AB91" s="3" t="n">
        <v>3</v>
      </c>
      <c r="AC91" s="3" t="n">
        <v>0</v>
      </c>
      <c r="AD91" s="3" t="n">
        <v>19</v>
      </c>
      <c r="AE91" s="3" t="n">
        <v>31</v>
      </c>
      <c r="AF91" s="3" t="n">
        <v>4</v>
      </c>
      <c r="AG91" s="3" t="n">
        <v>32</v>
      </c>
      <c r="AH91" s="2" t="s">
        <v>927</v>
      </c>
      <c r="AI91" s="3" t="n">
        <v>86</v>
      </c>
      <c r="AJ91" s="2" t="n">
        <v>19</v>
      </c>
      <c r="AK91" s="2" t="n">
        <f aca="false">COUNTIFS(secondary_acts!$A$2:$A$771,$A91,secondary_acts!$E$2:$E$771,"implementing")</f>
        <v>0</v>
      </c>
      <c r="AL91" s="2" t="n">
        <f aca="false">COUNTIFS(secondary_acts!$A$2:$A$771,$A91,secondary_acts!$E$2:$E$771,"delegated")</f>
        <v>0</v>
      </c>
      <c r="AM91" s="2" t="n">
        <f aca="false">COUNTIFS(secondary_acts!$A$2:$A$771,$A91,secondary_acts!$E$2:$E$771,"other Commission/Council act")</f>
        <v>0</v>
      </c>
      <c r="AN91" s="2" t="n">
        <f aca="false">COUNTIFS(secondary_acts!$A$2:$A$771,$A91,secondary_acts!$E$2:$E$771,"guidance")</f>
        <v>0</v>
      </c>
      <c r="AO91" s="2" t="n">
        <f aca="false">COUNTIF(guidance_web!$A$2:$A$7,$A91)</f>
        <v>0</v>
      </c>
      <c r="AP91" s="2" t="n">
        <f aca="false">COUNTIFS(guidance_agencies!$A$2:$A$81,$A91,guidance_agencies!$D$2:$D$81,"EDPB")</f>
        <v>0</v>
      </c>
      <c r="AQ91" s="2" t="n">
        <f aca="false">COUNTIFS(guidance_agencies!$A$2:$A$81,$A91,guidance_agencies!$D$2:$D$81,"EBA")</f>
        <v>0</v>
      </c>
      <c r="AR91" s="2" t="n">
        <f aca="false">COUNTIFS(guidance_agencies!$A$2:$A$81,$A91,guidance_agencies!$D$2:$D$81,"ESMA")</f>
        <v>0</v>
      </c>
      <c r="AS91" s="3" t="n">
        <f aca="false">SUMIFS(secondary_acts!$S$2:$S$771,secondary_acts!$A$2:$A$771,$A91,secondary_acts!$E$2:$E$771,"implementing")+SUMIFS(secondary_acts!$S$2:$S$771,secondary_acts!$A$2:$A$771,$A91,secondary_acts!$E$2:$E$771,"delegated")</f>
        <v>0</v>
      </c>
      <c r="AT91" s="3" t="n">
        <v>87</v>
      </c>
      <c r="AU91" s="2" t="n">
        <v>5</v>
      </c>
      <c r="AV91" s="2" t="n">
        <v>0</v>
      </c>
      <c r="AW91" s="2"/>
      <c r="AX91" s="2"/>
      <c r="AY91" s="2" t="n">
        <v>1</v>
      </c>
      <c r="AZ91" s="2" t="s">
        <v>928</v>
      </c>
      <c r="BA91" s="2" t="s">
        <v>139</v>
      </c>
      <c r="BB91" s="2" t="n">
        <v>12271</v>
      </c>
      <c r="BC91" s="2" t="n">
        <v>59</v>
      </c>
      <c r="BD91" s="2" t="n">
        <v>8</v>
      </c>
      <c r="BE91" s="2" t="n">
        <f aca="false">IF(ISNUMBER(BB91),Q91-BB91,"")</f>
        <v>4008</v>
      </c>
      <c r="BF91" s="4" t="n">
        <f aca="false">IF(AND(ISNUMBER(BB91),BB91&gt;0),(Q91-BB91)/BB91,"")</f>
        <v>0.326623747045881</v>
      </c>
      <c r="BG91" s="2" t="n">
        <f aca="false">IF(ISNUMBER(BC91),X91-BC91,"")</f>
        <v>27</v>
      </c>
      <c r="BH91" s="4" t="n">
        <f aca="false">IF(AND(ISNUMBER(BC91),BC91&gt;0),(X91-BC91)/BC91,"")</f>
        <v>0.457627118644068</v>
      </c>
      <c r="BI91" s="2" t="n">
        <f aca="false">IF(ISNUMBER(BD91),AD91-BD91,"")</f>
        <v>11</v>
      </c>
      <c r="BJ91" s="2" t="s">
        <v>929</v>
      </c>
    </row>
    <row r="92" customFormat="false" ht="15" hidden="false" customHeight="false" outlineLevel="0" collapsed="false">
      <c r="A92" s="2" t="n">
        <v>91</v>
      </c>
      <c r="B92" s="2" t="s">
        <v>930</v>
      </c>
      <c r="C92" s="2" t="s">
        <v>931</v>
      </c>
      <c r="D92" s="2" t="s">
        <v>64</v>
      </c>
      <c r="E92" s="2" t="s">
        <v>65</v>
      </c>
      <c r="F92" s="2" t="s">
        <v>932</v>
      </c>
      <c r="G92" s="2" t="s">
        <v>143</v>
      </c>
      <c r="H92" s="2" t="s">
        <v>334</v>
      </c>
      <c r="I92" s="2" t="s">
        <v>933</v>
      </c>
      <c r="J92" s="2" t="s">
        <v>934</v>
      </c>
      <c r="K92" s="2" t="s">
        <v>70</v>
      </c>
      <c r="L92" s="2" t="s">
        <v>70</v>
      </c>
      <c r="M92" s="2" t="s">
        <v>935</v>
      </c>
      <c r="N92" s="2" t="s">
        <v>72</v>
      </c>
      <c r="O92" s="2" t="s">
        <v>936</v>
      </c>
      <c r="P92" s="3" t="n">
        <v>40</v>
      </c>
      <c r="Q92" s="3" t="n">
        <v>23456</v>
      </c>
      <c r="R92" s="3" t="n">
        <v>13087</v>
      </c>
      <c r="S92" s="3" t="n">
        <v>12957</v>
      </c>
      <c r="T92" s="3" t="n">
        <v>9868</v>
      </c>
      <c r="U92" s="3" t="n">
        <v>501</v>
      </c>
      <c r="V92" s="3" t="n">
        <v>0</v>
      </c>
      <c r="W92" s="3" t="n">
        <v>0</v>
      </c>
      <c r="X92" s="3" t="n">
        <v>114</v>
      </c>
      <c r="Y92" s="3" t="n">
        <v>89</v>
      </c>
      <c r="Z92" s="3" t="n">
        <v>12</v>
      </c>
      <c r="AA92" s="3" t="n">
        <v>2</v>
      </c>
      <c r="AB92" s="3" t="n">
        <v>2</v>
      </c>
      <c r="AC92" s="3" t="n">
        <v>9</v>
      </c>
      <c r="AD92" s="3" t="n">
        <v>13</v>
      </c>
      <c r="AE92" s="3" t="n">
        <v>57</v>
      </c>
      <c r="AF92" s="3" t="n">
        <v>5</v>
      </c>
      <c r="AG92" s="3" t="n">
        <v>39</v>
      </c>
      <c r="AH92" s="2" t="s">
        <v>937</v>
      </c>
      <c r="AI92" s="3" t="n">
        <v>114</v>
      </c>
      <c r="AJ92" s="2" t="n">
        <v>13</v>
      </c>
      <c r="AK92" s="2" t="n">
        <f aca="false">COUNTIFS(secondary_acts!$A$2:$A$771,$A92,secondary_acts!$E$2:$E$771,"implementing")</f>
        <v>0</v>
      </c>
      <c r="AL92" s="2" t="n">
        <f aca="false">COUNTIFS(secondary_acts!$A$2:$A$771,$A92,secondary_acts!$E$2:$E$771,"delegated")</f>
        <v>0</v>
      </c>
      <c r="AM92" s="2" t="n">
        <f aca="false">COUNTIFS(secondary_acts!$A$2:$A$771,$A92,secondary_acts!$E$2:$E$771,"other Commission/Council act")</f>
        <v>0</v>
      </c>
      <c r="AN92" s="2" t="n">
        <f aca="false">COUNTIFS(secondary_acts!$A$2:$A$771,$A92,secondary_acts!$E$2:$E$771,"guidance")</f>
        <v>0</v>
      </c>
      <c r="AO92" s="2" t="n">
        <f aca="false">COUNTIF(guidance_web!$A$2:$A$7,$A92)</f>
        <v>0</v>
      </c>
      <c r="AP92" s="2" t="n">
        <f aca="false">COUNTIFS(guidance_agencies!$A$2:$A$81,$A92,guidance_agencies!$D$2:$D$81,"EDPB")</f>
        <v>0</v>
      </c>
      <c r="AQ92" s="2" t="n">
        <f aca="false">COUNTIFS(guidance_agencies!$A$2:$A$81,$A92,guidance_agencies!$D$2:$D$81,"EBA")</f>
        <v>0</v>
      </c>
      <c r="AR92" s="2" t="n">
        <f aca="false">COUNTIFS(guidance_agencies!$A$2:$A$81,$A92,guidance_agencies!$D$2:$D$81,"ESMA")</f>
        <v>0</v>
      </c>
      <c r="AS92" s="3" t="n">
        <f aca="false">SUMIFS(secondary_acts!$S$2:$S$771,secondary_acts!$A$2:$A$771,$A92,secondary_acts!$E$2:$E$771,"implementing")+SUMIFS(secondary_acts!$S$2:$S$771,secondary_acts!$A$2:$A$771,$A92,secondary_acts!$E$2:$E$771,"delegated")</f>
        <v>0</v>
      </c>
      <c r="AT92" s="3"/>
      <c r="AU92" s="2"/>
      <c r="AV92" s="2" t="n">
        <v>0</v>
      </c>
      <c r="AW92" s="2"/>
      <c r="AX92" s="2"/>
      <c r="AY92" s="2" t="n">
        <v>3</v>
      </c>
      <c r="AZ92" s="2" t="s">
        <v>938</v>
      </c>
      <c r="BA92" s="2" t="s">
        <v>139</v>
      </c>
      <c r="BB92" s="2" t="n">
        <v>15565</v>
      </c>
      <c r="BC92" s="2" t="n">
        <v>89</v>
      </c>
      <c r="BD92" s="2" t="n">
        <v>12</v>
      </c>
      <c r="BE92" s="2" t="n">
        <f aca="false">IF(ISNUMBER(BB92),Q92-BB92,"")</f>
        <v>7891</v>
      </c>
      <c r="BF92" s="4" t="n">
        <f aca="false">IF(AND(ISNUMBER(BB92),BB92&gt;0),(Q92-BB92)/BB92,"")</f>
        <v>0.506970767748153</v>
      </c>
      <c r="BG92" s="2" t="n">
        <f aca="false">IF(ISNUMBER(BC92),X92-BC92,"")</f>
        <v>25</v>
      </c>
      <c r="BH92" s="4" t="n">
        <f aca="false">IF(AND(ISNUMBER(BC92),BC92&gt;0),(X92-BC92)/BC92,"")</f>
        <v>0.280898876404494</v>
      </c>
      <c r="BI92" s="2" t="n">
        <f aca="false">IF(ISNUMBER(BD92),AD92-BD92,"")</f>
        <v>1</v>
      </c>
      <c r="BJ92" s="2"/>
    </row>
    <row r="93" customFormat="false" ht="15" hidden="false" customHeight="false" outlineLevel="0" collapsed="false">
      <c r="A93" s="2" t="n">
        <v>92</v>
      </c>
      <c r="B93" s="2" t="s">
        <v>939</v>
      </c>
      <c r="C93" s="2" t="s">
        <v>940</v>
      </c>
      <c r="D93" s="2" t="s">
        <v>533</v>
      </c>
      <c r="E93" s="2" t="s">
        <v>65</v>
      </c>
      <c r="F93" s="2" t="s">
        <v>941</v>
      </c>
      <c r="G93" s="2" t="s">
        <v>143</v>
      </c>
      <c r="H93" s="2" t="s">
        <v>239</v>
      </c>
      <c r="I93" s="2" t="s">
        <v>942</v>
      </c>
      <c r="J93" s="2" t="s">
        <v>943</v>
      </c>
      <c r="K93" s="2" t="s">
        <v>70</v>
      </c>
      <c r="L93" s="2" t="s">
        <v>70</v>
      </c>
      <c r="M93" s="2" t="s">
        <v>944</v>
      </c>
      <c r="N93" s="2" t="s">
        <v>72</v>
      </c>
      <c r="O93" s="2" t="s">
        <v>945</v>
      </c>
      <c r="P93" s="3" t="n">
        <v>67</v>
      </c>
      <c r="Q93" s="3" t="n">
        <v>37779</v>
      </c>
      <c r="R93" s="3" t="n">
        <v>11892</v>
      </c>
      <c r="S93" s="3" t="n">
        <v>11757</v>
      </c>
      <c r="T93" s="3" t="n">
        <v>21960</v>
      </c>
      <c r="U93" s="3" t="n">
        <v>3927</v>
      </c>
      <c r="V93" s="3" t="n">
        <v>0</v>
      </c>
      <c r="W93" s="3" t="n">
        <v>0</v>
      </c>
      <c r="X93" s="3" t="n">
        <v>364</v>
      </c>
      <c r="Y93" s="3" t="n">
        <v>317</v>
      </c>
      <c r="Z93" s="3" t="n">
        <v>20</v>
      </c>
      <c r="AA93" s="3" t="n">
        <v>0</v>
      </c>
      <c r="AB93" s="3" t="n">
        <v>6</v>
      </c>
      <c r="AC93" s="3" t="n">
        <v>21</v>
      </c>
      <c r="AD93" s="3" t="n">
        <v>34</v>
      </c>
      <c r="AE93" s="3" t="n">
        <v>76</v>
      </c>
      <c r="AF93" s="3" t="n">
        <v>137</v>
      </c>
      <c r="AG93" s="3" t="n">
        <v>117</v>
      </c>
      <c r="AH93" s="2" t="s">
        <v>946</v>
      </c>
      <c r="AI93" s="3" t="n">
        <v>365</v>
      </c>
      <c r="AJ93" s="2" t="n">
        <v>34</v>
      </c>
      <c r="AK93" s="2" t="n">
        <f aca="false">COUNTIFS(secondary_acts!$A$2:$A$771,$A93,secondary_acts!$E$2:$E$771,"implementing")</f>
        <v>2</v>
      </c>
      <c r="AL93" s="2" t="n">
        <f aca="false">COUNTIFS(secondary_acts!$A$2:$A$771,$A93,secondary_acts!$E$2:$E$771,"delegated")</f>
        <v>0</v>
      </c>
      <c r="AM93" s="2" t="n">
        <f aca="false">COUNTIFS(secondary_acts!$A$2:$A$771,$A93,secondary_acts!$E$2:$E$771,"other Commission/Council act")</f>
        <v>0</v>
      </c>
      <c r="AN93" s="2" t="n">
        <f aca="false">COUNTIFS(secondary_acts!$A$2:$A$771,$A93,secondary_acts!$E$2:$E$771,"guidance")</f>
        <v>0</v>
      </c>
      <c r="AO93" s="2" t="n">
        <f aca="false">COUNTIF(guidance_web!$A$2:$A$7,$A93)</f>
        <v>0</v>
      </c>
      <c r="AP93" s="2" t="n">
        <f aca="false">COUNTIFS(guidance_agencies!$A$2:$A$81,$A93,guidance_agencies!$D$2:$D$81,"EDPB")</f>
        <v>0</v>
      </c>
      <c r="AQ93" s="2" t="n">
        <f aca="false">COUNTIFS(guidance_agencies!$A$2:$A$81,$A93,guidance_agencies!$D$2:$D$81,"EBA")</f>
        <v>0</v>
      </c>
      <c r="AR93" s="2" t="n">
        <f aca="false">COUNTIFS(guidance_agencies!$A$2:$A$81,$A93,guidance_agencies!$D$2:$D$81,"ESMA")</f>
        <v>0</v>
      </c>
      <c r="AS93" s="3" t="n">
        <f aca="false">SUMIFS(secondary_acts!$S$2:$S$771,secondary_acts!$A$2:$A$771,$A93,secondary_acts!$E$2:$E$771,"implementing")+SUMIFS(secondary_acts!$S$2:$S$771,secondary_acts!$A$2:$A$771,$A93,secondary_acts!$E$2:$E$771,"delegated")</f>
        <v>1</v>
      </c>
      <c r="AT93" s="3"/>
      <c r="AU93" s="2"/>
      <c r="AV93" s="2" t="n">
        <v>0</v>
      </c>
      <c r="AW93" s="2"/>
      <c r="AX93" s="2"/>
      <c r="AY93" s="2" t="n">
        <v>5</v>
      </c>
      <c r="AZ93" s="2" t="s">
        <v>947</v>
      </c>
      <c r="BA93" s="2" t="s">
        <v>139</v>
      </c>
      <c r="BB93" s="2" t="n">
        <v>29042</v>
      </c>
      <c r="BC93" s="2" t="n">
        <v>296</v>
      </c>
      <c r="BD93" s="2" t="n">
        <v>24</v>
      </c>
      <c r="BE93" s="2" t="n">
        <f aca="false">IF(ISNUMBER(BB93),Q93-BB93,"")</f>
        <v>8737</v>
      </c>
      <c r="BF93" s="4" t="n">
        <f aca="false">IF(AND(ISNUMBER(BB93),BB93&gt;0),(Q93-BB93)/BB93,"")</f>
        <v>0.300840162523242</v>
      </c>
      <c r="BG93" s="2" t="n">
        <f aca="false">IF(ISNUMBER(BC93),X93-BC93,"")</f>
        <v>68</v>
      </c>
      <c r="BH93" s="4" t="n">
        <f aca="false">IF(AND(ISNUMBER(BC93),BC93&gt;0),(X93-BC93)/BC93,"")</f>
        <v>0.22972972972973</v>
      </c>
      <c r="BI93" s="2" t="n">
        <f aca="false">IF(ISNUMBER(BD93),AD93-BD93,"")</f>
        <v>10</v>
      </c>
      <c r="BJ93" s="2"/>
    </row>
    <row r="94" customFormat="false" ht="15" hidden="false" customHeight="false" outlineLevel="0" collapsed="false">
      <c r="A94" s="2" t="n">
        <v>93</v>
      </c>
      <c r="B94" s="2" t="s">
        <v>948</v>
      </c>
      <c r="C94" s="2" t="s">
        <v>949</v>
      </c>
      <c r="D94" s="2" t="s">
        <v>533</v>
      </c>
      <c r="E94" s="2" t="s">
        <v>65</v>
      </c>
      <c r="F94" s="2" t="s">
        <v>941</v>
      </c>
      <c r="G94" s="2" t="s">
        <v>143</v>
      </c>
      <c r="H94" s="2" t="s">
        <v>372</v>
      </c>
      <c r="I94" s="2" t="s">
        <v>841</v>
      </c>
      <c r="J94" s="2" t="s">
        <v>950</v>
      </c>
      <c r="K94" s="2" t="s">
        <v>70</v>
      </c>
      <c r="L94" s="2" t="s">
        <v>70</v>
      </c>
      <c r="M94" s="2" t="s">
        <v>951</v>
      </c>
      <c r="N94" s="2" t="s">
        <v>72</v>
      </c>
      <c r="O94" s="2" t="s">
        <v>952</v>
      </c>
      <c r="P94" s="3" t="n">
        <v>63</v>
      </c>
      <c r="Q94" s="3" t="n">
        <v>37451</v>
      </c>
      <c r="R94" s="3" t="n">
        <v>17117</v>
      </c>
      <c r="S94" s="3" t="n">
        <v>16982</v>
      </c>
      <c r="T94" s="3" t="n">
        <v>20058</v>
      </c>
      <c r="U94" s="3" t="n">
        <v>276</v>
      </c>
      <c r="V94" s="3" t="n">
        <v>0</v>
      </c>
      <c r="W94" s="3" t="n">
        <v>0</v>
      </c>
      <c r="X94" s="3" t="n">
        <v>288</v>
      </c>
      <c r="Y94" s="3" t="n">
        <v>248</v>
      </c>
      <c r="Z94" s="3" t="n">
        <v>16</v>
      </c>
      <c r="AA94" s="3" t="n">
        <v>2</v>
      </c>
      <c r="AB94" s="3" t="n">
        <v>7</v>
      </c>
      <c r="AC94" s="3" t="n">
        <v>15</v>
      </c>
      <c r="AD94" s="3" t="n">
        <v>6</v>
      </c>
      <c r="AE94" s="3" t="n">
        <v>92</v>
      </c>
      <c r="AF94" s="3" t="n">
        <v>96</v>
      </c>
      <c r="AG94" s="3" t="n">
        <v>94</v>
      </c>
      <c r="AH94" s="2" t="s">
        <v>953</v>
      </c>
      <c r="AI94" s="3" t="n">
        <v>289</v>
      </c>
      <c r="AJ94" s="2" t="n">
        <v>6</v>
      </c>
      <c r="AK94" s="2" t="n">
        <f aca="false">COUNTIFS(secondary_acts!$A$2:$A$771,$A94,secondary_acts!$E$2:$E$771,"implementing")</f>
        <v>4</v>
      </c>
      <c r="AL94" s="2" t="n">
        <f aca="false">COUNTIFS(secondary_acts!$A$2:$A$771,$A94,secondary_acts!$E$2:$E$771,"delegated")</f>
        <v>2</v>
      </c>
      <c r="AM94" s="2" t="n">
        <f aca="false">COUNTIFS(secondary_acts!$A$2:$A$771,$A94,secondary_acts!$E$2:$E$771,"other Commission/Council act")</f>
        <v>0</v>
      </c>
      <c r="AN94" s="2" t="n">
        <f aca="false">COUNTIFS(secondary_acts!$A$2:$A$771,$A94,secondary_acts!$E$2:$E$771,"guidance")</f>
        <v>3</v>
      </c>
      <c r="AO94" s="2" t="n">
        <f aca="false">COUNTIF(guidance_web!$A$2:$A$7,$A94)</f>
        <v>0</v>
      </c>
      <c r="AP94" s="2" t="n">
        <f aca="false">COUNTIFS(guidance_agencies!$A$2:$A$81,$A94,guidance_agencies!$D$2:$D$81,"EDPB")</f>
        <v>0</v>
      </c>
      <c r="AQ94" s="2" t="n">
        <f aca="false">COUNTIFS(guidance_agencies!$A$2:$A$81,$A94,guidance_agencies!$D$2:$D$81,"EBA")</f>
        <v>0</v>
      </c>
      <c r="AR94" s="2" t="n">
        <f aca="false">COUNTIFS(guidance_agencies!$A$2:$A$81,$A94,guidance_agencies!$D$2:$D$81,"ESMA")</f>
        <v>0</v>
      </c>
      <c r="AS94" s="3" t="n">
        <f aca="false">SUMIFS(secondary_acts!$S$2:$S$771,secondary_acts!$A$2:$A$771,$A94,secondary_acts!$E$2:$E$771,"implementing")+SUMIFS(secondary_acts!$S$2:$S$771,secondary_acts!$A$2:$A$771,$A94,secondary_acts!$E$2:$E$771,"delegated")</f>
        <v>88</v>
      </c>
      <c r="AT94" s="3"/>
      <c r="AU94" s="2"/>
      <c r="AV94" s="2" t="n">
        <v>1</v>
      </c>
      <c r="AW94" s="2" t="s">
        <v>954</v>
      </c>
      <c r="AX94" s="2" t="s">
        <v>954</v>
      </c>
      <c r="AY94" s="2" t="n">
        <v>4</v>
      </c>
      <c r="AZ94" s="2" t="s">
        <v>955</v>
      </c>
      <c r="BA94" s="2" t="s">
        <v>139</v>
      </c>
      <c r="BB94" s="2" t="n">
        <v>19871</v>
      </c>
      <c r="BC94" s="2" t="n">
        <v>153</v>
      </c>
      <c r="BD94" s="2" t="n">
        <v>9</v>
      </c>
      <c r="BE94" s="2" t="n">
        <f aca="false">IF(ISNUMBER(BB94),Q94-BB94,"")</f>
        <v>17580</v>
      </c>
      <c r="BF94" s="4" t="n">
        <f aca="false">IF(AND(ISNUMBER(BB94),BB94&gt;0),(Q94-BB94)/BB94,"")</f>
        <v>0.884706355996175</v>
      </c>
      <c r="BG94" s="2" t="n">
        <f aca="false">IF(ISNUMBER(BC94),X94-BC94,"")</f>
        <v>135</v>
      </c>
      <c r="BH94" s="4" t="n">
        <f aca="false">IF(AND(ISNUMBER(BC94),BC94&gt;0),(X94-BC94)/BC94,"")</f>
        <v>0.882352941176471</v>
      </c>
      <c r="BI94" s="2" t="n">
        <f aca="false">IF(ISNUMBER(BD94),AD94-BD94,"")</f>
        <v>-3</v>
      </c>
      <c r="BJ94" s="2"/>
    </row>
    <row r="95" customFormat="false" ht="15" hidden="false" customHeight="false" outlineLevel="0" collapsed="false">
      <c r="A95" s="2" t="n">
        <v>94</v>
      </c>
      <c r="B95" s="2" t="s">
        <v>956</v>
      </c>
      <c r="C95" s="2" t="s">
        <v>957</v>
      </c>
      <c r="D95" s="2" t="s">
        <v>80</v>
      </c>
      <c r="E95" s="2" t="s">
        <v>65</v>
      </c>
      <c r="F95" s="2" t="s">
        <v>958</v>
      </c>
      <c r="G95" s="2" t="s">
        <v>143</v>
      </c>
      <c r="H95" s="2" t="s">
        <v>372</v>
      </c>
      <c r="I95" s="2" t="s">
        <v>959</v>
      </c>
      <c r="J95" s="2" t="s">
        <v>960</v>
      </c>
      <c r="K95" s="2" t="s">
        <v>70</v>
      </c>
      <c r="L95" s="2" t="s">
        <v>70</v>
      </c>
      <c r="M95" s="2" t="s">
        <v>961</v>
      </c>
      <c r="N95" s="2" t="s">
        <v>72</v>
      </c>
      <c r="O95" s="2" t="s">
        <v>962</v>
      </c>
      <c r="P95" s="3" t="n">
        <v>20</v>
      </c>
      <c r="Q95" s="3" t="n">
        <v>11685</v>
      </c>
      <c r="R95" s="3" t="n">
        <v>6256</v>
      </c>
      <c r="S95" s="3" t="n">
        <v>6117</v>
      </c>
      <c r="T95" s="3" t="n">
        <v>4468</v>
      </c>
      <c r="U95" s="3" t="n">
        <v>961</v>
      </c>
      <c r="V95" s="3" t="n">
        <v>0</v>
      </c>
      <c r="W95" s="3" t="n">
        <v>0</v>
      </c>
      <c r="X95" s="3" t="n">
        <v>77</v>
      </c>
      <c r="Y95" s="3" t="n">
        <v>63</v>
      </c>
      <c r="Z95" s="3" t="n">
        <v>6</v>
      </c>
      <c r="AA95" s="3" t="n">
        <v>0</v>
      </c>
      <c r="AB95" s="3" t="n">
        <v>2</v>
      </c>
      <c r="AC95" s="3" t="n">
        <v>6</v>
      </c>
      <c r="AD95" s="3" t="n">
        <v>15</v>
      </c>
      <c r="AE95" s="3" t="n">
        <v>26</v>
      </c>
      <c r="AF95" s="3" t="n">
        <v>14</v>
      </c>
      <c r="AG95" s="3" t="n">
        <v>22</v>
      </c>
      <c r="AH95" s="2" t="s">
        <v>963</v>
      </c>
      <c r="AI95" s="3" t="n">
        <v>77</v>
      </c>
      <c r="AJ95" s="2" t="n">
        <v>15</v>
      </c>
      <c r="AK95" s="2" t="n">
        <f aca="false">COUNTIFS(secondary_acts!$A$2:$A$771,$A95,secondary_acts!$E$2:$E$771,"implementing")</f>
        <v>0</v>
      </c>
      <c r="AL95" s="2" t="n">
        <f aca="false">COUNTIFS(secondary_acts!$A$2:$A$771,$A95,secondary_acts!$E$2:$E$771,"delegated")</f>
        <v>1</v>
      </c>
      <c r="AM95" s="2" t="n">
        <f aca="false">COUNTIFS(secondary_acts!$A$2:$A$771,$A95,secondary_acts!$E$2:$E$771,"other Commission/Council act")</f>
        <v>0</v>
      </c>
      <c r="AN95" s="2" t="n">
        <f aca="false">COUNTIFS(secondary_acts!$A$2:$A$771,$A95,secondary_acts!$E$2:$E$771,"guidance")</f>
        <v>0</v>
      </c>
      <c r="AO95" s="2" t="n">
        <f aca="false">COUNTIF(guidance_web!$A$2:$A$7,$A95)</f>
        <v>0</v>
      </c>
      <c r="AP95" s="2" t="n">
        <f aca="false">COUNTIFS(guidance_agencies!$A$2:$A$81,$A95,guidance_agencies!$D$2:$D$81,"EDPB")</f>
        <v>0</v>
      </c>
      <c r="AQ95" s="2" t="n">
        <f aca="false">COUNTIFS(guidance_agencies!$A$2:$A$81,$A95,guidance_agencies!$D$2:$D$81,"EBA")</f>
        <v>0</v>
      </c>
      <c r="AR95" s="2" t="n">
        <f aca="false">COUNTIFS(guidance_agencies!$A$2:$A$81,$A95,guidance_agencies!$D$2:$D$81,"ESMA")</f>
        <v>0</v>
      </c>
      <c r="AS95" s="3" t="n">
        <f aca="false">SUMIFS(secondary_acts!$S$2:$S$771,secondary_acts!$A$2:$A$771,$A95,secondary_acts!$E$2:$E$771,"implementing")+SUMIFS(secondary_acts!$S$2:$S$771,secondary_acts!$A$2:$A$771,$A95,secondary_acts!$E$2:$E$771,"delegated")</f>
        <v>5</v>
      </c>
      <c r="AT95" s="3" t="n">
        <v>387</v>
      </c>
      <c r="AU95" s="2" t="n">
        <v>11</v>
      </c>
      <c r="AV95" s="2" t="n">
        <v>1</v>
      </c>
      <c r="AW95" s="2" t="s">
        <v>964</v>
      </c>
      <c r="AX95" s="2" t="s">
        <v>964</v>
      </c>
      <c r="AY95" s="2" t="n">
        <v>3</v>
      </c>
      <c r="AZ95" s="2" t="s">
        <v>965</v>
      </c>
      <c r="BA95" s="2" t="s">
        <v>139</v>
      </c>
      <c r="BB95" s="2" t="n">
        <v>7869</v>
      </c>
      <c r="BC95" s="2" t="n">
        <v>42</v>
      </c>
      <c r="BD95" s="2" t="n">
        <v>6</v>
      </c>
      <c r="BE95" s="2" t="n">
        <f aca="false">IF(ISNUMBER(BB95),Q95-BB95,"")</f>
        <v>3816</v>
      </c>
      <c r="BF95" s="4" t="n">
        <f aca="false">IF(AND(ISNUMBER(BB95),BB95&gt;0),(Q95-BB95)/BB95,"")</f>
        <v>0.484940907357987</v>
      </c>
      <c r="BG95" s="2" t="n">
        <f aca="false">IF(ISNUMBER(BC95),X95-BC95,"")</f>
        <v>35</v>
      </c>
      <c r="BH95" s="4" t="n">
        <f aca="false">IF(AND(ISNUMBER(BC95),BC95&gt;0),(X95-BC95)/BC95,"")</f>
        <v>0.833333333333333</v>
      </c>
      <c r="BI95" s="2" t="n">
        <f aca="false">IF(ISNUMBER(BD95),AD95-BD95,"")</f>
        <v>9</v>
      </c>
      <c r="BJ95" s="2"/>
    </row>
    <row r="96" customFormat="false" ht="15" hidden="false" customHeight="false" outlineLevel="0" collapsed="false">
      <c r="A96" s="2" t="n">
        <v>95</v>
      </c>
      <c r="B96" s="2" t="s">
        <v>966</v>
      </c>
      <c r="C96" s="2" t="s">
        <v>967</v>
      </c>
      <c r="D96" s="2" t="s">
        <v>449</v>
      </c>
      <c r="E96" s="2" t="s">
        <v>65</v>
      </c>
      <c r="F96" s="2" t="s">
        <v>968</v>
      </c>
      <c r="G96" s="2" t="s">
        <v>143</v>
      </c>
      <c r="H96" s="2" t="s">
        <v>384</v>
      </c>
      <c r="I96" s="2" t="s">
        <v>969</v>
      </c>
      <c r="J96" s="2" t="s">
        <v>970</v>
      </c>
      <c r="K96" s="2" t="s">
        <v>70</v>
      </c>
      <c r="L96" s="2" t="s">
        <v>70</v>
      </c>
      <c r="M96" s="2" t="s">
        <v>971</v>
      </c>
      <c r="N96" s="2" t="s">
        <v>72</v>
      </c>
      <c r="O96" s="2" t="s">
        <v>972</v>
      </c>
      <c r="P96" s="3" t="n">
        <v>34</v>
      </c>
      <c r="Q96" s="3" t="n">
        <v>20994</v>
      </c>
      <c r="R96" s="3" t="n">
        <v>9482</v>
      </c>
      <c r="S96" s="3" t="n">
        <v>9321</v>
      </c>
      <c r="T96" s="3" t="n">
        <v>11054</v>
      </c>
      <c r="U96" s="3" t="n">
        <v>458</v>
      </c>
      <c r="V96" s="3" t="n">
        <v>0</v>
      </c>
      <c r="W96" s="3" t="n">
        <v>0</v>
      </c>
      <c r="X96" s="3" t="n">
        <v>173</v>
      </c>
      <c r="Y96" s="3" t="n">
        <v>162</v>
      </c>
      <c r="Z96" s="3" t="n">
        <v>2</v>
      </c>
      <c r="AA96" s="3" t="n">
        <v>2</v>
      </c>
      <c r="AB96" s="3" t="n">
        <v>0</v>
      </c>
      <c r="AC96" s="3" t="n">
        <v>7</v>
      </c>
      <c r="AD96" s="3" t="n">
        <v>28</v>
      </c>
      <c r="AE96" s="3" t="n">
        <v>25</v>
      </c>
      <c r="AF96" s="3" t="n">
        <v>62</v>
      </c>
      <c r="AG96" s="3" t="n">
        <v>58</v>
      </c>
      <c r="AH96" s="2" t="s">
        <v>973</v>
      </c>
      <c r="AI96" s="3" t="n">
        <v>173</v>
      </c>
      <c r="AJ96" s="2" t="n">
        <v>28</v>
      </c>
      <c r="AK96" s="2" t="n">
        <f aca="false">COUNTIFS(secondary_acts!$A$2:$A$771,$A96,secondary_acts!$E$2:$E$771,"implementing")</f>
        <v>2</v>
      </c>
      <c r="AL96" s="2" t="n">
        <f aca="false">COUNTIFS(secondary_acts!$A$2:$A$771,$A96,secondary_acts!$E$2:$E$771,"delegated")</f>
        <v>0</v>
      </c>
      <c r="AM96" s="2" t="n">
        <f aca="false">COUNTIFS(secondary_acts!$A$2:$A$771,$A96,secondary_acts!$E$2:$E$771,"other Commission/Council act")</f>
        <v>0</v>
      </c>
      <c r="AN96" s="2" t="n">
        <f aca="false">COUNTIFS(secondary_acts!$A$2:$A$771,$A96,secondary_acts!$E$2:$E$771,"guidance")</f>
        <v>0</v>
      </c>
      <c r="AO96" s="2" t="n">
        <f aca="false">COUNTIF(guidance_web!$A$2:$A$7,$A96)</f>
        <v>0</v>
      </c>
      <c r="AP96" s="2" t="n">
        <f aca="false">COUNTIFS(guidance_agencies!$A$2:$A$81,$A96,guidance_agencies!$D$2:$D$81,"EDPB")</f>
        <v>0</v>
      </c>
      <c r="AQ96" s="2" t="n">
        <f aca="false">COUNTIFS(guidance_agencies!$A$2:$A$81,$A96,guidance_agencies!$D$2:$D$81,"EBA")</f>
        <v>0</v>
      </c>
      <c r="AR96" s="2" t="n">
        <f aca="false">COUNTIFS(guidance_agencies!$A$2:$A$81,$A96,guidance_agencies!$D$2:$D$81,"ESMA")</f>
        <v>0</v>
      </c>
      <c r="AS96" s="3" t="n">
        <f aca="false">SUMIFS(secondary_acts!$S$2:$S$771,secondary_acts!$A$2:$A$771,$A96,secondary_acts!$E$2:$E$771,"implementing")+SUMIFS(secondary_acts!$S$2:$S$771,secondary_acts!$A$2:$A$771,$A96,secondary_acts!$E$2:$E$771,"delegated")</f>
        <v>0</v>
      </c>
      <c r="AT96" s="3"/>
      <c r="AU96" s="2"/>
      <c r="AV96" s="2" t="n">
        <v>0</v>
      </c>
      <c r="AW96" s="2"/>
      <c r="AX96" s="2"/>
      <c r="AY96" s="2" t="n">
        <v>3</v>
      </c>
      <c r="AZ96" s="2" t="s">
        <v>974</v>
      </c>
      <c r="BA96" s="2" t="s">
        <v>139</v>
      </c>
      <c r="BB96" s="2" t="n">
        <v>10677</v>
      </c>
      <c r="BC96" s="2" t="n">
        <v>105</v>
      </c>
      <c r="BD96" s="2" t="n">
        <v>22</v>
      </c>
      <c r="BE96" s="2" t="n">
        <f aca="false">IF(ISNUMBER(BB96),Q96-BB96,"")</f>
        <v>10317</v>
      </c>
      <c r="BF96" s="4" t="n">
        <f aca="false">IF(AND(ISNUMBER(BB96),BB96&gt;0),(Q96-BB96)/BB96,"")</f>
        <v>0.96628266366957</v>
      </c>
      <c r="BG96" s="2" t="n">
        <f aca="false">IF(ISNUMBER(BC96),X96-BC96,"")</f>
        <v>68</v>
      </c>
      <c r="BH96" s="4" t="n">
        <f aca="false">IF(AND(ISNUMBER(BC96),BC96&gt;0),(X96-BC96)/BC96,"")</f>
        <v>0.647619047619048</v>
      </c>
      <c r="BI96" s="2" t="n">
        <f aca="false">IF(ISNUMBER(BD96),AD96-BD96,"")</f>
        <v>6</v>
      </c>
      <c r="BJ96" s="2"/>
    </row>
    <row r="97" customFormat="false" ht="15" hidden="false" customHeight="false" outlineLevel="0" collapsed="false">
      <c r="A97" s="2" t="n">
        <v>96</v>
      </c>
      <c r="B97" s="2" t="s">
        <v>975</v>
      </c>
      <c r="C97" s="2" t="s">
        <v>976</v>
      </c>
      <c r="D97" s="2" t="s">
        <v>107</v>
      </c>
      <c r="E97" s="2" t="s">
        <v>832</v>
      </c>
      <c r="F97" s="2" t="s">
        <v>977</v>
      </c>
      <c r="G97" s="2" t="s">
        <v>143</v>
      </c>
      <c r="H97" s="2" t="s">
        <v>540</v>
      </c>
      <c r="I97" s="2" t="s">
        <v>978</v>
      </c>
      <c r="J97" s="2" t="s">
        <v>979</v>
      </c>
      <c r="K97" s="2" t="s">
        <v>833</v>
      </c>
      <c r="L97" s="2" t="s">
        <v>70</v>
      </c>
      <c r="M97" s="2" t="s">
        <v>980</v>
      </c>
      <c r="N97" s="2" t="s">
        <v>72</v>
      </c>
      <c r="O97" s="2" t="s">
        <v>981</v>
      </c>
      <c r="P97" s="3" t="n">
        <v>27</v>
      </c>
      <c r="Q97" s="3" t="n">
        <v>16187</v>
      </c>
      <c r="R97" s="3" t="n">
        <v>9032</v>
      </c>
      <c r="S97" s="3" t="n">
        <v>8906</v>
      </c>
      <c r="T97" s="3" t="n">
        <v>6911</v>
      </c>
      <c r="U97" s="3" t="n">
        <v>244</v>
      </c>
      <c r="V97" s="3" t="n">
        <v>0</v>
      </c>
      <c r="W97" s="3" t="n">
        <v>0</v>
      </c>
      <c r="X97" s="3" t="n">
        <v>112</v>
      </c>
      <c r="Y97" s="3" t="n">
        <v>91</v>
      </c>
      <c r="Z97" s="3" t="n">
        <v>10</v>
      </c>
      <c r="AA97" s="3" t="n">
        <v>1</v>
      </c>
      <c r="AB97" s="3" t="n">
        <v>3</v>
      </c>
      <c r="AC97" s="3" t="n">
        <v>7</v>
      </c>
      <c r="AD97" s="3" t="n">
        <v>17</v>
      </c>
      <c r="AE97" s="3" t="n">
        <v>7</v>
      </c>
      <c r="AF97" s="3" t="n">
        <v>60</v>
      </c>
      <c r="AG97" s="3" t="n">
        <v>28</v>
      </c>
      <c r="AH97" s="2"/>
      <c r="AI97" s="3"/>
      <c r="AJ97" s="2"/>
      <c r="AK97" s="2" t="n">
        <f aca="false">COUNTIFS(secondary_acts!$A$2:$A$771,$A97,secondary_acts!$E$2:$E$771,"implementing")</f>
        <v>0</v>
      </c>
      <c r="AL97" s="2" t="n">
        <f aca="false">COUNTIFS(secondary_acts!$A$2:$A$771,$A97,secondary_acts!$E$2:$E$771,"delegated")</f>
        <v>0</v>
      </c>
      <c r="AM97" s="2" t="n">
        <f aca="false">COUNTIFS(secondary_acts!$A$2:$A$771,$A97,secondary_acts!$E$2:$E$771,"other Commission/Council act")</f>
        <v>0</v>
      </c>
      <c r="AN97" s="2" t="n">
        <f aca="false">COUNTIFS(secondary_acts!$A$2:$A$771,$A97,secondary_acts!$E$2:$E$771,"guidance")</f>
        <v>0</v>
      </c>
      <c r="AO97" s="2" t="n">
        <f aca="false">COUNTIF(guidance_web!$A$2:$A$7,$A97)</f>
        <v>0</v>
      </c>
      <c r="AP97" s="2" t="n">
        <f aca="false">COUNTIFS(guidance_agencies!$A$2:$A$81,$A97,guidance_agencies!$D$2:$D$81,"EDPB")</f>
        <v>0</v>
      </c>
      <c r="AQ97" s="2" t="n">
        <f aca="false">COUNTIFS(guidance_agencies!$A$2:$A$81,$A97,guidance_agencies!$D$2:$D$81,"EBA")</f>
        <v>0</v>
      </c>
      <c r="AR97" s="2" t="n">
        <f aca="false">COUNTIFS(guidance_agencies!$A$2:$A$81,$A97,guidance_agencies!$D$2:$D$81,"ESMA")</f>
        <v>0</v>
      </c>
      <c r="AS97" s="3" t="n">
        <f aca="false">SUMIFS(secondary_acts!$S$2:$S$771,secondary_acts!$A$2:$A$771,$A97,secondary_acts!$E$2:$E$771,"implementing")+SUMIFS(secondary_acts!$S$2:$S$771,secondary_acts!$A$2:$A$771,$A97,secondary_acts!$E$2:$E$771,"delegated")</f>
        <v>0</v>
      </c>
      <c r="AT97" s="3"/>
      <c r="AU97" s="2"/>
      <c r="AV97" s="2" t="n">
        <v>0</v>
      </c>
      <c r="AW97" s="2"/>
      <c r="AX97" s="2"/>
      <c r="AY97" s="2" t="n">
        <v>0</v>
      </c>
      <c r="AZ97" s="2" t="s">
        <v>982</v>
      </c>
      <c r="BA97" s="2" t="s">
        <v>139</v>
      </c>
      <c r="BB97" s="2" t="n">
        <v>10918</v>
      </c>
      <c r="BC97" s="2" t="n">
        <v>81</v>
      </c>
      <c r="BD97" s="2" t="n">
        <v>9</v>
      </c>
      <c r="BE97" s="2" t="n">
        <f aca="false">IF(ISNUMBER(BB97),Q97-BB97,"")</f>
        <v>5269</v>
      </c>
      <c r="BF97" s="4" t="n">
        <f aca="false">IF(AND(ISNUMBER(BB97),BB97&gt;0),(Q97-BB97)/BB97,"")</f>
        <v>0.482597545337974</v>
      </c>
      <c r="BG97" s="2" t="n">
        <f aca="false">IF(ISNUMBER(BC97),X97-BC97,"")</f>
        <v>31</v>
      </c>
      <c r="BH97" s="4" t="n">
        <f aca="false">IF(AND(ISNUMBER(BC97),BC97&gt;0),(X97-BC97)/BC97,"")</f>
        <v>0.382716049382716</v>
      </c>
      <c r="BI97" s="2" t="n">
        <f aca="false">IF(ISNUMBER(BD97),AD97-BD97,"")</f>
        <v>8</v>
      </c>
      <c r="BJ97" s="2" t="s">
        <v>983</v>
      </c>
    </row>
    <row r="98" customFormat="false" ht="15" hidden="false" customHeight="false" outlineLevel="0" collapsed="false">
      <c r="A98" s="2" t="n">
        <v>97</v>
      </c>
      <c r="B98" s="2" t="s">
        <v>984</v>
      </c>
      <c r="C98" s="2" t="s">
        <v>985</v>
      </c>
      <c r="D98" s="2" t="s">
        <v>533</v>
      </c>
      <c r="E98" s="2" t="s">
        <v>65</v>
      </c>
      <c r="F98" s="2" t="s">
        <v>986</v>
      </c>
      <c r="G98" s="2" t="s">
        <v>143</v>
      </c>
      <c r="H98" s="2" t="s">
        <v>539</v>
      </c>
      <c r="I98" s="2" t="s">
        <v>539</v>
      </c>
      <c r="J98" s="2" t="s">
        <v>987</v>
      </c>
      <c r="K98" s="2" t="s">
        <v>70</v>
      </c>
      <c r="L98" s="2" t="s">
        <v>70</v>
      </c>
      <c r="M98" s="2" t="s">
        <v>988</v>
      </c>
      <c r="N98" s="2" t="s">
        <v>72</v>
      </c>
      <c r="O98" s="2" t="s">
        <v>989</v>
      </c>
      <c r="P98" s="3" t="n">
        <v>27</v>
      </c>
      <c r="Q98" s="3" t="n">
        <v>14337</v>
      </c>
      <c r="R98" s="3" t="n">
        <v>5782</v>
      </c>
      <c r="S98" s="3" t="n">
        <v>5603</v>
      </c>
      <c r="T98" s="3" t="n">
        <v>8555</v>
      </c>
      <c r="U98" s="3" t="n">
        <v>0</v>
      </c>
      <c r="V98" s="3" t="n">
        <v>0</v>
      </c>
      <c r="W98" s="3" t="n">
        <v>0</v>
      </c>
      <c r="X98" s="3" t="n">
        <v>48</v>
      </c>
      <c r="Y98" s="3" t="n">
        <v>45</v>
      </c>
      <c r="Z98" s="3" t="n">
        <v>2</v>
      </c>
      <c r="AA98" s="3" t="n">
        <v>0</v>
      </c>
      <c r="AB98" s="3" t="n">
        <v>0</v>
      </c>
      <c r="AC98" s="3" t="n">
        <v>1</v>
      </c>
      <c r="AD98" s="3" t="n">
        <v>3</v>
      </c>
      <c r="AE98" s="3" t="n">
        <v>7</v>
      </c>
      <c r="AF98" s="3" t="n">
        <v>11</v>
      </c>
      <c r="AG98" s="3" t="n">
        <v>27</v>
      </c>
      <c r="AH98" s="2" t="s">
        <v>990</v>
      </c>
      <c r="AI98" s="3" t="n">
        <v>49</v>
      </c>
      <c r="AJ98" s="2" t="n">
        <v>3</v>
      </c>
      <c r="AK98" s="2" t="n">
        <f aca="false">COUNTIFS(secondary_acts!$A$2:$A$771,$A98,secondary_acts!$E$2:$E$771,"implementing")</f>
        <v>0</v>
      </c>
      <c r="AL98" s="2" t="n">
        <f aca="false">COUNTIFS(secondary_acts!$A$2:$A$771,$A98,secondary_acts!$E$2:$E$771,"delegated")</f>
        <v>0</v>
      </c>
      <c r="AM98" s="2" t="n">
        <f aca="false">COUNTIFS(secondary_acts!$A$2:$A$771,$A98,secondary_acts!$E$2:$E$771,"other Commission/Council act")</f>
        <v>0</v>
      </c>
      <c r="AN98" s="2" t="n">
        <f aca="false">COUNTIFS(secondary_acts!$A$2:$A$771,$A98,secondary_acts!$E$2:$E$771,"guidance")</f>
        <v>2</v>
      </c>
      <c r="AO98" s="2" t="n">
        <f aca="false">COUNTIF(guidance_web!$A$2:$A$7,$A98)</f>
        <v>0</v>
      </c>
      <c r="AP98" s="2" t="n">
        <f aca="false">COUNTIFS(guidance_agencies!$A$2:$A$81,$A98,guidance_agencies!$D$2:$D$81,"EDPB")</f>
        <v>0</v>
      </c>
      <c r="AQ98" s="2" t="n">
        <f aca="false">COUNTIFS(guidance_agencies!$A$2:$A$81,$A98,guidance_agencies!$D$2:$D$81,"EBA")</f>
        <v>0</v>
      </c>
      <c r="AR98" s="2" t="n">
        <f aca="false">COUNTIFS(guidance_agencies!$A$2:$A$81,$A98,guidance_agencies!$D$2:$D$81,"ESMA")</f>
        <v>0</v>
      </c>
      <c r="AS98" s="3" t="n">
        <f aca="false">SUMIFS(secondary_acts!$S$2:$S$771,secondary_acts!$A$2:$A$771,$A98,secondary_acts!$E$2:$E$771,"implementing")+SUMIFS(secondary_acts!$S$2:$S$771,secondary_acts!$A$2:$A$771,$A98,secondary_acts!$E$2:$E$771,"delegated")</f>
        <v>0</v>
      </c>
      <c r="AT98" s="3"/>
      <c r="AU98" s="2"/>
      <c r="AV98" s="2" t="n">
        <v>1</v>
      </c>
      <c r="AW98" s="2" t="s">
        <v>529</v>
      </c>
      <c r="AX98" s="2" t="s">
        <v>529</v>
      </c>
      <c r="AY98" s="2" t="n">
        <v>2</v>
      </c>
      <c r="AZ98" s="2" t="s">
        <v>991</v>
      </c>
      <c r="BA98" s="2" t="s">
        <v>139</v>
      </c>
      <c r="BB98" s="2" t="n">
        <v>9976</v>
      </c>
      <c r="BC98" s="2" t="n">
        <v>56</v>
      </c>
      <c r="BD98" s="2" t="n">
        <v>1</v>
      </c>
      <c r="BE98" s="2" t="n">
        <f aca="false">IF(ISNUMBER(BB98),Q98-BB98,"")</f>
        <v>4361</v>
      </c>
      <c r="BF98" s="4" t="n">
        <f aca="false">IF(AND(ISNUMBER(BB98),BB98&gt;0),(Q98-BB98)/BB98,"")</f>
        <v>0.43714915797915</v>
      </c>
      <c r="BG98" s="2" t="n">
        <f aca="false">IF(ISNUMBER(BC98),X98-BC98,"")</f>
        <v>-8</v>
      </c>
      <c r="BH98" s="4" t="n">
        <f aca="false">IF(AND(ISNUMBER(BC98),BC98&gt;0),(X98-BC98)/BC98,"")</f>
        <v>-0.142857142857143</v>
      </c>
      <c r="BI98" s="2" t="n">
        <f aca="false">IF(ISNUMBER(BD98),AD98-BD98,"")</f>
        <v>2</v>
      </c>
      <c r="BJ98" s="2"/>
    </row>
    <row r="99" customFormat="false" ht="15" hidden="false" customHeight="false" outlineLevel="0" collapsed="false">
      <c r="A99" s="2" t="n">
        <v>98</v>
      </c>
      <c r="B99" s="2" t="s">
        <v>992</v>
      </c>
      <c r="C99" s="2" t="s">
        <v>993</v>
      </c>
      <c r="D99" s="2" t="s">
        <v>218</v>
      </c>
      <c r="E99" s="2" t="s">
        <v>832</v>
      </c>
      <c r="F99" s="2" t="s">
        <v>994</v>
      </c>
      <c r="G99" s="2" t="s">
        <v>143</v>
      </c>
      <c r="H99" s="2"/>
      <c r="I99" s="2"/>
      <c r="J99" s="2"/>
      <c r="K99" s="2" t="s">
        <v>833</v>
      </c>
      <c r="L99" s="2" t="s">
        <v>833</v>
      </c>
      <c r="M99" s="2" t="s">
        <v>995</v>
      </c>
      <c r="N99" s="2" t="s">
        <v>835</v>
      </c>
      <c r="O99" s="2" t="s">
        <v>996</v>
      </c>
      <c r="P99" s="3" t="n">
        <v>54</v>
      </c>
      <c r="Q99" s="3" t="n">
        <v>19053</v>
      </c>
      <c r="R99" s="3" t="n">
        <v>7197</v>
      </c>
      <c r="S99" s="3" t="n">
        <v>7086</v>
      </c>
      <c r="T99" s="3" t="n">
        <v>11856</v>
      </c>
      <c r="U99" s="3" t="n">
        <v>0</v>
      </c>
      <c r="V99" s="3" t="n">
        <v>5800</v>
      </c>
      <c r="W99" s="3" t="n">
        <v>0</v>
      </c>
      <c r="X99" s="3" t="n">
        <v>155</v>
      </c>
      <c r="Y99" s="3" t="n">
        <v>134</v>
      </c>
      <c r="Z99" s="3" t="n">
        <v>8</v>
      </c>
      <c r="AA99" s="3" t="n">
        <v>4</v>
      </c>
      <c r="AB99" s="3" t="n">
        <v>1</v>
      </c>
      <c r="AC99" s="3" t="n">
        <v>8</v>
      </c>
      <c r="AD99" s="3" t="n">
        <v>42</v>
      </c>
      <c r="AE99" s="3" t="n">
        <v>53</v>
      </c>
      <c r="AF99" s="3" t="n">
        <v>24</v>
      </c>
      <c r="AG99" s="3" t="n">
        <v>36</v>
      </c>
      <c r="AH99" s="2"/>
      <c r="AI99" s="3"/>
      <c r="AJ99" s="2"/>
      <c r="AK99" s="2" t="n">
        <f aca="false">COUNTIFS(secondary_acts!$A$2:$A$771,$A99,secondary_acts!$E$2:$E$771,"implementing")</f>
        <v>0</v>
      </c>
      <c r="AL99" s="2" t="n">
        <f aca="false">COUNTIFS(secondary_acts!$A$2:$A$771,$A99,secondary_acts!$E$2:$E$771,"delegated")</f>
        <v>0</v>
      </c>
      <c r="AM99" s="2" t="n">
        <f aca="false">COUNTIFS(secondary_acts!$A$2:$A$771,$A99,secondary_acts!$E$2:$E$771,"other Commission/Council act")</f>
        <v>0</v>
      </c>
      <c r="AN99" s="2" t="n">
        <f aca="false">COUNTIFS(secondary_acts!$A$2:$A$771,$A99,secondary_acts!$E$2:$E$771,"guidance")</f>
        <v>0</v>
      </c>
      <c r="AO99" s="2" t="n">
        <f aca="false">COUNTIF(guidance_web!$A$2:$A$7,$A99)</f>
        <v>0</v>
      </c>
      <c r="AP99" s="2" t="n">
        <f aca="false">COUNTIFS(guidance_agencies!$A$2:$A$81,$A99,guidance_agencies!$D$2:$D$81,"EDPB")</f>
        <v>0</v>
      </c>
      <c r="AQ99" s="2" t="n">
        <f aca="false">COUNTIFS(guidance_agencies!$A$2:$A$81,$A99,guidance_agencies!$D$2:$D$81,"EBA")</f>
        <v>0</v>
      </c>
      <c r="AR99" s="2" t="n">
        <f aca="false">COUNTIFS(guidance_agencies!$A$2:$A$81,$A99,guidance_agencies!$D$2:$D$81,"ESMA")</f>
        <v>0</v>
      </c>
      <c r="AS99" s="3" t="n">
        <f aca="false">SUMIFS(secondary_acts!$S$2:$S$771,secondary_acts!$A$2:$A$771,$A99,secondary_acts!$E$2:$E$771,"implementing")+SUMIFS(secondary_acts!$S$2:$S$771,secondary_acts!$A$2:$A$771,$A99,secondary_acts!$E$2:$E$771,"delegated")</f>
        <v>0</v>
      </c>
      <c r="AT99" s="3"/>
      <c r="AU99" s="2"/>
      <c r="AV99" s="2"/>
      <c r="AW99" s="2"/>
      <c r="AX99" s="2"/>
      <c r="AY99" s="2"/>
      <c r="AZ99" s="2"/>
      <c r="BA99" s="2" t="s">
        <v>837</v>
      </c>
      <c r="BB99" s="2"/>
      <c r="BC99" s="2"/>
      <c r="BD99" s="2"/>
      <c r="BE99" s="2" t="str">
        <f aca="false">IF(ISNUMBER(BB99),Q99-BB99,"")</f>
        <v/>
      </c>
      <c r="BF99" s="4" t="str">
        <f aca="false">IF(AND(ISNUMBER(BB99),BB99&gt;0),(Q99-BB99)/BB99,"")</f>
        <v/>
      </c>
      <c r="BG99" s="2" t="str">
        <f aca="false">IF(ISNUMBER(BC99),X99-BC99,"")</f>
        <v/>
      </c>
      <c r="BH99" s="4" t="str">
        <f aca="false">IF(AND(ISNUMBER(BC99),BC99&gt;0),(X99-BC99)/BC99,"")</f>
        <v/>
      </c>
      <c r="BI99" s="2" t="str">
        <f aca="false">IF(ISNUMBER(BD99),AD99-BD99,"")</f>
        <v/>
      </c>
      <c r="BJ99" s="2"/>
    </row>
    <row r="100" customFormat="false" ht="15" hidden="false" customHeight="false" outlineLevel="0" collapsed="false">
      <c r="A100" s="2" t="n">
        <v>99</v>
      </c>
      <c r="B100" s="2" t="s">
        <v>997</v>
      </c>
      <c r="C100" s="2" t="s">
        <v>998</v>
      </c>
      <c r="D100" s="2" t="s">
        <v>218</v>
      </c>
      <c r="E100" s="2" t="s">
        <v>832</v>
      </c>
      <c r="F100" s="2" t="s">
        <v>994</v>
      </c>
      <c r="G100" s="2" t="s">
        <v>143</v>
      </c>
      <c r="H100" s="2"/>
      <c r="I100" s="2"/>
      <c r="J100" s="2"/>
      <c r="K100" s="2" t="s">
        <v>833</v>
      </c>
      <c r="L100" s="2" t="s">
        <v>999</v>
      </c>
      <c r="M100" s="2" t="s">
        <v>1000</v>
      </c>
      <c r="N100" s="2" t="s">
        <v>835</v>
      </c>
      <c r="O100" s="2" t="s">
        <v>1001</v>
      </c>
      <c r="P100" s="3" t="n">
        <v>159</v>
      </c>
      <c r="Q100" s="3" t="n">
        <v>55334</v>
      </c>
      <c r="R100" s="3" t="n">
        <v>19804</v>
      </c>
      <c r="S100" s="3" t="n">
        <v>19694</v>
      </c>
      <c r="T100" s="3" t="n">
        <v>32412</v>
      </c>
      <c r="U100" s="3" t="n">
        <v>3118</v>
      </c>
      <c r="V100" s="3" t="n">
        <v>5272</v>
      </c>
      <c r="W100" s="3" t="n">
        <v>0</v>
      </c>
      <c r="X100" s="3" t="n">
        <v>447</v>
      </c>
      <c r="Y100" s="3" t="n">
        <v>354</v>
      </c>
      <c r="Z100" s="3" t="n">
        <v>50</v>
      </c>
      <c r="AA100" s="3" t="n">
        <v>8</v>
      </c>
      <c r="AB100" s="3" t="n">
        <v>6</v>
      </c>
      <c r="AC100" s="3" t="n">
        <v>29</v>
      </c>
      <c r="AD100" s="3" t="n">
        <v>249</v>
      </c>
      <c r="AE100" s="3" t="n">
        <v>69</v>
      </c>
      <c r="AF100" s="3" t="n">
        <v>45</v>
      </c>
      <c r="AG100" s="3" t="n">
        <v>84</v>
      </c>
      <c r="AH100" s="2"/>
      <c r="AI100" s="3"/>
      <c r="AJ100" s="2"/>
      <c r="AK100" s="2" t="n">
        <f aca="false">COUNTIFS(secondary_acts!$A$2:$A$771,$A100,secondary_acts!$E$2:$E$771,"implementing")</f>
        <v>0</v>
      </c>
      <c r="AL100" s="2" t="n">
        <f aca="false">COUNTIFS(secondary_acts!$A$2:$A$771,$A100,secondary_acts!$E$2:$E$771,"delegated")</f>
        <v>0</v>
      </c>
      <c r="AM100" s="2" t="n">
        <f aca="false">COUNTIFS(secondary_acts!$A$2:$A$771,$A100,secondary_acts!$E$2:$E$771,"other Commission/Council act")</f>
        <v>0</v>
      </c>
      <c r="AN100" s="2" t="n">
        <f aca="false">COUNTIFS(secondary_acts!$A$2:$A$771,$A100,secondary_acts!$E$2:$E$771,"guidance")</f>
        <v>0</v>
      </c>
      <c r="AO100" s="2" t="n">
        <f aca="false">COUNTIF(guidance_web!$A$2:$A$7,$A100)</f>
        <v>0</v>
      </c>
      <c r="AP100" s="2" t="n">
        <f aca="false">COUNTIFS(guidance_agencies!$A$2:$A$81,$A100,guidance_agencies!$D$2:$D$81,"EDPB")</f>
        <v>0</v>
      </c>
      <c r="AQ100" s="2" t="n">
        <f aca="false">COUNTIFS(guidance_agencies!$A$2:$A$81,$A100,guidance_agencies!$D$2:$D$81,"EBA")</f>
        <v>0</v>
      </c>
      <c r="AR100" s="2" t="n">
        <f aca="false">COUNTIFS(guidance_agencies!$A$2:$A$81,$A100,guidance_agencies!$D$2:$D$81,"ESMA")</f>
        <v>0</v>
      </c>
      <c r="AS100" s="3" t="n">
        <f aca="false">SUMIFS(secondary_acts!$S$2:$S$771,secondary_acts!$A$2:$A$771,$A100,secondary_acts!$E$2:$E$771,"implementing")+SUMIFS(secondary_acts!$S$2:$S$771,secondary_acts!$A$2:$A$771,$A100,secondary_acts!$E$2:$E$771,"delegated")</f>
        <v>0</v>
      </c>
      <c r="AT100" s="3"/>
      <c r="AU100" s="2"/>
      <c r="AV100" s="2"/>
      <c r="AW100" s="2"/>
      <c r="AX100" s="2"/>
      <c r="AY100" s="2"/>
      <c r="AZ100" s="2"/>
      <c r="BA100" s="2" t="s">
        <v>837</v>
      </c>
      <c r="BB100" s="2"/>
      <c r="BC100" s="2"/>
      <c r="BD100" s="2"/>
      <c r="BE100" s="2" t="str">
        <f aca="false">IF(ISNUMBER(BB100),Q100-BB100,"")</f>
        <v/>
      </c>
      <c r="BF100" s="4" t="str">
        <f aca="false">IF(AND(ISNUMBER(BB100),BB100&gt;0),(Q100-BB100)/BB100,"")</f>
        <v/>
      </c>
      <c r="BG100" s="2" t="str">
        <f aca="false">IF(ISNUMBER(BC100),X100-BC100,"")</f>
        <v/>
      </c>
      <c r="BH100" s="4" t="str">
        <f aca="false">IF(AND(ISNUMBER(BC100),BC100&gt;0),(X100-BC100)/BC100,"")</f>
        <v/>
      </c>
      <c r="BI100" s="2" t="str">
        <f aca="false">IF(ISNUMBER(BD100),AD100-BD100,"")</f>
        <v/>
      </c>
      <c r="BJ100" s="2" t="s">
        <v>1002</v>
      </c>
    </row>
    <row r="101" customFormat="false" ht="15" hidden="false" customHeight="false" outlineLevel="0" collapsed="false">
      <c r="A101" s="2" t="n">
        <v>100</v>
      </c>
      <c r="B101" s="2" t="s">
        <v>1003</v>
      </c>
      <c r="C101" s="2" t="s">
        <v>1004</v>
      </c>
      <c r="D101" s="2" t="s">
        <v>218</v>
      </c>
      <c r="E101" s="2" t="s">
        <v>859</v>
      </c>
      <c r="F101" s="2" t="s">
        <v>994</v>
      </c>
      <c r="G101" s="2" t="s">
        <v>143</v>
      </c>
      <c r="H101" s="2"/>
      <c r="I101" s="2"/>
      <c r="J101" s="2"/>
      <c r="K101" s="2" t="s">
        <v>833</v>
      </c>
      <c r="L101" s="2" t="s">
        <v>999</v>
      </c>
      <c r="M101" s="2" t="s">
        <v>1005</v>
      </c>
      <c r="N101" s="2" t="s">
        <v>835</v>
      </c>
      <c r="O101" s="2" t="s">
        <v>1006</v>
      </c>
      <c r="P101" s="3" t="n">
        <v>99</v>
      </c>
      <c r="Q101" s="3" t="n">
        <v>29148</v>
      </c>
      <c r="R101" s="3" t="n">
        <v>8708</v>
      </c>
      <c r="S101" s="3" t="n">
        <v>8583</v>
      </c>
      <c r="T101" s="3" t="n">
        <v>17309</v>
      </c>
      <c r="U101" s="3" t="n">
        <v>3131</v>
      </c>
      <c r="V101" s="3" t="n">
        <v>3955</v>
      </c>
      <c r="W101" s="3" t="n">
        <v>0</v>
      </c>
      <c r="X101" s="3" t="n">
        <v>243</v>
      </c>
      <c r="Y101" s="3" t="n">
        <v>193</v>
      </c>
      <c r="Z101" s="3" t="n">
        <v>16</v>
      </c>
      <c r="AA101" s="3" t="n">
        <v>5</v>
      </c>
      <c r="AB101" s="3" t="n">
        <v>0</v>
      </c>
      <c r="AC101" s="3" t="n">
        <v>29</v>
      </c>
      <c r="AD101" s="3" t="n">
        <v>48</v>
      </c>
      <c r="AE101" s="3" t="n">
        <v>135</v>
      </c>
      <c r="AF101" s="3" t="n">
        <v>28</v>
      </c>
      <c r="AG101" s="3" t="n">
        <v>32</v>
      </c>
      <c r="AH101" s="2"/>
      <c r="AI101" s="3"/>
      <c r="AJ101" s="2"/>
      <c r="AK101" s="2" t="n">
        <f aca="false">COUNTIFS(secondary_acts!$A$2:$A$771,$A101,secondary_acts!$E$2:$E$771,"implementing")</f>
        <v>0</v>
      </c>
      <c r="AL101" s="2" t="n">
        <f aca="false">COUNTIFS(secondary_acts!$A$2:$A$771,$A101,secondary_acts!$E$2:$E$771,"delegated")</f>
        <v>0</v>
      </c>
      <c r="AM101" s="2" t="n">
        <f aca="false">COUNTIFS(secondary_acts!$A$2:$A$771,$A101,secondary_acts!$E$2:$E$771,"other Commission/Council act")</f>
        <v>0</v>
      </c>
      <c r="AN101" s="2" t="n">
        <f aca="false">COUNTIFS(secondary_acts!$A$2:$A$771,$A101,secondary_acts!$E$2:$E$771,"guidance")</f>
        <v>0</v>
      </c>
      <c r="AO101" s="2" t="n">
        <f aca="false">COUNTIF(guidance_web!$A$2:$A$7,$A101)</f>
        <v>0</v>
      </c>
      <c r="AP101" s="2" t="n">
        <f aca="false">COUNTIFS(guidance_agencies!$A$2:$A$81,$A101,guidance_agencies!$D$2:$D$81,"EDPB")</f>
        <v>0</v>
      </c>
      <c r="AQ101" s="2" t="n">
        <f aca="false">COUNTIFS(guidance_agencies!$A$2:$A$81,$A101,guidance_agencies!$D$2:$D$81,"EBA")</f>
        <v>0</v>
      </c>
      <c r="AR101" s="2" t="n">
        <f aca="false">COUNTIFS(guidance_agencies!$A$2:$A$81,$A101,guidance_agencies!$D$2:$D$81,"ESMA")</f>
        <v>0</v>
      </c>
      <c r="AS101" s="3" t="n">
        <f aca="false">SUMIFS(secondary_acts!$S$2:$S$771,secondary_acts!$A$2:$A$771,$A101,secondary_acts!$E$2:$E$771,"implementing")+SUMIFS(secondary_acts!$S$2:$S$771,secondary_acts!$A$2:$A$771,$A101,secondary_acts!$E$2:$E$771,"delegated")</f>
        <v>0</v>
      </c>
      <c r="AT101" s="3"/>
      <c r="AU101" s="2"/>
      <c r="AV101" s="2"/>
      <c r="AW101" s="2"/>
      <c r="AX101" s="2"/>
      <c r="AY101" s="2"/>
      <c r="AZ101" s="2"/>
      <c r="BA101" s="2" t="s">
        <v>837</v>
      </c>
      <c r="BB101" s="2"/>
      <c r="BC101" s="2"/>
      <c r="BD101" s="2"/>
      <c r="BE101" s="2" t="str">
        <f aca="false">IF(ISNUMBER(BB101),Q101-BB101,"")</f>
        <v/>
      </c>
      <c r="BF101" s="4" t="str">
        <f aca="false">IF(AND(ISNUMBER(BB101),BB101&gt;0),(Q101-BB101)/BB101,"")</f>
        <v/>
      </c>
      <c r="BG101" s="2" t="str">
        <f aca="false">IF(ISNUMBER(BC101),X101-BC101,"")</f>
        <v/>
      </c>
      <c r="BH101" s="4" t="str">
        <f aca="false">IF(AND(ISNUMBER(BC101),BC101&gt;0),(X101-BC101)/BC101,"")</f>
        <v/>
      </c>
      <c r="BI101" s="2" t="str">
        <f aca="false">IF(ISNUMBER(BD101),AD101-BD101,"")</f>
        <v/>
      </c>
      <c r="BJ101" s="2" t="s">
        <v>1007</v>
      </c>
    </row>
    <row r="102" customFormat="false" ht="15" hidden="false" customHeight="false" outlineLevel="0" collapsed="false">
      <c r="A102" s="2" t="n">
        <v>101</v>
      </c>
      <c r="B102" s="2" t="s">
        <v>1008</v>
      </c>
      <c r="C102" s="2" t="s">
        <v>1009</v>
      </c>
      <c r="D102" s="2" t="s">
        <v>218</v>
      </c>
      <c r="E102" s="2" t="s">
        <v>832</v>
      </c>
      <c r="F102" s="2" t="s">
        <v>994</v>
      </c>
      <c r="G102" s="2" t="s">
        <v>143</v>
      </c>
      <c r="H102" s="2"/>
      <c r="I102" s="2"/>
      <c r="J102" s="2"/>
      <c r="K102" s="2" t="s">
        <v>833</v>
      </c>
      <c r="L102" s="2" t="s">
        <v>833</v>
      </c>
      <c r="M102" s="2" t="s">
        <v>1010</v>
      </c>
      <c r="N102" s="2" t="s">
        <v>835</v>
      </c>
      <c r="O102" s="2" t="s">
        <v>1011</v>
      </c>
      <c r="P102" s="3" t="n">
        <v>68</v>
      </c>
      <c r="Q102" s="3" t="n">
        <v>23989</v>
      </c>
      <c r="R102" s="3" t="n">
        <v>12376</v>
      </c>
      <c r="S102" s="3" t="n">
        <v>12277</v>
      </c>
      <c r="T102" s="3" t="n">
        <v>10828</v>
      </c>
      <c r="U102" s="3" t="n">
        <v>785</v>
      </c>
      <c r="V102" s="3" t="n">
        <v>7972</v>
      </c>
      <c r="W102" s="3" t="n">
        <v>0</v>
      </c>
      <c r="X102" s="3" t="n">
        <v>153</v>
      </c>
      <c r="Y102" s="3" t="n">
        <v>123</v>
      </c>
      <c r="Z102" s="3" t="n">
        <v>19</v>
      </c>
      <c r="AA102" s="3" t="n">
        <v>6</v>
      </c>
      <c r="AB102" s="3" t="n">
        <v>2</v>
      </c>
      <c r="AC102" s="3" t="n">
        <v>3</v>
      </c>
      <c r="AD102" s="3" t="n">
        <v>74</v>
      </c>
      <c r="AE102" s="3" t="n">
        <v>16</v>
      </c>
      <c r="AF102" s="3" t="n">
        <v>16</v>
      </c>
      <c r="AG102" s="3" t="n">
        <v>47</v>
      </c>
      <c r="AH102" s="2"/>
      <c r="AI102" s="3"/>
      <c r="AJ102" s="2"/>
      <c r="AK102" s="2" t="n">
        <f aca="false">COUNTIFS(secondary_acts!$A$2:$A$771,$A102,secondary_acts!$E$2:$E$771,"implementing")</f>
        <v>0</v>
      </c>
      <c r="AL102" s="2" t="n">
        <f aca="false">COUNTIFS(secondary_acts!$A$2:$A$771,$A102,secondary_acts!$E$2:$E$771,"delegated")</f>
        <v>0</v>
      </c>
      <c r="AM102" s="2" t="n">
        <f aca="false">COUNTIFS(secondary_acts!$A$2:$A$771,$A102,secondary_acts!$E$2:$E$771,"other Commission/Council act")</f>
        <v>0</v>
      </c>
      <c r="AN102" s="2" t="n">
        <f aca="false">COUNTIFS(secondary_acts!$A$2:$A$771,$A102,secondary_acts!$E$2:$E$771,"guidance")</f>
        <v>0</v>
      </c>
      <c r="AO102" s="2" t="n">
        <f aca="false">COUNTIF(guidance_web!$A$2:$A$7,$A102)</f>
        <v>0</v>
      </c>
      <c r="AP102" s="2" t="n">
        <f aca="false">COUNTIFS(guidance_agencies!$A$2:$A$81,$A102,guidance_agencies!$D$2:$D$81,"EDPB")</f>
        <v>0</v>
      </c>
      <c r="AQ102" s="2" t="n">
        <f aca="false">COUNTIFS(guidance_agencies!$A$2:$A$81,$A102,guidance_agencies!$D$2:$D$81,"EBA")</f>
        <v>0</v>
      </c>
      <c r="AR102" s="2" t="n">
        <f aca="false">COUNTIFS(guidance_agencies!$A$2:$A$81,$A102,guidance_agencies!$D$2:$D$81,"ESMA")</f>
        <v>0</v>
      </c>
      <c r="AS102" s="3" t="n">
        <f aca="false">SUMIFS(secondary_acts!$S$2:$S$771,secondary_acts!$A$2:$A$771,$A102,secondary_acts!$E$2:$E$771,"implementing")+SUMIFS(secondary_acts!$S$2:$S$771,secondary_acts!$A$2:$A$771,$A102,secondary_acts!$E$2:$E$771,"delegated")</f>
        <v>0</v>
      </c>
      <c r="AT102" s="3"/>
      <c r="AU102" s="2"/>
      <c r="AV102" s="2"/>
      <c r="AW102" s="2"/>
      <c r="AX102" s="2"/>
      <c r="AY102" s="2"/>
      <c r="AZ102" s="2"/>
      <c r="BA102" s="2" t="s">
        <v>837</v>
      </c>
      <c r="BB102" s="2"/>
      <c r="BC102" s="2"/>
      <c r="BD102" s="2"/>
      <c r="BE102" s="2" t="str">
        <f aca="false">IF(ISNUMBER(BB102),Q102-BB102,"")</f>
        <v/>
      </c>
      <c r="BF102" s="4" t="str">
        <f aca="false">IF(AND(ISNUMBER(BB102),BB102&gt;0),(Q102-BB102)/BB102,"")</f>
        <v/>
      </c>
      <c r="BG102" s="2" t="str">
        <f aca="false">IF(ISNUMBER(BC102),X102-BC102,"")</f>
        <v/>
      </c>
      <c r="BH102" s="4" t="str">
        <f aca="false">IF(AND(ISNUMBER(BC102),BC102&gt;0),(X102-BC102)/BC102,"")</f>
        <v/>
      </c>
      <c r="BI102" s="2" t="str">
        <f aca="false">IF(ISNUMBER(BD102),AD102-BD102,"")</f>
        <v/>
      </c>
      <c r="BJ102" s="2"/>
    </row>
    <row r="103" customFormat="false" ht="15" hidden="false" customHeight="false" outlineLevel="0" collapsed="false">
      <c r="A103" s="2" t="n">
        <v>102</v>
      </c>
      <c r="B103" s="2" t="s">
        <v>1012</v>
      </c>
      <c r="C103" s="2" t="s">
        <v>1013</v>
      </c>
      <c r="D103" s="2" t="s">
        <v>164</v>
      </c>
      <c r="E103" s="2" t="s">
        <v>832</v>
      </c>
      <c r="F103" s="2" t="s">
        <v>1014</v>
      </c>
      <c r="G103" s="2" t="s">
        <v>143</v>
      </c>
      <c r="H103" s="2" t="s">
        <v>1015</v>
      </c>
      <c r="I103" s="2" t="s">
        <v>1016</v>
      </c>
      <c r="J103" s="2" t="s">
        <v>1017</v>
      </c>
      <c r="K103" s="2" t="s">
        <v>833</v>
      </c>
      <c r="L103" s="2" t="s">
        <v>70</v>
      </c>
      <c r="M103" s="2" t="s">
        <v>1018</v>
      </c>
      <c r="N103" s="2" t="s">
        <v>72</v>
      </c>
      <c r="O103" s="2" t="s">
        <v>1019</v>
      </c>
      <c r="P103" s="3" t="n">
        <v>27</v>
      </c>
      <c r="Q103" s="3" t="n">
        <v>17116</v>
      </c>
      <c r="R103" s="3" t="n">
        <v>6916</v>
      </c>
      <c r="S103" s="3" t="n">
        <v>6792</v>
      </c>
      <c r="T103" s="3" t="n">
        <v>10200</v>
      </c>
      <c r="U103" s="3" t="n">
        <v>0</v>
      </c>
      <c r="V103" s="3" t="n">
        <v>0</v>
      </c>
      <c r="W103" s="3" t="n">
        <v>0</v>
      </c>
      <c r="X103" s="3" t="n">
        <v>133</v>
      </c>
      <c r="Y103" s="3" t="n">
        <v>123</v>
      </c>
      <c r="Z103" s="3" t="n">
        <v>5</v>
      </c>
      <c r="AA103" s="3" t="n">
        <v>0</v>
      </c>
      <c r="AB103" s="3" t="n">
        <v>3</v>
      </c>
      <c r="AC103" s="3" t="n">
        <v>2</v>
      </c>
      <c r="AD103" s="3" t="n">
        <v>5</v>
      </c>
      <c r="AE103" s="3" t="n">
        <v>76</v>
      </c>
      <c r="AF103" s="3" t="n">
        <v>20</v>
      </c>
      <c r="AG103" s="3" t="n">
        <v>32</v>
      </c>
      <c r="AH103" s="2"/>
      <c r="AI103" s="3"/>
      <c r="AJ103" s="2"/>
      <c r="AK103" s="2" t="n">
        <f aca="false">COUNTIFS(secondary_acts!$A$2:$A$771,$A103,secondary_acts!$E$2:$E$771,"implementing")</f>
        <v>0</v>
      </c>
      <c r="AL103" s="2" t="n">
        <f aca="false">COUNTIFS(secondary_acts!$A$2:$A$771,$A103,secondary_acts!$E$2:$E$771,"delegated")</f>
        <v>0</v>
      </c>
      <c r="AM103" s="2" t="n">
        <f aca="false">COUNTIFS(secondary_acts!$A$2:$A$771,$A103,secondary_acts!$E$2:$E$771,"other Commission/Council act")</f>
        <v>0</v>
      </c>
      <c r="AN103" s="2" t="n">
        <f aca="false">COUNTIFS(secondary_acts!$A$2:$A$771,$A103,secondary_acts!$E$2:$E$771,"guidance")</f>
        <v>0</v>
      </c>
      <c r="AO103" s="2" t="n">
        <f aca="false">COUNTIF(guidance_web!$A$2:$A$7,$A103)</f>
        <v>0</v>
      </c>
      <c r="AP103" s="2" t="n">
        <f aca="false">COUNTIFS(guidance_agencies!$A$2:$A$81,$A103,guidance_agencies!$D$2:$D$81,"EDPB")</f>
        <v>0</v>
      </c>
      <c r="AQ103" s="2" t="n">
        <f aca="false">COUNTIFS(guidance_agencies!$A$2:$A$81,$A103,guidance_agencies!$D$2:$D$81,"EBA")</f>
        <v>0</v>
      </c>
      <c r="AR103" s="2" t="n">
        <f aca="false">COUNTIFS(guidance_agencies!$A$2:$A$81,$A103,guidance_agencies!$D$2:$D$81,"ESMA")</f>
        <v>0</v>
      </c>
      <c r="AS103" s="3" t="n">
        <f aca="false">SUMIFS(secondary_acts!$S$2:$S$771,secondary_acts!$A$2:$A$771,$A103,secondary_acts!$E$2:$E$771,"implementing")+SUMIFS(secondary_acts!$S$2:$S$771,secondary_acts!$A$2:$A$771,$A103,secondary_acts!$E$2:$E$771,"delegated")</f>
        <v>0</v>
      </c>
      <c r="AT103" s="3"/>
      <c r="AU103" s="2"/>
      <c r="AV103" s="2" t="n">
        <v>0</v>
      </c>
      <c r="AW103" s="2"/>
      <c r="AX103" s="2"/>
      <c r="AY103" s="2" t="n">
        <v>0</v>
      </c>
      <c r="AZ103" s="2" t="s">
        <v>1020</v>
      </c>
      <c r="BA103" s="2" t="s">
        <v>139</v>
      </c>
      <c r="BB103" s="2" t="n">
        <v>10780</v>
      </c>
      <c r="BC103" s="2" t="n">
        <v>105</v>
      </c>
      <c r="BD103" s="2" t="n">
        <v>4</v>
      </c>
      <c r="BE103" s="2" t="n">
        <f aca="false">IF(ISNUMBER(BB103),Q103-BB103,"")</f>
        <v>6336</v>
      </c>
      <c r="BF103" s="4" t="n">
        <f aca="false">IF(AND(ISNUMBER(BB103),BB103&gt;0),(Q103-BB103)/BB103,"")</f>
        <v>0.587755102040816</v>
      </c>
      <c r="BG103" s="2" t="n">
        <f aca="false">IF(ISNUMBER(BC103),X103-BC103,"")</f>
        <v>28</v>
      </c>
      <c r="BH103" s="4" t="n">
        <f aca="false">IF(AND(ISNUMBER(BC103),BC103&gt;0),(X103-BC103)/BC103,"")</f>
        <v>0.266666666666667</v>
      </c>
      <c r="BI103" s="2" t="n">
        <f aca="false">IF(ISNUMBER(BD103),AD103-BD103,"")</f>
        <v>1</v>
      </c>
      <c r="BJ103" s="2" t="s">
        <v>1021</v>
      </c>
    </row>
    <row r="104" customFormat="false" ht="15" hidden="false" customHeight="false" outlineLevel="0" collapsed="false">
      <c r="A104" s="2" t="n">
        <v>103</v>
      </c>
      <c r="B104" s="2" t="s">
        <v>1022</v>
      </c>
      <c r="C104" s="2" t="s">
        <v>1023</v>
      </c>
      <c r="D104" s="2" t="s">
        <v>255</v>
      </c>
      <c r="E104" s="2" t="s">
        <v>859</v>
      </c>
      <c r="F104" s="2" t="s">
        <v>495</v>
      </c>
      <c r="G104" s="2" t="s">
        <v>143</v>
      </c>
      <c r="H104" s="2" t="s">
        <v>1015</v>
      </c>
      <c r="I104" s="2" t="s">
        <v>1016</v>
      </c>
      <c r="J104" s="2" t="s">
        <v>1017</v>
      </c>
      <c r="K104" s="2" t="s">
        <v>833</v>
      </c>
      <c r="L104" s="2" t="s">
        <v>70</v>
      </c>
      <c r="M104" s="2" t="s">
        <v>1024</v>
      </c>
      <c r="N104" s="2" t="s">
        <v>72</v>
      </c>
      <c r="O104" s="2" t="s">
        <v>1025</v>
      </c>
      <c r="P104" s="3" t="n">
        <v>82</v>
      </c>
      <c r="Q104" s="3" t="n">
        <v>36819</v>
      </c>
      <c r="R104" s="3" t="n">
        <v>9321</v>
      </c>
      <c r="S104" s="3" t="n">
        <v>9206</v>
      </c>
      <c r="T104" s="3" t="n">
        <v>16538</v>
      </c>
      <c r="U104" s="3" t="n">
        <v>10960</v>
      </c>
      <c r="V104" s="3" t="n">
        <v>0</v>
      </c>
      <c r="W104" s="3" t="n">
        <v>0</v>
      </c>
      <c r="X104" s="3" t="n">
        <v>478</v>
      </c>
      <c r="Y104" s="3" t="n">
        <v>392</v>
      </c>
      <c r="Z104" s="3" t="n">
        <v>56</v>
      </c>
      <c r="AA104" s="3" t="n">
        <v>6</v>
      </c>
      <c r="AB104" s="3" t="n">
        <v>1</v>
      </c>
      <c r="AC104" s="3" t="n">
        <v>23</v>
      </c>
      <c r="AD104" s="3" t="n">
        <v>162</v>
      </c>
      <c r="AE104" s="3" t="n">
        <v>48</v>
      </c>
      <c r="AF104" s="3" t="n">
        <v>66</v>
      </c>
      <c r="AG104" s="3" t="n">
        <v>202</v>
      </c>
      <c r="AH104" s="2" t="s">
        <v>1026</v>
      </c>
      <c r="AI104" s="3" t="n">
        <v>478</v>
      </c>
      <c r="AJ104" s="2" t="n">
        <v>162</v>
      </c>
      <c r="AK104" s="2" t="n">
        <f aca="false">COUNTIFS(secondary_acts!$A$2:$A$771,$A104,secondary_acts!$E$2:$E$771,"implementing")</f>
        <v>0</v>
      </c>
      <c r="AL104" s="2" t="n">
        <f aca="false">COUNTIFS(secondary_acts!$A$2:$A$771,$A104,secondary_acts!$E$2:$E$771,"delegated")</f>
        <v>0</v>
      </c>
      <c r="AM104" s="2" t="n">
        <f aca="false">COUNTIFS(secondary_acts!$A$2:$A$771,$A104,secondary_acts!$E$2:$E$771,"other Commission/Council act")</f>
        <v>0</v>
      </c>
      <c r="AN104" s="2" t="n">
        <f aca="false">COUNTIFS(secondary_acts!$A$2:$A$771,$A104,secondary_acts!$E$2:$E$771,"guidance")</f>
        <v>0</v>
      </c>
      <c r="AO104" s="2" t="n">
        <f aca="false">COUNTIF(guidance_web!$A$2:$A$7,$A104)</f>
        <v>0</v>
      </c>
      <c r="AP104" s="2" t="n">
        <f aca="false">COUNTIFS(guidance_agencies!$A$2:$A$81,$A104,guidance_agencies!$D$2:$D$81,"EDPB")</f>
        <v>0</v>
      </c>
      <c r="AQ104" s="2" t="n">
        <f aca="false">COUNTIFS(guidance_agencies!$A$2:$A$81,$A104,guidance_agencies!$D$2:$D$81,"EBA")</f>
        <v>0</v>
      </c>
      <c r="AR104" s="2" t="n">
        <f aca="false">COUNTIFS(guidance_agencies!$A$2:$A$81,$A104,guidance_agencies!$D$2:$D$81,"ESMA")</f>
        <v>0</v>
      </c>
      <c r="AS104" s="3" t="n">
        <f aca="false">SUMIFS(secondary_acts!$S$2:$S$771,secondary_acts!$A$2:$A$771,$A104,secondary_acts!$E$2:$E$771,"implementing")+SUMIFS(secondary_acts!$S$2:$S$771,secondary_acts!$A$2:$A$771,$A104,secondary_acts!$E$2:$E$771,"delegated")</f>
        <v>0</v>
      </c>
      <c r="AT104" s="3"/>
      <c r="AU104" s="2"/>
      <c r="AV104" s="2" t="n">
        <v>0</v>
      </c>
      <c r="AW104" s="2"/>
      <c r="AX104" s="2"/>
      <c r="AY104" s="2" t="n">
        <v>2</v>
      </c>
      <c r="AZ104" s="2" t="s">
        <v>1027</v>
      </c>
      <c r="BA104" s="2" t="s">
        <v>139</v>
      </c>
      <c r="BB104" s="2" t="n">
        <v>29688</v>
      </c>
      <c r="BC104" s="2" t="n">
        <v>406</v>
      </c>
      <c r="BD104" s="2" t="n">
        <v>134</v>
      </c>
      <c r="BE104" s="2" t="n">
        <f aca="false">IF(ISNUMBER(BB104),Q104-BB104,"")</f>
        <v>7131</v>
      </c>
      <c r="BF104" s="4" t="n">
        <f aca="false">IF(AND(ISNUMBER(BB104),BB104&gt;0),(Q104-BB104)/BB104,"")</f>
        <v>0.24019805982215</v>
      </c>
      <c r="BG104" s="2" t="n">
        <f aca="false">IF(ISNUMBER(BC104),X104-BC104,"")</f>
        <v>72</v>
      </c>
      <c r="BH104" s="4" t="n">
        <f aca="false">IF(AND(ISNUMBER(BC104),BC104&gt;0),(X104-BC104)/BC104,"")</f>
        <v>0.177339901477833</v>
      </c>
      <c r="BI104" s="2" t="n">
        <f aca="false">IF(ISNUMBER(BD104),AD104-BD104,"")</f>
        <v>28</v>
      </c>
      <c r="BJ104" s="2" t="s">
        <v>1028</v>
      </c>
    </row>
    <row r="105" customFormat="false" ht="15" hidden="false" customHeight="false" outlineLevel="0" collapsed="false">
      <c r="A105" s="2" t="n">
        <v>104</v>
      </c>
      <c r="B105" s="2" t="s">
        <v>1029</v>
      </c>
      <c r="C105" s="2" t="s">
        <v>1030</v>
      </c>
      <c r="D105" s="2" t="s">
        <v>218</v>
      </c>
      <c r="E105" s="2" t="s">
        <v>832</v>
      </c>
      <c r="F105" s="2" t="s">
        <v>1031</v>
      </c>
      <c r="G105" s="2" t="s">
        <v>143</v>
      </c>
      <c r="H105" s="2"/>
      <c r="I105" s="2"/>
      <c r="J105" s="2"/>
      <c r="K105" s="2" t="s">
        <v>833</v>
      </c>
      <c r="L105" s="2" t="s">
        <v>833</v>
      </c>
      <c r="M105" s="2" t="s">
        <v>1032</v>
      </c>
      <c r="N105" s="2" t="s">
        <v>835</v>
      </c>
      <c r="O105" s="2" t="s">
        <v>1033</v>
      </c>
      <c r="P105" s="3" t="n">
        <v>26</v>
      </c>
      <c r="Q105" s="3" t="n">
        <v>5601</v>
      </c>
      <c r="R105" s="3" t="n">
        <v>2616</v>
      </c>
      <c r="S105" s="3" t="n">
        <v>2524</v>
      </c>
      <c r="T105" s="3" t="n">
        <v>2985</v>
      </c>
      <c r="U105" s="3" t="n">
        <v>0</v>
      </c>
      <c r="V105" s="3" t="n">
        <v>5166</v>
      </c>
      <c r="W105" s="3" t="n">
        <v>0</v>
      </c>
      <c r="X105" s="3" t="n">
        <v>56</v>
      </c>
      <c r="Y105" s="3" t="n">
        <v>46</v>
      </c>
      <c r="Z105" s="3" t="n">
        <v>6</v>
      </c>
      <c r="AA105" s="3" t="n">
        <v>0</v>
      </c>
      <c r="AB105" s="3" t="n">
        <v>0</v>
      </c>
      <c r="AC105" s="3" t="n">
        <v>4</v>
      </c>
      <c r="AD105" s="3" t="n">
        <v>9</v>
      </c>
      <c r="AE105" s="3" t="n">
        <v>22</v>
      </c>
      <c r="AF105" s="3" t="n">
        <v>5</v>
      </c>
      <c r="AG105" s="3" t="n">
        <v>20</v>
      </c>
      <c r="AH105" s="2"/>
      <c r="AI105" s="3"/>
      <c r="AJ105" s="2"/>
      <c r="AK105" s="2" t="n">
        <f aca="false">COUNTIFS(secondary_acts!$A$2:$A$771,$A105,secondary_acts!$E$2:$E$771,"implementing")</f>
        <v>0</v>
      </c>
      <c r="AL105" s="2" t="n">
        <f aca="false">COUNTIFS(secondary_acts!$A$2:$A$771,$A105,secondary_acts!$E$2:$E$771,"delegated")</f>
        <v>0</v>
      </c>
      <c r="AM105" s="2" t="n">
        <f aca="false">COUNTIFS(secondary_acts!$A$2:$A$771,$A105,secondary_acts!$E$2:$E$771,"other Commission/Council act")</f>
        <v>0</v>
      </c>
      <c r="AN105" s="2" t="n">
        <f aca="false">COUNTIFS(secondary_acts!$A$2:$A$771,$A105,secondary_acts!$E$2:$E$771,"guidance")</f>
        <v>0</v>
      </c>
      <c r="AO105" s="2" t="n">
        <f aca="false">COUNTIF(guidance_web!$A$2:$A$7,$A105)</f>
        <v>0</v>
      </c>
      <c r="AP105" s="2" t="n">
        <f aca="false">COUNTIFS(guidance_agencies!$A$2:$A$81,$A105,guidance_agencies!$D$2:$D$81,"EDPB")</f>
        <v>0</v>
      </c>
      <c r="AQ105" s="2" t="n">
        <f aca="false">COUNTIFS(guidance_agencies!$A$2:$A$81,$A105,guidance_agencies!$D$2:$D$81,"EBA")</f>
        <v>0</v>
      </c>
      <c r="AR105" s="2" t="n">
        <f aca="false">COUNTIFS(guidance_agencies!$A$2:$A$81,$A105,guidance_agencies!$D$2:$D$81,"ESMA")</f>
        <v>0</v>
      </c>
      <c r="AS105" s="3" t="n">
        <f aca="false">SUMIFS(secondary_acts!$S$2:$S$771,secondary_acts!$A$2:$A$771,$A105,secondary_acts!$E$2:$E$771,"implementing")+SUMIFS(secondary_acts!$S$2:$S$771,secondary_acts!$A$2:$A$771,$A105,secondary_acts!$E$2:$E$771,"delegated")</f>
        <v>0</v>
      </c>
      <c r="AT105" s="3"/>
      <c r="AU105" s="2"/>
      <c r="AV105" s="2"/>
      <c r="AW105" s="2"/>
      <c r="AX105" s="2"/>
      <c r="AY105" s="2"/>
      <c r="AZ105" s="2"/>
      <c r="BA105" s="2" t="s">
        <v>837</v>
      </c>
      <c r="BB105" s="2"/>
      <c r="BC105" s="2"/>
      <c r="BD105" s="2"/>
      <c r="BE105" s="2" t="str">
        <f aca="false">IF(ISNUMBER(BB105),Q105-BB105,"")</f>
        <v/>
      </c>
      <c r="BF105" s="4" t="str">
        <f aca="false">IF(AND(ISNUMBER(BB105),BB105&gt;0),(Q105-BB105)/BB105,"")</f>
        <v/>
      </c>
      <c r="BG105" s="2" t="str">
        <f aca="false">IF(ISNUMBER(BC105),X105-BC105,"")</f>
        <v/>
      </c>
      <c r="BH105" s="4" t="str">
        <f aca="false">IF(AND(ISNUMBER(BC105),BC105&gt;0),(X105-BC105)/BC105,"")</f>
        <v/>
      </c>
      <c r="BI105" s="2" t="str">
        <f aca="false">IF(ISNUMBER(BD105),AD105-BD105,"")</f>
        <v/>
      </c>
      <c r="BJ105" s="2"/>
    </row>
    <row r="106" customFormat="false" ht="15" hidden="false" customHeight="false" outlineLevel="0" collapsed="false">
      <c r="A106" s="2" t="n">
        <v>105</v>
      </c>
      <c r="B106" s="2" t="s">
        <v>1034</v>
      </c>
      <c r="C106" s="2" t="s">
        <v>1035</v>
      </c>
      <c r="D106" s="2" t="s">
        <v>298</v>
      </c>
      <c r="E106" s="2" t="s">
        <v>832</v>
      </c>
      <c r="F106" s="2" t="s">
        <v>1036</v>
      </c>
      <c r="G106" s="2" t="s">
        <v>143</v>
      </c>
      <c r="H106" s="2"/>
      <c r="I106" s="2"/>
      <c r="J106" s="2"/>
      <c r="K106" s="2" t="s">
        <v>833</v>
      </c>
      <c r="L106" s="2" t="s">
        <v>833</v>
      </c>
      <c r="M106" s="2" t="s">
        <v>1037</v>
      </c>
      <c r="N106" s="2" t="s">
        <v>835</v>
      </c>
      <c r="O106" s="2" t="s">
        <v>1038</v>
      </c>
      <c r="P106" s="3" t="n">
        <v>82</v>
      </c>
      <c r="Q106" s="3" t="n">
        <v>20780</v>
      </c>
      <c r="R106" s="3" t="n">
        <v>8856</v>
      </c>
      <c r="S106" s="3" t="n">
        <v>8736</v>
      </c>
      <c r="T106" s="3" t="n">
        <v>10327</v>
      </c>
      <c r="U106" s="3" t="n">
        <v>1597</v>
      </c>
      <c r="V106" s="3" t="n">
        <v>7673</v>
      </c>
      <c r="W106" s="3" t="n">
        <v>0</v>
      </c>
      <c r="X106" s="3" t="n">
        <v>160</v>
      </c>
      <c r="Y106" s="3" t="n">
        <v>140</v>
      </c>
      <c r="Z106" s="3" t="n">
        <v>5</v>
      </c>
      <c r="AA106" s="3" t="n">
        <v>0</v>
      </c>
      <c r="AB106" s="3" t="n">
        <v>0</v>
      </c>
      <c r="AC106" s="3" t="n">
        <v>15</v>
      </c>
      <c r="AD106" s="3" t="n">
        <v>2</v>
      </c>
      <c r="AE106" s="3" t="n">
        <v>107</v>
      </c>
      <c r="AF106" s="3" t="n">
        <v>3</v>
      </c>
      <c r="AG106" s="3" t="n">
        <v>48</v>
      </c>
      <c r="AH106" s="2"/>
      <c r="AI106" s="3"/>
      <c r="AJ106" s="2"/>
      <c r="AK106" s="2" t="n">
        <f aca="false">COUNTIFS(secondary_acts!$A$2:$A$771,$A106,secondary_acts!$E$2:$E$771,"implementing")</f>
        <v>0</v>
      </c>
      <c r="AL106" s="2" t="n">
        <f aca="false">COUNTIFS(secondary_acts!$A$2:$A$771,$A106,secondary_acts!$E$2:$E$771,"delegated")</f>
        <v>0</v>
      </c>
      <c r="AM106" s="2" t="n">
        <f aca="false">COUNTIFS(secondary_acts!$A$2:$A$771,$A106,secondary_acts!$E$2:$E$771,"other Commission/Council act")</f>
        <v>0</v>
      </c>
      <c r="AN106" s="2" t="n">
        <f aca="false">COUNTIFS(secondary_acts!$A$2:$A$771,$A106,secondary_acts!$E$2:$E$771,"guidance")</f>
        <v>0</v>
      </c>
      <c r="AO106" s="2" t="n">
        <f aca="false">COUNTIF(guidance_web!$A$2:$A$7,$A106)</f>
        <v>0</v>
      </c>
      <c r="AP106" s="2" t="n">
        <f aca="false">COUNTIFS(guidance_agencies!$A$2:$A$81,$A106,guidance_agencies!$D$2:$D$81,"EDPB")</f>
        <v>0</v>
      </c>
      <c r="AQ106" s="2" t="n">
        <f aca="false">COUNTIFS(guidance_agencies!$A$2:$A$81,$A106,guidance_agencies!$D$2:$D$81,"EBA")</f>
        <v>0</v>
      </c>
      <c r="AR106" s="2" t="n">
        <f aca="false">COUNTIFS(guidance_agencies!$A$2:$A$81,$A106,guidance_agencies!$D$2:$D$81,"ESMA")</f>
        <v>0</v>
      </c>
      <c r="AS106" s="3" t="n">
        <f aca="false">SUMIFS(secondary_acts!$S$2:$S$771,secondary_acts!$A$2:$A$771,$A106,secondary_acts!$E$2:$E$771,"implementing")+SUMIFS(secondary_acts!$S$2:$S$771,secondary_acts!$A$2:$A$771,$A106,secondary_acts!$E$2:$E$771,"delegated")</f>
        <v>0</v>
      </c>
      <c r="AT106" s="3"/>
      <c r="AU106" s="2"/>
      <c r="AV106" s="2"/>
      <c r="AW106" s="2"/>
      <c r="AX106" s="2"/>
      <c r="AY106" s="2"/>
      <c r="AZ106" s="2"/>
      <c r="BA106" s="2" t="s">
        <v>837</v>
      </c>
      <c r="BB106" s="2"/>
      <c r="BC106" s="2"/>
      <c r="BD106" s="2"/>
      <c r="BE106" s="2" t="str">
        <f aca="false">IF(ISNUMBER(BB106),Q106-BB106,"")</f>
        <v/>
      </c>
      <c r="BF106" s="4" t="str">
        <f aca="false">IF(AND(ISNUMBER(BB106),BB106&gt;0),(Q106-BB106)/BB106,"")</f>
        <v/>
      </c>
      <c r="BG106" s="2" t="str">
        <f aca="false">IF(ISNUMBER(BC106),X106-BC106,"")</f>
        <v/>
      </c>
      <c r="BH106" s="4" t="str">
        <f aca="false">IF(AND(ISNUMBER(BC106),BC106&gt;0),(X106-BC106)/BC106,"")</f>
        <v/>
      </c>
      <c r="BI106" s="2" t="str">
        <f aca="false">IF(ISNUMBER(BD106),AD106-BD106,"")</f>
        <v/>
      </c>
      <c r="BJ106" s="2"/>
    </row>
    <row r="107" customFormat="false" ht="15" hidden="false" customHeight="false" outlineLevel="0" collapsed="false">
      <c r="A107" s="2" t="n">
        <v>106</v>
      </c>
      <c r="B107" s="2" t="s">
        <v>1039</v>
      </c>
      <c r="C107" s="2" t="s">
        <v>1040</v>
      </c>
      <c r="D107" s="2" t="s">
        <v>298</v>
      </c>
      <c r="E107" s="2" t="s">
        <v>832</v>
      </c>
      <c r="F107" s="2" t="s">
        <v>1041</v>
      </c>
      <c r="G107" s="2" t="s">
        <v>143</v>
      </c>
      <c r="H107" s="2"/>
      <c r="I107" s="2"/>
      <c r="J107" s="2"/>
      <c r="K107" s="2" t="s">
        <v>833</v>
      </c>
      <c r="L107" s="2" t="s">
        <v>833</v>
      </c>
      <c r="M107" s="2" t="s">
        <v>1042</v>
      </c>
      <c r="N107" s="2" t="s">
        <v>835</v>
      </c>
      <c r="O107" s="2" t="s">
        <v>1043</v>
      </c>
      <c r="P107" s="3" t="n">
        <v>60</v>
      </c>
      <c r="Q107" s="3" t="n">
        <v>7556</v>
      </c>
      <c r="R107" s="3" t="n">
        <v>3129</v>
      </c>
      <c r="S107" s="3" t="n">
        <v>3010</v>
      </c>
      <c r="T107" s="3" t="n">
        <v>4348</v>
      </c>
      <c r="U107" s="3" t="n">
        <v>79</v>
      </c>
      <c r="V107" s="3" t="n">
        <v>6803</v>
      </c>
      <c r="W107" s="3" t="n">
        <v>6692</v>
      </c>
      <c r="X107" s="3" t="n">
        <v>53</v>
      </c>
      <c r="Y107" s="3" t="n">
        <v>46</v>
      </c>
      <c r="Z107" s="3" t="n">
        <v>2</v>
      </c>
      <c r="AA107" s="3" t="n">
        <v>0</v>
      </c>
      <c r="AB107" s="3" t="n">
        <v>0</v>
      </c>
      <c r="AC107" s="3" t="n">
        <v>5</v>
      </c>
      <c r="AD107" s="3" t="n">
        <v>3</v>
      </c>
      <c r="AE107" s="3" t="n">
        <v>6</v>
      </c>
      <c r="AF107" s="3" t="n">
        <v>29</v>
      </c>
      <c r="AG107" s="3" t="n">
        <v>15</v>
      </c>
      <c r="AH107" s="2"/>
      <c r="AI107" s="3"/>
      <c r="AJ107" s="2"/>
      <c r="AK107" s="2" t="n">
        <f aca="false">COUNTIFS(secondary_acts!$A$2:$A$771,$A107,secondary_acts!$E$2:$E$771,"implementing")</f>
        <v>0</v>
      </c>
      <c r="AL107" s="2" t="n">
        <f aca="false">COUNTIFS(secondary_acts!$A$2:$A$771,$A107,secondary_acts!$E$2:$E$771,"delegated")</f>
        <v>0</v>
      </c>
      <c r="AM107" s="2" t="n">
        <f aca="false">COUNTIFS(secondary_acts!$A$2:$A$771,$A107,secondary_acts!$E$2:$E$771,"other Commission/Council act")</f>
        <v>0</v>
      </c>
      <c r="AN107" s="2" t="n">
        <f aca="false">COUNTIFS(secondary_acts!$A$2:$A$771,$A107,secondary_acts!$E$2:$E$771,"guidance")</f>
        <v>0</v>
      </c>
      <c r="AO107" s="2" t="n">
        <f aca="false">COUNTIF(guidance_web!$A$2:$A$7,$A107)</f>
        <v>0</v>
      </c>
      <c r="AP107" s="2" t="n">
        <f aca="false">COUNTIFS(guidance_agencies!$A$2:$A$81,$A107,guidance_agencies!$D$2:$D$81,"EDPB")</f>
        <v>0</v>
      </c>
      <c r="AQ107" s="2" t="n">
        <f aca="false">COUNTIFS(guidance_agencies!$A$2:$A$81,$A107,guidance_agencies!$D$2:$D$81,"EBA")</f>
        <v>0</v>
      </c>
      <c r="AR107" s="2" t="n">
        <f aca="false">COUNTIFS(guidance_agencies!$A$2:$A$81,$A107,guidance_agencies!$D$2:$D$81,"ESMA")</f>
        <v>0</v>
      </c>
      <c r="AS107" s="3" t="n">
        <f aca="false">SUMIFS(secondary_acts!$S$2:$S$771,secondary_acts!$A$2:$A$771,$A107,secondary_acts!$E$2:$E$771,"implementing")+SUMIFS(secondary_acts!$S$2:$S$771,secondary_acts!$A$2:$A$771,$A107,secondary_acts!$E$2:$E$771,"delegated")</f>
        <v>0</v>
      </c>
      <c r="AT107" s="3"/>
      <c r="AU107" s="2"/>
      <c r="AV107" s="2"/>
      <c r="AW107" s="2"/>
      <c r="AX107" s="2"/>
      <c r="AY107" s="2"/>
      <c r="AZ107" s="2"/>
      <c r="BA107" s="2" t="s">
        <v>837</v>
      </c>
      <c r="BB107" s="2"/>
      <c r="BC107" s="2"/>
      <c r="BD107" s="2"/>
      <c r="BE107" s="2" t="str">
        <f aca="false">IF(ISNUMBER(BB107),Q107-BB107,"")</f>
        <v/>
      </c>
      <c r="BF107" s="4" t="str">
        <f aca="false">IF(AND(ISNUMBER(BB107),BB107&gt;0),(Q107-BB107)/BB107,"")</f>
        <v/>
      </c>
      <c r="BG107" s="2" t="str">
        <f aca="false">IF(ISNUMBER(BC107),X107-BC107,"")</f>
        <v/>
      </c>
      <c r="BH107" s="4" t="str">
        <f aca="false">IF(AND(ISNUMBER(BC107),BC107&gt;0),(X107-BC107)/BC107,"")</f>
        <v/>
      </c>
      <c r="BI107" s="2" t="str">
        <f aca="false">IF(ISNUMBER(BD107),AD107-BD107,"")</f>
        <v/>
      </c>
      <c r="BJ107" s="2"/>
    </row>
    <row r="108" customFormat="false" ht="15" hidden="false" customHeight="false" outlineLevel="0" collapsed="false">
      <c r="A108" s="2" t="n">
        <v>107</v>
      </c>
      <c r="B108" s="2" t="s">
        <v>1044</v>
      </c>
      <c r="C108" s="2" t="s">
        <v>1045</v>
      </c>
      <c r="D108" s="2" t="s">
        <v>533</v>
      </c>
      <c r="E108" s="2" t="s">
        <v>1046</v>
      </c>
      <c r="F108" s="2" t="s">
        <v>1047</v>
      </c>
      <c r="G108" s="2" t="s">
        <v>82</v>
      </c>
      <c r="H108" s="2"/>
      <c r="I108" s="2"/>
      <c r="J108" s="2"/>
      <c r="K108" s="2" t="s">
        <v>833</v>
      </c>
      <c r="L108" s="2" t="s">
        <v>833</v>
      </c>
      <c r="M108" s="2" t="s">
        <v>1048</v>
      </c>
      <c r="N108" s="2" t="s">
        <v>835</v>
      </c>
      <c r="O108" s="2" t="s">
        <v>1049</v>
      </c>
      <c r="P108" s="3" t="n">
        <v>186</v>
      </c>
      <c r="Q108" s="3" t="n">
        <v>58336</v>
      </c>
      <c r="R108" s="3" t="n">
        <v>12071</v>
      </c>
      <c r="S108" s="3" t="n">
        <v>11964</v>
      </c>
      <c r="T108" s="3" t="n">
        <v>32425</v>
      </c>
      <c r="U108" s="3" t="n">
        <v>13840</v>
      </c>
      <c r="V108" s="3" t="n">
        <v>5989</v>
      </c>
      <c r="W108" s="3" t="n">
        <v>9075</v>
      </c>
      <c r="X108" s="3" t="n">
        <v>800</v>
      </c>
      <c r="Y108" s="3" t="n">
        <v>726</v>
      </c>
      <c r="Z108" s="3" t="n">
        <v>17</v>
      </c>
      <c r="AA108" s="3" t="n">
        <v>4</v>
      </c>
      <c r="AB108" s="3" t="n">
        <v>4</v>
      </c>
      <c r="AC108" s="3" t="n">
        <v>49</v>
      </c>
      <c r="AD108" s="3" t="n">
        <v>238</v>
      </c>
      <c r="AE108" s="3" t="n">
        <v>75</v>
      </c>
      <c r="AF108" s="3" t="n">
        <v>241</v>
      </c>
      <c r="AG108" s="3" t="n">
        <v>246</v>
      </c>
      <c r="AH108" s="2"/>
      <c r="AI108" s="3"/>
      <c r="AJ108" s="2"/>
      <c r="AK108" s="2" t="n">
        <f aca="false">COUNTIFS(secondary_acts!$A$2:$A$771,$A108,secondary_acts!$E$2:$E$771,"implementing")</f>
        <v>0</v>
      </c>
      <c r="AL108" s="2" t="n">
        <f aca="false">COUNTIFS(secondary_acts!$A$2:$A$771,$A108,secondary_acts!$E$2:$E$771,"delegated")</f>
        <v>0</v>
      </c>
      <c r="AM108" s="2" t="n">
        <f aca="false">COUNTIFS(secondary_acts!$A$2:$A$771,$A108,secondary_acts!$E$2:$E$771,"other Commission/Council act")</f>
        <v>0</v>
      </c>
      <c r="AN108" s="2" t="n">
        <f aca="false">COUNTIFS(secondary_acts!$A$2:$A$771,$A108,secondary_acts!$E$2:$E$771,"guidance")</f>
        <v>0</v>
      </c>
      <c r="AO108" s="2" t="n">
        <f aca="false">COUNTIF(guidance_web!$A$2:$A$7,$A108)</f>
        <v>0</v>
      </c>
      <c r="AP108" s="2" t="n">
        <f aca="false">COUNTIFS(guidance_agencies!$A$2:$A$81,$A108,guidance_agencies!$D$2:$D$81,"EDPB")</f>
        <v>0</v>
      </c>
      <c r="AQ108" s="2" t="n">
        <f aca="false">COUNTIFS(guidance_agencies!$A$2:$A$81,$A108,guidance_agencies!$D$2:$D$81,"EBA")</f>
        <v>0</v>
      </c>
      <c r="AR108" s="2" t="n">
        <f aca="false">COUNTIFS(guidance_agencies!$A$2:$A$81,$A108,guidance_agencies!$D$2:$D$81,"ESMA")</f>
        <v>0</v>
      </c>
      <c r="AS108" s="3" t="n">
        <f aca="false">SUMIFS(secondary_acts!$S$2:$S$771,secondary_acts!$A$2:$A$771,$A108,secondary_acts!$E$2:$E$771,"implementing")+SUMIFS(secondary_acts!$S$2:$S$771,secondary_acts!$A$2:$A$771,$A108,secondary_acts!$E$2:$E$771,"delegated")</f>
        <v>0</v>
      </c>
      <c r="AT108" s="3"/>
      <c r="AU108" s="2"/>
      <c r="AV108" s="2"/>
      <c r="AW108" s="2"/>
      <c r="AX108" s="2"/>
      <c r="AY108" s="2"/>
      <c r="AZ108" s="2"/>
      <c r="BA108" s="2" t="s">
        <v>837</v>
      </c>
      <c r="BB108" s="2"/>
      <c r="BC108" s="2"/>
      <c r="BD108" s="2"/>
      <c r="BE108" s="2" t="str">
        <f aca="false">IF(ISNUMBER(BB108),Q108-BB108,"")</f>
        <v/>
      </c>
      <c r="BF108" s="4" t="str">
        <f aca="false">IF(AND(ISNUMBER(BB108),BB108&gt;0),(Q108-BB108)/BB108,"")</f>
        <v/>
      </c>
      <c r="BG108" s="2" t="str">
        <f aca="false">IF(ISNUMBER(BC108),X108-BC108,"")</f>
        <v/>
      </c>
      <c r="BH108" s="4" t="str">
        <f aca="false">IF(AND(ISNUMBER(BC108),BC108&gt;0),(X108-BC108)/BC108,"")</f>
        <v/>
      </c>
      <c r="BI108" s="2" t="str">
        <f aca="false">IF(ISNUMBER(BD108),AD108-BD108,"")</f>
        <v/>
      </c>
      <c r="BJ108" s="2"/>
    </row>
    <row r="109" customFormat="false" ht="15" hidden="false" customHeight="false" outlineLevel="0" collapsed="false">
      <c r="A109" s="2" t="n">
        <v>108</v>
      </c>
      <c r="B109" s="2" t="s">
        <v>1050</v>
      </c>
      <c r="C109" s="2" t="s">
        <v>1051</v>
      </c>
      <c r="D109" s="2" t="s">
        <v>255</v>
      </c>
      <c r="E109" s="2" t="s">
        <v>65</v>
      </c>
      <c r="F109" s="2" t="s">
        <v>1052</v>
      </c>
      <c r="G109" s="2" t="s">
        <v>143</v>
      </c>
      <c r="H109" s="2" t="s">
        <v>1053</v>
      </c>
      <c r="I109" s="2" t="s">
        <v>1053</v>
      </c>
      <c r="J109" s="2" t="s">
        <v>1054</v>
      </c>
      <c r="K109" s="2" t="s">
        <v>70</v>
      </c>
      <c r="L109" s="2" t="s">
        <v>70</v>
      </c>
      <c r="M109" s="2" t="s">
        <v>1055</v>
      </c>
      <c r="N109" s="2" t="s">
        <v>72</v>
      </c>
      <c r="O109" s="2" t="s">
        <v>1056</v>
      </c>
      <c r="P109" s="3" t="n">
        <v>22</v>
      </c>
      <c r="Q109" s="3" t="n">
        <v>12297</v>
      </c>
      <c r="R109" s="3" t="n">
        <v>5610</v>
      </c>
      <c r="S109" s="3" t="n">
        <v>5434</v>
      </c>
      <c r="T109" s="3" t="n">
        <v>5609</v>
      </c>
      <c r="U109" s="3" t="n">
        <v>1078</v>
      </c>
      <c r="V109" s="3" t="n">
        <v>0</v>
      </c>
      <c r="W109" s="3" t="n">
        <v>0</v>
      </c>
      <c r="X109" s="3" t="n">
        <v>77</v>
      </c>
      <c r="Y109" s="3" t="n">
        <v>70</v>
      </c>
      <c r="Z109" s="3" t="n">
        <v>6</v>
      </c>
      <c r="AA109" s="3" t="n">
        <v>0</v>
      </c>
      <c r="AB109" s="3" t="n">
        <v>0</v>
      </c>
      <c r="AC109" s="3" t="n">
        <v>1</v>
      </c>
      <c r="AD109" s="3" t="n">
        <v>10</v>
      </c>
      <c r="AE109" s="3" t="n">
        <v>19</v>
      </c>
      <c r="AF109" s="3" t="n">
        <v>30</v>
      </c>
      <c r="AG109" s="3" t="n">
        <v>18</v>
      </c>
      <c r="AH109" s="2" t="s">
        <v>1057</v>
      </c>
      <c r="AI109" s="3" t="n">
        <v>77</v>
      </c>
      <c r="AJ109" s="2" t="n">
        <v>10</v>
      </c>
      <c r="AK109" s="2" t="n">
        <f aca="false">COUNTIFS(secondary_acts!$A$2:$A$771,$A109,secondary_acts!$E$2:$E$771,"implementing")</f>
        <v>189</v>
      </c>
      <c r="AL109" s="2" t="n">
        <f aca="false">COUNTIFS(secondary_acts!$A$2:$A$771,$A109,secondary_acts!$E$2:$E$771,"delegated")</f>
        <v>0</v>
      </c>
      <c r="AM109" s="2" t="n">
        <f aca="false">COUNTIFS(secondary_acts!$A$2:$A$771,$A109,secondary_acts!$E$2:$E$771,"other Commission/Council act")</f>
        <v>0</v>
      </c>
      <c r="AN109" s="2" t="n">
        <f aca="false">COUNTIFS(secondary_acts!$A$2:$A$771,$A109,secondary_acts!$E$2:$E$771,"guidance")</f>
        <v>0</v>
      </c>
      <c r="AO109" s="2" t="n">
        <f aca="false">COUNTIF(guidance_web!$A$2:$A$7,$A109)</f>
        <v>0</v>
      </c>
      <c r="AP109" s="2" t="n">
        <f aca="false">COUNTIFS(guidance_agencies!$A$2:$A$81,$A109,guidance_agencies!$D$2:$D$81,"EDPB")</f>
        <v>0</v>
      </c>
      <c r="AQ109" s="2" t="n">
        <f aca="false">COUNTIFS(guidance_agencies!$A$2:$A$81,$A109,guidance_agencies!$D$2:$D$81,"EBA")</f>
        <v>0</v>
      </c>
      <c r="AR109" s="2" t="n">
        <f aca="false">COUNTIFS(guidance_agencies!$A$2:$A$81,$A109,guidance_agencies!$D$2:$D$81,"ESMA")</f>
        <v>0</v>
      </c>
      <c r="AS109" s="3" t="n">
        <f aca="false">SUMIFS(secondary_acts!$S$2:$S$771,secondary_acts!$A$2:$A$771,$A109,secondary_acts!$E$2:$E$771,"implementing")+SUMIFS(secondary_acts!$S$2:$S$771,secondary_acts!$A$2:$A$771,$A109,secondary_acts!$E$2:$E$771,"delegated")</f>
        <v>78</v>
      </c>
      <c r="AT109" s="3"/>
      <c r="AU109" s="2"/>
      <c r="AV109" s="2" t="n">
        <v>12</v>
      </c>
      <c r="AW109" s="2" t="s">
        <v>1058</v>
      </c>
      <c r="AX109" s="2" t="s">
        <v>725</v>
      </c>
      <c r="AY109" s="2" t="n">
        <v>1</v>
      </c>
      <c r="AZ109" s="2" t="s">
        <v>1059</v>
      </c>
      <c r="BA109" s="2" t="s">
        <v>139</v>
      </c>
      <c r="BB109" s="2" t="n">
        <v>8721</v>
      </c>
      <c r="BC109" s="2" t="n">
        <v>47</v>
      </c>
      <c r="BD109" s="2" t="n">
        <v>1</v>
      </c>
      <c r="BE109" s="2" t="n">
        <f aca="false">IF(ISNUMBER(BB109),Q109-BB109,"")</f>
        <v>3576</v>
      </c>
      <c r="BF109" s="4" t="n">
        <f aca="false">IF(AND(ISNUMBER(BB109),BB109&gt;0),(Q109-BB109)/BB109,"")</f>
        <v>0.410044719642243</v>
      </c>
      <c r="BG109" s="2" t="n">
        <f aca="false">IF(ISNUMBER(BC109),X109-BC109,"")</f>
        <v>30</v>
      </c>
      <c r="BH109" s="4" t="n">
        <f aca="false">IF(AND(ISNUMBER(BC109),BC109&gt;0),(X109-BC109)/BC109,"")</f>
        <v>0.638297872340426</v>
      </c>
      <c r="BI109" s="2" t="n">
        <f aca="false">IF(ISNUMBER(BD109),AD109-BD109,"")</f>
        <v>9</v>
      </c>
      <c r="BJ109" s="2"/>
    </row>
    <row r="110" customFormat="false" ht="15" hidden="false" customHeight="false" outlineLevel="0" collapsed="false">
      <c r="A110" s="2" t="n">
        <v>109</v>
      </c>
      <c r="B110" s="2" t="s">
        <v>1060</v>
      </c>
      <c r="C110" s="2" t="s">
        <v>1061</v>
      </c>
      <c r="D110" s="2" t="s">
        <v>64</v>
      </c>
      <c r="E110" s="2" t="s">
        <v>65</v>
      </c>
      <c r="F110" s="2" t="s">
        <v>1062</v>
      </c>
      <c r="G110" s="2" t="s">
        <v>143</v>
      </c>
      <c r="H110" s="2" t="s">
        <v>1063</v>
      </c>
      <c r="I110" s="2" t="s">
        <v>1064</v>
      </c>
      <c r="J110" s="2" t="s">
        <v>1065</v>
      </c>
      <c r="K110" s="2" t="s">
        <v>70</v>
      </c>
      <c r="L110" s="2" t="s">
        <v>70</v>
      </c>
      <c r="M110" s="2" t="s">
        <v>1066</v>
      </c>
      <c r="N110" s="2" t="s">
        <v>72</v>
      </c>
      <c r="O110" s="2" t="s">
        <v>1067</v>
      </c>
      <c r="P110" s="3" t="n">
        <v>28</v>
      </c>
      <c r="Q110" s="3" t="n">
        <v>14216</v>
      </c>
      <c r="R110" s="3" t="n">
        <v>3466</v>
      </c>
      <c r="S110" s="3" t="n">
        <v>3348</v>
      </c>
      <c r="T110" s="3" t="n">
        <v>8270</v>
      </c>
      <c r="U110" s="3" t="n">
        <v>2480</v>
      </c>
      <c r="V110" s="3" t="n">
        <v>0</v>
      </c>
      <c r="W110" s="3" t="n">
        <v>0</v>
      </c>
      <c r="X110" s="3" t="n">
        <v>243</v>
      </c>
      <c r="Y110" s="3" t="n">
        <v>207</v>
      </c>
      <c r="Z110" s="3" t="n">
        <v>15</v>
      </c>
      <c r="AA110" s="3" t="n">
        <v>3</v>
      </c>
      <c r="AB110" s="3" t="n">
        <v>0</v>
      </c>
      <c r="AC110" s="3" t="n">
        <v>18</v>
      </c>
      <c r="AD110" s="3" t="n">
        <v>98</v>
      </c>
      <c r="AE110" s="3" t="n">
        <v>52</v>
      </c>
      <c r="AF110" s="3" t="n">
        <v>20</v>
      </c>
      <c r="AG110" s="3" t="n">
        <v>73</v>
      </c>
      <c r="AH110" s="2" t="s">
        <v>1068</v>
      </c>
      <c r="AI110" s="3" t="n">
        <v>258</v>
      </c>
      <c r="AJ110" s="2" t="n">
        <v>98</v>
      </c>
      <c r="AK110" s="2" t="n">
        <f aca="false">COUNTIFS(secondary_acts!$A$2:$A$771,$A110,secondary_acts!$E$2:$E$771,"implementing")</f>
        <v>0</v>
      </c>
      <c r="AL110" s="2" t="n">
        <f aca="false">COUNTIFS(secondary_acts!$A$2:$A$771,$A110,secondary_acts!$E$2:$E$771,"delegated")</f>
        <v>0</v>
      </c>
      <c r="AM110" s="2" t="n">
        <f aca="false">COUNTIFS(secondary_acts!$A$2:$A$771,$A110,secondary_acts!$E$2:$E$771,"other Commission/Council act")</f>
        <v>0</v>
      </c>
      <c r="AN110" s="2" t="n">
        <f aca="false">COUNTIFS(secondary_acts!$A$2:$A$771,$A110,secondary_acts!$E$2:$E$771,"guidance")</f>
        <v>0</v>
      </c>
      <c r="AO110" s="2" t="n">
        <f aca="false">COUNTIF(guidance_web!$A$2:$A$7,$A110)</f>
        <v>0</v>
      </c>
      <c r="AP110" s="2" t="n">
        <f aca="false">COUNTIFS(guidance_agencies!$A$2:$A$81,$A110,guidance_agencies!$D$2:$D$81,"EDPB")</f>
        <v>0</v>
      </c>
      <c r="AQ110" s="2" t="n">
        <f aca="false">COUNTIFS(guidance_agencies!$A$2:$A$81,$A110,guidance_agencies!$D$2:$D$81,"EBA")</f>
        <v>0</v>
      </c>
      <c r="AR110" s="2" t="n">
        <f aca="false">COUNTIFS(guidance_agencies!$A$2:$A$81,$A110,guidance_agencies!$D$2:$D$81,"ESMA")</f>
        <v>0</v>
      </c>
      <c r="AS110" s="3" t="n">
        <f aca="false">SUMIFS(secondary_acts!$S$2:$S$771,secondary_acts!$A$2:$A$771,$A110,secondary_acts!$E$2:$E$771,"implementing")+SUMIFS(secondary_acts!$S$2:$S$771,secondary_acts!$A$2:$A$771,$A110,secondary_acts!$E$2:$E$771,"delegated")</f>
        <v>0</v>
      </c>
      <c r="AT110" s="3" t="n">
        <v>595</v>
      </c>
      <c r="AU110" s="2" t="n">
        <v>27</v>
      </c>
      <c r="AV110" s="2" t="n">
        <v>2</v>
      </c>
      <c r="AW110" s="2" t="s">
        <v>1069</v>
      </c>
      <c r="AX110" s="2" t="s">
        <v>711</v>
      </c>
      <c r="AY110" s="2" t="n">
        <v>2</v>
      </c>
      <c r="AZ110" s="2" t="s">
        <v>1070</v>
      </c>
      <c r="BA110" s="2" t="s">
        <v>139</v>
      </c>
      <c r="BB110" s="2" t="n">
        <v>17621</v>
      </c>
      <c r="BC110" s="2" t="n">
        <v>303</v>
      </c>
      <c r="BD110" s="2" t="n">
        <v>55</v>
      </c>
      <c r="BE110" s="2" t="n">
        <f aca="false">IF(ISNUMBER(BB110),Q110-BB110,"")</f>
        <v>-3405</v>
      </c>
      <c r="BF110" s="4" t="n">
        <f aca="false">IF(AND(ISNUMBER(BB110),BB110&gt;0),(Q110-BB110)/BB110,"")</f>
        <v>-0.19323534419159</v>
      </c>
      <c r="BG110" s="2" t="n">
        <f aca="false">IF(ISNUMBER(BC110),X110-BC110,"")</f>
        <v>-60</v>
      </c>
      <c r="BH110" s="4" t="n">
        <f aca="false">IF(AND(ISNUMBER(BC110),BC110&gt;0),(X110-BC110)/BC110,"")</f>
        <v>-0.198019801980198</v>
      </c>
      <c r="BI110" s="2" t="n">
        <f aca="false">IF(ISNUMBER(BD110),AD110-BD110,"")</f>
        <v>43</v>
      </c>
      <c r="BJ110" s="2"/>
    </row>
    <row r="111" customFormat="false" ht="15" hidden="false" customHeight="false" outlineLevel="0" collapsed="false">
      <c r="A111" s="2" t="n">
        <v>110</v>
      </c>
      <c r="B111" s="2" t="s">
        <v>1071</v>
      </c>
      <c r="C111" s="2" t="s">
        <v>1072</v>
      </c>
      <c r="D111" s="2" t="s">
        <v>255</v>
      </c>
      <c r="E111" s="2" t="s">
        <v>65</v>
      </c>
      <c r="F111" s="2" t="s">
        <v>1073</v>
      </c>
      <c r="G111" s="2" t="s">
        <v>143</v>
      </c>
      <c r="H111" s="2" t="s">
        <v>1074</v>
      </c>
      <c r="I111" s="2" t="s">
        <v>1075</v>
      </c>
      <c r="J111" s="2" t="s">
        <v>1076</v>
      </c>
      <c r="K111" s="2" t="s">
        <v>70</v>
      </c>
      <c r="L111" s="2" t="s">
        <v>70</v>
      </c>
      <c r="M111" s="2" t="s">
        <v>1077</v>
      </c>
      <c r="N111" s="2" t="s">
        <v>72</v>
      </c>
      <c r="O111" s="2" t="s">
        <v>1078</v>
      </c>
      <c r="P111" s="3" t="n">
        <v>45</v>
      </c>
      <c r="Q111" s="3" t="n">
        <v>20009</v>
      </c>
      <c r="R111" s="3" t="n">
        <v>5171</v>
      </c>
      <c r="S111" s="3" t="n">
        <v>5042</v>
      </c>
      <c r="T111" s="3" t="n">
        <v>10906</v>
      </c>
      <c r="U111" s="3" t="n">
        <v>3932</v>
      </c>
      <c r="V111" s="3" t="n">
        <v>0</v>
      </c>
      <c r="W111" s="3" t="n">
        <v>0</v>
      </c>
      <c r="X111" s="3" t="n">
        <v>335</v>
      </c>
      <c r="Y111" s="3" t="n">
        <v>294</v>
      </c>
      <c r="Z111" s="3" t="n">
        <v>14</v>
      </c>
      <c r="AA111" s="3" t="n">
        <v>4</v>
      </c>
      <c r="AB111" s="3" t="n">
        <v>0</v>
      </c>
      <c r="AC111" s="3" t="n">
        <v>23</v>
      </c>
      <c r="AD111" s="3" t="n">
        <v>138</v>
      </c>
      <c r="AE111" s="3" t="n">
        <v>52</v>
      </c>
      <c r="AF111" s="3" t="n">
        <v>44</v>
      </c>
      <c r="AG111" s="3" t="n">
        <v>101</v>
      </c>
      <c r="AH111" s="2" t="s">
        <v>1079</v>
      </c>
      <c r="AI111" s="3" t="n">
        <v>408</v>
      </c>
      <c r="AJ111" s="2" t="n">
        <v>152</v>
      </c>
      <c r="AK111" s="2" t="n">
        <f aca="false">COUNTIFS(secondary_acts!$A$2:$A$771,$A111,secondary_acts!$E$2:$E$771,"implementing")</f>
        <v>2</v>
      </c>
      <c r="AL111" s="2" t="n">
        <f aca="false">COUNTIFS(secondary_acts!$A$2:$A$771,$A111,secondary_acts!$E$2:$E$771,"delegated")</f>
        <v>5</v>
      </c>
      <c r="AM111" s="2" t="n">
        <f aca="false">COUNTIFS(secondary_acts!$A$2:$A$771,$A111,secondary_acts!$E$2:$E$771,"other Commission/Council act")</f>
        <v>0</v>
      </c>
      <c r="AN111" s="2" t="n">
        <f aca="false">COUNTIFS(secondary_acts!$A$2:$A$771,$A111,secondary_acts!$E$2:$E$771,"guidance")</f>
        <v>0</v>
      </c>
      <c r="AO111" s="2" t="n">
        <f aca="false">COUNTIF(guidance_web!$A$2:$A$7,$A111)</f>
        <v>0</v>
      </c>
      <c r="AP111" s="2" t="n">
        <f aca="false">COUNTIFS(guidance_agencies!$A$2:$A$81,$A111,guidance_agencies!$D$2:$D$81,"EDPB")</f>
        <v>0</v>
      </c>
      <c r="AQ111" s="2" t="n">
        <f aca="false">COUNTIFS(guidance_agencies!$A$2:$A$81,$A111,guidance_agencies!$D$2:$D$81,"EBA")</f>
        <v>0</v>
      </c>
      <c r="AR111" s="2" t="n">
        <f aca="false">COUNTIFS(guidance_agencies!$A$2:$A$81,$A111,guidance_agencies!$D$2:$D$81,"ESMA")</f>
        <v>0</v>
      </c>
      <c r="AS111" s="3" t="n">
        <f aca="false">SUMIFS(secondary_acts!$S$2:$S$771,secondary_acts!$A$2:$A$771,$A111,secondary_acts!$E$2:$E$771,"implementing")+SUMIFS(secondary_acts!$S$2:$S$771,secondary_acts!$A$2:$A$771,$A111,secondary_acts!$E$2:$E$771,"delegated")</f>
        <v>6</v>
      </c>
      <c r="AT111" s="3" t="n">
        <v>1512</v>
      </c>
      <c r="AU111" s="2" t="n">
        <v>28</v>
      </c>
      <c r="AV111" s="2" t="n">
        <v>5</v>
      </c>
      <c r="AW111" s="2" t="s">
        <v>1069</v>
      </c>
      <c r="AX111" s="2" t="s">
        <v>126</v>
      </c>
      <c r="AY111" s="2" t="n">
        <v>3</v>
      </c>
      <c r="AZ111" s="2" t="s">
        <v>1080</v>
      </c>
      <c r="BA111" s="2" t="s">
        <v>139</v>
      </c>
      <c r="BB111" s="2" t="n">
        <v>17820</v>
      </c>
      <c r="BC111" s="2" t="n">
        <v>325</v>
      </c>
      <c r="BD111" s="2" t="n">
        <v>107</v>
      </c>
      <c r="BE111" s="2" t="n">
        <f aca="false">IF(ISNUMBER(BB111),Q111-BB111,"")</f>
        <v>2189</v>
      </c>
      <c r="BF111" s="4" t="n">
        <f aca="false">IF(AND(ISNUMBER(BB111),BB111&gt;0),(Q111-BB111)/BB111,"")</f>
        <v>0.12283950617284</v>
      </c>
      <c r="BG111" s="2" t="n">
        <f aca="false">IF(ISNUMBER(BC111),X111-BC111,"")</f>
        <v>10</v>
      </c>
      <c r="BH111" s="4" t="n">
        <f aca="false">IF(AND(ISNUMBER(BC111),BC111&gt;0),(X111-BC111)/BC111,"")</f>
        <v>0.0307692307692308</v>
      </c>
      <c r="BI111" s="2" t="n">
        <f aca="false">IF(ISNUMBER(BD111),AD111-BD111,"")</f>
        <v>31</v>
      </c>
      <c r="BJ111" s="2"/>
    </row>
    <row r="112" customFormat="false" ht="15" hidden="false" customHeight="false" outlineLevel="0" collapsed="false">
      <c r="A112" s="2" t="n">
        <v>111</v>
      </c>
      <c r="B112" s="2" t="s">
        <v>1081</v>
      </c>
      <c r="C112" s="2" t="s">
        <v>1082</v>
      </c>
      <c r="D112" s="2" t="s">
        <v>80</v>
      </c>
      <c r="E112" s="2" t="s">
        <v>65</v>
      </c>
      <c r="F112" s="2" t="s">
        <v>1083</v>
      </c>
      <c r="G112" s="2" t="s">
        <v>143</v>
      </c>
      <c r="H112" s="2" t="s">
        <v>1074</v>
      </c>
      <c r="I112" s="2" t="s">
        <v>1084</v>
      </c>
      <c r="J112" s="2" t="s">
        <v>1085</v>
      </c>
      <c r="K112" s="2" t="s">
        <v>70</v>
      </c>
      <c r="L112" s="2" t="s">
        <v>70</v>
      </c>
      <c r="M112" s="2" t="s">
        <v>1086</v>
      </c>
      <c r="N112" s="2" t="s">
        <v>72</v>
      </c>
      <c r="O112" s="2" t="s">
        <v>1087</v>
      </c>
      <c r="P112" s="3" t="n">
        <v>11</v>
      </c>
      <c r="Q112" s="3" t="n">
        <v>6167</v>
      </c>
      <c r="R112" s="3" t="n">
        <v>4218</v>
      </c>
      <c r="S112" s="3" t="n">
        <v>4097</v>
      </c>
      <c r="T112" s="3" t="n">
        <v>1949</v>
      </c>
      <c r="U112" s="3" t="n">
        <v>0</v>
      </c>
      <c r="V112" s="3" t="n">
        <v>0</v>
      </c>
      <c r="W112" s="3" t="n">
        <v>0</v>
      </c>
      <c r="X112" s="3" t="n">
        <v>35</v>
      </c>
      <c r="Y112" s="3" t="n">
        <v>31</v>
      </c>
      <c r="Z112" s="3" t="n">
        <v>0</v>
      </c>
      <c r="AA112" s="3" t="n">
        <v>1</v>
      </c>
      <c r="AB112" s="3" t="n">
        <v>0</v>
      </c>
      <c r="AC112" s="3" t="n">
        <v>3</v>
      </c>
      <c r="AD112" s="3" t="n">
        <v>2</v>
      </c>
      <c r="AE112" s="3" t="n">
        <v>6</v>
      </c>
      <c r="AF112" s="3" t="n">
        <v>19</v>
      </c>
      <c r="AG112" s="3" t="n">
        <v>8</v>
      </c>
      <c r="AH112" s="2" t="s">
        <v>1088</v>
      </c>
      <c r="AI112" s="3" t="n">
        <v>35</v>
      </c>
      <c r="AJ112" s="2" t="n">
        <v>2</v>
      </c>
      <c r="AK112" s="2" t="n">
        <f aca="false">COUNTIFS(secondary_acts!$A$2:$A$771,$A112,secondary_acts!$E$2:$E$771,"implementing")</f>
        <v>1</v>
      </c>
      <c r="AL112" s="2" t="n">
        <f aca="false">COUNTIFS(secondary_acts!$A$2:$A$771,$A112,secondary_acts!$E$2:$E$771,"delegated")</f>
        <v>0</v>
      </c>
      <c r="AM112" s="2" t="n">
        <f aca="false">COUNTIFS(secondary_acts!$A$2:$A$771,$A112,secondary_acts!$E$2:$E$771,"other Commission/Council act")</f>
        <v>0</v>
      </c>
      <c r="AN112" s="2" t="n">
        <f aca="false">COUNTIFS(secondary_acts!$A$2:$A$771,$A112,secondary_acts!$E$2:$E$771,"guidance")</f>
        <v>0</v>
      </c>
      <c r="AO112" s="2" t="n">
        <f aca="false">COUNTIF(guidance_web!$A$2:$A$7,$A112)</f>
        <v>0</v>
      </c>
      <c r="AP112" s="2" t="n">
        <f aca="false">COUNTIFS(guidance_agencies!$A$2:$A$81,$A112,guidance_agencies!$D$2:$D$81,"EDPB")</f>
        <v>0</v>
      </c>
      <c r="AQ112" s="2" t="n">
        <f aca="false">COUNTIFS(guidance_agencies!$A$2:$A$81,$A112,guidance_agencies!$D$2:$D$81,"EBA")</f>
        <v>0</v>
      </c>
      <c r="AR112" s="2" t="n">
        <f aca="false">COUNTIFS(guidance_agencies!$A$2:$A$81,$A112,guidance_agencies!$D$2:$D$81,"ESMA")</f>
        <v>0</v>
      </c>
      <c r="AS112" s="3" t="n">
        <f aca="false">SUMIFS(secondary_acts!$S$2:$S$771,secondary_acts!$A$2:$A$771,$A112,secondary_acts!$E$2:$E$771,"implementing")+SUMIFS(secondary_acts!$S$2:$S$771,secondary_acts!$A$2:$A$771,$A112,secondary_acts!$E$2:$E$771,"delegated")</f>
        <v>0</v>
      </c>
      <c r="AT112" s="3" t="n">
        <v>203</v>
      </c>
      <c r="AU112" s="2" t="n">
        <v>28</v>
      </c>
      <c r="AV112" s="2" t="n">
        <v>0</v>
      </c>
      <c r="AW112" s="2"/>
      <c r="AX112" s="2"/>
      <c r="AY112" s="2" t="n">
        <v>2</v>
      </c>
      <c r="AZ112" s="2" t="s">
        <v>1089</v>
      </c>
      <c r="BA112" s="2" t="s">
        <v>139</v>
      </c>
      <c r="BB112" s="2" t="n">
        <v>2079</v>
      </c>
      <c r="BC112" s="2" t="n">
        <v>12</v>
      </c>
      <c r="BD112" s="2" t="n">
        <v>0</v>
      </c>
      <c r="BE112" s="2" t="n">
        <f aca="false">IF(ISNUMBER(BB112),Q112-BB112,"")</f>
        <v>4088</v>
      </c>
      <c r="BF112" s="4" t="n">
        <f aca="false">IF(AND(ISNUMBER(BB112),BB112&gt;0),(Q112-BB112)/BB112,"")</f>
        <v>1.96632996632997</v>
      </c>
      <c r="BG112" s="2" t="n">
        <f aca="false">IF(ISNUMBER(BC112),X112-BC112,"")</f>
        <v>23</v>
      </c>
      <c r="BH112" s="4" t="n">
        <f aca="false">IF(AND(ISNUMBER(BC112),BC112&gt;0),(X112-BC112)/BC112,"")</f>
        <v>1.91666666666667</v>
      </c>
      <c r="BI112" s="2" t="n">
        <f aca="false">IF(ISNUMBER(BD112),AD112-BD112,"")</f>
        <v>2</v>
      </c>
      <c r="BJ112" s="2" t="s">
        <v>104</v>
      </c>
    </row>
    <row r="113" customFormat="false" ht="15" hidden="false" customHeight="false" outlineLevel="0" collapsed="false">
      <c r="A113" s="2" t="n">
        <v>112</v>
      </c>
      <c r="B113" s="2" t="s">
        <v>1090</v>
      </c>
      <c r="C113" s="2" t="s">
        <v>1091</v>
      </c>
      <c r="D113" s="2" t="s">
        <v>94</v>
      </c>
      <c r="E113" s="2" t="s">
        <v>65</v>
      </c>
      <c r="F113" s="2" t="s">
        <v>359</v>
      </c>
      <c r="G113" s="2" t="s">
        <v>143</v>
      </c>
      <c r="H113" s="2" t="s">
        <v>377</v>
      </c>
      <c r="I113" s="2" t="s">
        <v>378</v>
      </c>
      <c r="J113" s="2" t="s">
        <v>379</v>
      </c>
      <c r="K113" s="2" t="s">
        <v>70</v>
      </c>
      <c r="L113" s="2" t="s">
        <v>70</v>
      </c>
      <c r="M113" s="2" t="s">
        <v>1092</v>
      </c>
      <c r="N113" s="2" t="s">
        <v>72</v>
      </c>
      <c r="O113" s="2" t="s">
        <v>1093</v>
      </c>
      <c r="P113" s="3" t="n">
        <v>11</v>
      </c>
      <c r="Q113" s="3" t="n">
        <v>7424</v>
      </c>
      <c r="R113" s="3" t="n">
        <v>5289</v>
      </c>
      <c r="S113" s="3" t="n">
        <v>5163</v>
      </c>
      <c r="T113" s="3" t="n">
        <v>2135</v>
      </c>
      <c r="U113" s="3" t="n">
        <v>0</v>
      </c>
      <c r="V113" s="3" t="n">
        <v>0</v>
      </c>
      <c r="W113" s="3" t="n">
        <v>0</v>
      </c>
      <c r="X113" s="3" t="n">
        <v>27</v>
      </c>
      <c r="Y113" s="3" t="n">
        <v>18</v>
      </c>
      <c r="Z113" s="3" t="n">
        <v>7</v>
      </c>
      <c r="AA113" s="3" t="n">
        <v>1</v>
      </c>
      <c r="AB113" s="3" t="n">
        <v>0</v>
      </c>
      <c r="AC113" s="3" t="n">
        <v>1</v>
      </c>
      <c r="AD113" s="3" t="n">
        <v>13</v>
      </c>
      <c r="AE113" s="3" t="n">
        <v>2</v>
      </c>
      <c r="AF113" s="3" t="n">
        <v>2</v>
      </c>
      <c r="AG113" s="3" t="n">
        <v>10</v>
      </c>
      <c r="AH113" s="2" t="s">
        <v>1094</v>
      </c>
      <c r="AI113" s="3" t="n">
        <v>27</v>
      </c>
      <c r="AJ113" s="2" t="n">
        <v>13</v>
      </c>
      <c r="AK113" s="2" t="n">
        <f aca="false">COUNTIFS(secondary_acts!$A$2:$A$771,$A113,secondary_acts!$E$2:$E$771,"implementing")</f>
        <v>0</v>
      </c>
      <c r="AL113" s="2" t="n">
        <f aca="false">COUNTIFS(secondary_acts!$A$2:$A$771,$A113,secondary_acts!$E$2:$E$771,"delegated")</f>
        <v>0</v>
      </c>
      <c r="AM113" s="2" t="n">
        <f aca="false">COUNTIFS(secondary_acts!$A$2:$A$771,$A113,secondary_acts!$E$2:$E$771,"other Commission/Council act")</f>
        <v>0</v>
      </c>
      <c r="AN113" s="2" t="n">
        <f aca="false">COUNTIFS(secondary_acts!$A$2:$A$771,$A113,secondary_acts!$E$2:$E$771,"guidance")</f>
        <v>0</v>
      </c>
      <c r="AO113" s="2" t="n">
        <f aca="false">COUNTIF(guidance_web!$A$2:$A$7,$A113)</f>
        <v>0</v>
      </c>
      <c r="AP113" s="2" t="n">
        <f aca="false">COUNTIFS(guidance_agencies!$A$2:$A$81,$A113,guidance_agencies!$D$2:$D$81,"EDPB")</f>
        <v>0</v>
      </c>
      <c r="AQ113" s="2" t="n">
        <f aca="false">COUNTIFS(guidance_agencies!$A$2:$A$81,$A113,guidance_agencies!$D$2:$D$81,"EBA")</f>
        <v>0</v>
      </c>
      <c r="AR113" s="2" t="n">
        <f aca="false">COUNTIFS(guidance_agencies!$A$2:$A$81,$A113,guidance_agencies!$D$2:$D$81,"ESMA")</f>
        <v>0</v>
      </c>
      <c r="AS113" s="3" t="n">
        <f aca="false">SUMIFS(secondary_acts!$S$2:$S$771,secondary_acts!$A$2:$A$771,$A113,secondary_acts!$E$2:$E$771,"implementing")+SUMIFS(secondary_acts!$S$2:$S$771,secondary_acts!$A$2:$A$771,$A113,secondary_acts!$E$2:$E$771,"delegated")</f>
        <v>0</v>
      </c>
      <c r="AT113" s="3"/>
      <c r="AU113" s="2"/>
      <c r="AV113" s="2" t="n">
        <v>0</v>
      </c>
      <c r="AW113" s="2"/>
      <c r="AX113" s="2"/>
      <c r="AY113" s="2" t="n">
        <v>2</v>
      </c>
      <c r="AZ113" s="2" t="s">
        <v>1095</v>
      </c>
      <c r="BA113" s="2" t="s">
        <v>139</v>
      </c>
      <c r="BB113" s="2" t="n">
        <v>4070</v>
      </c>
      <c r="BC113" s="2" t="n">
        <v>5</v>
      </c>
      <c r="BD113" s="2" t="n">
        <v>3</v>
      </c>
      <c r="BE113" s="2" t="n">
        <f aca="false">IF(ISNUMBER(BB113),Q113-BB113,"")</f>
        <v>3354</v>
      </c>
      <c r="BF113" s="4" t="n">
        <f aca="false">IF(AND(ISNUMBER(BB113),BB113&gt;0),(Q113-BB113)/BB113,"")</f>
        <v>0.824078624078624</v>
      </c>
      <c r="BG113" s="2" t="n">
        <f aca="false">IF(ISNUMBER(BC113),X113-BC113,"")</f>
        <v>22</v>
      </c>
      <c r="BH113" s="4" t="n">
        <f aca="false">IF(AND(ISNUMBER(BC113),BC113&gt;0),(X113-BC113)/BC113,"")</f>
        <v>4.4</v>
      </c>
      <c r="BI113" s="2" t="n">
        <f aca="false">IF(ISNUMBER(BD113),AD113-BD113,"")</f>
        <v>10</v>
      </c>
      <c r="BJ113" s="2"/>
    </row>
    <row r="114" customFormat="false" ht="15" hidden="false" customHeight="false" outlineLevel="0" collapsed="false">
      <c r="A114" s="2" t="n">
        <v>113</v>
      </c>
      <c r="B114" s="2" t="s">
        <v>1096</v>
      </c>
      <c r="C114" s="2" t="s">
        <v>1097</v>
      </c>
      <c r="D114" s="2" t="s">
        <v>64</v>
      </c>
      <c r="E114" s="2" t="s">
        <v>65</v>
      </c>
      <c r="F114" s="2" t="s">
        <v>1098</v>
      </c>
      <c r="G114" s="2" t="s">
        <v>143</v>
      </c>
      <c r="H114" s="2" t="s">
        <v>465</v>
      </c>
      <c r="I114" s="2" t="s">
        <v>1099</v>
      </c>
      <c r="J114" s="2" t="s">
        <v>1100</v>
      </c>
      <c r="K114" s="2" t="s">
        <v>70</v>
      </c>
      <c r="L114" s="2" t="s">
        <v>70</v>
      </c>
      <c r="M114" s="2" t="s">
        <v>1101</v>
      </c>
      <c r="N114" s="2" t="s">
        <v>72</v>
      </c>
      <c r="O114" s="2" t="s">
        <v>1102</v>
      </c>
      <c r="P114" s="3" t="n">
        <v>11</v>
      </c>
      <c r="Q114" s="3" t="n">
        <v>5749</v>
      </c>
      <c r="R114" s="3" t="n">
        <v>2205</v>
      </c>
      <c r="S114" s="3" t="n">
        <v>2067</v>
      </c>
      <c r="T114" s="3" t="n">
        <v>3544</v>
      </c>
      <c r="U114" s="3" t="n">
        <v>0</v>
      </c>
      <c r="V114" s="3" t="n">
        <v>0</v>
      </c>
      <c r="W114" s="3" t="n">
        <v>0</v>
      </c>
      <c r="X114" s="3" t="n">
        <v>54</v>
      </c>
      <c r="Y114" s="3" t="n">
        <v>52</v>
      </c>
      <c r="Z114" s="3" t="n">
        <v>2</v>
      </c>
      <c r="AA114" s="3" t="n">
        <v>0</v>
      </c>
      <c r="AB114" s="3" t="n">
        <v>0</v>
      </c>
      <c r="AC114" s="3" t="n">
        <v>0</v>
      </c>
      <c r="AD114" s="3" t="n">
        <v>15</v>
      </c>
      <c r="AE114" s="3" t="n">
        <v>1</v>
      </c>
      <c r="AF114" s="3" t="n">
        <v>25</v>
      </c>
      <c r="AG114" s="3" t="n">
        <v>13</v>
      </c>
      <c r="AH114" s="2" t="s">
        <v>1103</v>
      </c>
      <c r="AI114" s="3" t="n">
        <v>54</v>
      </c>
      <c r="AJ114" s="2" t="n">
        <v>15</v>
      </c>
      <c r="AK114" s="2" t="n">
        <f aca="false">COUNTIFS(secondary_acts!$A$2:$A$771,$A114,secondary_acts!$E$2:$E$771,"implementing")</f>
        <v>3</v>
      </c>
      <c r="AL114" s="2" t="n">
        <f aca="false">COUNTIFS(secondary_acts!$A$2:$A$771,$A114,secondary_acts!$E$2:$E$771,"delegated")</f>
        <v>1</v>
      </c>
      <c r="AM114" s="2" t="n">
        <f aca="false">COUNTIFS(secondary_acts!$A$2:$A$771,$A114,secondary_acts!$E$2:$E$771,"other Commission/Council act")</f>
        <v>0</v>
      </c>
      <c r="AN114" s="2" t="n">
        <f aca="false">COUNTIFS(secondary_acts!$A$2:$A$771,$A114,secondary_acts!$E$2:$E$771,"guidance")</f>
        <v>0</v>
      </c>
      <c r="AO114" s="2" t="n">
        <f aca="false">COUNTIF(guidance_web!$A$2:$A$7,$A114)</f>
        <v>0</v>
      </c>
      <c r="AP114" s="2" t="n">
        <f aca="false">COUNTIFS(guidance_agencies!$A$2:$A$81,$A114,guidance_agencies!$D$2:$D$81,"EDPB")</f>
        <v>0</v>
      </c>
      <c r="AQ114" s="2" t="n">
        <f aca="false">COUNTIFS(guidance_agencies!$A$2:$A$81,$A114,guidance_agencies!$D$2:$D$81,"EBA")</f>
        <v>0</v>
      </c>
      <c r="AR114" s="2" t="n">
        <f aca="false">COUNTIFS(guidance_agencies!$A$2:$A$81,$A114,guidance_agencies!$D$2:$D$81,"ESMA")</f>
        <v>0</v>
      </c>
      <c r="AS114" s="3" t="n">
        <f aca="false">SUMIFS(secondary_acts!$S$2:$S$771,secondary_acts!$A$2:$A$771,$A114,secondary_acts!$E$2:$E$771,"implementing")+SUMIFS(secondary_acts!$S$2:$S$771,secondary_acts!$A$2:$A$771,$A114,secondary_acts!$E$2:$E$771,"delegated")</f>
        <v>103</v>
      </c>
      <c r="AT114" s="3"/>
      <c r="AU114" s="2"/>
      <c r="AV114" s="2" t="n">
        <v>0</v>
      </c>
      <c r="AW114" s="2"/>
      <c r="AX114" s="2"/>
      <c r="AY114" s="2" t="n">
        <v>1</v>
      </c>
      <c r="AZ114" s="2" t="s">
        <v>1104</v>
      </c>
      <c r="BA114" s="2" t="s">
        <v>139</v>
      </c>
      <c r="BB114" s="2" t="n">
        <v>4147</v>
      </c>
      <c r="BC114" s="2" t="n">
        <v>39</v>
      </c>
      <c r="BD114" s="2" t="n">
        <v>12</v>
      </c>
      <c r="BE114" s="2" t="n">
        <f aca="false">IF(ISNUMBER(BB114),Q114-BB114,"")</f>
        <v>1602</v>
      </c>
      <c r="BF114" s="4" t="n">
        <f aca="false">IF(AND(ISNUMBER(BB114),BB114&gt;0),(Q114-BB114)/BB114,"")</f>
        <v>0.386303351820593</v>
      </c>
      <c r="BG114" s="2" t="n">
        <f aca="false">IF(ISNUMBER(BC114),X114-BC114,"")</f>
        <v>15</v>
      </c>
      <c r="BH114" s="4" t="n">
        <f aca="false">IF(AND(ISNUMBER(BC114),BC114&gt;0),(X114-BC114)/BC114,"")</f>
        <v>0.384615384615385</v>
      </c>
      <c r="BI114" s="2" t="n">
        <f aca="false">IF(ISNUMBER(BD114),AD114-BD114,"")</f>
        <v>3</v>
      </c>
      <c r="BJ114" s="2" t="s">
        <v>104</v>
      </c>
    </row>
    <row r="115" customFormat="false" ht="15" hidden="false" customHeight="false" outlineLevel="0" collapsed="false">
      <c r="A115" s="2" t="n">
        <v>114</v>
      </c>
      <c r="B115" s="2" t="s">
        <v>1105</v>
      </c>
      <c r="C115" s="2" t="s">
        <v>1106</v>
      </c>
      <c r="D115" s="2" t="s">
        <v>298</v>
      </c>
      <c r="E115" s="2" t="s">
        <v>65</v>
      </c>
      <c r="F115" s="2" t="s">
        <v>398</v>
      </c>
      <c r="G115" s="2" t="s">
        <v>143</v>
      </c>
      <c r="H115" s="2" t="s">
        <v>360</v>
      </c>
      <c r="I115" s="2" t="s">
        <v>361</v>
      </c>
      <c r="J115" s="2" t="s">
        <v>362</v>
      </c>
      <c r="K115" s="2" t="s">
        <v>70</v>
      </c>
      <c r="L115" s="2" t="s">
        <v>70</v>
      </c>
      <c r="M115" s="2" t="s">
        <v>1107</v>
      </c>
      <c r="N115" s="2" t="s">
        <v>72</v>
      </c>
      <c r="O115" s="2" t="s">
        <v>1108</v>
      </c>
      <c r="P115" s="3" t="n">
        <v>58</v>
      </c>
      <c r="Q115" s="3" t="n">
        <v>34635</v>
      </c>
      <c r="R115" s="3" t="n">
        <v>7541</v>
      </c>
      <c r="S115" s="3" t="n">
        <v>7365</v>
      </c>
      <c r="T115" s="3" t="n">
        <v>27094</v>
      </c>
      <c r="U115" s="3" t="n">
        <v>0</v>
      </c>
      <c r="V115" s="3" t="n">
        <v>0</v>
      </c>
      <c r="W115" s="3" t="n">
        <v>0</v>
      </c>
      <c r="X115" s="3" t="n">
        <v>456</v>
      </c>
      <c r="Y115" s="3" t="n">
        <v>415</v>
      </c>
      <c r="Z115" s="3" t="n">
        <v>15</v>
      </c>
      <c r="AA115" s="3" t="n">
        <v>9</v>
      </c>
      <c r="AB115" s="3" t="n">
        <v>1</v>
      </c>
      <c r="AC115" s="3" t="n">
        <v>16</v>
      </c>
      <c r="AD115" s="3" t="n">
        <v>25</v>
      </c>
      <c r="AE115" s="3" t="n">
        <v>99</v>
      </c>
      <c r="AF115" s="3" t="n">
        <v>196</v>
      </c>
      <c r="AG115" s="3" t="n">
        <v>136</v>
      </c>
      <c r="AH115" s="2" t="s">
        <v>1109</v>
      </c>
      <c r="AI115" s="3" t="n">
        <v>463</v>
      </c>
      <c r="AJ115" s="2" t="n">
        <v>25</v>
      </c>
      <c r="AK115" s="2" t="n">
        <f aca="false">COUNTIFS(secondary_acts!$A$2:$A$771,$A115,secondary_acts!$E$2:$E$771,"implementing")</f>
        <v>6</v>
      </c>
      <c r="AL115" s="2" t="n">
        <f aca="false">COUNTIFS(secondary_acts!$A$2:$A$771,$A115,secondary_acts!$E$2:$E$771,"delegated")</f>
        <v>5</v>
      </c>
      <c r="AM115" s="2" t="n">
        <f aca="false">COUNTIFS(secondary_acts!$A$2:$A$771,$A115,secondary_acts!$E$2:$E$771,"other Commission/Council act")</f>
        <v>0</v>
      </c>
      <c r="AN115" s="2" t="n">
        <f aca="false">COUNTIFS(secondary_acts!$A$2:$A$771,$A115,secondary_acts!$E$2:$E$771,"guidance")</f>
        <v>0</v>
      </c>
      <c r="AO115" s="2" t="n">
        <f aca="false">COUNTIF(guidance_web!$A$2:$A$7,$A115)</f>
        <v>0</v>
      </c>
      <c r="AP115" s="2" t="n">
        <f aca="false">COUNTIFS(guidance_agencies!$A$2:$A$81,$A115,guidance_agencies!$D$2:$D$81,"EDPB")</f>
        <v>0</v>
      </c>
      <c r="AQ115" s="2" t="n">
        <f aca="false">COUNTIFS(guidance_agencies!$A$2:$A$81,$A115,guidance_agencies!$D$2:$D$81,"EBA")</f>
        <v>0</v>
      </c>
      <c r="AR115" s="2" t="n">
        <f aca="false">COUNTIFS(guidance_agencies!$A$2:$A$81,$A115,guidance_agencies!$D$2:$D$81,"ESMA")</f>
        <v>0</v>
      </c>
      <c r="AS115" s="3" t="n">
        <f aca="false">SUMIFS(secondary_acts!$S$2:$S$771,secondary_acts!$A$2:$A$771,$A115,secondary_acts!$E$2:$E$771,"implementing")+SUMIFS(secondary_acts!$S$2:$S$771,secondary_acts!$A$2:$A$771,$A115,secondary_acts!$E$2:$E$771,"delegated")</f>
        <v>175</v>
      </c>
      <c r="AT115" s="3"/>
      <c r="AU115" s="2"/>
      <c r="AV115" s="2" t="n">
        <v>5</v>
      </c>
      <c r="AW115" s="2" t="s">
        <v>544</v>
      </c>
      <c r="AX115" s="2" t="s">
        <v>384</v>
      </c>
      <c r="AY115" s="2" t="n">
        <v>5</v>
      </c>
      <c r="AZ115" s="2" t="s">
        <v>1110</v>
      </c>
      <c r="BA115" s="2" t="s">
        <v>139</v>
      </c>
      <c r="BB115" s="2" t="n">
        <v>23487</v>
      </c>
      <c r="BC115" s="2" t="n">
        <v>291</v>
      </c>
      <c r="BD115" s="2" t="n">
        <v>32</v>
      </c>
      <c r="BE115" s="2" t="n">
        <f aca="false">IF(ISNUMBER(BB115),Q115-BB115,"")</f>
        <v>11148</v>
      </c>
      <c r="BF115" s="4" t="n">
        <f aca="false">IF(AND(ISNUMBER(BB115),BB115&gt;0),(Q115-BB115)/BB115,"")</f>
        <v>0.474645548601354</v>
      </c>
      <c r="BG115" s="2" t="n">
        <f aca="false">IF(ISNUMBER(BC115),X115-BC115,"")</f>
        <v>165</v>
      </c>
      <c r="BH115" s="4" t="n">
        <f aca="false">IF(AND(ISNUMBER(BC115),BC115&gt;0),(X115-BC115)/BC115,"")</f>
        <v>0.567010309278351</v>
      </c>
      <c r="BI115" s="2" t="n">
        <f aca="false">IF(ISNUMBER(BD115),AD115-BD115,"")</f>
        <v>-7</v>
      </c>
      <c r="BJ115" s="2"/>
    </row>
    <row r="116" customFormat="false" ht="15" hidden="false" customHeight="false" outlineLevel="0" collapsed="false">
      <c r="A116" s="2" t="n">
        <v>115</v>
      </c>
      <c r="B116" s="2" t="s">
        <v>1111</v>
      </c>
      <c r="C116" s="2" t="s">
        <v>1112</v>
      </c>
      <c r="D116" s="2" t="s">
        <v>164</v>
      </c>
      <c r="E116" s="2" t="s">
        <v>65</v>
      </c>
      <c r="F116" s="2" t="s">
        <v>1113</v>
      </c>
      <c r="G116" s="2" t="s">
        <v>143</v>
      </c>
      <c r="H116" s="2" t="s">
        <v>239</v>
      </c>
      <c r="I116" s="2" t="s">
        <v>334</v>
      </c>
      <c r="J116" s="2" t="s">
        <v>1114</v>
      </c>
      <c r="K116" s="2" t="s">
        <v>70</v>
      </c>
      <c r="L116" s="2" t="s">
        <v>70</v>
      </c>
      <c r="M116" s="2" t="s">
        <v>1115</v>
      </c>
      <c r="N116" s="2" t="s">
        <v>72</v>
      </c>
      <c r="O116" s="2" t="s">
        <v>1116</v>
      </c>
      <c r="P116" s="3" t="n">
        <v>19</v>
      </c>
      <c r="Q116" s="3" t="n">
        <v>11748</v>
      </c>
      <c r="R116" s="3" t="n">
        <v>6262</v>
      </c>
      <c r="S116" s="3" t="n">
        <v>6129</v>
      </c>
      <c r="T116" s="3" t="n">
        <v>5486</v>
      </c>
      <c r="U116" s="3" t="n">
        <v>0</v>
      </c>
      <c r="V116" s="3" t="n">
        <v>0</v>
      </c>
      <c r="W116" s="3" t="n">
        <v>0</v>
      </c>
      <c r="X116" s="3" t="n">
        <v>70</v>
      </c>
      <c r="Y116" s="3" t="n">
        <v>55</v>
      </c>
      <c r="Z116" s="3" t="n">
        <v>2</v>
      </c>
      <c r="AA116" s="3" t="n">
        <v>0</v>
      </c>
      <c r="AB116" s="3" t="n">
        <v>2</v>
      </c>
      <c r="AC116" s="3" t="n">
        <v>11</v>
      </c>
      <c r="AD116" s="3" t="n">
        <v>15</v>
      </c>
      <c r="AE116" s="3" t="n">
        <v>34</v>
      </c>
      <c r="AF116" s="3" t="n">
        <v>10</v>
      </c>
      <c r="AG116" s="3" t="n">
        <v>11</v>
      </c>
      <c r="AH116" s="2"/>
      <c r="AI116" s="3"/>
      <c r="AJ116" s="2"/>
      <c r="AK116" s="2" t="n">
        <f aca="false">COUNTIFS(secondary_acts!$A$2:$A$771,$A116,secondary_acts!$E$2:$E$771,"implementing")</f>
        <v>0</v>
      </c>
      <c r="AL116" s="2" t="n">
        <f aca="false">COUNTIFS(secondary_acts!$A$2:$A$771,$A116,secondary_acts!$E$2:$E$771,"delegated")</f>
        <v>0</v>
      </c>
      <c r="AM116" s="2" t="n">
        <f aca="false">COUNTIFS(secondary_acts!$A$2:$A$771,$A116,secondary_acts!$E$2:$E$771,"other Commission/Council act")</f>
        <v>0</v>
      </c>
      <c r="AN116" s="2" t="n">
        <f aca="false">COUNTIFS(secondary_acts!$A$2:$A$771,$A116,secondary_acts!$E$2:$E$771,"guidance")</f>
        <v>0</v>
      </c>
      <c r="AO116" s="2" t="n">
        <f aca="false">COUNTIF(guidance_web!$A$2:$A$7,$A116)</f>
        <v>0</v>
      </c>
      <c r="AP116" s="2" t="n">
        <f aca="false">COUNTIFS(guidance_agencies!$A$2:$A$81,$A116,guidance_agencies!$D$2:$D$81,"EDPB")</f>
        <v>0</v>
      </c>
      <c r="AQ116" s="2" t="n">
        <f aca="false">COUNTIFS(guidance_agencies!$A$2:$A$81,$A116,guidance_agencies!$D$2:$D$81,"EBA")</f>
        <v>0</v>
      </c>
      <c r="AR116" s="2" t="n">
        <f aca="false">COUNTIFS(guidance_agencies!$A$2:$A$81,$A116,guidance_agencies!$D$2:$D$81,"ESMA")</f>
        <v>0</v>
      </c>
      <c r="AS116" s="3" t="n">
        <f aca="false">SUMIFS(secondary_acts!$S$2:$S$771,secondary_acts!$A$2:$A$771,$A116,secondary_acts!$E$2:$E$771,"implementing")+SUMIFS(secondary_acts!$S$2:$S$771,secondary_acts!$A$2:$A$771,$A116,secondary_acts!$E$2:$E$771,"delegated")</f>
        <v>0</v>
      </c>
      <c r="AT116" s="3"/>
      <c r="AU116" s="2"/>
      <c r="AV116" s="2" t="n">
        <v>0</v>
      </c>
      <c r="AW116" s="2"/>
      <c r="AX116" s="2"/>
      <c r="AY116" s="2" t="n">
        <v>1</v>
      </c>
      <c r="AZ116" s="2" t="s">
        <v>1117</v>
      </c>
      <c r="BA116" s="2" t="s">
        <v>139</v>
      </c>
      <c r="BB116" s="2" t="n">
        <v>9330</v>
      </c>
      <c r="BC116" s="2" t="n">
        <v>66</v>
      </c>
      <c r="BD116" s="2" t="n">
        <v>11</v>
      </c>
      <c r="BE116" s="2" t="n">
        <f aca="false">IF(ISNUMBER(BB116),Q116-BB116,"")</f>
        <v>2418</v>
      </c>
      <c r="BF116" s="4" t="n">
        <f aca="false">IF(AND(ISNUMBER(BB116),BB116&gt;0),(Q116-BB116)/BB116,"")</f>
        <v>0.259163987138264</v>
      </c>
      <c r="BG116" s="2" t="n">
        <f aca="false">IF(ISNUMBER(BC116),X116-BC116,"")</f>
        <v>4</v>
      </c>
      <c r="BH116" s="4" t="n">
        <f aca="false">IF(AND(ISNUMBER(BC116),BC116&gt;0),(X116-BC116)/BC116,"")</f>
        <v>0.0606060606060606</v>
      </c>
      <c r="BI116" s="2" t="n">
        <f aca="false">IF(ISNUMBER(BD116),AD116-BD116,"")</f>
        <v>4</v>
      </c>
      <c r="BJ116" s="2"/>
    </row>
    <row r="117" customFormat="false" ht="15" hidden="false" customHeight="false" outlineLevel="0" collapsed="false">
      <c r="A117" s="5"/>
      <c r="B117" s="5" t="s">
        <v>1118</v>
      </c>
      <c r="C117" s="5"/>
      <c r="D117" s="5"/>
      <c r="E117" s="5"/>
      <c r="F117" s="5"/>
      <c r="G117" s="5"/>
      <c r="H117" s="5"/>
      <c r="I117" s="5"/>
      <c r="J117" s="5"/>
      <c r="K117" s="5"/>
      <c r="L117" s="5"/>
      <c r="M117" s="5"/>
      <c r="N117" s="5"/>
      <c r="O117" s="5"/>
      <c r="P117" s="6" t="n">
        <f aca="false">SUM(P2:P116)</f>
        <v>5434</v>
      </c>
      <c r="Q117" s="6" t="n">
        <f aca="false">SUM(Q2:Q116)</f>
        <v>2781203</v>
      </c>
      <c r="R117" s="6" t="n">
        <f aca="false">SUM(R2:R116)</f>
        <v>1050873</v>
      </c>
      <c r="S117" s="6" t="n">
        <f aca="false">SUM(S2:S116)</f>
        <v>1035605</v>
      </c>
      <c r="T117" s="6" t="n">
        <f aca="false">SUM(T2:T116)</f>
        <v>1500627</v>
      </c>
      <c r="U117" s="6" t="n">
        <f aca="false">SUM(U2:U116)</f>
        <v>229703</v>
      </c>
      <c r="V117" s="6" t="n">
        <f aca="false">SUM(V2:V116)</f>
        <v>62630</v>
      </c>
      <c r="W117" s="6" t="n">
        <f aca="false">SUM(W2:W116)</f>
        <v>28904</v>
      </c>
      <c r="X117" s="6" t="n">
        <f aca="false">SUM(X2:X116)</f>
        <v>24705</v>
      </c>
      <c r="Y117" s="6" t="n">
        <f aca="false">SUM(Y2:Y116)</f>
        <v>21159</v>
      </c>
      <c r="Z117" s="6" t="n">
        <f aca="false">SUM(Z2:Z116)</f>
        <v>1597</v>
      </c>
      <c r="AA117" s="6" t="n">
        <f aca="false">SUM(AA2:AA116)</f>
        <v>247</v>
      </c>
      <c r="AB117" s="6" t="n">
        <f aca="false">SUM(AB2:AB116)</f>
        <v>236</v>
      </c>
      <c r="AC117" s="6" t="n">
        <f aca="false">SUM(AC2:AC116)</f>
        <v>1466</v>
      </c>
      <c r="AD117" s="6" t="n">
        <f aca="false">SUM(AD2:AD116)</f>
        <v>5434</v>
      </c>
      <c r="AE117" s="6" t="n">
        <f aca="false">SUM(AE2:AE116)</f>
        <v>5616</v>
      </c>
      <c r="AF117" s="6" t="n">
        <f aca="false">SUM(AF2:AF116)</f>
        <v>6122</v>
      </c>
      <c r="AG117" s="6" t="n">
        <f aca="false">SUM(AG2:AG116)</f>
        <v>7533</v>
      </c>
      <c r="AH117" s="5"/>
      <c r="AI117" s="6" t="n">
        <f aca="false">SUM(AI2:AI116)</f>
        <v>22236</v>
      </c>
      <c r="AJ117" s="5" t="n">
        <f aca="false">SUM(AJ2:AJ116)</f>
        <v>4977</v>
      </c>
      <c r="AK117" s="5" t="n">
        <f aca="false">SUM(AK2:AK116)</f>
        <v>605</v>
      </c>
      <c r="AL117" s="5" t="n">
        <f aca="false">SUM(AL2:AL116)</f>
        <v>85</v>
      </c>
      <c r="AM117" s="5" t="n">
        <f aca="false">SUM(AM2:AM116)</f>
        <v>28</v>
      </c>
      <c r="AN117" s="5" t="n">
        <f aca="false">SUM(AN2:AN116)</f>
        <v>52</v>
      </c>
      <c r="AO117" s="5" t="n">
        <f aca="false">SUM(AO2:AO116)</f>
        <v>6</v>
      </c>
      <c r="AP117" s="5" t="n">
        <f aca="false">SUM(AP2:AP116)</f>
        <v>52</v>
      </c>
      <c r="AQ117" s="5" t="n">
        <f aca="false">SUM(AQ2:AQ116)</f>
        <v>20</v>
      </c>
      <c r="AR117" s="5" t="n">
        <f aca="false">SUM(AR2:AR116)</f>
        <v>8</v>
      </c>
      <c r="AS117" s="6" t="n">
        <f aca="false">SUM(AS2:AS116)</f>
        <v>11229</v>
      </c>
      <c r="AT117" s="6" t="n">
        <f aca="false">SUM(AT2:AT116)</f>
        <v>48158</v>
      </c>
      <c r="AU117" s="5"/>
      <c r="AV117" s="5" t="n">
        <f aca="false">SUM(AV2:AV116)</f>
        <v>172</v>
      </c>
      <c r="AW117" s="5"/>
      <c r="AX117" s="5"/>
      <c r="AY117" s="5" t="n">
        <f aca="false">SUM(AY2:AY116)</f>
        <v>371</v>
      </c>
      <c r="AZ117" s="5"/>
      <c r="BA117" s="5"/>
      <c r="BB117" s="5"/>
      <c r="BC117" s="5"/>
      <c r="BD117" s="5"/>
      <c r="BE117" s="5"/>
      <c r="BF117" s="5"/>
      <c r="BG117" s="5"/>
      <c r="BH117" s="5"/>
      <c r="BI117" s="5"/>
      <c r="BJ117" s="5"/>
    </row>
  </sheetData>
  <autoFilter ref="A1:BJ1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3"/>
    <col collapsed="false" customWidth="true" hidden="false" outlineLevel="0" max="4" min="4" style="0" width="16"/>
    <col collapsed="false" customWidth="true" hidden="false" outlineLevel="0" max="5" min="5" style="0" width="14"/>
    <col collapsed="false" customWidth="true" hidden="false" outlineLevel="0" max="6" min="6" style="0" width="12"/>
    <col collapsed="false" customWidth="true" hidden="false" outlineLevel="0" max="7" min="7" style="0" width="11"/>
    <col collapsed="false" customWidth="true" hidden="false" outlineLevel="0" max="8" min="8" style="0" width="60"/>
    <col collapsed="false" customWidth="true" hidden="false" outlineLevel="0" max="9" min="9" style="0" width="12"/>
    <col collapsed="false" customWidth="true" hidden="false" outlineLevel="0" max="10" min="10" style="0" width="30"/>
    <col collapsed="false" customWidth="true" hidden="false" outlineLevel="0" max="28" min="11" style="0" width="10"/>
    <col collapsed="false" customWidth="true" hidden="false" outlineLevel="0" max="29" min="29" style="0" width="40"/>
  </cols>
  <sheetData>
    <row r="1" customFormat="false" ht="45" hidden="false" customHeight="true" outlineLevel="0" collapsed="false">
      <c r="A1" s="1" t="s">
        <v>1119</v>
      </c>
      <c r="B1" s="1" t="s">
        <v>1120</v>
      </c>
      <c r="C1" s="1" t="s">
        <v>1121</v>
      </c>
      <c r="D1" s="1" t="s">
        <v>1122</v>
      </c>
      <c r="E1" s="1" t="s">
        <v>1123</v>
      </c>
      <c r="F1" s="1" t="s">
        <v>1124</v>
      </c>
      <c r="G1" s="1" t="s">
        <v>1125</v>
      </c>
      <c r="H1" s="1" t="s">
        <v>1126</v>
      </c>
      <c r="I1" s="1" t="s">
        <v>1127</v>
      </c>
      <c r="J1" s="1" t="s">
        <v>14</v>
      </c>
      <c r="K1" s="1" t="s">
        <v>15</v>
      </c>
      <c r="L1" s="1" t="s">
        <v>16</v>
      </c>
      <c r="M1" s="1" t="s">
        <v>17</v>
      </c>
      <c r="N1" s="1" t="s">
        <v>18</v>
      </c>
      <c r="O1" s="1" t="s">
        <v>19</v>
      </c>
      <c r="P1" s="1" t="s">
        <v>20</v>
      </c>
      <c r="Q1" s="1" t="s">
        <v>21</v>
      </c>
      <c r="R1" s="1" t="s">
        <v>22</v>
      </c>
      <c r="S1" s="1" t="s">
        <v>23</v>
      </c>
      <c r="T1" s="1" t="s">
        <v>24</v>
      </c>
      <c r="U1" s="1" t="s">
        <v>25</v>
      </c>
      <c r="V1" s="1" t="s">
        <v>26</v>
      </c>
      <c r="W1" s="1" t="s">
        <v>27</v>
      </c>
      <c r="X1" s="1" t="s">
        <v>28</v>
      </c>
      <c r="Y1" s="1" t="s">
        <v>29</v>
      </c>
      <c r="Z1" s="1" t="s">
        <v>30</v>
      </c>
      <c r="AA1" s="1" t="s">
        <v>31</v>
      </c>
      <c r="AB1" s="1" t="s">
        <v>32</v>
      </c>
      <c r="AC1" s="1" t="s">
        <v>61</v>
      </c>
    </row>
    <row r="2" customFormat="false" ht="15" hidden="false" customHeight="false" outlineLevel="0" collapsed="false">
      <c r="A2" s="2" t="n">
        <v>2</v>
      </c>
      <c r="B2" s="2" t="s">
        <v>78</v>
      </c>
      <c r="C2" s="2" t="s">
        <v>86</v>
      </c>
      <c r="D2" s="2" t="s">
        <v>1128</v>
      </c>
      <c r="E2" s="2" t="s">
        <v>1129</v>
      </c>
      <c r="F2" s="2" t="s">
        <v>1130</v>
      </c>
      <c r="G2" s="2" t="s">
        <v>1131</v>
      </c>
      <c r="H2" s="2" t="s">
        <v>1132</v>
      </c>
      <c r="I2" s="2" t="s">
        <v>1133</v>
      </c>
      <c r="J2" s="2" t="s">
        <v>1134</v>
      </c>
      <c r="K2" s="2" t="n">
        <v>89</v>
      </c>
      <c r="L2" s="2" t="n">
        <v>56948</v>
      </c>
      <c r="M2" s="2" t="n">
        <v>0</v>
      </c>
      <c r="N2" s="2" t="n">
        <v>0</v>
      </c>
      <c r="O2" s="2" t="n">
        <v>47549</v>
      </c>
      <c r="P2" s="2" t="n">
        <v>9399</v>
      </c>
      <c r="Q2" s="2" t="n">
        <v>0</v>
      </c>
      <c r="R2" s="2" t="n">
        <v>0</v>
      </c>
      <c r="S2" s="2" t="n">
        <v>307</v>
      </c>
      <c r="T2" s="2" t="n">
        <v>215</v>
      </c>
      <c r="U2" s="2" t="n">
        <v>34</v>
      </c>
      <c r="V2" s="2" t="n">
        <v>5</v>
      </c>
      <c r="W2" s="2" t="n">
        <v>50</v>
      </c>
      <c r="X2" s="2" t="n">
        <v>3</v>
      </c>
      <c r="Y2" s="2" t="n">
        <v>72</v>
      </c>
      <c r="Z2" s="2" t="n">
        <v>106</v>
      </c>
      <c r="AA2" s="2" t="n">
        <v>9</v>
      </c>
      <c r="AB2" s="2" t="n">
        <v>120</v>
      </c>
      <c r="AC2" s="2" t="s">
        <v>1135</v>
      </c>
    </row>
    <row r="3" customFormat="false" ht="15" hidden="false" customHeight="false" outlineLevel="0" collapsed="false">
      <c r="A3" s="2" t="n">
        <v>5</v>
      </c>
      <c r="B3" s="2" t="s">
        <v>116</v>
      </c>
      <c r="C3" s="2" t="s">
        <v>122</v>
      </c>
      <c r="D3" s="2" t="s">
        <v>1136</v>
      </c>
      <c r="E3" s="2" t="s">
        <v>1137</v>
      </c>
      <c r="F3" s="2" t="s">
        <v>1138</v>
      </c>
      <c r="G3" s="2" t="s">
        <v>1139</v>
      </c>
      <c r="H3" s="2" t="s">
        <v>1140</v>
      </c>
      <c r="I3" s="2" t="s">
        <v>1133</v>
      </c>
      <c r="J3" s="2" t="s">
        <v>1141</v>
      </c>
      <c r="K3" s="2" t="n">
        <v>26</v>
      </c>
      <c r="L3" s="2" t="n">
        <v>20401</v>
      </c>
      <c r="M3" s="2" t="n">
        <v>253</v>
      </c>
      <c r="N3" s="2" t="n">
        <v>160</v>
      </c>
      <c r="O3" s="2" t="n">
        <v>20148</v>
      </c>
      <c r="P3" s="2" t="n">
        <v>0</v>
      </c>
      <c r="Q3" s="2" t="n">
        <v>0</v>
      </c>
      <c r="R3" s="2" t="n">
        <v>0</v>
      </c>
      <c r="S3" s="2" t="n">
        <v>366</v>
      </c>
      <c r="T3" s="2" t="n">
        <v>342</v>
      </c>
      <c r="U3" s="2" t="n">
        <v>21</v>
      </c>
      <c r="V3" s="2" t="n">
        <v>2</v>
      </c>
      <c r="W3" s="2" t="n">
        <v>1</v>
      </c>
      <c r="X3" s="2" t="n">
        <v>0</v>
      </c>
      <c r="Y3" s="2" t="n">
        <v>61</v>
      </c>
      <c r="Z3" s="2" t="n">
        <v>10</v>
      </c>
      <c r="AA3" s="2" t="n">
        <v>147</v>
      </c>
      <c r="AB3" s="2" t="n">
        <v>148</v>
      </c>
      <c r="AC3" s="2"/>
    </row>
    <row r="4" customFormat="false" ht="15" hidden="false" customHeight="false" outlineLevel="0" collapsed="false">
      <c r="A4" s="2" t="n">
        <v>5</v>
      </c>
      <c r="B4" s="2" t="s">
        <v>116</v>
      </c>
      <c r="C4" s="2" t="s">
        <v>122</v>
      </c>
      <c r="D4" s="2" t="s">
        <v>1142</v>
      </c>
      <c r="E4" s="2" t="s">
        <v>1137</v>
      </c>
      <c r="F4" s="2" t="s">
        <v>1138</v>
      </c>
      <c r="G4" s="2" t="s">
        <v>1143</v>
      </c>
      <c r="H4" s="2" t="s">
        <v>1144</v>
      </c>
      <c r="I4" s="2" t="s">
        <v>1133</v>
      </c>
      <c r="J4" s="2" t="s">
        <v>1145</v>
      </c>
      <c r="K4" s="2" t="n">
        <v>6</v>
      </c>
      <c r="L4" s="2" t="n">
        <v>1701</v>
      </c>
      <c r="M4" s="2" t="n">
        <v>385</v>
      </c>
      <c r="N4" s="2" t="n">
        <v>263</v>
      </c>
      <c r="O4" s="2" t="n">
        <v>1314</v>
      </c>
      <c r="P4" s="2" t="n">
        <v>2</v>
      </c>
      <c r="Q4" s="2" t="n">
        <v>0</v>
      </c>
      <c r="R4" s="2" t="n">
        <v>0</v>
      </c>
      <c r="S4" s="2" t="n">
        <v>19</v>
      </c>
      <c r="T4" s="2" t="n">
        <v>18</v>
      </c>
      <c r="U4" s="2" t="n">
        <v>1</v>
      </c>
      <c r="V4" s="2" t="n">
        <v>0</v>
      </c>
      <c r="W4" s="2" t="n">
        <v>0</v>
      </c>
      <c r="X4" s="2" t="n">
        <v>0</v>
      </c>
      <c r="Y4" s="2" t="n">
        <v>3</v>
      </c>
      <c r="Z4" s="2" t="n">
        <v>0</v>
      </c>
      <c r="AA4" s="2" t="n">
        <v>4</v>
      </c>
      <c r="AB4" s="2" t="n">
        <v>12</v>
      </c>
      <c r="AC4" s="2"/>
    </row>
    <row r="5" customFormat="false" ht="15" hidden="false" customHeight="false" outlineLevel="0" collapsed="false">
      <c r="A5" s="2" t="n">
        <v>5</v>
      </c>
      <c r="B5" s="2" t="s">
        <v>116</v>
      </c>
      <c r="C5" s="2" t="s">
        <v>122</v>
      </c>
      <c r="D5" s="2" t="s">
        <v>1146</v>
      </c>
      <c r="E5" s="2" t="s">
        <v>1137</v>
      </c>
      <c r="F5" s="2" t="s">
        <v>1138</v>
      </c>
      <c r="G5" s="2" t="s">
        <v>1147</v>
      </c>
      <c r="H5" s="2" t="s">
        <v>1148</v>
      </c>
      <c r="I5" s="2" t="s">
        <v>1133</v>
      </c>
      <c r="J5" s="2" t="s">
        <v>1149</v>
      </c>
      <c r="K5" s="2" t="n">
        <v>3</v>
      </c>
      <c r="L5" s="2" t="n">
        <v>1518</v>
      </c>
      <c r="M5" s="2" t="n">
        <v>219</v>
      </c>
      <c r="N5" s="2" t="n">
        <v>115</v>
      </c>
      <c r="O5" s="2" t="n">
        <v>1299</v>
      </c>
      <c r="P5" s="2" t="n">
        <v>0</v>
      </c>
      <c r="Q5" s="2" t="n">
        <v>0</v>
      </c>
      <c r="R5" s="2" t="n">
        <v>0</v>
      </c>
      <c r="S5" s="2" t="n">
        <v>11</v>
      </c>
      <c r="T5" s="2" t="n">
        <v>11</v>
      </c>
      <c r="U5" s="2" t="n">
        <v>0</v>
      </c>
      <c r="V5" s="2" t="n">
        <v>0</v>
      </c>
      <c r="W5" s="2" t="n">
        <v>0</v>
      </c>
      <c r="X5" s="2" t="n">
        <v>0</v>
      </c>
      <c r="Y5" s="2" t="n">
        <v>0</v>
      </c>
      <c r="Z5" s="2" t="n">
        <v>0</v>
      </c>
      <c r="AA5" s="2" t="n">
        <v>6</v>
      </c>
      <c r="AB5" s="2" t="n">
        <v>5</v>
      </c>
      <c r="AC5" s="2"/>
    </row>
    <row r="6" customFormat="false" ht="15" hidden="false" customHeight="false" outlineLevel="0" collapsed="false">
      <c r="A6" s="2" t="n">
        <v>5</v>
      </c>
      <c r="B6" s="2" t="s">
        <v>116</v>
      </c>
      <c r="C6" s="2" t="s">
        <v>122</v>
      </c>
      <c r="D6" s="2" t="s">
        <v>1150</v>
      </c>
      <c r="E6" s="2" t="s">
        <v>1137</v>
      </c>
      <c r="F6" s="2" t="s">
        <v>1138</v>
      </c>
      <c r="G6" s="2" t="s">
        <v>1147</v>
      </c>
      <c r="H6" s="2" t="s">
        <v>1151</v>
      </c>
      <c r="I6" s="2" t="s">
        <v>1133</v>
      </c>
      <c r="J6" s="2" t="s">
        <v>1152</v>
      </c>
      <c r="K6" s="2" t="n">
        <v>2</v>
      </c>
      <c r="L6" s="2" t="n">
        <v>965</v>
      </c>
      <c r="M6" s="2" t="n">
        <v>414</v>
      </c>
      <c r="N6" s="2" t="n">
        <v>307</v>
      </c>
      <c r="O6" s="2" t="n">
        <v>551</v>
      </c>
      <c r="P6" s="2" t="n">
        <v>0</v>
      </c>
      <c r="Q6" s="2" t="n">
        <v>0</v>
      </c>
      <c r="R6" s="2" t="n">
        <v>0</v>
      </c>
      <c r="S6" s="2" t="n">
        <v>3</v>
      </c>
      <c r="T6" s="2" t="n">
        <v>3</v>
      </c>
      <c r="U6" s="2" t="n">
        <v>0</v>
      </c>
      <c r="V6" s="2" t="n">
        <v>0</v>
      </c>
      <c r="W6" s="2" t="n">
        <v>0</v>
      </c>
      <c r="X6" s="2" t="n">
        <v>0</v>
      </c>
      <c r="Y6" s="2" t="n">
        <v>0</v>
      </c>
      <c r="Z6" s="2" t="n">
        <v>0</v>
      </c>
      <c r="AA6" s="2" t="n">
        <v>2</v>
      </c>
      <c r="AB6" s="2" t="n">
        <v>1</v>
      </c>
      <c r="AC6" s="2"/>
    </row>
    <row r="7" customFormat="false" ht="15" hidden="false" customHeight="false" outlineLevel="0" collapsed="false">
      <c r="A7" s="2" t="n">
        <v>5</v>
      </c>
      <c r="B7" s="2" t="s">
        <v>116</v>
      </c>
      <c r="C7" s="2" t="s">
        <v>122</v>
      </c>
      <c r="D7" s="2" t="s">
        <v>1153</v>
      </c>
      <c r="E7" s="2" t="s">
        <v>1154</v>
      </c>
      <c r="F7" s="2" t="s">
        <v>1155</v>
      </c>
      <c r="G7" s="2" t="s">
        <v>1156</v>
      </c>
      <c r="H7" s="2" t="s">
        <v>1157</v>
      </c>
      <c r="I7" s="2" t="s">
        <v>1133</v>
      </c>
      <c r="J7" s="2" t="s">
        <v>1158</v>
      </c>
      <c r="K7" s="2" t="n">
        <v>5</v>
      </c>
      <c r="L7" s="2" t="n">
        <v>2494</v>
      </c>
      <c r="M7" s="2" t="n">
        <v>515</v>
      </c>
      <c r="N7" s="2" t="n">
        <v>432</v>
      </c>
      <c r="O7" s="2" t="n">
        <v>1979</v>
      </c>
      <c r="P7" s="2" t="n">
        <v>0</v>
      </c>
      <c r="Q7" s="2" t="n">
        <v>0</v>
      </c>
      <c r="R7" s="2" t="n">
        <v>0</v>
      </c>
      <c r="S7" s="2" t="n">
        <v>20</v>
      </c>
      <c r="T7" s="2" t="n">
        <v>19</v>
      </c>
      <c r="U7" s="2" t="n">
        <v>1</v>
      </c>
      <c r="V7" s="2" t="n">
        <v>0</v>
      </c>
      <c r="W7" s="2" t="n">
        <v>0</v>
      </c>
      <c r="X7" s="2" t="n">
        <v>0</v>
      </c>
      <c r="Y7" s="2" t="n">
        <v>1</v>
      </c>
      <c r="Z7" s="2" t="n">
        <v>1</v>
      </c>
      <c r="AA7" s="2" t="n">
        <v>8</v>
      </c>
      <c r="AB7" s="2" t="n">
        <v>10</v>
      </c>
      <c r="AC7" s="2"/>
    </row>
    <row r="8" customFormat="false" ht="15" hidden="false" customHeight="false" outlineLevel="0" collapsed="false">
      <c r="A8" s="2" t="n">
        <v>5</v>
      </c>
      <c r="B8" s="2" t="s">
        <v>116</v>
      </c>
      <c r="C8" s="2" t="s">
        <v>122</v>
      </c>
      <c r="D8" s="2" t="s">
        <v>1159</v>
      </c>
      <c r="E8" s="2" t="s">
        <v>1160</v>
      </c>
      <c r="F8" s="2" t="s">
        <v>1161</v>
      </c>
      <c r="G8" s="2" t="s">
        <v>1162</v>
      </c>
      <c r="H8" s="2" t="s">
        <v>1163</v>
      </c>
      <c r="I8" s="2" t="s">
        <v>1133</v>
      </c>
      <c r="J8" s="2" t="s">
        <v>1164</v>
      </c>
      <c r="K8" s="2" t="n">
        <v>11</v>
      </c>
      <c r="L8" s="2" t="n">
        <v>5649</v>
      </c>
      <c r="M8" s="2" t="n">
        <v>1050</v>
      </c>
      <c r="N8" s="2" t="n">
        <v>934</v>
      </c>
      <c r="O8" s="2" t="n">
        <v>4599</v>
      </c>
      <c r="P8" s="2" t="n">
        <v>0</v>
      </c>
      <c r="Q8" s="2" t="n">
        <v>0</v>
      </c>
      <c r="R8" s="2" t="n">
        <v>0</v>
      </c>
      <c r="S8" s="2" t="n">
        <v>63</v>
      </c>
      <c r="T8" s="2" t="n">
        <v>61</v>
      </c>
      <c r="U8" s="2" t="n">
        <v>2</v>
      </c>
      <c r="V8" s="2" t="n">
        <v>0</v>
      </c>
      <c r="W8" s="2" t="n">
        <v>0</v>
      </c>
      <c r="X8" s="2" t="n">
        <v>0</v>
      </c>
      <c r="Y8" s="2" t="n">
        <v>6</v>
      </c>
      <c r="Z8" s="2" t="n">
        <v>0</v>
      </c>
      <c r="AA8" s="2" t="n">
        <v>43</v>
      </c>
      <c r="AB8" s="2" t="n">
        <v>14</v>
      </c>
      <c r="AC8" s="2"/>
    </row>
    <row r="9" customFormat="false" ht="15" hidden="false" customHeight="false" outlineLevel="0" collapsed="false">
      <c r="A9" s="2" t="n">
        <v>5</v>
      </c>
      <c r="B9" s="2" t="s">
        <v>116</v>
      </c>
      <c r="C9" s="2" t="s">
        <v>122</v>
      </c>
      <c r="D9" s="2" t="s">
        <v>1165</v>
      </c>
      <c r="E9" s="2" t="s">
        <v>1154</v>
      </c>
      <c r="F9" s="2" t="s">
        <v>1155</v>
      </c>
      <c r="G9" s="2" t="s">
        <v>1162</v>
      </c>
      <c r="H9" s="2" t="s">
        <v>1166</v>
      </c>
      <c r="I9" s="2" t="s">
        <v>1133</v>
      </c>
      <c r="J9" s="2" t="s">
        <v>1167</v>
      </c>
      <c r="K9" s="2" t="n">
        <v>11</v>
      </c>
      <c r="L9" s="2" t="n">
        <v>5069</v>
      </c>
      <c r="M9" s="2" t="n">
        <v>967</v>
      </c>
      <c r="N9" s="2" t="n">
        <v>856</v>
      </c>
      <c r="O9" s="2" t="n">
        <v>4102</v>
      </c>
      <c r="P9" s="2" t="n">
        <v>0</v>
      </c>
      <c r="Q9" s="2" t="n">
        <v>0</v>
      </c>
      <c r="R9" s="2" t="n">
        <v>0</v>
      </c>
      <c r="S9" s="2" t="n">
        <v>60</v>
      </c>
      <c r="T9" s="2" t="n">
        <v>57</v>
      </c>
      <c r="U9" s="2" t="n">
        <v>3</v>
      </c>
      <c r="V9" s="2" t="n">
        <v>0</v>
      </c>
      <c r="W9" s="2" t="n">
        <v>0</v>
      </c>
      <c r="X9" s="2" t="n">
        <v>0</v>
      </c>
      <c r="Y9" s="2" t="n">
        <v>18</v>
      </c>
      <c r="Z9" s="2" t="n">
        <v>4</v>
      </c>
      <c r="AA9" s="2" t="n">
        <v>7</v>
      </c>
      <c r="AB9" s="2" t="n">
        <v>31</v>
      </c>
      <c r="AC9" s="2"/>
    </row>
    <row r="10" customFormat="false" ht="15" hidden="false" customHeight="false" outlineLevel="0" collapsed="false">
      <c r="A10" s="2" t="n">
        <v>6</v>
      </c>
      <c r="B10" s="2" t="s">
        <v>129</v>
      </c>
      <c r="C10" s="2" t="s">
        <v>135</v>
      </c>
      <c r="D10" s="2" t="s">
        <v>1168</v>
      </c>
      <c r="E10" s="2" t="s">
        <v>1129</v>
      </c>
      <c r="F10" s="2" t="s">
        <v>1169</v>
      </c>
      <c r="G10" s="2" t="s">
        <v>1170</v>
      </c>
      <c r="H10" s="2" t="s">
        <v>1171</v>
      </c>
      <c r="I10" s="2" t="s">
        <v>1133</v>
      </c>
      <c r="J10" s="2" t="s">
        <v>1172</v>
      </c>
      <c r="K10" s="2" t="n">
        <v>11</v>
      </c>
      <c r="L10" s="2" t="n">
        <v>6977</v>
      </c>
      <c r="M10" s="2" t="n">
        <v>0</v>
      </c>
      <c r="N10" s="2" t="n">
        <v>0</v>
      </c>
      <c r="O10" s="2" t="n">
        <v>6977</v>
      </c>
      <c r="P10" s="2" t="n">
        <v>0</v>
      </c>
      <c r="Q10" s="2" t="n">
        <v>0</v>
      </c>
      <c r="R10" s="2" t="n">
        <v>0</v>
      </c>
      <c r="S10" s="2" t="n">
        <v>37</v>
      </c>
      <c r="T10" s="2" t="n">
        <v>30</v>
      </c>
      <c r="U10" s="2" t="n">
        <v>5</v>
      </c>
      <c r="V10" s="2" t="n">
        <v>0</v>
      </c>
      <c r="W10" s="2" t="n">
        <v>2</v>
      </c>
      <c r="X10" s="2" t="n">
        <v>0</v>
      </c>
      <c r="Y10" s="2" t="n">
        <v>16</v>
      </c>
      <c r="Z10" s="2" t="n">
        <v>3</v>
      </c>
      <c r="AA10" s="2" t="n">
        <v>0</v>
      </c>
      <c r="AB10" s="2" t="n">
        <v>18</v>
      </c>
      <c r="AC10" s="2" t="s">
        <v>1135</v>
      </c>
    </row>
    <row r="11" customFormat="false" ht="15" hidden="false" customHeight="false" outlineLevel="0" collapsed="false">
      <c r="A11" s="2" t="n">
        <v>9</v>
      </c>
      <c r="B11" s="2" t="s">
        <v>162</v>
      </c>
      <c r="C11" s="2" t="s">
        <v>169</v>
      </c>
      <c r="D11" s="2" t="s">
        <v>1173</v>
      </c>
      <c r="E11" s="2" t="s">
        <v>1137</v>
      </c>
      <c r="F11" s="2" t="s">
        <v>1138</v>
      </c>
      <c r="G11" s="2" t="s">
        <v>1174</v>
      </c>
      <c r="H11" s="2" t="s">
        <v>1175</v>
      </c>
      <c r="I11" s="2" t="s">
        <v>1133</v>
      </c>
      <c r="J11" s="2" t="s">
        <v>1176</v>
      </c>
      <c r="K11" s="2" t="n">
        <v>7</v>
      </c>
      <c r="L11" s="2" t="n">
        <v>3621</v>
      </c>
      <c r="M11" s="2" t="n">
        <v>1857</v>
      </c>
      <c r="N11" s="2" t="n">
        <v>1657</v>
      </c>
      <c r="O11" s="2" t="n">
        <v>1396</v>
      </c>
      <c r="P11" s="2" t="n">
        <v>368</v>
      </c>
      <c r="Q11" s="2" t="n">
        <v>0</v>
      </c>
      <c r="R11" s="2" t="n">
        <v>0</v>
      </c>
      <c r="S11" s="2" t="n">
        <v>31</v>
      </c>
      <c r="T11" s="2" t="n">
        <v>28</v>
      </c>
      <c r="U11" s="2" t="n">
        <v>3</v>
      </c>
      <c r="V11" s="2" t="n">
        <v>0</v>
      </c>
      <c r="W11" s="2" t="n">
        <v>0</v>
      </c>
      <c r="X11" s="2" t="n">
        <v>0</v>
      </c>
      <c r="Y11" s="2" t="n">
        <v>20</v>
      </c>
      <c r="Z11" s="2" t="n">
        <v>3</v>
      </c>
      <c r="AA11" s="2" t="n">
        <v>4</v>
      </c>
      <c r="AB11" s="2" t="n">
        <v>4</v>
      </c>
      <c r="AC11" s="2"/>
    </row>
    <row r="12" customFormat="false" ht="15" hidden="false" customHeight="false" outlineLevel="0" collapsed="false">
      <c r="A12" s="2" t="n">
        <v>10</v>
      </c>
      <c r="B12" s="2" t="s">
        <v>175</v>
      </c>
      <c r="C12" s="2" t="s">
        <v>180</v>
      </c>
      <c r="D12" s="2" t="s">
        <v>1177</v>
      </c>
      <c r="E12" s="2" t="s">
        <v>1154</v>
      </c>
      <c r="F12" s="2" t="s">
        <v>1178</v>
      </c>
      <c r="G12" s="2" t="s">
        <v>1179</v>
      </c>
      <c r="H12" s="2" t="s">
        <v>1180</v>
      </c>
      <c r="I12" s="2" t="s">
        <v>1133</v>
      </c>
      <c r="J12" s="2" t="s">
        <v>1181</v>
      </c>
      <c r="K12" s="2" t="n">
        <v>2</v>
      </c>
      <c r="L12" s="2" t="n">
        <v>884</v>
      </c>
      <c r="M12" s="2" t="n">
        <v>554</v>
      </c>
      <c r="N12" s="2" t="n">
        <v>432</v>
      </c>
      <c r="O12" s="2" t="n">
        <v>30</v>
      </c>
      <c r="P12" s="2" t="n">
        <v>300</v>
      </c>
      <c r="Q12" s="2" t="n">
        <v>0</v>
      </c>
      <c r="R12" s="2" t="n">
        <v>0</v>
      </c>
      <c r="S12" s="2" t="n">
        <v>5</v>
      </c>
      <c r="T12" s="2" t="n">
        <v>1</v>
      </c>
      <c r="U12" s="2" t="n">
        <v>0</v>
      </c>
      <c r="V12" s="2" t="n">
        <v>0</v>
      </c>
      <c r="W12" s="2" t="n">
        <v>4</v>
      </c>
      <c r="X12" s="2" t="n">
        <v>0</v>
      </c>
      <c r="Y12" s="2" t="n">
        <v>0</v>
      </c>
      <c r="Z12" s="2" t="n">
        <v>0</v>
      </c>
      <c r="AA12" s="2" t="n">
        <v>0</v>
      </c>
      <c r="AB12" s="2" t="n">
        <v>5</v>
      </c>
      <c r="AC12" s="2"/>
    </row>
    <row r="13" customFormat="false" ht="15" hidden="false" customHeight="false" outlineLevel="0" collapsed="false">
      <c r="A13" s="2" t="n">
        <v>10</v>
      </c>
      <c r="B13" s="2" t="s">
        <v>175</v>
      </c>
      <c r="C13" s="2" t="s">
        <v>180</v>
      </c>
      <c r="D13" s="2" t="s">
        <v>1182</v>
      </c>
      <c r="E13" s="2" t="s">
        <v>1154</v>
      </c>
      <c r="F13" s="2" t="s">
        <v>1178</v>
      </c>
      <c r="G13" s="2" t="s">
        <v>1183</v>
      </c>
      <c r="H13" s="2" t="s">
        <v>1184</v>
      </c>
      <c r="I13" s="2" t="s">
        <v>1133</v>
      </c>
      <c r="J13" s="2" t="s">
        <v>1185</v>
      </c>
      <c r="K13" s="2" t="n">
        <v>2</v>
      </c>
      <c r="L13" s="2" t="n">
        <v>1029</v>
      </c>
      <c r="M13" s="2" t="n">
        <v>769</v>
      </c>
      <c r="N13" s="2" t="n">
        <v>650</v>
      </c>
      <c r="O13" s="2" t="n">
        <v>260</v>
      </c>
      <c r="P13" s="2" t="n">
        <v>0</v>
      </c>
      <c r="Q13" s="2" t="n">
        <v>0</v>
      </c>
      <c r="R13" s="2" t="n">
        <v>0</v>
      </c>
      <c r="S13" s="2" t="n">
        <v>1</v>
      </c>
      <c r="T13" s="2" t="n">
        <v>1</v>
      </c>
      <c r="U13" s="2" t="n">
        <v>0</v>
      </c>
      <c r="V13" s="2" t="n">
        <v>0</v>
      </c>
      <c r="W13" s="2" t="n">
        <v>0</v>
      </c>
      <c r="X13" s="2" t="n">
        <v>0</v>
      </c>
      <c r="Y13" s="2" t="n">
        <v>0</v>
      </c>
      <c r="Z13" s="2" t="n">
        <v>1</v>
      </c>
      <c r="AA13" s="2" t="n">
        <v>0</v>
      </c>
      <c r="AB13" s="2" t="n">
        <v>0</v>
      </c>
      <c r="AC13" s="2"/>
    </row>
    <row r="14" customFormat="false" ht="15" hidden="false" customHeight="false" outlineLevel="0" collapsed="false">
      <c r="A14" s="2" t="n">
        <v>10</v>
      </c>
      <c r="B14" s="2" t="s">
        <v>175</v>
      </c>
      <c r="C14" s="2" t="s">
        <v>180</v>
      </c>
      <c r="D14" s="2" t="s">
        <v>1186</v>
      </c>
      <c r="E14" s="2" t="s">
        <v>1154</v>
      </c>
      <c r="F14" s="2" t="s">
        <v>1178</v>
      </c>
      <c r="G14" s="2" t="s">
        <v>1187</v>
      </c>
      <c r="H14" s="2" t="s">
        <v>1188</v>
      </c>
      <c r="I14" s="2" t="s">
        <v>1133</v>
      </c>
      <c r="J14" s="2" t="s">
        <v>1189</v>
      </c>
      <c r="K14" s="2" t="n">
        <v>9</v>
      </c>
      <c r="L14" s="2" t="n">
        <v>3584</v>
      </c>
      <c r="M14" s="2" t="n">
        <v>447</v>
      </c>
      <c r="N14" s="2" t="n">
        <v>340</v>
      </c>
      <c r="O14" s="2" t="n">
        <v>30</v>
      </c>
      <c r="P14" s="2" t="n">
        <v>3107</v>
      </c>
      <c r="Q14" s="2" t="n">
        <v>0</v>
      </c>
      <c r="R14" s="2" t="n">
        <v>0</v>
      </c>
      <c r="S14" s="2" t="n">
        <v>21</v>
      </c>
      <c r="T14" s="2" t="n">
        <v>17</v>
      </c>
      <c r="U14" s="2" t="n">
        <v>2</v>
      </c>
      <c r="V14" s="2" t="n">
        <v>2</v>
      </c>
      <c r="W14" s="2" t="n">
        <v>0</v>
      </c>
      <c r="X14" s="2" t="n">
        <v>0</v>
      </c>
      <c r="Y14" s="2" t="n">
        <v>0</v>
      </c>
      <c r="Z14" s="2" t="n">
        <v>7</v>
      </c>
      <c r="AA14" s="2" t="n">
        <v>0</v>
      </c>
      <c r="AB14" s="2" t="n">
        <v>14</v>
      </c>
      <c r="AC14" s="2"/>
    </row>
    <row r="15" customFormat="false" ht="15" hidden="false" customHeight="false" outlineLevel="0" collapsed="false">
      <c r="A15" s="2" t="n">
        <v>10</v>
      </c>
      <c r="B15" s="2" t="s">
        <v>175</v>
      </c>
      <c r="C15" s="2" t="s">
        <v>180</v>
      </c>
      <c r="D15" s="2" t="s">
        <v>1190</v>
      </c>
      <c r="E15" s="2" t="s">
        <v>1154</v>
      </c>
      <c r="F15" s="2" t="s">
        <v>1178</v>
      </c>
      <c r="G15" s="2" t="s">
        <v>1191</v>
      </c>
      <c r="H15" s="2" t="s">
        <v>1192</v>
      </c>
      <c r="I15" s="2" t="s">
        <v>1133</v>
      </c>
      <c r="J15" s="2" t="s">
        <v>1193</v>
      </c>
      <c r="K15" s="2" t="n">
        <v>5</v>
      </c>
      <c r="L15" s="2" t="n">
        <v>2744</v>
      </c>
      <c r="M15" s="2" t="n">
        <v>1290</v>
      </c>
      <c r="N15" s="2" t="n">
        <v>1171</v>
      </c>
      <c r="O15" s="2" t="n">
        <v>266</v>
      </c>
      <c r="P15" s="2" t="n">
        <v>1188</v>
      </c>
      <c r="Q15" s="2" t="n">
        <v>0</v>
      </c>
      <c r="R15" s="2" t="n">
        <v>0</v>
      </c>
      <c r="S15" s="2" t="n">
        <v>10</v>
      </c>
      <c r="T15" s="2" t="n">
        <v>9</v>
      </c>
      <c r="U15" s="2" t="n">
        <v>0</v>
      </c>
      <c r="V15" s="2" t="n">
        <v>0</v>
      </c>
      <c r="W15" s="2" t="n">
        <v>0</v>
      </c>
      <c r="X15" s="2" t="n">
        <v>1</v>
      </c>
      <c r="Y15" s="2" t="n">
        <v>0</v>
      </c>
      <c r="Z15" s="2" t="n">
        <v>5</v>
      </c>
      <c r="AA15" s="2" t="n">
        <v>0</v>
      </c>
      <c r="AB15" s="2" t="n">
        <v>5</v>
      </c>
      <c r="AC15" s="2"/>
    </row>
    <row r="16" customFormat="false" ht="15" hidden="false" customHeight="false" outlineLevel="0" collapsed="false">
      <c r="A16" s="2" t="n">
        <v>10</v>
      </c>
      <c r="B16" s="2" t="s">
        <v>175</v>
      </c>
      <c r="C16" s="2" t="s">
        <v>180</v>
      </c>
      <c r="D16" s="2" t="s">
        <v>1194</v>
      </c>
      <c r="E16" s="2" t="s">
        <v>1154</v>
      </c>
      <c r="F16" s="2" t="s">
        <v>1178</v>
      </c>
      <c r="G16" s="2" t="s">
        <v>1195</v>
      </c>
      <c r="H16" s="2" t="s">
        <v>1196</v>
      </c>
      <c r="I16" s="2" t="s">
        <v>1133</v>
      </c>
      <c r="J16" s="2" t="s">
        <v>1197</v>
      </c>
      <c r="K16" s="2" t="n">
        <v>4</v>
      </c>
      <c r="L16" s="2" t="n">
        <v>1423</v>
      </c>
      <c r="M16" s="2" t="n">
        <v>515</v>
      </c>
      <c r="N16" s="2" t="n">
        <v>403</v>
      </c>
      <c r="O16" s="2" t="n">
        <v>194</v>
      </c>
      <c r="P16" s="2" t="n">
        <v>714</v>
      </c>
      <c r="Q16" s="2" t="n">
        <v>0</v>
      </c>
      <c r="R16" s="2" t="n">
        <v>0</v>
      </c>
      <c r="S16" s="2" t="n">
        <v>11</v>
      </c>
      <c r="T16" s="2" t="n">
        <v>9</v>
      </c>
      <c r="U16" s="2" t="n">
        <v>2</v>
      </c>
      <c r="V16" s="2" t="n">
        <v>0</v>
      </c>
      <c r="W16" s="2" t="n">
        <v>0</v>
      </c>
      <c r="X16" s="2" t="n">
        <v>0</v>
      </c>
      <c r="Y16" s="2" t="n">
        <v>0</v>
      </c>
      <c r="Z16" s="2" t="n">
        <v>2</v>
      </c>
      <c r="AA16" s="2" t="n">
        <v>1</v>
      </c>
      <c r="AB16" s="2" t="n">
        <v>8</v>
      </c>
      <c r="AC16" s="2"/>
    </row>
    <row r="17" customFormat="false" ht="15" hidden="false" customHeight="false" outlineLevel="0" collapsed="false">
      <c r="A17" s="2" t="n">
        <v>10</v>
      </c>
      <c r="B17" s="2" t="s">
        <v>175</v>
      </c>
      <c r="C17" s="2" t="s">
        <v>180</v>
      </c>
      <c r="D17" s="2" t="s">
        <v>1198</v>
      </c>
      <c r="E17" s="2" t="s">
        <v>1154</v>
      </c>
      <c r="F17" s="2" t="s">
        <v>1178</v>
      </c>
      <c r="G17" s="2" t="s">
        <v>1199</v>
      </c>
      <c r="H17" s="2" t="s">
        <v>1200</v>
      </c>
      <c r="I17" s="2" t="s">
        <v>1133</v>
      </c>
      <c r="J17" s="2" t="s">
        <v>1201</v>
      </c>
      <c r="K17" s="2" t="n">
        <v>20</v>
      </c>
      <c r="L17" s="2" t="n">
        <v>6998</v>
      </c>
      <c r="M17" s="2" t="n">
        <v>1139</v>
      </c>
      <c r="N17" s="2" t="n">
        <v>1026</v>
      </c>
      <c r="O17" s="2" t="n">
        <v>279</v>
      </c>
      <c r="P17" s="2" t="n">
        <v>5580</v>
      </c>
      <c r="Q17" s="2" t="n">
        <v>0</v>
      </c>
      <c r="R17" s="2" t="n">
        <v>0</v>
      </c>
      <c r="S17" s="2" t="n">
        <v>42</v>
      </c>
      <c r="T17" s="2" t="n">
        <v>38</v>
      </c>
      <c r="U17" s="2" t="n">
        <v>2</v>
      </c>
      <c r="V17" s="2" t="n">
        <v>2</v>
      </c>
      <c r="W17" s="2" t="n">
        <v>0</v>
      </c>
      <c r="X17" s="2" t="n">
        <v>0</v>
      </c>
      <c r="Y17" s="2" t="n">
        <v>0</v>
      </c>
      <c r="Z17" s="2" t="n">
        <v>8</v>
      </c>
      <c r="AA17" s="2" t="n">
        <v>0</v>
      </c>
      <c r="AB17" s="2" t="n">
        <v>34</v>
      </c>
      <c r="AC17" s="2"/>
    </row>
    <row r="18" customFormat="false" ht="15" hidden="false" customHeight="false" outlineLevel="0" collapsed="false">
      <c r="A18" s="2" t="n">
        <v>10</v>
      </c>
      <c r="B18" s="2" t="s">
        <v>175</v>
      </c>
      <c r="C18" s="2" t="s">
        <v>180</v>
      </c>
      <c r="D18" s="2" t="s">
        <v>1202</v>
      </c>
      <c r="E18" s="2" t="s">
        <v>1154</v>
      </c>
      <c r="F18" s="2" t="s">
        <v>1178</v>
      </c>
      <c r="G18" s="2" t="s">
        <v>1203</v>
      </c>
      <c r="H18" s="2" t="s">
        <v>1204</v>
      </c>
      <c r="I18" s="2" t="s">
        <v>1133</v>
      </c>
      <c r="J18" s="2" t="s">
        <v>1205</v>
      </c>
      <c r="K18" s="2" t="n">
        <v>8</v>
      </c>
      <c r="L18" s="2" t="n">
        <v>3638</v>
      </c>
      <c r="M18" s="2" t="n">
        <v>1111</v>
      </c>
      <c r="N18" s="2" t="n">
        <v>991</v>
      </c>
      <c r="O18" s="2" t="n">
        <v>320</v>
      </c>
      <c r="P18" s="2" t="n">
        <v>2207</v>
      </c>
      <c r="Q18" s="2" t="n">
        <v>0</v>
      </c>
      <c r="R18" s="2" t="n">
        <v>0</v>
      </c>
      <c r="S18" s="2" t="n">
        <v>13</v>
      </c>
      <c r="T18" s="2" t="n">
        <v>11</v>
      </c>
      <c r="U18" s="2" t="n">
        <v>1</v>
      </c>
      <c r="V18" s="2" t="n">
        <v>0</v>
      </c>
      <c r="W18" s="2" t="n">
        <v>0</v>
      </c>
      <c r="X18" s="2" t="n">
        <v>1</v>
      </c>
      <c r="Y18" s="2" t="n">
        <v>1</v>
      </c>
      <c r="Z18" s="2" t="n">
        <v>5</v>
      </c>
      <c r="AA18" s="2" t="n">
        <v>0</v>
      </c>
      <c r="AB18" s="2" t="n">
        <v>7</v>
      </c>
      <c r="AC18" s="2"/>
    </row>
    <row r="19" customFormat="false" ht="15" hidden="false" customHeight="false" outlineLevel="0" collapsed="false">
      <c r="A19" s="2" t="n">
        <v>10</v>
      </c>
      <c r="B19" s="2" t="s">
        <v>175</v>
      </c>
      <c r="C19" s="2" t="s">
        <v>180</v>
      </c>
      <c r="D19" s="2" t="s">
        <v>1206</v>
      </c>
      <c r="E19" s="2" t="s">
        <v>1154</v>
      </c>
      <c r="F19" s="2" t="s">
        <v>1178</v>
      </c>
      <c r="G19" s="2" t="s">
        <v>1207</v>
      </c>
      <c r="H19" s="2" t="s">
        <v>1208</v>
      </c>
      <c r="I19" s="2" t="s">
        <v>1133</v>
      </c>
      <c r="J19" s="2" t="s">
        <v>1209</v>
      </c>
      <c r="K19" s="2" t="n">
        <v>6</v>
      </c>
      <c r="L19" s="2" t="n">
        <v>2497</v>
      </c>
      <c r="M19" s="2" t="n">
        <v>1716</v>
      </c>
      <c r="N19" s="2" t="n">
        <v>1605</v>
      </c>
      <c r="O19" s="2" t="n">
        <v>458</v>
      </c>
      <c r="P19" s="2" t="n">
        <v>323</v>
      </c>
      <c r="Q19" s="2" t="n">
        <v>0</v>
      </c>
      <c r="R19" s="2" t="n">
        <v>0</v>
      </c>
      <c r="S19" s="2" t="n">
        <v>8</v>
      </c>
      <c r="T19" s="2" t="n">
        <v>8</v>
      </c>
      <c r="U19" s="2" t="n">
        <v>0</v>
      </c>
      <c r="V19" s="2" t="n">
        <v>0</v>
      </c>
      <c r="W19" s="2" t="n">
        <v>0</v>
      </c>
      <c r="X19" s="2" t="n">
        <v>0</v>
      </c>
      <c r="Y19" s="2" t="n">
        <v>0</v>
      </c>
      <c r="Z19" s="2" t="n">
        <v>7</v>
      </c>
      <c r="AA19" s="2" t="n">
        <v>0</v>
      </c>
      <c r="AB19" s="2" t="n">
        <v>1</v>
      </c>
      <c r="AC19" s="2"/>
    </row>
    <row r="20" customFormat="false" ht="15" hidden="false" customHeight="false" outlineLevel="0" collapsed="false">
      <c r="A20" s="2" t="n">
        <v>10</v>
      </c>
      <c r="B20" s="2" t="s">
        <v>175</v>
      </c>
      <c r="C20" s="2" t="s">
        <v>180</v>
      </c>
      <c r="D20" s="2" t="s">
        <v>1210</v>
      </c>
      <c r="E20" s="2" t="s">
        <v>1154</v>
      </c>
      <c r="F20" s="2" t="s">
        <v>1178</v>
      </c>
      <c r="G20" s="2" t="s">
        <v>1211</v>
      </c>
      <c r="H20" s="2" t="s">
        <v>1212</v>
      </c>
      <c r="I20" s="2" t="s">
        <v>1133</v>
      </c>
      <c r="J20" s="2" t="s">
        <v>1213</v>
      </c>
      <c r="K20" s="2" t="n">
        <v>9</v>
      </c>
      <c r="L20" s="2" t="n">
        <v>3434</v>
      </c>
      <c r="M20" s="2" t="n">
        <v>835</v>
      </c>
      <c r="N20" s="2" t="n">
        <v>723</v>
      </c>
      <c r="O20" s="2" t="n">
        <v>385</v>
      </c>
      <c r="P20" s="2" t="n">
        <v>2214</v>
      </c>
      <c r="Q20" s="2" t="n">
        <v>0</v>
      </c>
      <c r="R20" s="2" t="n">
        <v>0</v>
      </c>
      <c r="S20" s="2" t="n">
        <v>19</v>
      </c>
      <c r="T20" s="2" t="n">
        <v>18</v>
      </c>
      <c r="U20" s="2" t="n">
        <v>0</v>
      </c>
      <c r="V20" s="2" t="n">
        <v>0</v>
      </c>
      <c r="W20" s="2" t="n">
        <v>1</v>
      </c>
      <c r="X20" s="2" t="n">
        <v>0</v>
      </c>
      <c r="Y20" s="2" t="n">
        <v>0</v>
      </c>
      <c r="Z20" s="2" t="n">
        <v>1</v>
      </c>
      <c r="AA20" s="2" t="n">
        <v>0</v>
      </c>
      <c r="AB20" s="2" t="n">
        <v>18</v>
      </c>
      <c r="AC20" s="2"/>
    </row>
    <row r="21" customFormat="false" ht="15" hidden="false" customHeight="false" outlineLevel="0" collapsed="false">
      <c r="A21" s="2" t="n">
        <v>10</v>
      </c>
      <c r="B21" s="2" t="s">
        <v>175</v>
      </c>
      <c r="C21" s="2" t="s">
        <v>180</v>
      </c>
      <c r="D21" s="2" t="s">
        <v>1214</v>
      </c>
      <c r="E21" s="2" t="s">
        <v>1154</v>
      </c>
      <c r="F21" s="2" t="s">
        <v>1178</v>
      </c>
      <c r="G21" s="2" t="s">
        <v>1215</v>
      </c>
      <c r="H21" s="2" t="s">
        <v>1216</v>
      </c>
      <c r="I21" s="2" t="s">
        <v>1133</v>
      </c>
      <c r="J21" s="2" t="s">
        <v>1217</v>
      </c>
      <c r="K21" s="2" t="n">
        <v>5</v>
      </c>
      <c r="L21" s="2" t="n">
        <v>2301</v>
      </c>
      <c r="M21" s="2" t="n">
        <v>1072</v>
      </c>
      <c r="N21" s="2" t="n">
        <v>958</v>
      </c>
      <c r="O21" s="2" t="n">
        <v>319</v>
      </c>
      <c r="P21" s="2" t="n">
        <v>910</v>
      </c>
      <c r="Q21" s="2" t="n">
        <v>0</v>
      </c>
      <c r="R21" s="2" t="n">
        <v>0</v>
      </c>
      <c r="S21" s="2" t="n">
        <v>11</v>
      </c>
      <c r="T21" s="2" t="n">
        <v>9</v>
      </c>
      <c r="U21" s="2" t="n">
        <v>1</v>
      </c>
      <c r="V21" s="2" t="n">
        <v>0</v>
      </c>
      <c r="W21" s="2" t="n">
        <v>0</v>
      </c>
      <c r="X21" s="2" t="n">
        <v>1</v>
      </c>
      <c r="Y21" s="2" t="n">
        <v>0</v>
      </c>
      <c r="Z21" s="2" t="n">
        <v>7</v>
      </c>
      <c r="AA21" s="2" t="n">
        <v>0</v>
      </c>
      <c r="AB21" s="2" t="n">
        <v>4</v>
      </c>
      <c r="AC21" s="2"/>
    </row>
    <row r="22" customFormat="false" ht="15" hidden="false" customHeight="false" outlineLevel="0" collapsed="false">
      <c r="A22" s="2" t="n">
        <v>10</v>
      </c>
      <c r="B22" s="2" t="s">
        <v>175</v>
      </c>
      <c r="C22" s="2" t="s">
        <v>180</v>
      </c>
      <c r="D22" s="2" t="s">
        <v>1218</v>
      </c>
      <c r="E22" s="2" t="s">
        <v>1154</v>
      </c>
      <c r="F22" s="2" t="s">
        <v>1178</v>
      </c>
      <c r="G22" s="2" t="s">
        <v>1219</v>
      </c>
      <c r="H22" s="2" t="s">
        <v>1220</v>
      </c>
      <c r="I22" s="2" t="s">
        <v>1133</v>
      </c>
      <c r="J22" s="2" t="s">
        <v>1221</v>
      </c>
      <c r="K22" s="2" t="n">
        <v>4</v>
      </c>
      <c r="L22" s="2" t="n">
        <v>1458</v>
      </c>
      <c r="M22" s="2" t="n">
        <v>1060</v>
      </c>
      <c r="N22" s="2" t="n">
        <v>941</v>
      </c>
      <c r="O22" s="2" t="n">
        <v>232</v>
      </c>
      <c r="P22" s="2" t="n">
        <v>166</v>
      </c>
      <c r="Q22" s="2" t="n">
        <v>0</v>
      </c>
      <c r="R22" s="2" t="n">
        <v>0</v>
      </c>
      <c r="S22" s="2" t="n">
        <v>2</v>
      </c>
      <c r="T22" s="2" t="n">
        <v>2</v>
      </c>
      <c r="U22" s="2" t="n">
        <v>0</v>
      </c>
      <c r="V22" s="2" t="n">
        <v>0</v>
      </c>
      <c r="W22" s="2" t="n">
        <v>0</v>
      </c>
      <c r="X22" s="2" t="n">
        <v>0</v>
      </c>
      <c r="Y22" s="2" t="n">
        <v>0</v>
      </c>
      <c r="Z22" s="2" t="n">
        <v>2</v>
      </c>
      <c r="AA22" s="2" t="n">
        <v>0</v>
      </c>
      <c r="AB22" s="2" t="n">
        <v>0</v>
      </c>
      <c r="AC22" s="2"/>
    </row>
    <row r="23" customFormat="false" ht="15" hidden="false" customHeight="false" outlineLevel="0" collapsed="false">
      <c r="A23" s="2" t="n">
        <v>10</v>
      </c>
      <c r="B23" s="2" t="s">
        <v>175</v>
      </c>
      <c r="C23" s="2" t="s">
        <v>180</v>
      </c>
      <c r="D23" s="2" t="s">
        <v>1222</v>
      </c>
      <c r="E23" s="2" t="s">
        <v>1154</v>
      </c>
      <c r="F23" s="2" t="s">
        <v>1178</v>
      </c>
      <c r="G23" s="2" t="s">
        <v>1223</v>
      </c>
      <c r="H23" s="2" t="s">
        <v>1224</v>
      </c>
      <c r="I23" s="2" t="s">
        <v>1133</v>
      </c>
      <c r="J23" s="2" t="s">
        <v>1225</v>
      </c>
      <c r="K23" s="2" t="n">
        <v>12</v>
      </c>
      <c r="L23" s="2" t="n">
        <v>5122</v>
      </c>
      <c r="M23" s="2" t="n">
        <v>1609</v>
      </c>
      <c r="N23" s="2" t="n">
        <v>1489</v>
      </c>
      <c r="O23" s="2" t="n">
        <v>521</v>
      </c>
      <c r="P23" s="2" t="n">
        <v>2992</v>
      </c>
      <c r="Q23" s="2" t="n">
        <v>0</v>
      </c>
      <c r="R23" s="2" t="n">
        <v>0</v>
      </c>
      <c r="S23" s="2" t="n">
        <v>26</v>
      </c>
      <c r="T23" s="2" t="n">
        <v>22</v>
      </c>
      <c r="U23" s="2" t="n">
        <v>0</v>
      </c>
      <c r="V23" s="2" t="n">
        <v>0</v>
      </c>
      <c r="W23" s="2" t="n">
        <v>3</v>
      </c>
      <c r="X23" s="2" t="n">
        <v>1</v>
      </c>
      <c r="Y23" s="2" t="n">
        <v>0</v>
      </c>
      <c r="Z23" s="2" t="n">
        <v>5</v>
      </c>
      <c r="AA23" s="2" t="n">
        <v>0</v>
      </c>
      <c r="AB23" s="2" t="n">
        <v>21</v>
      </c>
      <c r="AC23" s="2"/>
    </row>
    <row r="24" customFormat="false" ht="15" hidden="false" customHeight="false" outlineLevel="0" collapsed="false">
      <c r="A24" s="2" t="n">
        <v>10</v>
      </c>
      <c r="B24" s="2" t="s">
        <v>175</v>
      </c>
      <c r="C24" s="2" t="s">
        <v>180</v>
      </c>
      <c r="D24" s="2" t="s">
        <v>1226</v>
      </c>
      <c r="E24" s="2" t="s">
        <v>1154</v>
      </c>
      <c r="F24" s="2" t="s">
        <v>1178</v>
      </c>
      <c r="G24" s="2" t="s">
        <v>1227</v>
      </c>
      <c r="H24" s="2" t="s">
        <v>1228</v>
      </c>
      <c r="I24" s="2" t="s">
        <v>1133</v>
      </c>
      <c r="J24" s="2" t="s">
        <v>1229</v>
      </c>
      <c r="K24" s="2" t="n">
        <v>5</v>
      </c>
      <c r="L24" s="2" t="n">
        <v>1419</v>
      </c>
      <c r="M24" s="2" t="n">
        <v>458</v>
      </c>
      <c r="N24" s="2" t="n">
        <v>339</v>
      </c>
      <c r="O24" s="2" t="n">
        <v>42</v>
      </c>
      <c r="P24" s="2" t="n">
        <v>919</v>
      </c>
      <c r="Q24" s="2" t="n">
        <v>0</v>
      </c>
      <c r="R24" s="2" t="n">
        <v>0</v>
      </c>
      <c r="S24" s="2" t="n">
        <v>7</v>
      </c>
      <c r="T24" s="2" t="n">
        <v>5</v>
      </c>
      <c r="U24" s="2" t="n">
        <v>2</v>
      </c>
      <c r="V24" s="2" t="n">
        <v>0</v>
      </c>
      <c r="W24" s="2" t="n">
        <v>0</v>
      </c>
      <c r="X24" s="2" t="n">
        <v>0</v>
      </c>
      <c r="Y24" s="2" t="n">
        <v>0</v>
      </c>
      <c r="Z24" s="2" t="n">
        <v>0</v>
      </c>
      <c r="AA24" s="2" t="n">
        <v>0</v>
      </c>
      <c r="AB24" s="2" t="n">
        <v>7</v>
      </c>
      <c r="AC24" s="2"/>
    </row>
    <row r="25" customFormat="false" ht="15" hidden="false" customHeight="false" outlineLevel="0" collapsed="false">
      <c r="A25" s="2" t="n">
        <v>10</v>
      </c>
      <c r="B25" s="2" t="s">
        <v>175</v>
      </c>
      <c r="C25" s="2" t="s">
        <v>180</v>
      </c>
      <c r="D25" s="2" t="s">
        <v>1230</v>
      </c>
      <c r="E25" s="2" t="s">
        <v>1154</v>
      </c>
      <c r="F25" s="2" t="s">
        <v>1178</v>
      </c>
      <c r="G25" s="2" t="s">
        <v>1231</v>
      </c>
      <c r="H25" s="2" t="s">
        <v>1232</v>
      </c>
      <c r="I25" s="2" t="s">
        <v>1133</v>
      </c>
      <c r="J25" s="2" t="s">
        <v>1233</v>
      </c>
      <c r="K25" s="2" t="n">
        <v>6</v>
      </c>
      <c r="L25" s="2" t="n">
        <v>2304</v>
      </c>
      <c r="M25" s="2" t="n">
        <v>680</v>
      </c>
      <c r="N25" s="2" t="n">
        <v>562</v>
      </c>
      <c r="O25" s="2" t="n">
        <v>643</v>
      </c>
      <c r="P25" s="2" t="n">
        <v>981</v>
      </c>
      <c r="Q25" s="2" t="n">
        <v>0</v>
      </c>
      <c r="R25" s="2" t="n">
        <v>0</v>
      </c>
      <c r="S25" s="2" t="n">
        <v>26</v>
      </c>
      <c r="T25" s="2" t="n">
        <v>20</v>
      </c>
      <c r="U25" s="2" t="n">
        <v>5</v>
      </c>
      <c r="V25" s="2" t="n">
        <v>0</v>
      </c>
      <c r="W25" s="2" t="n">
        <v>0</v>
      </c>
      <c r="X25" s="2" t="n">
        <v>1</v>
      </c>
      <c r="Y25" s="2" t="n">
        <v>2</v>
      </c>
      <c r="Z25" s="2" t="n">
        <v>4</v>
      </c>
      <c r="AA25" s="2" t="n">
        <v>1</v>
      </c>
      <c r="AB25" s="2" t="n">
        <v>19</v>
      </c>
      <c r="AC25" s="2"/>
    </row>
    <row r="26" customFormat="false" ht="15" hidden="false" customHeight="false" outlineLevel="0" collapsed="false">
      <c r="A26" s="2" t="n">
        <v>10</v>
      </c>
      <c r="B26" s="2" t="s">
        <v>175</v>
      </c>
      <c r="C26" s="2" t="s">
        <v>180</v>
      </c>
      <c r="D26" s="2" t="s">
        <v>1234</v>
      </c>
      <c r="E26" s="2" t="s">
        <v>1154</v>
      </c>
      <c r="F26" s="2" t="s">
        <v>1178</v>
      </c>
      <c r="G26" s="2" t="s">
        <v>1235</v>
      </c>
      <c r="H26" s="2" t="s">
        <v>1236</v>
      </c>
      <c r="I26" s="2" t="s">
        <v>1133</v>
      </c>
      <c r="J26" s="2" t="s">
        <v>1237</v>
      </c>
      <c r="K26" s="2" t="n">
        <v>2</v>
      </c>
      <c r="L26" s="2" t="n">
        <v>753</v>
      </c>
      <c r="M26" s="2" t="n">
        <v>328</v>
      </c>
      <c r="N26" s="2" t="n">
        <v>212</v>
      </c>
      <c r="O26" s="2" t="n">
        <v>81</v>
      </c>
      <c r="P26" s="2" t="n">
        <v>344</v>
      </c>
      <c r="Q26" s="2" t="n">
        <v>0</v>
      </c>
      <c r="R26" s="2" t="n">
        <v>0</v>
      </c>
      <c r="S26" s="2" t="n">
        <v>4</v>
      </c>
      <c r="T26" s="2" t="n">
        <v>4</v>
      </c>
      <c r="U26" s="2" t="n">
        <v>0</v>
      </c>
      <c r="V26" s="2" t="n">
        <v>0</v>
      </c>
      <c r="W26" s="2" t="n">
        <v>0</v>
      </c>
      <c r="X26" s="2" t="n">
        <v>0</v>
      </c>
      <c r="Y26" s="2" t="n">
        <v>0</v>
      </c>
      <c r="Z26" s="2" t="n">
        <v>0</v>
      </c>
      <c r="AA26" s="2" t="n">
        <v>0</v>
      </c>
      <c r="AB26" s="2" t="n">
        <v>4</v>
      </c>
      <c r="AC26" s="2"/>
    </row>
    <row r="27" customFormat="false" ht="15" hidden="false" customHeight="false" outlineLevel="0" collapsed="false">
      <c r="A27" s="2" t="n">
        <v>10</v>
      </c>
      <c r="B27" s="2" t="s">
        <v>175</v>
      </c>
      <c r="C27" s="2" t="s">
        <v>180</v>
      </c>
      <c r="D27" s="2" t="s">
        <v>1238</v>
      </c>
      <c r="E27" s="2" t="s">
        <v>1154</v>
      </c>
      <c r="F27" s="2" t="s">
        <v>1178</v>
      </c>
      <c r="G27" s="2" t="s">
        <v>1239</v>
      </c>
      <c r="H27" s="2" t="s">
        <v>1240</v>
      </c>
      <c r="I27" s="2" t="s">
        <v>1133</v>
      </c>
      <c r="J27" s="2" t="s">
        <v>1241</v>
      </c>
      <c r="K27" s="2" t="n">
        <v>25</v>
      </c>
      <c r="L27" s="2" t="n">
        <v>7733</v>
      </c>
      <c r="M27" s="2" t="n">
        <v>1171</v>
      </c>
      <c r="N27" s="2" t="n">
        <v>1058</v>
      </c>
      <c r="O27" s="2" t="n">
        <v>66</v>
      </c>
      <c r="P27" s="2" t="n">
        <v>6496</v>
      </c>
      <c r="Q27" s="2" t="n">
        <v>0</v>
      </c>
      <c r="R27" s="2" t="n">
        <v>0</v>
      </c>
      <c r="S27" s="2" t="n">
        <v>52</v>
      </c>
      <c r="T27" s="2" t="n">
        <v>46</v>
      </c>
      <c r="U27" s="2" t="n">
        <v>3</v>
      </c>
      <c r="V27" s="2" t="n">
        <v>2</v>
      </c>
      <c r="W27" s="2" t="n">
        <v>1</v>
      </c>
      <c r="X27" s="2" t="n">
        <v>0</v>
      </c>
      <c r="Y27" s="2" t="n">
        <v>0</v>
      </c>
      <c r="Z27" s="2" t="n">
        <v>7</v>
      </c>
      <c r="AA27" s="2" t="n">
        <v>0</v>
      </c>
      <c r="AB27" s="2" t="n">
        <v>45</v>
      </c>
      <c r="AC27" s="2"/>
    </row>
    <row r="28" customFormat="false" ht="15" hidden="false" customHeight="false" outlineLevel="0" collapsed="false">
      <c r="A28" s="2" t="n">
        <v>10</v>
      </c>
      <c r="B28" s="2" t="s">
        <v>175</v>
      </c>
      <c r="C28" s="2" t="s">
        <v>180</v>
      </c>
      <c r="D28" s="2" t="s">
        <v>1242</v>
      </c>
      <c r="E28" s="2" t="s">
        <v>1154</v>
      </c>
      <c r="F28" s="2" t="s">
        <v>1178</v>
      </c>
      <c r="G28" s="2" t="s">
        <v>1243</v>
      </c>
      <c r="H28" s="2" t="s">
        <v>1244</v>
      </c>
      <c r="I28" s="2" t="s">
        <v>1133</v>
      </c>
      <c r="J28" s="2" t="s">
        <v>1245</v>
      </c>
      <c r="K28" s="2" t="n">
        <v>2</v>
      </c>
      <c r="L28" s="2" t="n">
        <v>488</v>
      </c>
      <c r="M28" s="2" t="n">
        <v>436</v>
      </c>
      <c r="N28" s="2" t="n">
        <v>317</v>
      </c>
      <c r="O28" s="2" t="n">
        <v>52</v>
      </c>
      <c r="P28" s="2" t="n">
        <v>0</v>
      </c>
      <c r="Q28" s="2" t="n">
        <v>0</v>
      </c>
      <c r="R28" s="2" t="n">
        <v>0</v>
      </c>
      <c r="S28" s="2" t="n">
        <v>1</v>
      </c>
      <c r="T28" s="2" t="n">
        <v>1</v>
      </c>
      <c r="U28" s="2" t="n">
        <v>0</v>
      </c>
      <c r="V28" s="2" t="n">
        <v>0</v>
      </c>
      <c r="W28" s="2" t="n">
        <v>0</v>
      </c>
      <c r="X28" s="2" t="n">
        <v>0</v>
      </c>
      <c r="Y28" s="2" t="n">
        <v>0</v>
      </c>
      <c r="Z28" s="2" t="n">
        <v>0</v>
      </c>
      <c r="AA28" s="2" t="n">
        <v>0</v>
      </c>
      <c r="AB28" s="2" t="n">
        <v>1</v>
      </c>
      <c r="AC28" s="2"/>
    </row>
    <row r="29" customFormat="false" ht="15" hidden="false" customHeight="false" outlineLevel="0" collapsed="false">
      <c r="A29" s="2" t="n">
        <v>10</v>
      </c>
      <c r="B29" s="2" t="s">
        <v>175</v>
      </c>
      <c r="C29" s="2" t="s">
        <v>180</v>
      </c>
      <c r="D29" s="2" t="s">
        <v>1246</v>
      </c>
      <c r="E29" s="2" t="s">
        <v>1154</v>
      </c>
      <c r="F29" s="2" t="s">
        <v>1178</v>
      </c>
      <c r="G29" s="2" t="s">
        <v>1247</v>
      </c>
      <c r="H29" s="2" t="s">
        <v>1248</v>
      </c>
      <c r="I29" s="2" t="s">
        <v>1133</v>
      </c>
      <c r="J29" s="2" t="s">
        <v>1249</v>
      </c>
      <c r="K29" s="2" t="n">
        <v>4</v>
      </c>
      <c r="L29" s="2" t="n">
        <v>1613</v>
      </c>
      <c r="M29" s="2" t="n">
        <v>988</v>
      </c>
      <c r="N29" s="2" t="n">
        <v>856</v>
      </c>
      <c r="O29" s="2" t="n">
        <v>149</v>
      </c>
      <c r="P29" s="2" t="n">
        <v>476</v>
      </c>
      <c r="Q29" s="2" t="n">
        <v>0</v>
      </c>
      <c r="R29" s="2" t="n">
        <v>0</v>
      </c>
      <c r="S29" s="2" t="n">
        <v>6</v>
      </c>
      <c r="T29" s="2" t="n">
        <v>2</v>
      </c>
      <c r="U29" s="2" t="n">
        <v>0</v>
      </c>
      <c r="V29" s="2" t="n">
        <v>0</v>
      </c>
      <c r="W29" s="2" t="n">
        <v>4</v>
      </c>
      <c r="X29" s="2" t="n">
        <v>0</v>
      </c>
      <c r="Y29" s="2" t="n">
        <v>0</v>
      </c>
      <c r="Z29" s="2" t="n">
        <v>0</v>
      </c>
      <c r="AA29" s="2" t="n">
        <v>0</v>
      </c>
      <c r="AB29" s="2" t="n">
        <v>6</v>
      </c>
      <c r="AC29" s="2"/>
    </row>
    <row r="30" customFormat="false" ht="15" hidden="false" customHeight="false" outlineLevel="0" collapsed="false">
      <c r="A30" s="2" t="n">
        <v>10</v>
      </c>
      <c r="B30" s="2" t="s">
        <v>175</v>
      </c>
      <c r="C30" s="2" t="s">
        <v>180</v>
      </c>
      <c r="D30" s="2" t="s">
        <v>1250</v>
      </c>
      <c r="E30" s="2" t="s">
        <v>1154</v>
      </c>
      <c r="F30" s="2" t="s">
        <v>1178</v>
      </c>
      <c r="G30" s="2" t="s">
        <v>511</v>
      </c>
      <c r="H30" s="2" t="s">
        <v>1251</v>
      </c>
      <c r="I30" s="2" t="s">
        <v>1133</v>
      </c>
      <c r="J30" s="2" t="s">
        <v>1252</v>
      </c>
      <c r="K30" s="2" t="n">
        <v>7</v>
      </c>
      <c r="L30" s="2" t="n">
        <v>3298</v>
      </c>
      <c r="M30" s="2" t="n">
        <v>1395</v>
      </c>
      <c r="N30" s="2" t="n">
        <v>1257</v>
      </c>
      <c r="O30" s="2" t="n">
        <v>580</v>
      </c>
      <c r="P30" s="2" t="n">
        <v>1323</v>
      </c>
      <c r="Q30" s="2" t="n">
        <v>0</v>
      </c>
      <c r="R30" s="2" t="n">
        <v>0</v>
      </c>
      <c r="S30" s="2" t="n">
        <v>8</v>
      </c>
      <c r="T30" s="2" t="n">
        <v>6</v>
      </c>
      <c r="U30" s="2" t="n">
        <v>0</v>
      </c>
      <c r="V30" s="2" t="n">
        <v>0</v>
      </c>
      <c r="W30" s="2" t="n">
        <v>0</v>
      </c>
      <c r="X30" s="2" t="n">
        <v>2</v>
      </c>
      <c r="Y30" s="2" t="n">
        <v>0</v>
      </c>
      <c r="Z30" s="2" t="n">
        <v>2</v>
      </c>
      <c r="AA30" s="2" t="n">
        <v>0</v>
      </c>
      <c r="AB30" s="2" t="n">
        <v>6</v>
      </c>
      <c r="AC30" s="2"/>
    </row>
    <row r="31" customFormat="false" ht="15" hidden="false" customHeight="false" outlineLevel="0" collapsed="false">
      <c r="A31" s="2" t="n">
        <v>10</v>
      </c>
      <c r="B31" s="2" t="s">
        <v>175</v>
      </c>
      <c r="C31" s="2" t="s">
        <v>180</v>
      </c>
      <c r="D31" s="2" t="s">
        <v>1253</v>
      </c>
      <c r="E31" s="2" t="s">
        <v>1154</v>
      </c>
      <c r="F31" s="2" t="s">
        <v>1178</v>
      </c>
      <c r="G31" s="2" t="s">
        <v>1254</v>
      </c>
      <c r="H31" s="2" t="s">
        <v>1255</v>
      </c>
      <c r="I31" s="2" t="s">
        <v>1133</v>
      </c>
      <c r="J31" s="2" t="s">
        <v>1256</v>
      </c>
      <c r="K31" s="2" t="n">
        <v>7</v>
      </c>
      <c r="L31" s="2" t="n">
        <v>3825</v>
      </c>
      <c r="M31" s="2" t="n">
        <v>1658</v>
      </c>
      <c r="N31" s="2" t="n">
        <v>1546</v>
      </c>
      <c r="O31" s="2" t="n">
        <v>550</v>
      </c>
      <c r="P31" s="2" t="n">
        <v>1617</v>
      </c>
      <c r="Q31" s="2" t="n">
        <v>0</v>
      </c>
      <c r="R31" s="2" t="n">
        <v>0</v>
      </c>
      <c r="S31" s="2" t="n">
        <v>24</v>
      </c>
      <c r="T31" s="2" t="n">
        <v>20</v>
      </c>
      <c r="U31" s="2" t="n">
        <v>2</v>
      </c>
      <c r="V31" s="2" t="n">
        <v>2</v>
      </c>
      <c r="W31" s="2" t="n">
        <v>0</v>
      </c>
      <c r="X31" s="2" t="n">
        <v>0</v>
      </c>
      <c r="Y31" s="2" t="n">
        <v>0</v>
      </c>
      <c r="Z31" s="2" t="n">
        <v>6</v>
      </c>
      <c r="AA31" s="2" t="n">
        <v>0</v>
      </c>
      <c r="AB31" s="2" t="n">
        <v>18</v>
      </c>
      <c r="AC31" s="2"/>
    </row>
    <row r="32" customFormat="false" ht="15" hidden="false" customHeight="false" outlineLevel="0" collapsed="false">
      <c r="A32" s="2" t="n">
        <v>10</v>
      </c>
      <c r="B32" s="2" t="s">
        <v>175</v>
      </c>
      <c r="C32" s="2" t="s">
        <v>180</v>
      </c>
      <c r="D32" s="2" t="s">
        <v>1257</v>
      </c>
      <c r="E32" s="2" t="s">
        <v>1154</v>
      </c>
      <c r="F32" s="2" t="s">
        <v>1178</v>
      </c>
      <c r="G32" s="2" t="s">
        <v>1258</v>
      </c>
      <c r="H32" s="2" t="s">
        <v>1259</v>
      </c>
      <c r="I32" s="2" t="s">
        <v>1133</v>
      </c>
      <c r="J32" s="2" t="s">
        <v>1260</v>
      </c>
      <c r="K32" s="2" t="n">
        <v>9</v>
      </c>
      <c r="L32" s="2" t="n">
        <v>3854</v>
      </c>
      <c r="M32" s="2" t="n">
        <v>1167</v>
      </c>
      <c r="N32" s="2" t="n">
        <v>1027</v>
      </c>
      <c r="O32" s="2" t="n">
        <v>125</v>
      </c>
      <c r="P32" s="2" t="n">
        <v>2562</v>
      </c>
      <c r="Q32" s="2" t="n">
        <v>0</v>
      </c>
      <c r="R32" s="2" t="n">
        <v>0</v>
      </c>
      <c r="S32" s="2" t="n">
        <v>11</v>
      </c>
      <c r="T32" s="2" t="n">
        <v>9</v>
      </c>
      <c r="U32" s="2" t="n">
        <v>0</v>
      </c>
      <c r="V32" s="2" t="n">
        <v>0</v>
      </c>
      <c r="W32" s="2" t="n">
        <v>2</v>
      </c>
      <c r="X32" s="2" t="n">
        <v>0</v>
      </c>
      <c r="Y32" s="2" t="n">
        <v>1</v>
      </c>
      <c r="Z32" s="2" t="n">
        <v>2</v>
      </c>
      <c r="AA32" s="2" t="n">
        <v>0</v>
      </c>
      <c r="AB32" s="2" t="n">
        <v>8</v>
      </c>
      <c r="AC32" s="2"/>
    </row>
    <row r="33" customFormat="false" ht="15" hidden="false" customHeight="false" outlineLevel="0" collapsed="false">
      <c r="A33" s="2" t="n">
        <v>10</v>
      </c>
      <c r="B33" s="2" t="s">
        <v>175</v>
      </c>
      <c r="C33" s="2" t="s">
        <v>180</v>
      </c>
      <c r="D33" s="2" t="s">
        <v>1261</v>
      </c>
      <c r="E33" s="2" t="s">
        <v>1154</v>
      </c>
      <c r="F33" s="2" t="s">
        <v>1178</v>
      </c>
      <c r="G33" s="2" t="s">
        <v>1262</v>
      </c>
      <c r="H33" s="2" t="s">
        <v>1263</v>
      </c>
      <c r="I33" s="2" t="s">
        <v>1133</v>
      </c>
      <c r="J33" s="2" t="s">
        <v>1264</v>
      </c>
      <c r="K33" s="2" t="n">
        <v>10</v>
      </c>
      <c r="L33" s="2" t="n">
        <v>4212</v>
      </c>
      <c r="M33" s="2" t="n">
        <v>2224</v>
      </c>
      <c r="N33" s="2" t="n">
        <v>2109</v>
      </c>
      <c r="O33" s="2" t="n">
        <v>518</v>
      </c>
      <c r="P33" s="2" t="n">
        <v>1470</v>
      </c>
      <c r="Q33" s="2" t="n">
        <v>0</v>
      </c>
      <c r="R33" s="2" t="n">
        <v>0</v>
      </c>
      <c r="S33" s="2" t="n">
        <v>17</v>
      </c>
      <c r="T33" s="2" t="n">
        <v>13</v>
      </c>
      <c r="U33" s="2" t="n">
        <v>0</v>
      </c>
      <c r="V33" s="2" t="n">
        <v>0</v>
      </c>
      <c r="W33" s="2" t="n">
        <v>1</v>
      </c>
      <c r="X33" s="2" t="n">
        <v>3</v>
      </c>
      <c r="Y33" s="2" t="n">
        <v>0</v>
      </c>
      <c r="Z33" s="2" t="n">
        <v>10</v>
      </c>
      <c r="AA33" s="2" t="n">
        <v>0</v>
      </c>
      <c r="AB33" s="2" t="n">
        <v>7</v>
      </c>
      <c r="AC33" s="2"/>
    </row>
    <row r="34" customFormat="false" ht="15" hidden="false" customHeight="false" outlineLevel="0" collapsed="false">
      <c r="A34" s="2" t="n">
        <v>10</v>
      </c>
      <c r="B34" s="2" t="s">
        <v>175</v>
      </c>
      <c r="C34" s="2" t="s">
        <v>180</v>
      </c>
      <c r="D34" s="2" t="s">
        <v>1265</v>
      </c>
      <c r="E34" s="2" t="s">
        <v>1154</v>
      </c>
      <c r="F34" s="2" t="s">
        <v>1178</v>
      </c>
      <c r="G34" s="2" t="s">
        <v>1262</v>
      </c>
      <c r="H34" s="2" t="s">
        <v>1266</v>
      </c>
      <c r="I34" s="2" t="s">
        <v>1133</v>
      </c>
      <c r="J34" s="2" t="s">
        <v>1267</v>
      </c>
      <c r="K34" s="2" t="n">
        <v>11</v>
      </c>
      <c r="L34" s="2" t="n">
        <v>5215</v>
      </c>
      <c r="M34" s="2" t="n">
        <v>614</v>
      </c>
      <c r="N34" s="2" t="n">
        <v>503</v>
      </c>
      <c r="O34" s="2" t="n">
        <v>567</v>
      </c>
      <c r="P34" s="2" t="n">
        <v>4034</v>
      </c>
      <c r="Q34" s="2" t="n">
        <v>0</v>
      </c>
      <c r="R34" s="2" t="n">
        <v>0</v>
      </c>
      <c r="S34" s="2" t="n">
        <v>22</v>
      </c>
      <c r="T34" s="2" t="n">
        <v>19</v>
      </c>
      <c r="U34" s="2" t="n">
        <v>2</v>
      </c>
      <c r="V34" s="2" t="n">
        <v>0</v>
      </c>
      <c r="W34" s="2" t="n">
        <v>1</v>
      </c>
      <c r="X34" s="2" t="n">
        <v>0</v>
      </c>
      <c r="Y34" s="2" t="n">
        <v>0</v>
      </c>
      <c r="Z34" s="2" t="n">
        <v>2</v>
      </c>
      <c r="AA34" s="2" t="n">
        <v>0</v>
      </c>
      <c r="AB34" s="2" t="n">
        <v>20</v>
      </c>
      <c r="AC34" s="2"/>
    </row>
    <row r="35" customFormat="false" ht="15" hidden="false" customHeight="false" outlineLevel="0" collapsed="false">
      <c r="A35" s="2" t="n">
        <v>10</v>
      </c>
      <c r="B35" s="2" t="s">
        <v>175</v>
      </c>
      <c r="C35" s="2" t="s">
        <v>180</v>
      </c>
      <c r="D35" s="2" t="s">
        <v>1268</v>
      </c>
      <c r="E35" s="2" t="s">
        <v>1154</v>
      </c>
      <c r="F35" s="2" t="s">
        <v>1178</v>
      </c>
      <c r="G35" s="2" t="s">
        <v>1269</v>
      </c>
      <c r="H35" s="2" t="s">
        <v>1270</v>
      </c>
      <c r="I35" s="2" t="s">
        <v>1133</v>
      </c>
      <c r="J35" s="2" t="s">
        <v>1271</v>
      </c>
      <c r="K35" s="2" t="n">
        <v>20</v>
      </c>
      <c r="L35" s="2" t="n">
        <v>6956</v>
      </c>
      <c r="M35" s="2" t="n">
        <v>619</v>
      </c>
      <c r="N35" s="2" t="n">
        <v>509</v>
      </c>
      <c r="O35" s="2" t="n">
        <v>131</v>
      </c>
      <c r="P35" s="2" t="n">
        <v>6206</v>
      </c>
      <c r="Q35" s="2" t="n">
        <v>0</v>
      </c>
      <c r="R35" s="2" t="n">
        <v>0</v>
      </c>
      <c r="S35" s="2" t="n">
        <v>25</v>
      </c>
      <c r="T35" s="2" t="n">
        <v>18</v>
      </c>
      <c r="U35" s="2" t="n">
        <v>4</v>
      </c>
      <c r="V35" s="2" t="n">
        <v>2</v>
      </c>
      <c r="W35" s="2" t="n">
        <v>1</v>
      </c>
      <c r="X35" s="2" t="n">
        <v>0</v>
      </c>
      <c r="Y35" s="2" t="n">
        <v>0</v>
      </c>
      <c r="Z35" s="2" t="n">
        <v>6</v>
      </c>
      <c r="AA35" s="2" t="n">
        <v>0</v>
      </c>
      <c r="AB35" s="2" t="n">
        <v>19</v>
      </c>
      <c r="AC35" s="2"/>
    </row>
    <row r="36" customFormat="false" ht="15" hidden="false" customHeight="false" outlineLevel="0" collapsed="false">
      <c r="A36" s="2" t="n">
        <v>10</v>
      </c>
      <c r="B36" s="2" t="s">
        <v>175</v>
      </c>
      <c r="C36" s="2" t="s">
        <v>180</v>
      </c>
      <c r="D36" s="2" t="s">
        <v>1272</v>
      </c>
      <c r="E36" s="2" t="s">
        <v>1154</v>
      </c>
      <c r="F36" s="2" t="s">
        <v>1178</v>
      </c>
      <c r="G36" s="2" t="s">
        <v>1273</v>
      </c>
      <c r="H36" s="2" t="s">
        <v>1274</v>
      </c>
      <c r="I36" s="2" t="s">
        <v>1133</v>
      </c>
      <c r="J36" s="2" t="s">
        <v>1275</v>
      </c>
      <c r="K36" s="2" t="n">
        <v>4</v>
      </c>
      <c r="L36" s="2" t="n">
        <v>1503</v>
      </c>
      <c r="M36" s="2" t="n">
        <v>1059</v>
      </c>
      <c r="N36" s="2" t="n">
        <v>946</v>
      </c>
      <c r="O36" s="2" t="n">
        <v>120</v>
      </c>
      <c r="P36" s="2" t="n">
        <v>324</v>
      </c>
      <c r="Q36" s="2" t="n">
        <v>0</v>
      </c>
      <c r="R36" s="2" t="n">
        <v>0</v>
      </c>
      <c r="S36" s="2" t="n">
        <v>4</v>
      </c>
      <c r="T36" s="2" t="n">
        <v>3</v>
      </c>
      <c r="U36" s="2" t="n">
        <v>1</v>
      </c>
      <c r="V36" s="2" t="n">
        <v>0</v>
      </c>
      <c r="W36" s="2" t="n">
        <v>0</v>
      </c>
      <c r="X36" s="2" t="n">
        <v>0</v>
      </c>
      <c r="Y36" s="2" t="n">
        <v>0</v>
      </c>
      <c r="Z36" s="2" t="n">
        <v>4</v>
      </c>
      <c r="AA36" s="2" t="n">
        <v>0</v>
      </c>
      <c r="AB36" s="2" t="n">
        <v>0</v>
      </c>
      <c r="AC36" s="2"/>
    </row>
    <row r="37" customFormat="false" ht="15" hidden="false" customHeight="false" outlineLevel="0" collapsed="false">
      <c r="A37" s="2" t="n">
        <v>10</v>
      </c>
      <c r="B37" s="2" t="s">
        <v>175</v>
      </c>
      <c r="C37" s="2" t="s">
        <v>180</v>
      </c>
      <c r="D37" s="2" t="s">
        <v>1276</v>
      </c>
      <c r="E37" s="2" t="s">
        <v>1154</v>
      </c>
      <c r="F37" s="2" t="s">
        <v>1178</v>
      </c>
      <c r="G37" s="2" t="s">
        <v>1277</v>
      </c>
      <c r="H37" s="2" t="s">
        <v>1278</v>
      </c>
      <c r="I37" s="2" t="s">
        <v>1133</v>
      </c>
      <c r="J37" s="2" t="s">
        <v>1279</v>
      </c>
      <c r="K37" s="2" t="n">
        <v>7</v>
      </c>
      <c r="L37" s="2" t="n">
        <v>2726</v>
      </c>
      <c r="M37" s="2" t="n">
        <v>897</v>
      </c>
      <c r="N37" s="2" t="n">
        <v>779</v>
      </c>
      <c r="O37" s="2" t="n">
        <v>189</v>
      </c>
      <c r="P37" s="2" t="n">
        <v>1640</v>
      </c>
      <c r="Q37" s="2" t="n">
        <v>0</v>
      </c>
      <c r="R37" s="2" t="n">
        <v>0</v>
      </c>
      <c r="S37" s="2" t="n">
        <v>7</v>
      </c>
      <c r="T37" s="2" t="n">
        <v>7</v>
      </c>
      <c r="U37" s="2" t="n">
        <v>0</v>
      </c>
      <c r="V37" s="2" t="n">
        <v>0</v>
      </c>
      <c r="W37" s="2" t="n">
        <v>0</v>
      </c>
      <c r="X37" s="2" t="n">
        <v>0</v>
      </c>
      <c r="Y37" s="2" t="n">
        <v>0</v>
      </c>
      <c r="Z37" s="2" t="n">
        <v>1</v>
      </c>
      <c r="AA37" s="2" t="n">
        <v>0</v>
      </c>
      <c r="AB37" s="2" t="n">
        <v>6</v>
      </c>
      <c r="AC37" s="2"/>
    </row>
    <row r="38" customFormat="false" ht="15" hidden="false" customHeight="false" outlineLevel="0" collapsed="false">
      <c r="A38" s="2" t="n">
        <v>10</v>
      </c>
      <c r="B38" s="2" t="s">
        <v>175</v>
      </c>
      <c r="C38" s="2" t="s">
        <v>180</v>
      </c>
      <c r="D38" s="2" t="s">
        <v>1280</v>
      </c>
      <c r="E38" s="2" t="s">
        <v>1154</v>
      </c>
      <c r="F38" s="2" t="s">
        <v>1178</v>
      </c>
      <c r="G38" s="2" t="s">
        <v>1281</v>
      </c>
      <c r="H38" s="2" t="s">
        <v>1282</v>
      </c>
      <c r="I38" s="2" t="s">
        <v>1133</v>
      </c>
      <c r="J38" s="2" t="s">
        <v>1283</v>
      </c>
      <c r="K38" s="2" t="n">
        <v>9</v>
      </c>
      <c r="L38" s="2" t="n">
        <v>3674</v>
      </c>
      <c r="M38" s="2" t="n">
        <v>956</v>
      </c>
      <c r="N38" s="2" t="n">
        <v>842</v>
      </c>
      <c r="O38" s="2" t="n">
        <v>163</v>
      </c>
      <c r="P38" s="2" t="n">
        <v>2555</v>
      </c>
      <c r="Q38" s="2" t="n">
        <v>0</v>
      </c>
      <c r="R38" s="2" t="n">
        <v>0</v>
      </c>
      <c r="S38" s="2" t="n">
        <v>9</v>
      </c>
      <c r="T38" s="2" t="n">
        <v>6</v>
      </c>
      <c r="U38" s="2" t="n">
        <v>1</v>
      </c>
      <c r="V38" s="2" t="n">
        <v>0</v>
      </c>
      <c r="W38" s="2" t="n">
        <v>2</v>
      </c>
      <c r="X38" s="2" t="n">
        <v>0</v>
      </c>
      <c r="Y38" s="2" t="n">
        <v>0</v>
      </c>
      <c r="Z38" s="2" t="n">
        <v>3</v>
      </c>
      <c r="AA38" s="2" t="n">
        <v>0</v>
      </c>
      <c r="AB38" s="2" t="n">
        <v>6</v>
      </c>
      <c r="AC38" s="2"/>
    </row>
    <row r="39" customFormat="false" ht="15" hidden="false" customHeight="false" outlineLevel="0" collapsed="false">
      <c r="A39" s="2" t="n">
        <v>10</v>
      </c>
      <c r="B39" s="2" t="s">
        <v>175</v>
      </c>
      <c r="C39" s="2" t="s">
        <v>180</v>
      </c>
      <c r="D39" s="2" t="s">
        <v>1284</v>
      </c>
      <c r="E39" s="2" t="s">
        <v>1154</v>
      </c>
      <c r="F39" s="2" t="s">
        <v>1178</v>
      </c>
      <c r="G39" s="2" t="s">
        <v>1285</v>
      </c>
      <c r="H39" s="2" t="s">
        <v>1286</v>
      </c>
      <c r="I39" s="2" t="s">
        <v>1133</v>
      </c>
      <c r="J39" s="2" t="s">
        <v>1287</v>
      </c>
      <c r="K39" s="2" t="n">
        <v>5</v>
      </c>
      <c r="L39" s="2" t="n">
        <v>2119</v>
      </c>
      <c r="M39" s="2" t="n">
        <v>1344</v>
      </c>
      <c r="N39" s="2" t="n">
        <v>1224</v>
      </c>
      <c r="O39" s="2" t="n">
        <v>459</v>
      </c>
      <c r="P39" s="2" t="n">
        <v>316</v>
      </c>
      <c r="Q39" s="2" t="n">
        <v>0</v>
      </c>
      <c r="R39" s="2" t="n">
        <v>0</v>
      </c>
      <c r="S39" s="2" t="n">
        <v>13</v>
      </c>
      <c r="T39" s="2" t="n">
        <v>13</v>
      </c>
      <c r="U39" s="2" t="n">
        <v>0</v>
      </c>
      <c r="V39" s="2" t="n">
        <v>0</v>
      </c>
      <c r="W39" s="2" t="n">
        <v>0</v>
      </c>
      <c r="X39" s="2" t="n">
        <v>0</v>
      </c>
      <c r="Y39" s="2" t="n">
        <v>0</v>
      </c>
      <c r="Z39" s="2" t="n">
        <v>4</v>
      </c>
      <c r="AA39" s="2" t="n">
        <v>0</v>
      </c>
      <c r="AB39" s="2" t="n">
        <v>9</v>
      </c>
      <c r="AC39" s="2"/>
    </row>
    <row r="40" customFormat="false" ht="15" hidden="false" customHeight="false" outlineLevel="0" collapsed="false">
      <c r="A40" s="2" t="n">
        <v>10</v>
      </c>
      <c r="B40" s="2" t="s">
        <v>175</v>
      </c>
      <c r="C40" s="2" t="s">
        <v>180</v>
      </c>
      <c r="D40" s="2" t="s">
        <v>1288</v>
      </c>
      <c r="E40" s="2" t="s">
        <v>1154</v>
      </c>
      <c r="F40" s="2" t="s">
        <v>1178</v>
      </c>
      <c r="G40" s="2" t="s">
        <v>1289</v>
      </c>
      <c r="H40" s="2" t="s">
        <v>1290</v>
      </c>
      <c r="I40" s="2" t="s">
        <v>1133</v>
      </c>
      <c r="J40" s="2" t="s">
        <v>1291</v>
      </c>
      <c r="K40" s="2" t="n">
        <v>5</v>
      </c>
      <c r="L40" s="2" t="n">
        <v>2107</v>
      </c>
      <c r="M40" s="2" t="n">
        <v>1162</v>
      </c>
      <c r="N40" s="2" t="n">
        <v>1042</v>
      </c>
      <c r="O40" s="2" t="n">
        <v>304</v>
      </c>
      <c r="P40" s="2" t="n">
        <v>641</v>
      </c>
      <c r="Q40" s="2" t="n">
        <v>0</v>
      </c>
      <c r="R40" s="2" t="n">
        <v>0</v>
      </c>
      <c r="S40" s="2" t="n">
        <v>9</v>
      </c>
      <c r="T40" s="2" t="n">
        <v>7</v>
      </c>
      <c r="U40" s="2" t="n">
        <v>2</v>
      </c>
      <c r="V40" s="2" t="n">
        <v>0</v>
      </c>
      <c r="W40" s="2" t="n">
        <v>0</v>
      </c>
      <c r="X40" s="2" t="n">
        <v>0</v>
      </c>
      <c r="Y40" s="2" t="n">
        <v>0</v>
      </c>
      <c r="Z40" s="2" t="n">
        <v>3</v>
      </c>
      <c r="AA40" s="2" t="n">
        <v>1</v>
      </c>
      <c r="AB40" s="2" t="n">
        <v>5</v>
      </c>
      <c r="AC40" s="2"/>
    </row>
    <row r="41" customFormat="false" ht="15" hidden="false" customHeight="false" outlineLevel="0" collapsed="false">
      <c r="A41" s="2" t="n">
        <v>10</v>
      </c>
      <c r="B41" s="2" t="s">
        <v>175</v>
      </c>
      <c r="C41" s="2" t="s">
        <v>180</v>
      </c>
      <c r="D41" s="2" t="s">
        <v>1292</v>
      </c>
      <c r="E41" s="2" t="s">
        <v>1154</v>
      </c>
      <c r="F41" s="2" t="s">
        <v>1178</v>
      </c>
      <c r="G41" s="2" t="s">
        <v>1293</v>
      </c>
      <c r="H41" s="2" t="s">
        <v>1294</v>
      </c>
      <c r="I41" s="2" t="s">
        <v>1133</v>
      </c>
      <c r="J41" s="2" t="s">
        <v>1295</v>
      </c>
      <c r="K41" s="2" t="n">
        <v>9</v>
      </c>
      <c r="L41" s="2" t="n">
        <v>2973</v>
      </c>
      <c r="M41" s="2" t="n">
        <v>1019</v>
      </c>
      <c r="N41" s="2" t="n">
        <v>896</v>
      </c>
      <c r="O41" s="2" t="n">
        <v>347</v>
      </c>
      <c r="P41" s="2" t="n">
        <v>1607</v>
      </c>
      <c r="Q41" s="2" t="n">
        <v>0</v>
      </c>
      <c r="R41" s="2" t="n">
        <v>0</v>
      </c>
      <c r="S41" s="2" t="n">
        <v>26</v>
      </c>
      <c r="T41" s="2" t="n">
        <v>17</v>
      </c>
      <c r="U41" s="2" t="n">
        <v>2</v>
      </c>
      <c r="V41" s="2" t="n">
        <v>0</v>
      </c>
      <c r="W41" s="2" t="n">
        <v>6</v>
      </c>
      <c r="X41" s="2" t="n">
        <v>1</v>
      </c>
      <c r="Y41" s="2" t="n">
        <v>0</v>
      </c>
      <c r="Z41" s="2" t="n">
        <v>5</v>
      </c>
      <c r="AA41" s="2" t="n">
        <v>0</v>
      </c>
      <c r="AB41" s="2" t="n">
        <v>21</v>
      </c>
      <c r="AC41" s="2"/>
    </row>
    <row r="42" customFormat="false" ht="15" hidden="false" customHeight="false" outlineLevel="0" collapsed="false">
      <c r="A42" s="2" t="n">
        <v>10</v>
      </c>
      <c r="B42" s="2" t="s">
        <v>175</v>
      </c>
      <c r="C42" s="2" t="s">
        <v>180</v>
      </c>
      <c r="D42" s="2" t="s">
        <v>1296</v>
      </c>
      <c r="E42" s="2" t="s">
        <v>1154</v>
      </c>
      <c r="F42" s="2" t="s">
        <v>1178</v>
      </c>
      <c r="G42" s="2" t="s">
        <v>1297</v>
      </c>
      <c r="H42" s="2" t="s">
        <v>1298</v>
      </c>
      <c r="I42" s="2" t="s">
        <v>1133</v>
      </c>
      <c r="J42" s="2" t="s">
        <v>1299</v>
      </c>
      <c r="K42" s="2" t="n">
        <v>8</v>
      </c>
      <c r="L42" s="2" t="n">
        <v>2690</v>
      </c>
      <c r="M42" s="2" t="n">
        <v>917</v>
      </c>
      <c r="N42" s="2" t="n">
        <v>801</v>
      </c>
      <c r="O42" s="2" t="n">
        <v>148</v>
      </c>
      <c r="P42" s="2" t="n">
        <v>1625</v>
      </c>
      <c r="Q42" s="2" t="n">
        <v>0</v>
      </c>
      <c r="R42" s="2" t="n">
        <v>0</v>
      </c>
      <c r="S42" s="2" t="n">
        <v>22</v>
      </c>
      <c r="T42" s="2" t="n">
        <v>18</v>
      </c>
      <c r="U42" s="2" t="n">
        <v>2</v>
      </c>
      <c r="V42" s="2" t="n">
        <v>2</v>
      </c>
      <c r="W42" s="2" t="n">
        <v>0</v>
      </c>
      <c r="X42" s="2" t="n">
        <v>0</v>
      </c>
      <c r="Y42" s="2" t="n">
        <v>0</v>
      </c>
      <c r="Z42" s="2" t="n">
        <v>3</v>
      </c>
      <c r="AA42" s="2" t="n">
        <v>0</v>
      </c>
      <c r="AB42" s="2" t="n">
        <v>19</v>
      </c>
      <c r="AC42" s="2"/>
    </row>
    <row r="43" customFormat="false" ht="15" hidden="false" customHeight="false" outlineLevel="0" collapsed="false">
      <c r="A43" s="2" t="n">
        <v>10</v>
      </c>
      <c r="B43" s="2" t="s">
        <v>175</v>
      </c>
      <c r="C43" s="2" t="s">
        <v>180</v>
      </c>
      <c r="D43" s="2" t="s">
        <v>1300</v>
      </c>
      <c r="E43" s="2" t="s">
        <v>1154</v>
      </c>
      <c r="F43" s="2" t="s">
        <v>1178</v>
      </c>
      <c r="G43" s="2" t="s">
        <v>1297</v>
      </c>
      <c r="H43" s="2" t="s">
        <v>1301</v>
      </c>
      <c r="I43" s="2" t="s">
        <v>1133</v>
      </c>
      <c r="J43" s="2" t="s">
        <v>1302</v>
      </c>
      <c r="K43" s="2" t="n">
        <v>11</v>
      </c>
      <c r="L43" s="2" t="n">
        <v>5246</v>
      </c>
      <c r="M43" s="2" t="n">
        <v>2048</v>
      </c>
      <c r="N43" s="2" t="n">
        <v>1900</v>
      </c>
      <c r="O43" s="2" t="n">
        <v>384</v>
      </c>
      <c r="P43" s="2" t="n">
        <v>2814</v>
      </c>
      <c r="Q43" s="2" t="n">
        <v>0</v>
      </c>
      <c r="R43" s="2" t="n">
        <v>0</v>
      </c>
      <c r="S43" s="2" t="n">
        <v>25</v>
      </c>
      <c r="T43" s="2" t="n">
        <v>20</v>
      </c>
      <c r="U43" s="2" t="n">
        <v>3</v>
      </c>
      <c r="V43" s="2" t="n">
        <v>0</v>
      </c>
      <c r="W43" s="2" t="n">
        <v>1</v>
      </c>
      <c r="X43" s="2" t="n">
        <v>1</v>
      </c>
      <c r="Y43" s="2" t="n">
        <v>0</v>
      </c>
      <c r="Z43" s="2" t="n">
        <v>6</v>
      </c>
      <c r="AA43" s="2" t="n">
        <v>0</v>
      </c>
      <c r="AB43" s="2" t="n">
        <v>19</v>
      </c>
      <c r="AC43" s="2"/>
    </row>
    <row r="44" customFormat="false" ht="15" hidden="false" customHeight="false" outlineLevel="0" collapsed="false">
      <c r="A44" s="2" t="n">
        <v>10</v>
      </c>
      <c r="B44" s="2" t="s">
        <v>175</v>
      </c>
      <c r="C44" s="2" t="s">
        <v>180</v>
      </c>
      <c r="D44" s="2" t="s">
        <v>1303</v>
      </c>
      <c r="E44" s="2" t="s">
        <v>1154</v>
      </c>
      <c r="F44" s="2" t="s">
        <v>1178</v>
      </c>
      <c r="G44" s="2" t="s">
        <v>789</v>
      </c>
      <c r="H44" s="2" t="s">
        <v>1304</v>
      </c>
      <c r="I44" s="2" t="s">
        <v>1133</v>
      </c>
      <c r="J44" s="2" t="s">
        <v>1305</v>
      </c>
      <c r="K44" s="2" t="n">
        <v>7</v>
      </c>
      <c r="L44" s="2" t="n">
        <v>2834</v>
      </c>
      <c r="M44" s="2" t="n">
        <v>1103</v>
      </c>
      <c r="N44" s="2" t="n">
        <v>981</v>
      </c>
      <c r="O44" s="2" t="n">
        <v>340</v>
      </c>
      <c r="P44" s="2" t="n">
        <v>1391</v>
      </c>
      <c r="Q44" s="2" t="n">
        <v>0</v>
      </c>
      <c r="R44" s="2" t="n">
        <v>0</v>
      </c>
      <c r="S44" s="2" t="n">
        <v>21</v>
      </c>
      <c r="T44" s="2" t="n">
        <v>16</v>
      </c>
      <c r="U44" s="2" t="n">
        <v>3</v>
      </c>
      <c r="V44" s="2" t="n">
        <v>0</v>
      </c>
      <c r="W44" s="2" t="n">
        <v>0</v>
      </c>
      <c r="X44" s="2" t="n">
        <v>2</v>
      </c>
      <c r="Y44" s="2" t="n">
        <v>0</v>
      </c>
      <c r="Z44" s="2" t="n">
        <v>2</v>
      </c>
      <c r="AA44" s="2" t="n">
        <v>1</v>
      </c>
      <c r="AB44" s="2" t="n">
        <v>18</v>
      </c>
      <c r="AC44" s="2"/>
    </row>
    <row r="45" customFormat="false" ht="15" hidden="false" customHeight="false" outlineLevel="0" collapsed="false">
      <c r="A45" s="2" t="n">
        <v>10</v>
      </c>
      <c r="B45" s="2" t="s">
        <v>175</v>
      </c>
      <c r="C45" s="2" t="s">
        <v>180</v>
      </c>
      <c r="D45" s="2" t="s">
        <v>1306</v>
      </c>
      <c r="E45" s="2" t="s">
        <v>1154</v>
      </c>
      <c r="F45" s="2" t="s">
        <v>1178</v>
      </c>
      <c r="G45" s="2" t="s">
        <v>789</v>
      </c>
      <c r="H45" s="2" t="s">
        <v>1307</v>
      </c>
      <c r="I45" s="2" t="s">
        <v>1133</v>
      </c>
      <c r="J45" s="2" t="s">
        <v>1308</v>
      </c>
      <c r="K45" s="2" t="n">
        <v>23</v>
      </c>
      <c r="L45" s="2" t="n">
        <v>7175</v>
      </c>
      <c r="M45" s="2" t="n">
        <v>626</v>
      </c>
      <c r="N45" s="2" t="n">
        <v>515</v>
      </c>
      <c r="O45" s="2" t="n">
        <v>65</v>
      </c>
      <c r="P45" s="2" t="n">
        <v>6484</v>
      </c>
      <c r="Q45" s="2" t="n">
        <v>0</v>
      </c>
      <c r="R45" s="2" t="n">
        <v>0</v>
      </c>
      <c r="S45" s="2" t="n">
        <v>23</v>
      </c>
      <c r="T45" s="2" t="n">
        <v>16</v>
      </c>
      <c r="U45" s="2" t="n">
        <v>4</v>
      </c>
      <c r="V45" s="2" t="n">
        <v>2</v>
      </c>
      <c r="W45" s="2" t="n">
        <v>1</v>
      </c>
      <c r="X45" s="2" t="n">
        <v>0</v>
      </c>
      <c r="Y45" s="2" t="n">
        <v>0</v>
      </c>
      <c r="Z45" s="2" t="n">
        <v>5</v>
      </c>
      <c r="AA45" s="2" t="n">
        <v>0</v>
      </c>
      <c r="AB45" s="2" t="n">
        <v>18</v>
      </c>
      <c r="AC45" s="2"/>
    </row>
    <row r="46" customFormat="false" ht="15" hidden="false" customHeight="false" outlineLevel="0" collapsed="false">
      <c r="A46" s="2" t="n">
        <v>10</v>
      </c>
      <c r="B46" s="2" t="s">
        <v>175</v>
      </c>
      <c r="C46" s="2" t="s">
        <v>180</v>
      </c>
      <c r="D46" s="2" t="s">
        <v>1309</v>
      </c>
      <c r="E46" s="2" t="s">
        <v>1154</v>
      </c>
      <c r="F46" s="2" t="s">
        <v>1178</v>
      </c>
      <c r="G46" s="2" t="s">
        <v>1310</v>
      </c>
      <c r="H46" s="2" t="s">
        <v>1311</v>
      </c>
      <c r="I46" s="2" t="s">
        <v>1133</v>
      </c>
      <c r="J46" s="2" t="s">
        <v>1312</v>
      </c>
      <c r="K46" s="2" t="n">
        <v>5</v>
      </c>
      <c r="L46" s="2" t="n">
        <v>2156</v>
      </c>
      <c r="M46" s="2" t="n">
        <v>615</v>
      </c>
      <c r="N46" s="2" t="n">
        <v>485</v>
      </c>
      <c r="O46" s="2" t="n">
        <v>93</v>
      </c>
      <c r="P46" s="2" t="n">
        <v>1448</v>
      </c>
      <c r="Q46" s="2" t="n">
        <v>0</v>
      </c>
      <c r="R46" s="2" t="n">
        <v>0</v>
      </c>
      <c r="S46" s="2" t="n">
        <v>20</v>
      </c>
      <c r="T46" s="2" t="n">
        <v>15</v>
      </c>
      <c r="U46" s="2" t="n">
        <v>3</v>
      </c>
      <c r="V46" s="2" t="n">
        <v>0</v>
      </c>
      <c r="W46" s="2" t="n">
        <v>0</v>
      </c>
      <c r="X46" s="2" t="n">
        <v>2</v>
      </c>
      <c r="Y46" s="2" t="n">
        <v>0</v>
      </c>
      <c r="Z46" s="2" t="n">
        <v>1</v>
      </c>
      <c r="AA46" s="2" t="n">
        <v>1</v>
      </c>
      <c r="AB46" s="2" t="n">
        <v>18</v>
      </c>
      <c r="AC46" s="2"/>
    </row>
    <row r="47" customFormat="false" ht="15" hidden="false" customHeight="false" outlineLevel="0" collapsed="false">
      <c r="A47" s="2" t="n">
        <v>10</v>
      </c>
      <c r="B47" s="2" t="s">
        <v>175</v>
      </c>
      <c r="C47" s="2" t="s">
        <v>180</v>
      </c>
      <c r="D47" s="2" t="s">
        <v>1313</v>
      </c>
      <c r="E47" s="2" t="s">
        <v>1154</v>
      </c>
      <c r="F47" s="2" t="s">
        <v>1178</v>
      </c>
      <c r="G47" s="2" t="s">
        <v>1310</v>
      </c>
      <c r="H47" s="2" t="s">
        <v>1314</v>
      </c>
      <c r="I47" s="2" t="s">
        <v>1133</v>
      </c>
      <c r="J47" s="2" t="s">
        <v>1315</v>
      </c>
      <c r="K47" s="2" t="n">
        <v>5</v>
      </c>
      <c r="L47" s="2" t="n">
        <v>2034</v>
      </c>
      <c r="M47" s="2" t="n">
        <v>740</v>
      </c>
      <c r="N47" s="2" t="n">
        <v>623</v>
      </c>
      <c r="O47" s="2" t="n">
        <v>83</v>
      </c>
      <c r="P47" s="2" t="n">
        <v>1211</v>
      </c>
      <c r="Q47" s="2" t="n">
        <v>0</v>
      </c>
      <c r="R47" s="2" t="n">
        <v>0</v>
      </c>
      <c r="S47" s="2" t="n">
        <v>7</v>
      </c>
      <c r="T47" s="2" t="n">
        <v>7</v>
      </c>
      <c r="U47" s="2" t="n">
        <v>0</v>
      </c>
      <c r="V47" s="2" t="n">
        <v>0</v>
      </c>
      <c r="W47" s="2" t="n">
        <v>0</v>
      </c>
      <c r="X47" s="2" t="n">
        <v>0</v>
      </c>
      <c r="Y47" s="2" t="n">
        <v>0</v>
      </c>
      <c r="Z47" s="2" t="n">
        <v>1</v>
      </c>
      <c r="AA47" s="2" t="n">
        <v>0</v>
      </c>
      <c r="AB47" s="2" t="n">
        <v>6</v>
      </c>
      <c r="AC47" s="2"/>
    </row>
    <row r="48" customFormat="false" ht="15" hidden="false" customHeight="false" outlineLevel="0" collapsed="false">
      <c r="A48" s="2" t="n">
        <v>10</v>
      </c>
      <c r="B48" s="2" t="s">
        <v>175</v>
      </c>
      <c r="C48" s="2" t="s">
        <v>180</v>
      </c>
      <c r="D48" s="2" t="s">
        <v>1316</v>
      </c>
      <c r="E48" s="2" t="s">
        <v>1154</v>
      </c>
      <c r="F48" s="2" t="s">
        <v>1178</v>
      </c>
      <c r="G48" s="2" t="s">
        <v>1317</v>
      </c>
      <c r="H48" s="2" t="s">
        <v>1318</v>
      </c>
      <c r="I48" s="2" t="s">
        <v>1133</v>
      </c>
      <c r="J48" s="2" t="s">
        <v>1319</v>
      </c>
      <c r="K48" s="2" t="n">
        <v>9</v>
      </c>
      <c r="L48" s="2" t="n">
        <v>3130</v>
      </c>
      <c r="M48" s="2" t="n">
        <v>810</v>
      </c>
      <c r="N48" s="2" t="n">
        <v>695</v>
      </c>
      <c r="O48" s="2" t="n">
        <v>622</v>
      </c>
      <c r="P48" s="2" t="n">
        <v>1698</v>
      </c>
      <c r="Q48" s="2" t="n">
        <v>0</v>
      </c>
      <c r="R48" s="2" t="n">
        <v>0</v>
      </c>
      <c r="S48" s="2" t="n">
        <v>42</v>
      </c>
      <c r="T48" s="2" t="n">
        <v>33</v>
      </c>
      <c r="U48" s="2" t="n">
        <v>8</v>
      </c>
      <c r="V48" s="2" t="n">
        <v>0</v>
      </c>
      <c r="W48" s="2" t="n">
        <v>0</v>
      </c>
      <c r="X48" s="2" t="n">
        <v>1</v>
      </c>
      <c r="Y48" s="2" t="n">
        <v>3</v>
      </c>
      <c r="Z48" s="2" t="n">
        <v>9</v>
      </c>
      <c r="AA48" s="2" t="n">
        <v>2</v>
      </c>
      <c r="AB48" s="2" t="n">
        <v>28</v>
      </c>
      <c r="AC48" s="2"/>
    </row>
    <row r="49" customFormat="false" ht="15" hidden="false" customHeight="false" outlineLevel="0" collapsed="false">
      <c r="A49" s="2" t="n">
        <v>10</v>
      </c>
      <c r="B49" s="2" t="s">
        <v>175</v>
      </c>
      <c r="C49" s="2" t="s">
        <v>180</v>
      </c>
      <c r="D49" s="2" t="s">
        <v>1320</v>
      </c>
      <c r="E49" s="2" t="s">
        <v>1154</v>
      </c>
      <c r="F49" s="2" t="s">
        <v>1178</v>
      </c>
      <c r="G49" s="2" t="s">
        <v>1321</v>
      </c>
      <c r="H49" s="2" t="s">
        <v>1322</v>
      </c>
      <c r="I49" s="2" t="s">
        <v>1133</v>
      </c>
      <c r="J49" s="2" t="s">
        <v>1323</v>
      </c>
      <c r="K49" s="2" t="n">
        <v>11</v>
      </c>
      <c r="L49" s="2" t="n">
        <v>5682</v>
      </c>
      <c r="M49" s="2" t="n">
        <v>631</v>
      </c>
      <c r="N49" s="2" t="n">
        <v>519</v>
      </c>
      <c r="O49" s="2" t="n">
        <v>227</v>
      </c>
      <c r="P49" s="2" t="n">
        <v>4824</v>
      </c>
      <c r="Q49" s="2" t="n">
        <v>0</v>
      </c>
      <c r="R49" s="2" t="n">
        <v>0</v>
      </c>
      <c r="S49" s="2" t="n">
        <v>23</v>
      </c>
      <c r="T49" s="2" t="n">
        <v>20</v>
      </c>
      <c r="U49" s="2" t="n">
        <v>2</v>
      </c>
      <c r="V49" s="2" t="n">
        <v>0</v>
      </c>
      <c r="W49" s="2" t="n">
        <v>1</v>
      </c>
      <c r="X49" s="2" t="n">
        <v>0</v>
      </c>
      <c r="Y49" s="2" t="n">
        <v>0</v>
      </c>
      <c r="Z49" s="2" t="n">
        <v>1</v>
      </c>
      <c r="AA49" s="2" t="n">
        <v>0</v>
      </c>
      <c r="AB49" s="2" t="n">
        <v>22</v>
      </c>
      <c r="AC49" s="2"/>
    </row>
    <row r="50" customFormat="false" ht="15" hidden="false" customHeight="false" outlineLevel="0" collapsed="false">
      <c r="A50" s="2" t="n">
        <v>10</v>
      </c>
      <c r="B50" s="2" t="s">
        <v>175</v>
      </c>
      <c r="C50" s="2" t="s">
        <v>180</v>
      </c>
      <c r="D50" s="2" t="s">
        <v>1324</v>
      </c>
      <c r="E50" s="2" t="s">
        <v>1154</v>
      </c>
      <c r="F50" s="2" t="s">
        <v>1178</v>
      </c>
      <c r="G50" s="2" t="s">
        <v>842</v>
      </c>
      <c r="H50" s="2" t="s">
        <v>1325</v>
      </c>
      <c r="I50" s="2" t="s">
        <v>1133</v>
      </c>
      <c r="J50" s="2" t="s">
        <v>1326</v>
      </c>
      <c r="K50" s="2" t="n">
        <v>10</v>
      </c>
      <c r="L50" s="2" t="n">
        <v>4091</v>
      </c>
      <c r="M50" s="2" t="n">
        <v>2057</v>
      </c>
      <c r="N50" s="2" t="n">
        <v>1940</v>
      </c>
      <c r="O50" s="2" t="n">
        <v>460</v>
      </c>
      <c r="P50" s="2" t="n">
        <v>1574</v>
      </c>
      <c r="Q50" s="2" t="n">
        <v>0</v>
      </c>
      <c r="R50" s="2" t="n">
        <v>0</v>
      </c>
      <c r="S50" s="2" t="n">
        <v>16</v>
      </c>
      <c r="T50" s="2" t="n">
        <v>10</v>
      </c>
      <c r="U50" s="2" t="n">
        <v>0</v>
      </c>
      <c r="V50" s="2" t="n">
        <v>0</v>
      </c>
      <c r="W50" s="2" t="n">
        <v>2</v>
      </c>
      <c r="X50" s="2" t="n">
        <v>4</v>
      </c>
      <c r="Y50" s="2" t="n">
        <v>0</v>
      </c>
      <c r="Z50" s="2" t="n">
        <v>11</v>
      </c>
      <c r="AA50" s="2" t="n">
        <v>0</v>
      </c>
      <c r="AB50" s="2" t="n">
        <v>5</v>
      </c>
      <c r="AC50" s="2"/>
    </row>
    <row r="51" customFormat="false" ht="15" hidden="false" customHeight="false" outlineLevel="0" collapsed="false">
      <c r="A51" s="2" t="n">
        <v>10</v>
      </c>
      <c r="B51" s="2" t="s">
        <v>175</v>
      </c>
      <c r="C51" s="2" t="s">
        <v>180</v>
      </c>
      <c r="D51" s="2" t="s">
        <v>1327</v>
      </c>
      <c r="E51" s="2" t="s">
        <v>1154</v>
      </c>
      <c r="F51" s="2" t="s">
        <v>1178</v>
      </c>
      <c r="G51" s="2" t="s">
        <v>1328</v>
      </c>
      <c r="H51" s="2" t="s">
        <v>1329</v>
      </c>
      <c r="I51" s="2" t="s">
        <v>1133</v>
      </c>
      <c r="J51" s="2" t="s">
        <v>1330</v>
      </c>
      <c r="K51" s="2" t="n">
        <v>4</v>
      </c>
      <c r="L51" s="2" t="n">
        <v>1253</v>
      </c>
      <c r="M51" s="2" t="n">
        <v>511</v>
      </c>
      <c r="N51" s="2" t="n">
        <v>383</v>
      </c>
      <c r="O51" s="2" t="n">
        <v>86</v>
      </c>
      <c r="P51" s="2" t="n">
        <v>656</v>
      </c>
      <c r="Q51" s="2" t="n">
        <v>0</v>
      </c>
      <c r="R51" s="2" t="n">
        <v>0</v>
      </c>
      <c r="S51" s="2" t="n">
        <v>7</v>
      </c>
      <c r="T51" s="2" t="n">
        <v>6</v>
      </c>
      <c r="U51" s="2" t="n">
        <v>1</v>
      </c>
      <c r="V51" s="2" t="n">
        <v>0</v>
      </c>
      <c r="W51" s="2" t="n">
        <v>0</v>
      </c>
      <c r="X51" s="2" t="n">
        <v>0</v>
      </c>
      <c r="Y51" s="2" t="n">
        <v>0</v>
      </c>
      <c r="Z51" s="2" t="n">
        <v>0</v>
      </c>
      <c r="AA51" s="2" t="n">
        <v>1</v>
      </c>
      <c r="AB51" s="2" t="n">
        <v>6</v>
      </c>
      <c r="AC51" s="2"/>
    </row>
    <row r="52" customFormat="false" ht="15" hidden="false" customHeight="false" outlineLevel="0" collapsed="false">
      <c r="A52" s="2" t="n">
        <v>10</v>
      </c>
      <c r="B52" s="2" t="s">
        <v>175</v>
      </c>
      <c r="C52" s="2" t="s">
        <v>180</v>
      </c>
      <c r="D52" s="2" t="s">
        <v>1331</v>
      </c>
      <c r="E52" s="2" t="s">
        <v>1154</v>
      </c>
      <c r="F52" s="2" t="s">
        <v>1178</v>
      </c>
      <c r="G52" s="2" t="s">
        <v>1332</v>
      </c>
      <c r="H52" s="2" t="s">
        <v>1333</v>
      </c>
      <c r="I52" s="2" t="s">
        <v>1133</v>
      </c>
      <c r="J52" s="2" t="s">
        <v>1334</v>
      </c>
      <c r="K52" s="2" t="n">
        <v>24</v>
      </c>
      <c r="L52" s="2" t="n">
        <v>7718</v>
      </c>
      <c r="M52" s="2" t="n">
        <v>978</v>
      </c>
      <c r="N52" s="2" t="n">
        <v>840</v>
      </c>
      <c r="O52" s="2" t="n">
        <v>160</v>
      </c>
      <c r="P52" s="2" t="n">
        <v>6580</v>
      </c>
      <c r="Q52" s="2" t="n">
        <v>0</v>
      </c>
      <c r="R52" s="2" t="n">
        <v>0</v>
      </c>
      <c r="S52" s="2" t="n">
        <v>21</v>
      </c>
      <c r="T52" s="2" t="n">
        <v>13</v>
      </c>
      <c r="U52" s="2" t="n">
        <v>4</v>
      </c>
      <c r="V52" s="2" t="n">
        <v>2</v>
      </c>
      <c r="W52" s="2" t="n">
        <v>2</v>
      </c>
      <c r="X52" s="2" t="n">
        <v>0</v>
      </c>
      <c r="Y52" s="2" t="n">
        <v>0</v>
      </c>
      <c r="Z52" s="2" t="n">
        <v>5</v>
      </c>
      <c r="AA52" s="2" t="n">
        <v>0</v>
      </c>
      <c r="AB52" s="2" t="n">
        <v>16</v>
      </c>
      <c r="AC52" s="2"/>
    </row>
    <row r="53" customFormat="false" ht="15" hidden="false" customHeight="false" outlineLevel="0" collapsed="false">
      <c r="A53" s="2" t="n">
        <v>10</v>
      </c>
      <c r="B53" s="2" t="s">
        <v>175</v>
      </c>
      <c r="C53" s="2" t="s">
        <v>180</v>
      </c>
      <c r="D53" s="2" t="s">
        <v>1335</v>
      </c>
      <c r="E53" s="2" t="s">
        <v>1154</v>
      </c>
      <c r="F53" s="2" t="s">
        <v>1178</v>
      </c>
      <c r="G53" s="2" t="s">
        <v>1336</v>
      </c>
      <c r="H53" s="2" t="s">
        <v>1337</v>
      </c>
      <c r="I53" s="2" t="s">
        <v>1133</v>
      </c>
      <c r="J53" s="2" t="s">
        <v>1338</v>
      </c>
      <c r="K53" s="2" t="n">
        <v>5</v>
      </c>
      <c r="L53" s="2" t="n">
        <v>2027</v>
      </c>
      <c r="M53" s="2" t="n">
        <v>735</v>
      </c>
      <c r="N53" s="2" t="n">
        <v>621</v>
      </c>
      <c r="O53" s="2" t="n">
        <v>31</v>
      </c>
      <c r="P53" s="2" t="n">
        <v>1261</v>
      </c>
      <c r="Q53" s="2" t="n">
        <v>0</v>
      </c>
      <c r="R53" s="2" t="n">
        <v>0</v>
      </c>
      <c r="S53" s="2" t="n">
        <v>17</v>
      </c>
      <c r="T53" s="2" t="n">
        <v>17</v>
      </c>
      <c r="U53" s="2" t="n">
        <v>0</v>
      </c>
      <c r="V53" s="2" t="n">
        <v>0</v>
      </c>
      <c r="W53" s="2" t="n">
        <v>0</v>
      </c>
      <c r="X53" s="2" t="n">
        <v>0</v>
      </c>
      <c r="Y53" s="2" t="n">
        <v>0</v>
      </c>
      <c r="Z53" s="2" t="n">
        <v>0</v>
      </c>
      <c r="AA53" s="2" t="n">
        <v>0</v>
      </c>
      <c r="AB53" s="2" t="n">
        <v>17</v>
      </c>
      <c r="AC53" s="2"/>
    </row>
    <row r="54" customFormat="false" ht="15" hidden="false" customHeight="false" outlineLevel="0" collapsed="false">
      <c r="A54" s="2" t="n">
        <v>10</v>
      </c>
      <c r="B54" s="2" t="s">
        <v>175</v>
      </c>
      <c r="C54" s="2" t="s">
        <v>180</v>
      </c>
      <c r="D54" s="2" t="s">
        <v>1339</v>
      </c>
      <c r="E54" s="2" t="s">
        <v>1154</v>
      </c>
      <c r="F54" s="2" t="s">
        <v>1178</v>
      </c>
      <c r="G54" s="2" t="s">
        <v>1340</v>
      </c>
      <c r="H54" s="2" t="s">
        <v>1341</v>
      </c>
      <c r="I54" s="2" t="s">
        <v>1133</v>
      </c>
      <c r="J54" s="2" t="s">
        <v>1342</v>
      </c>
      <c r="K54" s="2" t="n">
        <v>4</v>
      </c>
      <c r="L54" s="2" t="n">
        <v>1443</v>
      </c>
      <c r="M54" s="2" t="n">
        <v>646</v>
      </c>
      <c r="N54" s="2" t="n">
        <v>511</v>
      </c>
      <c r="O54" s="2" t="n">
        <v>101</v>
      </c>
      <c r="P54" s="2" t="n">
        <v>696</v>
      </c>
      <c r="Q54" s="2" t="n">
        <v>0</v>
      </c>
      <c r="R54" s="2" t="n">
        <v>0</v>
      </c>
      <c r="S54" s="2" t="n">
        <v>7</v>
      </c>
      <c r="T54" s="2" t="n">
        <v>6</v>
      </c>
      <c r="U54" s="2" t="n">
        <v>1</v>
      </c>
      <c r="V54" s="2" t="n">
        <v>0</v>
      </c>
      <c r="W54" s="2" t="n">
        <v>0</v>
      </c>
      <c r="X54" s="2" t="n">
        <v>0</v>
      </c>
      <c r="Y54" s="2" t="n">
        <v>0</v>
      </c>
      <c r="Z54" s="2" t="n">
        <v>2</v>
      </c>
      <c r="AA54" s="2" t="n">
        <v>1</v>
      </c>
      <c r="AB54" s="2" t="n">
        <v>4</v>
      </c>
      <c r="AC54" s="2"/>
    </row>
    <row r="55" customFormat="false" ht="15" hidden="false" customHeight="false" outlineLevel="0" collapsed="false">
      <c r="A55" s="2" t="n">
        <v>10</v>
      </c>
      <c r="B55" s="2" t="s">
        <v>175</v>
      </c>
      <c r="C55" s="2" t="s">
        <v>180</v>
      </c>
      <c r="D55" s="2" t="s">
        <v>1343</v>
      </c>
      <c r="E55" s="2" t="s">
        <v>1154</v>
      </c>
      <c r="F55" s="2" t="s">
        <v>1178</v>
      </c>
      <c r="G55" s="2" t="s">
        <v>1344</v>
      </c>
      <c r="H55" s="2" t="s">
        <v>1345</v>
      </c>
      <c r="I55" s="2" t="s">
        <v>1133</v>
      </c>
      <c r="J55" s="2" t="s">
        <v>1346</v>
      </c>
      <c r="K55" s="2" t="n">
        <v>8</v>
      </c>
      <c r="L55" s="2" t="n">
        <v>3568</v>
      </c>
      <c r="M55" s="2" t="n">
        <v>1934</v>
      </c>
      <c r="N55" s="2" t="n">
        <v>1813</v>
      </c>
      <c r="O55" s="2" t="n">
        <v>363</v>
      </c>
      <c r="P55" s="2" t="n">
        <v>1271</v>
      </c>
      <c r="Q55" s="2" t="n">
        <v>0</v>
      </c>
      <c r="R55" s="2" t="n">
        <v>0</v>
      </c>
      <c r="S55" s="2" t="n">
        <v>13</v>
      </c>
      <c r="T55" s="2" t="n">
        <v>11</v>
      </c>
      <c r="U55" s="2" t="n">
        <v>0</v>
      </c>
      <c r="V55" s="2" t="n">
        <v>0</v>
      </c>
      <c r="W55" s="2" t="n">
        <v>1</v>
      </c>
      <c r="X55" s="2" t="n">
        <v>1</v>
      </c>
      <c r="Y55" s="2" t="n">
        <v>0</v>
      </c>
      <c r="Z55" s="2" t="n">
        <v>6</v>
      </c>
      <c r="AA55" s="2" t="n">
        <v>0</v>
      </c>
      <c r="AB55" s="2" t="n">
        <v>7</v>
      </c>
      <c r="AC55" s="2"/>
    </row>
    <row r="56" customFormat="false" ht="15" hidden="false" customHeight="false" outlineLevel="0" collapsed="false">
      <c r="A56" s="2" t="n">
        <v>10</v>
      </c>
      <c r="B56" s="2" t="s">
        <v>175</v>
      </c>
      <c r="C56" s="2" t="s">
        <v>180</v>
      </c>
      <c r="D56" s="2" t="s">
        <v>1347</v>
      </c>
      <c r="E56" s="2" t="s">
        <v>1154</v>
      </c>
      <c r="F56" s="2" t="s">
        <v>1178</v>
      </c>
      <c r="G56" s="2" t="s">
        <v>1348</v>
      </c>
      <c r="H56" s="2" t="s">
        <v>1349</v>
      </c>
      <c r="I56" s="2" t="s">
        <v>1133</v>
      </c>
      <c r="J56" s="2" t="s">
        <v>1350</v>
      </c>
      <c r="K56" s="2" t="n">
        <v>7</v>
      </c>
      <c r="L56" s="2" t="n">
        <v>2171</v>
      </c>
      <c r="M56" s="2" t="n">
        <v>538</v>
      </c>
      <c r="N56" s="2" t="n">
        <v>419</v>
      </c>
      <c r="O56" s="2" t="n">
        <v>31</v>
      </c>
      <c r="P56" s="2" t="n">
        <v>1602</v>
      </c>
      <c r="Q56" s="2" t="n">
        <v>0</v>
      </c>
      <c r="R56" s="2" t="n">
        <v>0</v>
      </c>
      <c r="S56" s="2" t="n">
        <v>21</v>
      </c>
      <c r="T56" s="2" t="n">
        <v>13</v>
      </c>
      <c r="U56" s="2" t="n">
        <v>2</v>
      </c>
      <c r="V56" s="2" t="n">
        <v>0</v>
      </c>
      <c r="W56" s="2" t="n">
        <v>6</v>
      </c>
      <c r="X56" s="2" t="n">
        <v>0</v>
      </c>
      <c r="Y56" s="2" t="n">
        <v>0</v>
      </c>
      <c r="Z56" s="2" t="n">
        <v>0</v>
      </c>
      <c r="AA56" s="2" t="n">
        <v>0</v>
      </c>
      <c r="AB56" s="2" t="n">
        <v>21</v>
      </c>
      <c r="AC56" s="2"/>
    </row>
    <row r="57" customFormat="false" ht="15" hidden="false" customHeight="false" outlineLevel="0" collapsed="false">
      <c r="A57" s="2" t="n">
        <v>10</v>
      </c>
      <c r="B57" s="2" t="s">
        <v>175</v>
      </c>
      <c r="C57" s="2" t="s">
        <v>180</v>
      </c>
      <c r="D57" s="2" t="s">
        <v>1351</v>
      </c>
      <c r="E57" s="2" t="s">
        <v>1154</v>
      </c>
      <c r="F57" s="2" t="s">
        <v>1178</v>
      </c>
      <c r="G57" s="2" t="s">
        <v>1352</v>
      </c>
      <c r="H57" s="2" t="s">
        <v>1353</v>
      </c>
      <c r="I57" s="2" t="s">
        <v>1133</v>
      </c>
      <c r="J57" s="2" t="s">
        <v>1354</v>
      </c>
      <c r="K57" s="2" t="n">
        <v>13</v>
      </c>
      <c r="L57" s="2" t="n">
        <v>6023</v>
      </c>
      <c r="M57" s="2" t="n">
        <v>781</v>
      </c>
      <c r="N57" s="2" t="n">
        <v>672</v>
      </c>
      <c r="O57" s="2" t="n">
        <v>235</v>
      </c>
      <c r="P57" s="2" t="n">
        <v>5007</v>
      </c>
      <c r="Q57" s="2" t="n">
        <v>0</v>
      </c>
      <c r="R57" s="2" t="n">
        <v>0</v>
      </c>
      <c r="S57" s="2" t="n">
        <v>87</v>
      </c>
      <c r="T57" s="2" t="n">
        <v>63</v>
      </c>
      <c r="U57" s="2" t="n">
        <v>15</v>
      </c>
      <c r="V57" s="2" t="n">
        <v>3</v>
      </c>
      <c r="W57" s="2" t="n">
        <v>0</v>
      </c>
      <c r="X57" s="2" t="n">
        <v>6</v>
      </c>
      <c r="Y57" s="2" t="n">
        <v>8</v>
      </c>
      <c r="Z57" s="2" t="n">
        <v>2</v>
      </c>
      <c r="AA57" s="2" t="n">
        <v>0</v>
      </c>
      <c r="AB57" s="2" t="n">
        <v>77</v>
      </c>
      <c r="AC57" s="2"/>
    </row>
    <row r="58" customFormat="false" ht="15" hidden="false" customHeight="false" outlineLevel="0" collapsed="false">
      <c r="A58" s="2" t="n">
        <v>10</v>
      </c>
      <c r="B58" s="2" t="s">
        <v>175</v>
      </c>
      <c r="C58" s="2" t="s">
        <v>180</v>
      </c>
      <c r="D58" s="2" t="s">
        <v>1355</v>
      </c>
      <c r="E58" s="2" t="s">
        <v>1154</v>
      </c>
      <c r="F58" s="2" t="s">
        <v>1178</v>
      </c>
      <c r="G58" s="2" t="s">
        <v>1356</v>
      </c>
      <c r="H58" s="2" t="s">
        <v>1357</v>
      </c>
      <c r="I58" s="2" t="s">
        <v>1133</v>
      </c>
      <c r="J58" s="2" t="s">
        <v>1358</v>
      </c>
      <c r="K58" s="2" t="n">
        <v>4</v>
      </c>
      <c r="L58" s="2" t="n">
        <v>971</v>
      </c>
      <c r="M58" s="2" t="n">
        <v>480</v>
      </c>
      <c r="N58" s="2" t="n">
        <v>360</v>
      </c>
      <c r="O58" s="2" t="n">
        <v>31</v>
      </c>
      <c r="P58" s="2" t="n">
        <v>460</v>
      </c>
      <c r="Q58" s="2" t="n">
        <v>0</v>
      </c>
      <c r="R58" s="2" t="n">
        <v>0</v>
      </c>
      <c r="S58" s="2" t="n">
        <v>6</v>
      </c>
      <c r="T58" s="2" t="n">
        <v>6</v>
      </c>
      <c r="U58" s="2" t="n">
        <v>0</v>
      </c>
      <c r="V58" s="2" t="n">
        <v>0</v>
      </c>
      <c r="W58" s="2" t="n">
        <v>0</v>
      </c>
      <c r="X58" s="2" t="n">
        <v>0</v>
      </c>
      <c r="Y58" s="2" t="n">
        <v>0</v>
      </c>
      <c r="Z58" s="2" t="n">
        <v>0</v>
      </c>
      <c r="AA58" s="2" t="n">
        <v>0</v>
      </c>
      <c r="AB58" s="2" t="n">
        <v>6</v>
      </c>
      <c r="AC58" s="2"/>
    </row>
    <row r="59" customFormat="false" ht="15" hidden="false" customHeight="false" outlineLevel="0" collapsed="false">
      <c r="A59" s="2" t="n">
        <v>11</v>
      </c>
      <c r="B59" s="2" t="s">
        <v>184</v>
      </c>
      <c r="C59" s="2" t="s">
        <v>191</v>
      </c>
      <c r="D59" s="2" t="s">
        <v>1359</v>
      </c>
      <c r="E59" s="2" t="s">
        <v>1129</v>
      </c>
      <c r="F59" s="2" t="s">
        <v>1360</v>
      </c>
      <c r="G59" s="2" t="s">
        <v>1361</v>
      </c>
      <c r="H59" s="2" t="s">
        <v>1362</v>
      </c>
      <c r="I59" s="2" t="s">
        <v>1133</v>
      </c>
      <c r="J59" s="2" t="s">
        <v>1363</v>
      </c>
      <c r="K59" s="2" t="n">
        <v>14</v>
      </c>
      <c r="L59" s="2" t="n">
        <v>12197</v>
      </c>
      <c r="M59" s="2" t="n">
        <v>0</v>
      </c>
      <c r="N59" s="2" t="n">
        <v>0</v>
      </c>
      <c r="O59" s="2" t="n">
        <v>12197</v>
      </c>
      <c r="P59" s="2" t="n">
        <v>0</v>
      </c>
      <c r="Q59" s="2" t="n">
        <v>0</v>
      </c>
      <c r="R59" s="2" t="n">
        <v>0</v>
      </c>
      <c r="S59" s="2" t="n">
        <v>28</v>
      </c>
      <c r="T59" s="2" t="n">
        <v>19</v>
      </c>
      <c r="U59" s="2" t="n">
        <v>8</v>
      </c>
      <c r="V59" s="2" t="n">
        <v>0</v>
      </c>
      <c r="W59" s="2" t="n">
        <v>1</v>
      </c>
      <c r="X59" s="2" t="n">
        <v>0</v>
      </c>
      <c r="Y59" s="2" t="n">
        <v>7</v>
      </c>
      <c r="Z59" s="2" t="n">
        <v>0</v>
      </c>
      <c r="AA59" s="2" t="n">
        <v>7</v>
      </c>
      <c r="AB59" s="2" t="n">
        <v>14</v>
      </c>
      <c r="AC59" s="2" t="s">
        <v>1135</v>
      </c>
    </row>
    <row r="60" customFormat="false" ht="15" hidden="false" customHeight="false" outlineLevel="0" collapsed="false">
      <c r="A60" s="2" t="n">
        <v>11</v>
      </c>
      <c r="B60" s="2" t="s">
        <v>184</v>
      </c>
      <c r="C60" s="2" t="s">
        <v>191</v>
      </c>
      <c r="D60" s="2" t="s">
        <v>1364</v>
      </c>
      <c r="E60" s="2" t="s">
        <v>1137</v>
      </c>
      <c r="F60" s="2" t="s">
        <v>1138</v>
      </c>
      <c r="G60" s="2" t="s">
        <v>1365</v>
      </c>
      <c r="H60" s="2" t="s">
        <v>1366</v>
      </c>
      <c r="I60" s="2" t="s">
        <v>1133</v>
      </c>
      <c r="J60" s="2" t="s">
        <v>1367</v>
      </c>
      <c r="K60" s="2" t="n">
        <v>39</v>
      </c>
      <c r="L60" s="2" t="n">
        <v>24549</v>
      </c>
      <c r="M60" s="2" t="n">
        <v>1195</v>
      </c>
      <c r="N60" s="2" t="n">
        <v>1027</v>
      </c>
      <c r="O60" s="2" t="n">
        <v>4627</v>
      </c>
      <c r="P60" s="2" t="n">
        <v>18727</v>
      </c>
      <c r="Q60" s="2" t="n">
        <v>0</v>
      </c>
      <c r="R60" s="2" t="n">
        <v>0</v>
      </c>
      <c r="S60" s="2" t="n">
        <v>202</v>
      </c>
      <c r="T60" s="2" t="n">
        <v>182</v>
      </c>
      <c r="U60" s="2" t="n">
        <v>11</v>
      </c>
      <c r="V60" s="2" t="n">
        <v>4</v>
      </c>
      <c r="W60" s="2" t="n">
        <v>5</v>
      </c>
      <c r="X60" s="2" t="n">
        <v>0</v>
      </c>
      <c r="Y60" s="2" t="n">
        <v>65</v>
      </c>
      <c r="Z60" s="2" t="n">
        <v>2</v>
      </c>
      <c r="AA60" s="2" t="n">
        <v>41</v>
      </c>
      <c r="AB60" s="2" t="n">
        <v>94</v>
      </c>
      <c r="AC60" s="2"/>
    </row>
    <row r="61" customFormat="false" ht="15" hidden="false" customHeight="false" outlineLevel="0" collapsed="false">
      <c r="A61" s="2" t="n">
        <v>11</v>
      </c>
      <c r="B61" s="2" t="s">
        <v>184</v>
      </c>
      <c r="C61" s="2" t="s">
        <v>191</v>
      </c>
      <c r="D61" s="2" t="s">
        <v>1368</v>
      </c>
      <c r="E61" s="2" t="s">
        <v>1129</v>
      </c>
      <c r="F61" s="2" t="s">
        <v>1360</v>
      </c>
      <c r="G61" s="2" t="s">
        <v>1369</v>
      </c>
      <c r="H61" s="2" t="s">
        <v>1370</v>
      </c>
      <c r="I61" s="2" t="s">
        <v>1133</v>
      </c>
      <c r="J61" s="2" t="s">
        <v>1371</v>
      </c>
      <c r="K61" s="2" t="n">
        <v>20</v>
      </c>
      <c r="L61" s="2" t="n">
        <v>13157</v>
      </c>
      <c r="M61" s="2" t="n">
        <v>0</v>
      </c>
      <c r="N61" s="2" t="n">
        <v>0</v>
      </c>
      <c r="O61" s="2" t="n">
        <v>13157</v>
      </c>
      <c r="P61" s="2" t="n">
        <v>0</v>
      </c>
      <c r="Q61" s="2" t="n">
        <v>0</v>
      </c>
      <c r="R61" s="2" t="n">
        <v>0</v>
      </c>
      <c r="S61" s="2" t="n">
        <v>25</v>
      </c>
      <c r="T61" s="2" t="n">
        <v>18</v>
      </c>
      <c r="U61" s="2" t="n">
        <v>4</v>
      </c>
      <c r="V61" s="2" t="n">
        <v>2</v>
      </c>
      <c r="W61" s="2" t="n">
        <v>1</v>
      </c>
      <c r="X61" s="2" t="n">
        <v>0</v>
      </c>
      <c r="Y61" s="2" t="n">
        <v>11</v>
      </c>
      <c r="Z61" s="2" t="n">
        <v>0</v>
      </c>
      <c r="AA61" s="2" t="n">
        <v>3</v>
      </c>
      <c r="AB61" s="2" t="n">
        <v>11</v>
      </c>
      <c r="AC61" s="2" t="s">
        <v>1135</v>
      </c>
    </row>
    <row r="62" customFormat="false" ht="15" hidden="false" customHeight="false" outlineLevel="0" collapsed="false">
      <c r="A62" s="2" t="n">
        <v>11</v>
      </c>
      <c r="B62" s="2" t="s">
        <v>184</v>
      </c>
      <c r="C62" s="2" t="s">
        <v>191</v>
      </c>
      <c r="D62" s="2" t="s">
        <v>1372</v>
      </c>
      <c r="E62" s="2" t="s">
        <v>1137</v>
      </c>
      <c r="F62" s="2" t="s">
        <v>1138</v>
      </c>
      <c r="G62" s="2" t="s">
        <v>1373</v>
      </c>
      <c r="H62" s="2" t="s">
        <v>1374</v>
      </c>
      <c r="I62" s="2" t="s">
        <v>1133</v>
      </c>
      <c r="J62" s="2" t="s">
        <v>1375</v>
      </c>
      <c r="K62" s="2" t="n">
        <v>10</v>
      </c>
      <c r="L62" s="2" t="n">
        <v>5298</v>
      </c>
      <c r="M62" s="2" t="n">
        <v>464</v>
      </c>
      <c r="N62" s="2" t="n">
        <v>353</v>
      </c>
      <c r="O62" s="2" t="n">
        <v>322</v>
      </c>
      <c r="P62" s="2" t="n">
        <v>4512</v>
      </c>
      <c r="Q62" s="2" t="n">
        <v>0</v>
      </c>
      <c r="R62" s="2" t="n">
        <v>0</v>
      </c>
      <c r="S62" s="2" t="n">
        <v>7</v>
      </c>
      <c r="T62" s="2" t="n">
        <v>5</v>
      </c>
      <c r="U62" s="2" t="n">
        <v>1</v>
      </c>
      <c r="V62" s="2" t="n">
        <v>0</v>
      </c>
      <c r="W62" s="2" t="n">
        <v>1</v>
      </c>
      <c r="X62" s="2" t="n">
        <v>0</v>
      </c>
      <c r="Y62" s="2" t="n">
        <v>0</v>
      </c>
      <c r="Z62" s="2" t="n">
        <v>1</v>
      </c>
      <c r="AA62" s="2" t="n">
        <v>2</v>
      </c>
      <c r="AB62" s="2" t="n">
        <v>4</v>
      </c>
      <c r="AC62" s="2"/>
    </row>
    <row r="63" customFormat="false" ht="15" hidden="false" customHeight="false" outlineLevel="0" collapsed="false">
      <c r="A63" s="2" t="n">
        <v>11</v>
      </c>
      <c r="B63" s="2" t="s">
        <v>184</v>
      </c>
      <c r="C63" s="2" t="s">
        <v>191</v>
      </c>
      <c r="D63" s="2" t="s">
        <v>1376</v>
      </c>
      <c r="E63" s="2" t="s">
        <v>1154</v>
      </c>
      <c r="F63" s="2" t="s">
        <v>1155</v>
      </c>
      <c r="G63" s="2" t="s">
        <v>1377</v>
      </c>
      <c r="H63" s="2" t="s">
        <v>1378</v>
      </c>
      <c r="I63" s="2" t="s">
        <v>1133</v>
      </c>
      <c r="J63" s="2" t="s">
        <v>1379</v>
      </c>
      <c r="K63" s="2" t="n">
        <v>36</v>
      </c>
      <c r="L63" s="2" t="n">
        <v>24277</v>
      </c>
      <c r="M63" s="2" t="n">
        <v>680</v>
      </c>
      <c r="N63" s="2" t="n">
        <v>568</v>
      </c>
      <c r="O63" s="2" t="n">
        <v>1038</v>
      </c>
      <c r="P63" s="2" t="n">
        <v>22559</v>
      </c>
      <c r="Q63" s="2" t="n">
        <v>0</v>
      </c>
      <c r="R63" s="2" t="n">
        <v>0</v>
      </c>
      <c r="S63" s="2" t="n">
        <v>147</v>
      </c>
      <c r="T63" s="2" t="n">
        <v>132</v>
      </c>
      <c r="U63" s="2" t="n">
        <v>6</v>
      </c>
      <c r="V63" s="2" t="n">
        <v>0</v>
      </c>
      <c r="W63" s="2" t="n">
        <v>9</v>
      </c>
      <c r="X63" s="2" t="n">
        <v>0</v>
      </c>
      <c r="Y63" s="2" t="n">
        <v>39</v>
      </c>
      <c r="Z63" s="2" t="n">
        <v>0</v>
      </c>
      <c r="AA63" s="2" t="n">
        <v>23</v>
      </c>
      <c r="AB63" s="2" t="n">
        <v>85</v>
      </c>
      <c r="AC63" s="2"/>
    </row>
    <row r="64" customFormat="false" ht="15" hidden="false" customHeight="false" outlineLevel="0" collapsed="false">
      <c r="A64" s="2" t="n">
        <v>11</v>
      </c>
      <c r="B64" s="2" t="s">
        <v>184</v>
      </c>
      <c r="C64" s="2" t="s">
        <v>191</v>
      </c>
      <c r="D64" s="2" t="s">
        <v>1380</v>
      </c>
      <c r="E64" s="2" t="s">
        <v>1129</v>
      </c>
      <c r="F64" s="2" t="s">
        <v>1169</v>
      </c>
      <c r="G64" s="2" t="s">
        <v>1381</v>
      </c>
      <c r="H64" s="2" t="s">
        <v>1382</v>
      </c>
      <c r="I64" s="2" t="s">
        <v>1133</v>
      </c>
      <c r="J64" s="2" t="s">
        <v>1383</v>
      </c>
      <c r="K64" s="2" t="n">
        <v>6</v>
      </c>
      <c r="L64" s="2" t="n">
        <v>3587</v>
      </c>
      <c r="M64" s="2" t="n">
        <v>0</v>
      </c>
      <c r="N64" s="2" t="n">
        <v>0</v>
      </c>
      <c r="O64" s="2" t="n">
        <v>3587</v>
      </c>
      <c r="P64" s="2" t="n">
        <v>0</v>
      </c>
      <c r="Q64" s="2" t="n">
        <v>0</v>
      </c>
      <c r="R64" s="2" t="n">
        <v>0</v>
      </c>
      <c r="S64" s="2" t="n">
        <v>4</v>
      </c>
      <c r="T64" s="2" t="n">
        <v>3</v>
      </c>
      <c r="U64" s="2" t="n">
        <v>0</v>
      </c>
      <c r="V64" s="2" t="n">
        <v>0</v>
      </c>
      <c r="W64" s="2" t="n">
        <v>1</v>
      </c>
      <c r="X64" s="2" t="n">
        <v>0</v>
      </c>
      <c r="Y64" s="2" t="n">
        <v>0</v>
      </c>
      <c r="Z64" s="2" t="n">
        <v>1</v>
      </c>
      <c r="AA64" s="2" t="n">
        <v>1</v>
      </c>
      <c r="AB64" s="2" t="n">
        <v>2</v>
      </c>
      <c r="AC64" s="2" t="s">
        <v>1135</v>
      </c>
    </row>
    <row r="65" customFormat="false" ht="15" hidden="false" customHeight="false" outlineLevel="0" collapsed="false">
      <c r="A65" s="2" t="n">
        <v>11</v>
      </c>
      <c r="B65" s="2" t="s">
        <v>184</v>
      </c>
      <c r="C65" s="2" t="s">
        <v>191</v>
      </c>
      <c r="D65" s="2" t="s">
        <v>1384</v>
      </c>
      <c r="E65" s="2" t="s">
        <v>1154</v>
      </c>
      <c r="F65" s="2" t="s">
        <v>1155</v>
      </c>
      <c r="G65" s="2" t="s">
        <v>1385</v>
      </c>
      <c r="H65" s="2" t="s">
        <v>1386</v>
      </c>
      <c r="I65" s="2" t="s">
        <v>1133</v>
      </c>
      <c r="J65" s="2" t="s">
        <v>1387</v>
      </c>
      <c r="K65" s="2" t="n">
        <v>81</v>
      </c>
      <c r="L65" s="2" t="n">
        <v>34657</v>
      </c>
      <c r="M65" s="2" t="n">
        <v>1109</v>
      </c>
      <c r="N65" s="2" t="n">
        <v>985</v>
      </c>
      <c r="O65" s="2" t="n">
        <v>5584</v>
      </c>
      <c r="P65" s="2" t="n">
        <v>27964</v>
      </c>
      <c r="Q65" s="2" t="n">
        <v>0</v>
      </c>
      <c r="R65" s="2" t="n">
        <v>0</v>
      </c>
      <c r="S65" s="2" t="n">
        <v>203</v>
      </c>
      <c r="T65" s="2" t="n">
        <v>186</v>
      </c>
      <c r="U65" s="2" t="n">
        <v>6</v>
      </c>
      <c r="V65" s="2" t="n">
        <v>1</v>
      </c>
      <c r="W65" s="2" t="n">
        <v>10</v>
      </c>
      <c r="X65" s="2" t="n">
        <v>0</v>
      </c>
      <c r="Y65" s="2" t="n">
        <v>55</v>
      </c>
      <c r="Z65" s="2" t="n">
        <v>1</v>
      </c>
      <c r="AA65" s="2" t="n">
        <v>49</v>
      </c>
      <c r="AB65" s="2" t="n">
        <v>98</v>
      </c>
      <c r="AC65" s="2"/>
    </row>
    <row r="66" customFormat="false" ht="15" hidden="false" customHeight="false" outlineLevel="0" collapsed="false">
      <c r="A66" s="2" t="n">
        <v>11</v>
      </c>
      <c r="B66" s="2" t="s">
        <v>184</v>
      </c>
      <c r="C66" s="2" t="s">
        <v>191</v>
      </c>
      <c r="D66" s="2" t="s">
        <v>1388</v>
      </c>
      <c r="E66" s="2" t="s">
        <v>1154</v>
      </c>
      <c r="F66" s="2" t="s">
        <v>1155</v>
      </c>
      <c r="G66" s="2" t="s">
        <v>1389</v>
      </c>
      <c r="H66" s="2" t="s">
        <v>1390</v>
      </c>
      <c r="I66" s="2" t="s">
        <v>1133</v>
      </c>
      <c r="J66" s="2" t="s">
        <v>1391</v>
      </c>
      <c r="K66" s="2" t="n">
        <v>10</v>
      </c>
      <c r="L66" s="2" t="n">
        <v>4451</v>
      </c>
      <c r="M66" s="2" t="n">
        <v>442</v>
      </c>
      <c r="N66" s="2" t="n">
        <v>314</v>
      </c>
      <c r="O66" s="2" t="n">
        <v>60</v>
      </c>
      <c r="P66" s="2" t="n">
        <v>3949</v>
      </c>
      <c r="Q66" s="2" t="n">
        <v>0</v>
      </c>
      <c r="R66" s="2" t="n">
        <v>0</v>
      </c>
      <c r="S66" s="2" t="n">
        <v>5</v>
      </c>
      <c r="T66" s="2" t="n">
        <v>5</v>
      </c>
      <c r="U66" s="2" t="n">
        <v>0</v>
      </c>
      <c r="V66" s="2" t="n">
        <v>0</v>
      </c>
      <c r="W66" s="2" t="n">
        <v>0</v>
      </c>
      <c r="X66" s="2" t="n">
        <v>0</v>
      </c>
      <c r="Y66" s="2" t="n">
        <v>0</v>
      </c>
      <c r="Z66" s="2" t="n">
        <v>0</v>
      </c>
      <c r="AA66" s="2" t="n">
        <v>0</v>
      </c>
      <c r="AB66" s="2" t="n">
        <v>5</v>
      </c>
      <c r="AC66" s="2"/>
    </row>
    <row r="67" customFormat="false" ht="15" hidden="false" customHeight="false" outlineLevel="0" collapsed="false">
      <c r="A67" s="2" t="n">
        <v>12</v>
      </c>
      <c r="B67" s="2" t="s">
        <v>195</v>
      </c>
      <c r="C67" s="2" t="s">
        <v>201</v>
      </c>
      <c r="D67" s="2" t="s">
        <v>1392</v>
      </c>
      <c r="E67" s="2" t="s">
        <v>1129</v>
      </c>
      <c r="F67" s="2" t="s">
        <v>1360</v>
      </c>
      <c r="G67" s="2" t="s">
        <v>1393</v>
      </c>
      <c r="H67" s="2" t="s">
        <v>1394</v>
      </c>
      <c r="I67" s="2" t="s">
        <v>1133</v>
      </c>
      <c r="J67" s="2" t="s">
        <v>1395</v>
      </c>
      <c r="K67" s="2" t="n">
        <v>32</v>
      </c>
      <c r="L67" s="2" t="n">
        <v>18336</v>
      </c>
      <c r="M67" s="2" t="n">
        <v>0</v>
      </c>
      <c r="N67" s="2" t="n">
        <v>0</v>
      </c>
      <c r="O67" s="2" t="n">
        <v>18336</v>
      </c>
      <c r="P67" s="2" t="n">
        <v>0</v>
      </c>
      <c r="Q67" s="2" t="n">
        <v>0</v>
      </c>
      <c r="R67" s="2" t="n">
        <v>0</v>
      </c>
      <c r="S67" s="2" t="n">
        <v>54</v>
      </c>
      <c r="T67" s="2" t="n">
        <v>31</v>
      </c>
      <c r="U67" s="2" t="n">
        <v>8</v>
      </c>
      <c r="V67" s="2" t="n">
        <v>0</v>
      </c>
      <c r="W67" s="2" t="n">
        <v>15</v>
      </c>
      <c r="X67" s="2" t="n">
        <v>0</v>
      </c>
      <c r="Y67" s="2" t="n">
        <v>11</v>
      </c>
      <c r="Z67" s="2" t="n">
        <v>15</v>
      </c>
      <c r="AA67" s="2" t="n">
        <v>0</v>
      </c>
      <c r="AB67" s="2" t="n">
        <v>28</v>
      </c>
      <c r="AC67" s="2" t="s">
        <v>1135</v>
      </c>
    </row>
    <row r="68" customFormat="false" ht="15" hidden="false" customHeight="false" outlineLevel="0" collapsed="false">
      <c r="A68" s="2" t="n">
        <v>13</v>
      </c>
      <c r="B68" s="2" t="s">
        <v>205</v>
      </c>
      <c r="C68" s="2" t="s">
        <v>211</v>
      </c>
      <c r="D68" s="2" t="s">
        <v>1396</v>
      </c>
      <c r="E68" s="2" t="s">
        <v>1129</v>
      </c>
      <c r="F68" s="2" t="s">
        <v>1360</v>
      </c>
      <c r="G68" s="2" t="s">
        <v>1397</v>
      </c>
      <c r="H68" s="2" t="s">
        <v>1398</v>
      </c>
      <c r="I68" s="2" t="s">
        <v>1133</v>
      </c>
      <c r="J68" s="2" t="s">
        <v>1399</v>
      </c>
      <c r="K68" s="2" t="n">
        <v>9</v>
      </c>
      <c r="L68" s="2" t="n">
        <v>3780</v>
      </c>
      <c r="M68" s="2" t="n">
        <v>0</v>
      </c>
      <c r="N68" s="2" t="n">
        <v>0</v>
      </c>
      <c r="O68" s="2" t="n">
        <v>3780</v>
      </c>
      <c r="P68" s="2" t="n">
        <v>0</v>
      </c>
      <c r="Q68" s="2" t="n">
        <v>0</v>
      </c>
      <c r="R68" s="2" t="n">
        <v>0</v>
      </c>
      <c r="S68" s="2" t="n">
        <v>6</v>
      </c>
      <c r="T68" s="2" t="n">
        <v>5</v>
      </c>
      <c r="U68" s="2" t="n">
        <v>1</v>
      </c>
      <c r="V68" s="2" t="n">
        <v>0</v>
      </c>
      <c r="W68" s="2" t="n">
        <v>0</v>
      </c>
      <c r="X68" s="2" t="n">
        <v>0</v>
      </c>
      <c r="Y68" s="2" t="n">
        <v>4</v>
      </c>
      <c r="Z68" s="2" t="n">
        <v>0</v>
      </c>
      <c r="AA68" s="2" t="n">
        <v>0</v>
      </c>
      <c r="AB68" s="2" t="n">
        <v>2</v>
      </c>
      <c r="AC68" s="2" t="s">
        <v>1135</v>
      </c>
    </row>
    <row r="69" customFormat="false" ht="15" hidden="false" customHeight="false" outlineLevel="0" collapsed="false">
      <c r="A69" s="2" t="n">
        <v>13</v>
      </c>
      <c r="B69" s="2" t="s">
        <v>205</v>
      </c>
      <c r="C69" s="2" t="s">
        <v>211</v>
      </c>
      <c r="D69" s="2" t="s">
        <v>1400</v>
      </c>
      <c r="E69" s="2" t="s">
        <v>1129</v>
      </c>
      <c r="F69" s="2" t="s">
        <v>1169</v>
      </c>
      <c r="G69" s="2" t="s">
        <v>1170</v>
      </c>
      <c r="H69" s="2" t="s">
        <v>1401</v>
      </c>
      <c r="I69" s="2" t="s">
        <v>1133</v>
      </c>
      <c r="J69" s="2" t="s">
        <v>1402</v>
      </c>
      <c r="K69" s="2" t="n">
        <v>129</v>
      </c>
      <c r="L69" s="2" t="n">
        <v>86318</v>
      </c>
      <c r="M69" s="2" t="n">
        <v>0</v>
      </c>
      <c r="N69" s="2" t="n">
        <v>0</v>
      </c>
      <c r="O69" s="2" t="n">
        <v>885</v>
      </c>
      <c r="P69" s="2" t="n">
        <v>85433</v>
      </c>
      <c r="Q69" s="2" t="n">
        <v>0</v>
      </c>
      <c r="R69" s="2" t="n">
        <v>0</v>
      </c>
      <c r="S69" s="2" t="n">
        <v>328</v>
      </c>
      <c r="T69" s="2" t="n">
        <v>221</v>
      </c>
      <c r="U69" s="2" t="n">
        <v>54</v>
      </c>
      <c r="V69" s="2" t="n">
        <v>7</v>
      </c>
      <c r="W69" s="2" t="n">
        <v>43</v>
      </c>
      <c r="X69" s="2" t="n">
        <v>3</v>
      </c>
      <c r="Y69" s="2" t="n">
        <v>141</v>
      </c>
      <c r="Z69" s="2" t="n">
        <v>45</v>
      </c>
      <c r="AA69" s="2" t="n">
        <v>4</v>
      </c>
      <c r="AB69" s="2" t="n">
        <v>138</v>
      </c>
      <c r="AC69" s="2" t="s">
        <v>1135</v>
      </c>
    </row>
    <row r="70" customFormat="false" ht="15" hidden="false" customHeight="false" outlineLevel="0" collapsed="false">
      <c r="A70" s="2" t="n">
        <v>14</v>
      </c>
      <c r="B70" s="2" t="s">
        <v>216</v>
      </c>
      <c r="C70" s="2" t="s">
        <v>223</v>
      </c>
      <c r="D70" s="2" t="s">
        <v>1403</v>
      </c>
      <c r="E70" s="2" t="s">
        <v>1154</v>
      </c>
      <c r="F70" s="2" t="s">
        <v>1178</v>
      </c>
      <c r="G70" s="2" t="s">
        <v>1404</v>
      </c>
      <c r="H70" s="2" t="s">
        <v>1405</v>
      </c>
      <c r="I70" s="2" t="s">
        <v>1406</v>
      </c>
      <c r="J70" s="2" t="s">
        <v>1407</v>
      </c>
      <c r="K70" s="2" t="n">
        <v>2</v>
      </c>
      <c r="L70" s="2" t="n">
        <v>816</v>
      </c>
      <c r="M70" s="2" t="n">
        <v>584</v>
      </c>
      <c r="N70" s="2" t="n">
        <v>484</v>
      </c>
      <c r="O70" s="2" t="n">
        <v>232</v>
      </c>
      <c r="P70" s="2" t="n">
        <v>0</v>
      </c>
      <c r="Q70" s="2" t="n">
        <v>0</v>
      </c>
      <c r="R70" s="2" t="n">
        <v>0</v>
      </c>
      <c r="S70" s="2" t="n">
        <v>2</v>
      </c>
      <c r="T70" s="2" t="n">
        <v>1</v>
      </c>
      <c r="U70" s="2" t="n">
        <v>1</v>
      </c>
      <c r="V70" s="2" t="n">
        <v>0</v>
      </c>
      <c r="W70" s="2" t="n">
        <v>0</v>
      </c>
      <c r="X70" s="2" t="n">
        <v>0</v>
      </c>
      <c r="Y70" s="2" t="n">
        <v>1</v>
      </c>
      <c r="Z70" s="2" t="n">
        <v>0</v>
      </c>
      <c r="AA70" s="2" t="n">
        <v>0</v>
      </c>
      <c r="AB70" s="2" t="n">
        <v>1</v>
      </c>
      <c r="AC70" s="2"/>
    </row>
    <row r="71" customFormat="false" ht="15" hidden="false" customHeight="false" outlineLevel="0" collapsed="false">
      <c r="A71" s="2" t="n">
        <v>14</v>
      </c>
      <c r="B71" s="2" t="s">
        <v>216</v>
      </c>
      <c r="C71" s="2" t="s">
        <v>223</v>
      </c>
      <c r="D71" s="2" t="s">
        <v>1408</v>
      </c>
      <c r="E71" s="2" t="s">
        <v>1154</v>
      </c>
      <c r="F71" s="2" t="s">
        <v>1178</v>
      </c>
      <c r="G71" s="2" t="s">
        <v>1404</v>
      </c>
      <c r="H71" s="2" t="s">
        <v>1409</v>
      </c>
      <c r="I71" s="2" t="s">
        <v>1406</v>
      </c>
      <c r="J71" s="2" t="s">
        <v>1410</v>
      </c>
      <c r="K71" s="2" t="n">
        <v>2</v>
      </c>
      <c r="L71" s="2" t="n">
        <v>716</v>
      </c>
      <c r="M71" s="2" t="n">
        <v>509</v>
      </c>
      <c r="N71" s="2" t="n">
        <v>419</v>
      </c>
      <c r="O71" s="2" t="n">
        <v>207</v>
      </c>
      <c r="P71" s="2" t="n">
        <v>0</v>
      </c>
      <c r="Q71" s="2" t="n">
        <v>0</v>
      </c>
      <c r="R71" s="2" t="n">
        <v>0</v>
      </c>
      <c r="S71" s="2" t="n">
        <v>2</v>
      </c>
      <c r="T71" s="2" t="n">
        <v>1</v>
      </c>
      <c r="U71" s="2" t="n">
        <v>1</v>
      </c>
      <c r="V71" s="2" t="n">
        <v>0</v>
      </c>
      <c r="W71" s="2" t="n">
        <v>0</v>
      </c>
      <c r="X71" s="2" t="n">
        <v>0</v>
      </c>
      <c r="Y71" s="2" t="n">
        <v>1</v>
      </c>
      <c r="Z71" s="2" t="n">
        <v>0</v>
      </c>
      <c r="AA71" s="2" t="n">
        <v>0</v>
      </c>
      <c r="AB71" s="2" t="n">
        <v>1</v>
      </c>
      <c r="AC71" s="2"/>
    </row>
    <row r="72" customFormat="false" ht="15" hidden="false" customHeight="false" outlineLevel="0" collapsed="false">
      <c r="A72" s="2" t="n">
        <v>14</v>
      </c>
      <c r="B72" s="2" t="s">
        <v>216</v>
      </c>
      <c r="C72" s="2" t="s">
        <v>223</v>
      </c>
      <c r="D72" s="2" t="s">
        <v>1411</v>
      </c>
      <c r="E72" s="2" t="s">
        <v>1154</v>
      </c>
      <c r="F72" s="2" t="s">
        <v>1178</v>
      </c>
      <c r="G72" s="2" t="s">
        <v>1404</v>
      </c>
      <c r="H72" s="2" t="s">
        <v>1412</v>
      </c>
      <c r="I72" s="2" t="s">
        <v>1406</v>
      </c>
      <c r="J72" s="2" t="s">
        <v>1413</v>
      </c>
      <c r="K72" s="2" t="n">
        <v>1</v>
      </c>
      <c r="L72" s="2" t="n">
        <v>514</v>
      </c>
      <c r="M72" s="2" t="n">
        <v>453</v>
      </c>
      <c r="N72" s="2" t="n">
        <v>356</v>
      </c>
      <c r="O72" s="2" t="n">
        <v>61</v>
      </c>
      <c r="P72" s="2" t="n">
        <v>0</v>
      </c>
      <c r="Q72" s="2" t="n">
        <v>0</v>
      </c>
      <c r="R72" s="2" t="n">
        <v>0</v>
      </c>
      <c r="S72" s="2" t="n">
        <v>0</v>
      </c>
      <c r="T72" s="2" t="n">
        <v>0</v>
      </c>
      <c r="U72" s="2" t="n">
        <v>0</v>
      </c>
      <c r="V72" s="2" t="n">
        <v>0</v>
      </c>
      <c r="W72" s="2" t="n">
        <v>0</v>
      </c>
      <c r="X72" s="2" t="n">
        <v>0</v>
      </c>
      <c r="Y72" s="2" t="n">
        <v>0</v>
      </c>
      <c r="Z72" s="2" t="n">
        <v>0</v>
      </c>
      <c r="AA72" s="2" t="n">
        <v>0</v>
      </c>
      <c r="AB72" s="2" t="n">
        <v>0</v>
      </c>
      <c r="AC72" s="2"/>
    </row>
    <row r="73" customFormat="false" ht="15" hidden="false" customHeight="false" outlineLevel="0" collapsed="false">
      <c r="A73" s="2" t="n">
        <v>14</v>
      </c>
      <c r="B73" s="2" t="s">
        <v>216</v>
      </c>
      <c r="C73" s="2" t="s">
        <v>223</v>
      </c>
      <c r="D73" s="2" t="s">
        <v>1414</v>
      </c>
      <c r="E73" s="2" t="s">
        <v>1154</v>
      </c>
      <c r="F73" s="2" t="s">
        <v>1178</v>
      </c>
      <c r="G73" s="2" t="s">
        <v>1415</v>
      </c>
      <c r="H73" s="2" t="s">
        <v>1416</v>
      </c>
      <c r="I73" s="2" t="s">
        <v>1406</v>
      </c>
      <c r="J73" s="2" t="s">
        <v>1417</v>
      </c>
      <c r="K73" s="2" t="n">
        <v>2</v>
      </c>
      <c r="L73" s="2" t="n">
        <v>767</v>
      </c>
      <c r="M73" s="2" t="n">
        <v>494</v>
      </c>
      <c r="N73" s="2" t="n">
        <v>404</v>
      </c>
      <c r="O73" s="2" t="n">
        <v>273</v>
      </c>
      <c r="P73" s="2" t="n">
        <v>0</v>
      </c>
      <c r="Q73" s="2" t="n">
        <v>0</v>
      </c>
      <c r="R73" s="2" t="n">
        <v>0</v>
      </c>
      <c r="S73" s="2" t="n">
        <v>4</v>
      </c>
      <c r="T73" s="2" t="n">
        <v>4</v>
      </c>
      <c r="U73" s="2" t="n">
        <v>0</v>
      </c>
      <c r="V73" s="2" t="n">
        <v>0</v>
      </c>
      <c r="W73" s="2" t="n">
        <v>0</v>
      </c>
      <c r="X73" s="2" t="n">
        <v>0</v>
      </c>
      <c r="Y73" s="2" t="n">
        <v>2</v>
      </c>
      <c r="Z73" s="2" t="n">
        <v>0</v>
      </c>
      <c r="AA73" s="2" t="n">
        <v>0</v>
      </c>
      <c r="AB73" s="2" t="n">
        <v>2</v>
      </c>
      <c r="AC73" s="2"/>
    </row>
    <row r="74" customFormat="false" ht="15" hidden="false" customHeight="false" outlineLevel="0" collapsed="false">
      <c r="A74" s="2" t="n">
        <v>14</v>
      </c>
      <c r="B74" s="2" t="s">
        <v>216</v>
      </c>
      <c r="C74" s="2" t="s">
        <v>223</v>
      </c>
      <c r="D74" s="2" t="s">
        <v>1418</v>
      </c>
      <c r="E74" s="2" t="s">
        <v>1154</v>
      </c>
      <c r="F74" s="2" t="s">
        <v>1178</v>
      </c>
      <c r="G74" s="2" t="s">
        <v>1419</v>
      </c>
      <c r="H74" s="2" t="s">
        <v>1420</v>
      </c>
      <c r="I74" s="2" t="s">
        <v>1406</v>
      </c>
      <c r="J74" s="2" t="s">
        <v>1421</v>
      </c>
      <c r="K74" s="2" t="n">
        <v>1</v>
      </c>
      <c r="L74" s="2" t="n">
        <v>502</v>
      </c>
      <c r="M74" s="2" t="n">
        <v>417</v>
      </c>
      <c r="N74" s="2" t="n">
        <v>325</v>
      </c>
      <c r="O74" s="2" t="n">
        <v>85</v>
      </c>
      <c r="P74" s="2" t="n">
        <v>0</v>
      </c>
      <c r="Q74" s="2" t="n">
        <v>0</v>
      </c>
      <c r="R74" s="2" t="n">
        <v>0</v>
      </c>
      <c r="S74" s="2" t="n">
        <v>0</v>
      </c>
      <c r="T74" s="2" t="n">
        <v>0</v>
      </c>
      <c r="U74" s="2" t="n">
        <v>0</v>
      </c>
      <c r="V74" s="2" t="n">
        <v>0</v>
      </c>
      <c r="W74" s="2" t="n">
        <v>0</v>
      </c>
      <c r="X74" s="2" t="n">
        <v>0</v>
      </c>
      <c r="Y74" s="2" t="n">
        <v>0</v>
      </c>
      <c r="Z74" s="2" t="n">
        <v>0</v>
      </c>
      <c r="AA74" s="2" t="n">
        <v>0</v>
      </c>
      <c r="AB74" s="2" t="n">
        <v>0</v>
      </c>
      <c r="AC74" s="2"/>
    </row>
    <row r="75" customFormat="false" ht="15" hidden="false" customHeight="false" outlineLevel="0" collapsed="false">
      <c r="A75" s="2" t="n">
        <v>14</v>
      </c>
      <c r="B75" s="2" t="s">
        <v>216</v>
      </c>
      <c r="C75" s="2" t="s">
        <v>223</v>
      </c>
      <c r="D75" s="2" t="s">
        <v>1422</v>
      </c>
      <c r="E75" s="2" t="s">
        <v>1154</v>
      </c>
      <c r="F75" s="2" t="s">
        <v>1178</v>
      </c>
      <c r="G75" s="2" t="s">
        <v>1423</v>
      </c>
      <c r="H75" s="2" t="s">
        <v>1424</v>
      </c>
      <c r="I75" s="2" t="s">
        <v>1406</v>
      </c>
      <c r="J75" s="2" t="s">
        <v>1425</v>
      </c>
      <c r="K75" s="2" t="n">
        <v>2</v>
      </c>
      <c r="L75" s="2" t="n">
        <v>926</v>
      </c>
      <c r="M75" s="2" t="n">
        <v>626</v>
      </c>
      <c r="N75" s="2" t="n">
        <v>514</v>
      </c>
      <c r="O75" s="2" t="n">
        <v>300</v>
      </c>
      <c r="P75" s="2" t="n">
        <v>0</v>
      </c>
      <c r="Q75" s="2" t="n">
        <v>0</v>
      </c>
      <c r="R75" s="2" t="n">
        <v>0</v>
      </c>
      <c r="S75" s="2" t="n">
        <v>3</v>
      </c>
      <c r="T75" s="2" t="n">
        <v>3</v>
      </c>
      <c r="U75" s="2" t="n">
        <v>0</v>
      </c>
      <c r="V75" s="2" t="n">
        <v>0</v>
      </c>
      <c r="W75" s="2" t="n">
        <v>0</v>
      </c>
      <c r="X75" s="2" t="n">
        <v>0</v>
      </c>
      <c r="Y75" s="2" t="n">
        <v>2</v>
      </c>
      <c r="Z75" s="2" t="n">
        <v>0</v>
      </c>
      <c r="AA75" s="2" t="n">
        <v>0</v>
      </c>
      <c r="AB75" s="2" t="n">
        <v>1</v>
      </c>
      <c r="AC75" s="2"/>
    </row>
    <row r="76" customFormat="false" ht="15" hidden="false" customHeight="false" outlineLevel="0" collapsed="false">
      <c r="A76" s="2" t="n">
        <v>14</v>
      </c>
      <c r="B76" s="2" t="s">
        <v>216</v>
      </c>
      <c r="C76" s="2" t="s">
        <v>223</v>
      </c>
      <c r="D76" s="2" t="s">
        <v>1426</v>
      </c>
      <c r="E76" s="2" t="s">
        <v>1154</v>
      </c>
      <c r="F76" s="2" t="s">
        <v>1178</v>
      </c>
      <c r="G76" s="2" t="s">
        <v>1427</v>
      </c>
      <c r="H76" s="2" t="s">
        <v>1428</v>
      </c>
      <c r="I76" s="2" t="s">
        <v>1406</v>
      </c>
      <c r="J76" s="2" t="s">
        <v>1429</v>
      </c>
      <c r="K76" s="2" t="n">
        <v>2</v>
      </c>
      <c r="L76" s="2" t="n">
        <v>752</v>
      </c>
      <c r="M76" s="2" t="n">
        <v>632</v>
      </c>
      <c r="N76" s="2" t="n">
        <v>512</v>
      </c>
      <c r="O76" s="2" t="n">
        <v>120</v>
      </c>
      <c r="P76" s="2" t="n">
        <v>0</v>
      </c>
      <c r="Q76" s="2" t="n">
        <v>0</v>
      </c>
      <c r="R76" s="2" t="n">
        <v>0</v>
      </c>
      <c r="S76" s="2" t="n">
        <v>1</v>
      </c>
      <c r="T76" s="2" t="n">
        <v>1</v>
      </c>
      <c r="U76" s="2" t="n">
        <v>0</v>
      </c>
      <c r="V76" s="2" t="n">
        <v>0</v>
      </c>
      <c r="W76" s="2" t="n">
        <v>0</v>
      </c>
      <c r="X76" s="2" t="n">
        <v>0</v>
      </c>
      <c r="Y76" s="2" t="n">
        <v>0</v>
      </c>
      <c r="Z76" s="2" t="n">
        <v>0</v>
      </c>
      <c r="AA76" s="2" t="n">
        <v>0</v>
      </c>
      <c r="AB76" s="2" t="n">
        <v>1</v>
      </c>
      <c r="AC76" s="2"/>
    </row>
    <row r="77" customFormat="false" ht="15" hidden="false" customHeight="false" outlineLevel="0" collapsed="false">
      <c r="A77" s="2" t="n">
        <v>14</v>
      </c>
      <c r="B77" s="2" t="s">
        <v>216</v>
      </c>
      <c r="C77" s="2" t="s">
        <v>223</v>
      </c>
      <c r="D77" s="2" t="s">
        <v>1430</v>
      </c>
      <c r="E77" s="2" t="s">
        <v>1154</v>
      </c>
      <c r="F77" s="2" t="s">
        <v>1178</v>
      </c>
      <c r="G77" s="2" t="s">
        <v>1431</v>
      </c>
      <c r="H77" s="2" t="s">
        <v>1432</v>
      </c>
      <c r="I77" s="2" t="s">
        <v>1406</v>
      </c>
      <c r="J77" s="2" t="s">
        <v>1433</v>
      </c>
      <c r="K77" s="2" t="n">
        <v>2</v>
      </c>
      <c r="L77" s="2" t="n">
        <v>582</v>
      </c>
      <c r="M77" s="2" t="n">
        <v>464</v>
      </c>
      <c r="N77" s="2" t="n">
        <v>346</v>
      </c>
      <c r="O77" s="2" t="n">
        <v>118</v>
      </c>
      <c r="P77" s="2" t="n">
        <v>0</v>
      </c>
      <c r="Q77" s="2" t="n">
        <v>0</v>
      </c>
      <c r="R77" s="2" t="n">
        <v>0</v>
      </c>
      <c r="S77" s="2" t="n">
        <v>0</v>
      </c>
      <c r="T77" s="2" t="n">
        <v>0</v>
      </c>
      <c r="U77" s="2" t="n">
        <v>0</v>
      </c>
      <c r="V77" s="2" t="n">
        <v>0</v>
      </c>
      <c r="W77" s="2" t="n">
        <v>0</v>
      </c>
      <c r="X77" s="2" t="n">
        <v>0</v>
      </c>
      <c r="Y77" s="2" t="n">
        <v>0</v>
      </c>
      <c r="Z77" s="2" t="n">
        <v>0</v>
      </c>
      <c r="AA77" s="2" t="n">
        <v>0</v>
      </c>
      <c r="AB77" s="2" t="n">
        <v>0</v>
      </c>
      <c r="AC77" s="2"/>
    </row>
    <row r="78" customFormat="false" ht="15" hidden="false" customHeight="false" outlineLevel="0" collapsed="false">
      <c r="A78" s="2" t="n">
        <v>14</v>
      </c>
      <c r="B78" s="2" t="s">
        <v>216</v>
      </c>
      <c r="C78" s="2" t="s">
        <v>223</v>
      </c>
      <c r="D78" s="2" t="s">
        <v>1434</v>
      </c>
      <c r="E78" s="2" t="s">
        <v>1154</v>
      </c>
      <c r="F78" s="2" t="s">
        <v>1178</v>
      </c>
      <c r="G78" s="2" t="s">
        <v>1431</v>
      </c>
      <c r="H78" s="2" t="s">
        <v>1435</v>
      </c>
      <c r="I78" s="2" t="s">
        <v>1406</v>
      </c>
      <c r="J78" s="2" t="s">
        <v>1436</v>
      </c>
      <c r="K78" s="2" t="n">
        <v>2</v>
      </c>
      <c r="L78" s="2" t="n">
        <v>785</v>
      </c>
      <c r="M78" s="2" t="n">
        <v>633</v>
      </c>
      <c r="N78" s="2" t="n">
        <v>515</v>
      </c>
      <c r="O78" s="2" t="n">
        <v>152</v>
      </c>
      <c r="P78" s="2" t="n">
        <v>0</v>
      </c>
      <c r="Q78" s="2" t="n">
        <v>0</v>
      </c>
      <c r="R78" s="2" t="n">
        <v>0</v>
      </c>
      <c r="S78" s="2" t="n">
        <v>2</v>
      </c>
      <c r="T78" s="2" t="n">
        <v>2</v>
      </c>
      <c r="U78" s="2" t="n">
        <v>0</v>
      </c>
      <c r="V78" s="2" t="n">
        <v>0</v>
      </c>
      <c r="W78" s="2" t="n">
        <v>0</v>
      </c>
      <c r="X78" s="2" t="n">
        <v>0</v>
      </c>
      <c r="Y78" s="2" t="n">
        <v>0</v>
      </c>
      <c r="Z78" s="2" t="n">
        <v>0</v>
      </c>
      <c r="AA78" s="2" t="n">
        <v>2</v>
      </c>
      <c r="AB78" s="2" t="n">
        <v>0</v>
      </c>
      <c r="AC78" s="2"/>
    </row>
    <row r="79" customFormat="false" ht="15" hidden="false" customHeight="false" outlineLevel="0" collapsed="false">
      <c r="A79" s="2" t="n">
        <v>14</v>
      </c>
      <c r="B79" s="2" t="s">
        <v>216</v>
      </c>
      <c r="C79" s="2" t="s">
        <v>223</v>
      </c>
      <c r="D79" s="2" t="s">
        <v>1437</v>
      </c>
      <c r="E79" s="2" t="s">
        <v>1154</v>
      </c>
      <c r="F79" s="2" t="s">
        <v>1178</v>
      </c>
      <c r="G79" s="2" t="s">
        <v>1431</v>
      </c>
      <c r="H79" s="2" t="s">
        <v>1438</v>
      </c>
      <c r="I79" s="2" t="s">
        <v>1406</v>
      </c>
      <c r="J79" s="2" t="s">
        <v>1439</v>
      </c>
      <c r="K79" s="2" t="n">
        <v>2</v>
      </c>
      <c r="L79" s="2" t="n">
        <v>822</v>
      </c>
      <c r="M79" s="2" t="n">
        <v>571</v>
      </c>
      <c r="N79" s="2" t="n">
        <v>454</v>
      </c>
      <c r="O79" s="2" t="n">
        <v>251</v>
      </c>
      <c r="P79" s="2" t="n">
        <v>0</v>
      </c>
      <c r="Q79" s="2" t="n">
        <v>0</v>
      </c>
      <c r="R79" s="2" t="n">
        <v>0</v>
      </c>
      <c r="S79" s="2" t="n">
        <v>0</v>
      </c>
      <c r="T79" s="2" t="n">
        <v>0</v>
      </c>
      <c r="U79" s="2" t="n">
        <v>0</v>
      </c>
      <c r="V79" s="2" t="n">
        <v>0</v>
      </c>
      <c r="W79" s="2" t="n">
        <v>0</v>
      </c>
      <c r="X79" s="2" t="n">
        <v>0</v>
      </c>
      <c r="Y79" s="2" t="n">
        <v>0</v>
      </c>
      <c r="Z79" s="2" t="n">
        <v>0</v>
      </c>
      <c r="AA79" s="2" t="n">
        <v>0</v>
      </c>
      <c r="AB79" s="2" t="n">
        <v>0</v>
      </c>
      <c r="AC79" s="2"/>
    </row>
    <row r="80" customFormat="false" ht="15" hidden="false" customHeight="false" outlineLevel="0" collapsed="false">
      <c r="A80" s="2" t="n">
        <v>14</v>
      </c>
      <c r="B80" s="2" t="s">
        <v>216</v>
      </c>
      <c r="C80" s="2" t="s">
        <v>223</v>
      </c>
      <c r="D80" s="2" t="s">
        <v>1440</v>
      </c>
      <c r="E80" s="2" t="s">
        <v>1154</v>
      </c>
      <c r="F80" s="2" t="s">
        <v>1178</v>
      </c>
      <c r="G80" s="2" t="s">
        <v>1431</v>
      </c>
      <c r="H80" s="2" t="s">
        <v>1441</v>
      </c>
      <c r="I80" s="2" t="s">
        <v>1406</v>
      </c>
      <c r="J80" s="2" t="s">
        <v>1442</v>
      </c>
      <c r="K80" s="2" t="n">
        <v>1</v>
      </c>
      <c r="L80" s="2" t="n">
        <v>595</v>
      </c>
      <c r="M80" s="2" t="n">
        <v>465</v>
      </c>
      <c r="N80" s="2" t="n">
        <v>350</v>
      </c>
      <c r="O80" s="2" t="n">
        <v>130</v>
      </c>
      <c r="P80" s="2" t="n">
        <v>0</v>
      </c>
      <c r="Q80" s="2" t="n">
        <v>0</v>
      </c>
      <c r="R80" s="2" t="n">
        <v>0</v>
      </c>
      <c r="S80" s="2" t="n">
        <v>0</v>
      </c>
      <c r="T80" s="2" t="n">
        <v>0</v>
      </c>
      <c r="U80" s="2" t="n">
        <v>0</v>
      </c>
      <c r="V80" s="2" t="n">
        <v>0</v>
      </c>
      <c r="W80" s="2" t="n">
        <v>0</v>
      </c>
      <c r="X80" s="2" t="n">
        <v>0</v>
      </c>
      <c r="Y80" s="2" t="n">
        <v>0</v>
      </c>
      <c r="Z80" s="2" t="n">
        <v>0</v>
      </c>
      <c r="AA80" s="2" t="n">
        <v>0</v>
      </c>
      <c r="AB80" s="2" t="n">
        <v>0</v>
      </c>
      <c r="AC80" s="2"/>
    </row>
    <row r="81" customFormat="false" ht="15" hidden="false" customHeight="false" outlineLevel="0" collapsed="false">
      <c r="A81" s="2" t="n">
        <v>14</v>
      </c>
      <c r="B81" s="2" t="s">
        <v>216</v>
      </c>
      <c r="C81" s="2" t="s">
        <v>223</v>
      </c>
      <c r="D81" s="2" t="s">
        <v>1443</v>
      </c>
      <c r="E81" s="2" t="s">
        <v>1154</v>
      </c>
      <c r="F81" s="2" t="s">
        <v>1178</v>
      </c>
      <c r="G81" s="2" t="s">
        <v>1431</v>
      </c>
      <c r="H81" s="2" t="s">
        <v>1444</v>
      </c>
      <c r="I81" s="2" t="s">
        <v>1406</v>
      </c>
      <c r="J81" s="2" t="s">
        <v>1445</v>
      </c>
      <c r="K81" s="2" t="n">
        <v>2</v>
      </c>
      <c r="L81" s="2" t="n">
        <v>770</v>
      </c>
      <c r="M81" s="2" t="n">
        <v>636</v>
      </c>
      <c r="N81" s="2" t="n">
        <v>527</v>
      </c>
      <c r="O81" s="2" t="n">
        <v>134</v>
      </c>
      <c r="P81" s="2" t="n">
        <v>0</v>
      </c>
      <c r="Q81" s="2" t="n">
        <v>0</v>
      </c>
      <c r="R81" s="2" t="n">
        <v>0</v>
      </c>
      <c r="S81" s="2" t="n">
        <v>0</v>
      </c>
      <c r="T81" s="2" t="n">
        <v>0</v>
      </c>
      <c r="U81" s="2" t="n">
        <v>0</v>
      </c>
      <c r="V81" s="2" t="n">
        <v>0</v>
      </c>
      <c r="W81" s="2" t="n">
        <v>0</v>
      </c>
      <c r="X81" s="2" t="n">
        <v>0</v>
      </c>
      <c r="Y81" s="2" t="n">
        <v>0</v>
      </c>
      <c r="Z81" s="2" t="n">
        <v>0</v>
      </c>
      <c r="AA81" s="2" t="n">
        <v>0</v>
      </c>
      <c r="AB81" s="2" t="n">
        <v>0</v>
      </c>
      <c r="AC81" s="2"/>
    </row>
    <row r="82" customFormat="false" ht="15" hidden="false" customHeight="false" outlineLevel="0" collapsed="false">
      <c r="A82" s="2" t="n">
        <v>14</v>
      </c>
      <c r="B82" s="2" t="s">
        <v>216</v>
      </c>
      <c r="C82" s="2" t="s">
        <v>223</v>
      </c>
      <c r="D82" s="2" t="s">
        <v>1446</v>
      </c>
      <c r="E82" s="2" t="s">
        <v>1154</v>
      </c>
      <c r="F82" s="2" t="s">
        <v>1178</v>
      </c>
      <c r="G82" s="2" t="s">
        <v>1431</v>
      </c>
      <c r="H82" s="2" t="s">
        <v>1447</v>
      </c>
      <c r="I82" s="2" t="s">
        <v>1406</v>
      </c>
      <c r="J82" s="2" t="s">
        <v>1448</v>
      </c>
      <c r="K82" s="2" t="n">
        <v>1</v>
      </c>
      <c r="L82" s="2" t="n">
        <v>566</v>
      </c>
      <c r="M82" s="2" t="n">
        <v>445</v>
      </c>
      <c r="N82" s="2" t="n">
        <v>331</v>
      </c>
      <c r="O82" s="2" t="n">
        <v>121</v>
      </c>
      <c r="P82" s="2" t="n">
        <v>0</v>
      </c>
      <c r="Q82" s="2" t="n">
        <v>0</v>
      </c>
      <c r="R82" s="2" t="n">
        <v>0</v>
      </c>
      <c r="S82" s="2" t="n">
        <v>0</v>
      </c>
      <c r="T82" s="2" t="n">
        <v>0</v>
      </c>
      <c r="U82" s="2" t="n">
        <v>0</v>
      </c>
      <c r="V82" s="2" t="n">
        <v>0</v>
      </c>
      <c r="W82" s="2" t="n">
        <v>0</v>
      </c>
      <c r="X82" s="2" t="n">
        <v>0</v>
      </c>
      <c r="Y82" s="2" t="n">
        <v>0</v>
      </c>
      <c r="Z82" s="2" t="n">
        <v>0</v>
      </c>
      <c r="AA82" s="2" t="n">
        <v>0</v>
      </c>
      <c r="AB82" s="2" t="n">
        <v>0</v>
      </c>
      <c r="AC82" s="2"/>
    </row>
    <row r="83" customFormat="false" ht="15" hidden="false" customHeight="false" outlineLevel="0" collapsed="false">
      <c r="A83" s="2" t="n">
        <v>14</v>
      </c>
      <c r="B83" s="2" t="s">
        <v>216</v>
      </c>
      <c r="C83" s="2" t="s">
        <v>223</v>
      </c>
      <c r="D83" s="2" t="s">
        <v>1449</v>
      </c>
      <c r="E83" s="2" t="s">
        <v>1154</v>
      </c>
      <c r="F83" s="2" t="s">
        <v>1178</v>
      </c>
      <c r="G83" s="2" t="s">
        <v>1450</v>
      </c>
      <c r="H83" s="2" t="s">
        <v>1451</v>
      </c>
      <c r="I83" s="2" t="s">
        <v>1406</v>
      </c>
      <c r="J83" s="2" t="s">
        <v>1452</v>
      </c>
      <c r="K83" s="2" t="n">
        <v>2</v>
      </c>
      <c r="L83" s="2" t="n">
        <v>632</v>
      </c>
      <c r="M83" s="2" t="n">
        <v>514</v>
      </c>
      <c r="N83" s="2" t="n">
        <v>420</v>
      </c>
      <c r="O83" s="2" t="n">
        <v>118</v>
      </c>
      <c r="P83" s="2" t="n">
        <v>0</v>
      </c>
      <c r="Q83" s="2" t="n">
        <v>0</v>
      </c>
      <c r="R83" s="2" t="n">
        <v>0</v>
      </c>
      <c r="S83" s="2" t="n">
        <v>0</v>
      </c>
      <c r="T83" s="2" t="n">
        <v>0</v>
      </c>
      <c r="U83" s="2" t="n">
        <v>0</v>
      </c>
      <c r="V83" s="2" t="n">
        <v>0</v>
      </c>
      <c r="W83" s="2" t="n">
        <v>0</v>
      </c>
      <c r="X83" s="2" t="n">
        <v>0</v>
      </c>
      <c r="Y83" s="2" t="n">
        <v>0</v>
      </c>
      <c r="Z83" s="2" t="n">
        <v>0</v>
      </c>
      <c r="AA83" s="2" t="n">
        <v>0</v>
      </c>
      <c r="AB83" s="2" t="n">
        <v>0</v>
      </c>
      <c r="AC83" s="2"/>
    </row>
    <row r="84" customFormat="false" ht="15" hidden="false" customHeight="false" outlineLevel="0" collapsed="false">
      <c r="A84" s="2" t="n">
        <v>14</v>
      </c>
      <c r="B84" s="2" t="s">
        <v>216</v>
      </c>
      <c r="C84" s="2" t="s">
        <v>223</v>
      </c>
      <c r="D84" s="2" t="s">
        <v>1453</v>
      </c>
      <c r="E84" s="2" t="s">
        <v>1154</v>
      </c>
      <c r="F84" s="2" t="s">
        <v>1178</v>
      </c>
      <c r="G84" s="2" t="s">
        <v>1454</v>
      </c>
      <c r="H84" s="2" t="s">
        <v>1455</v>
      </c>
      <c r="I84" s="2" t="s">
        <v>1406</v>
      </c>
      <c r="J84" s="2" t="s">
        <v>1456</v>
      </c>
      <c r="K84" s="2" t="n">
        <v>2</v>
      </c>
      <c r="L84" s="2" t="n">
        <v>1259</v>
      </c>
      <c r="M84" s="2" t="n">
        <v>764</v>
      </c>
      <c r="N84" s="2" t="n">
        <v>647</v>
      </c>
      <c r="O84" s="2" t="n">
        <v>495</v>
      </c>
      <c r="P84" s="2" t="n">
        <v>0</v>
      </c>
      <c r="Q84" s="2" t="n">
        <v>0</v>
      </c>
      <c r="R84" s="2" t="n">
        <v>0</v>
      </c>
      <c r="S84" s="2" t="n">
        <v>0</v>
      </c>
      <c r="T84" s="2" t="n">
        <v>0</v>
      </c>
      <c r="U84" s="2" t="n">
        <v>0</v>
      </c>
      <c r="V84" s="2" t="n">
        <v>0</v>
      </c>
      <c r="W84" s="2" t="n">
        <v>0</v>
      </c>
      <c r="X84" s="2" t="n">
        <v>0</v>
      </c>
      <c r="Y84" s="2" t="n">
        <v>0</v>
      </c>
      <c r="Z84" s="2" t="n">
        <v>0</v>
      </c>
      <c r="AA84" s="2" t="n">
        <v>0</v>
      </c>
      <c r="AB84" s="2" t="n">
        <v>0</v>
      </c>
      <c r="AC84" s="2"/>
    </row>
    <row r="85" customFormat="false" ht="15" hidden="false" customHeight="false" outlineLevel="0" collapsed="false">
      <c r="A85" s="2" t="n">
        <v>14</v>
      </c>
      <c r="B85" s="2" t="s">
        <v>216</v>
      </c>
      <c r="C85" s="2" t="s">
        <v>223</v>
      </c>
      <c r="D85" s="2" t="s">
        <v>1457</v>
      </c>
      <c r="E85" s="2" t="s">
        <v>1154</v>
      </c>
      <c r="F85" s="2" t="s">
        <v>1178</v>
      </c>
      <c r="G85" s="2" t="s">
        <v>1458</v>
      </c>
      <c r="H85" s="2" t="s">
        <v>1459</v>
      </c>
      <c r="I85" s="2" t="s">
        <v>1406</v>
      </c>
      <c r="J85" s="2" t="s">
        <v>1460</v>
      </c>
      <c r="K85" s="2" t="n">
        <v>2</v>
      </c>
      <c r="L85" s="2" t="n">
        <v>732</v>
      </c>
      <c r="M85" s="2" t="n">
        <v>567</v>
      </c>
      <c r="N85" s="2" t="n">
        <v>456</v>
      </c>
      <c r="O85" s="2" t="n">
        <v>165</v>
      </c>
      <c r="P85" s="2" t="n">
        <v>0</v>
      </c>
      <c r="Q85" s="2" t="n">
        <v>0</v>
      </c>
      <c r="R85" s="2" t="n">
        <v>0</v>
      </c>
      <c r="S85" s="2" t="n">
        <v>2</v>
      </c>
      <c r="T85" s="2" t="n">
        <v>2</v>
      </c>
      <c r="U85" s="2" t="n">
        <v>0</v>
      </c>
      <c r="V85" s="2" t="n">
        <v>0</v>
      </c>
      <c r="W85" s="2" t="n">
        <v>0</v>
      </c>
      <c r="X85" s="2" t="n">
        <v>0</v>
      </c>
      <c r="Y85" s="2" t="n">
        <v>1</v>
      </c>
      <c r="Z85" s="2" t="n">
        <v>0</v>
      </c>
      <c r="AA85" s="2" t="n">
        <v>0</v>
      </c>
      <c r="AB85" s="2" t="n">
        <v>1</v>
      </c>
      <c r="AC85" s="2"/>
    </row>
    <row r="86" customFormat="false" ht="15" hidden="false" customHeight="false" outlineLevel="0" collapsed="false">
      <c r="A86" s="2" t="n">
        <v>14</v>
      </c>
      <c r="B86" s="2" t="s">
        <v>216</v>
      </c>
      <c r="C86" s="2" t="s">
        <v>223</v>
      </c>
      <c r="D86" s="2" t="s">
        <v>1461</v>
      </c>
      <c r="E86" s="2" t="s">
        <v>1154</v>
      </c>
      <c r="F86" s="2" t="s">
        <v>1178</v>
      </c>
      <c r="G86" s="2" t="s">
        <v>1462</v>
      </c>
      <c r="H86" s="2" t="s">
        <v>1463</v>
      </c>
      <c r="I86" s="2" t="s">
        <v>1406</v>
      </c>
      <c r="J86" s="2" t="s">
        <v>1464</v>
      </c>
      <c r="K86" s="2" t="n">
        <v>2</v>
      </c>
      <c r="L86" s="2" t="n">
        <v>756</v>
      </c>
      <c r="M86" s="2" t="n">
        <v>598</v>
      </c>
      <c r="N86" s="2" t="n">
        <v>483</v>
      </c>
      <c r="O86" s="2" t="n">
        <v>158</v>
      </c>
      <c r="P86" s="2" t="n">
        <v>0</v>
      </c>
      <c r="Q86" s="2" t="n">
        <v>0</v>
      </c>
      <c r="R86" s="2" t="n">
        <v>0</v>
      </c>
      <c r="S86" s="2" t="n">
        <v>2</v>
      </c>
      <c r="T86" s="2" t="n">
        <v>2</v>
      </c>
      <c r="U86" s="2" t="n">
        <v>0</v>
      </c>
      <c r="V86" s="2" t="n">
        <v>0</v>
      </c>
      <c r="W86" s="2" t="n">
        <v>0</v>
      </c>
      <c r="X86" s="2" t="n">
        <v>0</v>
      </c>
      <c r="Y86" s="2" t="n">
        <v>1</v>
      </c>
      <c r="Z86" s="2" t="n">
        <v>0</v>
      </c>
      <c r="AA86" s="2" t="n">
        <v>0</v>
      </c>
      <c r="AB86" s="2" t="n">
        <v>1</v>
      </c>
      <c r="AC86" s="2"/>
    </row>
    <row r="87" customFormat="false" ht="15" hidden="false" customHeight="false" outlineLevel="0" collapsed="false">
      <c r="A87" s="2" t="n">
        <v>14</v>
      </c>
      <c r="B87" s="2" t="s">
        <v>216</v>
      </c>
      <c r="C87" s="2" t="s">
        <v>223</v>
      </c>
      <c r="D87" s="2" t="s">
        <v>1465</v>
      </c>
      <c r="E87" s="2" t="s">
        <v>1154</v>
      </c>
      <c r="F87" s="2" t="s">
        <v>1155</v>
      </c>
      <c r="G87" s="2" t="s">
        <v>1466</v>
      </c>
      <c r="H87" s="2" t="s">
        <v>1467</v>
      </c>
      <c r="I87" s="2" t="s">
        <v>1133</v>
      </c>
      <c r="J87" s="2" t="s">
        <v>1468</v>
      </c>
      <c r="K87" s="2" t="n">
        <v>22</v>
      </c>
      <c r="L87" s="2" t="n">
        <v>11765</v>
      </c>
      <c r="M87" s="2" t="n">
        <v>2362</v>
      </c>
      <c r="N87" s="2" t="n">
        <v>2266</v>
      </c>
      <c r="O87" s="2" t="n">
        <v>7368</v>
      </c>
      <c r="P87" s="2" t="n">
        <v>2035</v>
      </c>
      <c r="Q87" s="2" t="n">
        <v>0</v>
      </c>
      <c r="R87" s="2" t="n">
        <v>0</v>
      </c>
      <c r="S87" s="2" t="n">
        <v>109</v>
      </c>
      <c r="T87" s="2" t="n">
        <v>95</v>
      </c>
      <c r="U87" s="2" t="n">
        <v>10</v>
      </c>
      <c r="V87" s="2" t="n">
        <v>1</v>
      </c>
      <c r="W87" s="2" t="n">
        <v>3</v>
      </c>
      <c r="X87" s="2" t="n">
        <v>0</v>
      </c>
      <c r="Y87" s="2" t="n">
        <v>35</v>
      </c>
      <c r="Z87" s="2" t="n">
        <v>11</v>
      </c>
      <c r="AA87" s="2" t="n">
        <v>1</v>
      </c>
      <c r="AB87" s="2" t="n">
        <v>62</v>
      </c>
      <c r="AC87" s="2"/>
    </row>
    <row r="88" customFormat="false" ht="15" hidden="false" customHeight="false" outlineLevel="0" collapsed="false">
      <c r="A88" s="2" t="n">
        <v>14</v>
      </c>
      <c r="B88" s="2" t="s">
        <v>216</v>
      </c>
      <c r="C88" s="2" t="s">
        <v>223</v>
      </c>
      <c r="D88" s="2" t="s">
        <v>1469</v>
      </c>
      <c r="E88" s="2" t="s">
        <v>1154</v>
      </c>
      <c r="F88" s="2" t="s">
        <v>1178</v>
      </c>
      <c r="G88" s="2" t="s">
        <v>1470</v>
      </c>
      <c r="H88" s="2" t="s">
        <v>1471</v>
      </c>
      <c r="I88" s="2" t="s">
        <v>1406</v>
      </c>
      <c r="J88" s="2" t="s">
        <v>1472</v>
      </c>
      <c r="K88" s="2" t="n">
        <v>2</v>
      </c>
      <c r="L88" s="2" t="n">
        <v>591</v>
      </c>
      <c r="M88" s="2" t="n">
        <v>467</v>
      </c>
      <c r="N88" s="2" t="n">
        <v>360</v>
      </c>
      <c r="O88" s="2" t="n">
        <v>124</v>
      </c>
      <c r="P88" s="2" t="n">
        <v>0</v>
      </c>
      <c r="Q88" s="2" t="n">
        <v>0</v>
      </c>
      <c r="R88" s="2" t="n">
        <v>0</v>
      </c>
      <c r="S88" s="2" t="n">
        <v>0</v>
      </c>
      <c r="T88" s="2" t="n">
        <v>0</v>
      </c>
      <c r="U88" s="2" t="n">
        <v>0</v>
      </c>
      <c r="V88" s="2" t="n">
        <v>0</v>
      </c>
      <c r="W88" s="2" t="n">
        <v>0</v>
      </c>
      <c r="X88" s="2" t="n">
        <v>0</v>
      </c>
      <c r="Y88" s="2" t="n">
        <v>0</v>
      </c>
      <c r="Z88" s="2" t="n">
        <v>0</v>
      </c>
      <c r="AA88" s="2" t="n">
        <v>0</v>
      </c>
      <c r="AB88" s="2" t="n">
        <v>0</v>
      </c>
      <c r="AC88" s="2"/>
    </row>
    <row r="89" customFormat="false" ht="15" hidden="false" customHeight="false" outlineLevel="0" collapsed="false">
      <c r="A89" s="2" t="n">
        <v>14</v>
      </c>
      <c r="B89" s="2" t="s">
        <v>216</v>
      </c>
      <c r="C89" s="2" t="s">
        <v>223</v>
      </c>
      <c r="D89" s="2" t="s">
        <v>1473</v>
      </c>
      <c r="E89" s="2" t="s">
        <v>1154</v>
      </c>
      <c r="F89" s="2" t="s">
        <v>1178</v>
      </c>
      <c r="G89" s="2" t="s">
        <v>1474</v>
      </c>
      <c r="H89" s="2" t="s">
        <v>1475</v>
      </c>
      <c r="I89" s="2" t="s">
        <v>1406</v>
      </c>
      <c r="J89" s="2" t="s">
        <v>1476</v>
      </c>
      <c r="K89" s="2" t="n">
        <v>2</v>
      </c>
      <c r="L89" s="2" t="n">
        <v>785</v>
      </c>
      <c r="M89" s="2" t="n">
        <v>577</v>
      </c>
      <c r="N89" s="2" t="n">
        <v>475</v>
      </c>
      <c r="O89" s="2" t="n">
        <v>208</v>
      </c>
      <c r="P89" s="2" t="n">
        <v>0</v>
      </c>
      <c r="Q89" s="2" t="n">
        <v>0</v>
      </c>
      <c r="R89" s="2" t="n">
        <v>0</v>
      </c>
      <c r="S89" s="2" t="n">
        <v>1</v>
      </c>
      <c r="T89" s="2" t="n">
        <v>1</v>
      </c>
      <c r="U89" s="2" t="n">
        <v>0</v>
      </c>
      <c r="V89" s="2" t="n">
        <v>0</v>
      </c>
      <c r="W89" s="2" t="n">
        <v>0</v>
      </c>
      <c r="X89" s="2" t="n">
        <v>0</v>
      </c>
      <c r="Y89" s="2" t="n">
        <v>0</v>
      </c>
      <c r="Z89" s="2" t="n">
        <v>0</v>
      </c>
      <c r="AA89" s="2" t="n">
        <v>0</v>
      </c>
      <c r="AB89" s="2" t="n">
        <v>1</v>
      </c>
      <c r="AC89" s="2"/>
    </row>
    <row r="90" customFormat="false" ht="15" hidden="false" customHeight="false" outlineLevel="0" collapsed="false">
      <c r="A90" s="2" t="n">
        <v>14</v>
      </c>
      <c r="B90" s="2" t="s">
        <v>216</v>
      </c>
      <c r="C90" s="2" t="s">
        <v>223</v>
      </c>
      <c r="D90" s="2" t="s">
        <v>1477</v>
      </c>
      <c r="E90" s="2" t="s">
        <v>1154</v>
      </c>
      <c r="F90" s="2" t="s">
        <v>1178</v>
      </c>
      <c r="G90" s="2" t="s">
        <v>1478</v>
      </c>
      <c r="H90" s="2" t="s">
        <v>1479</v>
      </c>
      <c r="I90" s="2" t="s">
        <v>1406</v>
      </c>
      <c r="J90" s="2" t="s">
        <v>1480</v>
      </c>
      <c r="K90" s="2" t="n">
        <v>1</v>
      </c>
      <c r="L90" s="2" t="n">
        <v>478</v>
      </c>
      <c r="M90" s="2" t="n">
        <v>379</v>
      </c>
      <c r="N90" s="2" t="n">
        <v>275</v>
      </c>
      <c r="O90" s="2" t="n">
        <v>99</v>
      </c>
      <c r="P90" s="2" t="n">
        <v>0</v>
      </c>
      <c r="Q90" s="2" t="n">
        <v>0</v>
      </c>
      <c r="R90" s="2" t="n">
        <v>0</v>
      </c>
      <c r="S90" s="2" t="n">
        <v>0</v>
      </c>
      <c r="T90" s="2" t="n">
        <v>0</v>
      </c>
      <c r="U90" s="2" t="n">
        <v>0</v>
      </c>
      <c r="V90" s="2" t="n">
        <v>0</v>
      </c>
      <c r="W90" s="2" t="n">
        <v>0</v>
      </c>
      <c r="X90" s="2" t="n">
        <v>0</v>
      </c>
      <c r="Y90" s="2" t="n">
        <v>0</v>
      </c>
      <c r="Z90" s="2" t="n">
        <v>0</v>
      </c>
      <c r="AA90" s="2" t="n">
        <v>0</v>
      </c>
      <c r="AB90" s="2" t="n">
        <v>0</v>
      </c>
      <c r="AC90" s="2"/>
    </row>
    <row r="91" customFormat="false" ht="15" hidden="false" customHeight="false" outlineLevel="0" collapsed="false">
      <c r="A91" s="2" t="n">
        <v>14</v>
      </c>
      <c r="B91" s="2" t="s">
        <v>216</v>
      </c>
      <c r="C91" s="2" t="s">
        <v>223</v>
      </c>
      <c r="D91" s="2" t="s">
        <v>1481</v>
      </c>
      <c r="E91" s="2" t="s">
        <v>1154</v>
      </c>
      <c r="F91" s="2" t="s">
        <v>1178</v>
      </c>
      <c r="G91" s="2" t="s">
        <v>1482</v>
      </c>
      <c r="H91" s="2" t="s">
        <v>1483</v>
      </c>
      <c r="I91" s="2" t="s">
        <v>1406</v>
      </c>
      <c r="J91" s="2" t="s">
        <v>1484</v>
      </c>
      <c r="K91" s="2" t="n">
        <v>2</v>
      </c>
      <c r="L91" s="2" t="n">
        <v>617</v>
      </c>
      <c r="M91" s="2" t="n">
        <v>501</v>
      </c>
      <c r="N91" s="2" t="n">
        <v>399</v>
      </c>
      <c r="O91" s="2" t="n">
        <v>116</v>
      </c>
      <c r="P91" s="2" t="n">
        <v>0</v>
      </c>
      <c r="Q91" s="2" t="n">
        <v>0</v>
      </c>
      <c r="R91" s="2" t="n">
        <v>0</v>
      </c>
      <c r="S91" s="2" t="n">
        <v>0</v>
      </c>
      <c r="T91" s="2" t="n">
        <v>0</v>
      </c>
      <c r="U91" s="2" t="n">
        <v>0</v>
      </c>
      <c r="V91" s="2" t="n">
        <v>0</v>
      </c>
      <c r="W91" s="2" t="n">
        <v>0</v>
      </c>
      <c r="X91" s="2" t="n">
        <v>0</v>
      </c>
      <c r="Y91" s="2" t="n">
        <v>0</v>
      </c>
      <c r="Z91" s="2" t="n">
        <v>0</v>
      </c>
      <c r="AA91" s="2" t="n">
        <v>0</v>
      </c>
      <c r="AB91" s="2" t="n">
        <v>0</v>
      </c>
      <c r="AC91" s="2"/>
    </row>
    <row r="92" customFormat="false" ht="15" hidden="false" customHeight="false" outlineLevel="0" collapsed="false">
      <c r="A92" s="2" t="n">
        <v>14</v>
      </c>
      <c r="B92" s="2" t="s">
        <v>216</v>
      </c>
      <c r="C92" s="2" t="s">
        <v>223</v>
      </c>
      <c r="D92" s="2" t="s">
        <v>1485</v>
      </c>
      <c r="E92" s="2" t="s">
        <v>1154</v>
      </c>
      <c r="F92" s="2" t="s">
        <v>1178</v>
      </c>
      <c r="G92" s="2" t="s">
        <v>1486</v>
      </c>
      <c r="H92" s="2" t="s">
        <v>1487</v>
      </c>
      <c r="I92" s="2" t="s">
        <v>1406</v>
      </c>
      <c r="J92" s="2" t="s">
        <v>1488</v>
      </c>
      <c r="K92" s="2" t="n">
        <v>2</v>
      </c>
      <c r="L92" s="2" t="n">
        <v>1171</v>
      </c>
      <c r="M92" s="2" t="n">
        <v>797</v>
      </c>
      <c r="N92" s="2" t="n">
        <v>692</v>
      </c>
      <c r="O92" s="2" t="n">
        <v>374</v>
      </c>
      <c r="P92" s="2" t="n">
        <v>0</v>
      </c>
      <c r="Q92" s="2" t="n">
        <v>0</v>
      </c>
      <c r="R92" s="2" t="n">
        <v>0</v>
      </c>
      <c r="S92" s="2" t="n">
        <v>2</v>
      </c>
      <c r="T92" s="2" t="n">
        <v>2</v>
      </c>
      <c r="U92" s="2" t="n">
        <v>0</v>
      </c>
      <c r="V92" s="2" t="n">
        <v>0</v>
      </c>
      <c r="W92" s="2" t="n">
        <v>0</v>
      </c>
      <c r="X92" s="2" t="n">
        <v>0</v>
      </c>
      <c r="Y92" s="2" t="n">
        <v>0</v>
      </c>
      <c r="Z92" s="2" t="n">
        <v>0</v>
      </c>
      <c r="AA92" s="2" t="n">
        <v>0</v>
      </c>
      <c r="AB92" s="2" t="n">
        <v>2</v>
      </c>
      <c r="AC92" s="2"/>
    </row>
    <row r="93" customFormat="false" ht="15" hidden="false" customHeight="false" outlineLevel="0" collapsed="false">
      <c r="A93" s="2" t="n">
        <v>14</v>
      </c>
      <c r="B93" s="2" t="s">
        <v>216</v>
      </c>
      <c r="C93" s="2" t="s">
        <v>223</v>
      </c>
      <c r="D93" s="2" t="s">
        <v>1489</v>
      </c>
      <c r="E93" s="2" t="s">
        <v>1154</v>
      </c>
      <c r="F93" s="2" t="s">
        <v>1178</v>
      </c>
      <c r="G93" s="2" t="s">
        <v>1490</v>
      </c>
      <c r="H93" s="2" t="s">
        <v>1491</v>
      </c>
      <c r="I93" s="2" t="s">
        <v>1406</v>
      </c>
      <c r="J93" s="2" t="s">
        <v>1492</v>
      </c>
      <c r="K93" s="2" t="n">
        <v>2</v>
      </c>
      <c r="L93" s="2" t="n">
        <v>815</v>
      </c>
      <c r="M93" s="2" t="n">
        <v>669</v>
      </c>
      <c r="N93" s="2" t="n">
        <v>567</v>
      </c>
      <c r="O93" s="2" t="n">
        <v>146</v>
      </c>
      <c r="P93" s="2" t="n">
        <v>0</v>
      </c>
      <c r="Q93" s="2" t="n">
        <v>0</v>
      </c>
      <c r="R93" s="2" t="n">
        <v>0</v>
      </c>
      <c r="S93" s="2" t="n">
        <v>2</v>
      </c>
      <c r="T93" s="2" t="n">
        <v>1</v>
      </c>
      <c r="U93" s="2" t="n">
        <v>0</v>
      </c>
      <c r="V93" s="2" t="n">
        <v>1</v>
      </c>
      <c r="W93" s="2" t="n">
        <v>0</v>
      </c>
      <c r="X93" s="2" t="n">
        <v>0</v>
      </c>
      <c r="Y93" s="2" t="n">
        <v>0</v>
      </c>
      <c r="Z93" s="2" t="n">
        <v>0</v>
      </c>
      <c r="AA93" s="2" t="n">
        <v>0</v>
      </c>
      <c r="AB93" s="2" t="n">
        <v>2</v>
      </c>
      <c r="AC93" s="2"/>
    </row>
    <row r="94" customFormat="false" ht="15" hidden="false" customHeight="false" outlineLevel="0" collapsed="false">
      <c r="A94" s="2" t="n">
        <v>14</v>
      </c>
      <c r="B94" s="2" t="s">
        <v>216</v>
      </c>
      <c r="C94" s="2" t="s">
        <v>223</v>
      </c>
      <c r="D94" s="2" t="s">
        <v>1493</v>
      </c>
      <c r="E94" s="2" t="s">
        <v>1154</v>
      </c>
      <c r="F94" s="2" t="s">
        <v>1178</v>
      </c>
      <c r="G94" s="2" t="s">
        <v>1494</v>
      </c>
      <c r="H94" s="2" t="s">
        <v>1495</v>
      </c>
      <c r="I94" s="2" t="s">
        <v>1406</v>
      </c>
      <c r="J94" s="2" t="s">
        <v>1496</v>
      </c>
      <c r="K94" s="2" t="n">
        <v>2</v>
      </c>
      <c r="L94" s="2" t="n">
        <v>825</v>
      </c>
      <c r="M94" s="2" t="n">
        <v>640</v>
      </c>
      <c r="N94" s="2" t="n">
        <v>538</v>
      </c>
      <c r="O94" s="2" t="n">
        <v>185</v>
      </c>
      <c r="P94" s="2" t="n">
        <v>0</v>
      </c>
      <c r="Q94" s="2" t="n">
        <v>0</v>
      </c>
      <c r="R94" s="2" t="n">
        <v>0</v>
      </c>
      <c r="S94" s="2" t="n">
        <v>1</v>
      </c>
      <c r="T94" s="2" t="n">
        <v>1</v>
      </c>
      <c r="U94" s="2" t="n">
        <v>0</v>
      </c>
      <c r="V94" s="2" t="n">
        <v>0</v>
      </c>
      <c r="W94" s="2" t="n">
        <v>0</v>
      </c>
      <c r="X94" s="2" t="n">
        <v>0</v>
      </c>
      <c r="Y94" s="2" t="n">
        <v>0</v>
      </c>
      <c r="Z94" s="2" t="n">
        <v>0</v>
      </c>
      <c r="AA94" s="2" t="n">
        <v>0</v>
      </c>
      <c r="AB94" s="2" t="n">
        <v>1</v>
      </c>
      <c r="AC94" s="2"/>
    </row>
    <row r="95" customFormat="false" ht="15" hidden="false" customHeight="false" outlineLevel="0" collapsed="false">
      <c r="A95" s="2" t="n">
        <v>14</v>
      </c>
      <c r="B95" s="2" t="s">
        <v>216</v>
      </c>
      <c r="C95" s="2" t="s">
        <v>223</v>
      </c>
      <c r="D95" s="2" t="s">
        <v>1497</v>
      </c>
      <c r="E95" s="2" t="s">
        <v>1137</v>
      </c>
      <c r="F95" s="2" t="s">
        <v>1138</v>
      </c>
      <c r="G95" s="2" t="s">
        <v>1498</v>
      </c>
      <c r="H95" s="2" t="s">
        <v>1499</v>
      </c>
      <c r="I95" s="2" t="s">
        <v>1133</v>
      </c>
      <c r="J95" s="2" t="s">
        <v>1500</v>
      </c>
      <c r="K95" s="2" t="n">
        <v>7</v>
      </c>
      <c r="L95" s="2" t="n">
        <v>4301</v>
      </c>
      <c r="M95" s="2" t="n">
        <v>1294</v>
      </c>
      <c r="N95" s="2" t="n">
        <v>1190</v>
      </c>
      <c r="O95" s="2" t="n">
        <v>3007</v>
      </c>
      <c r="P95" s="2" t="n">
        <v>0</v>
      </c>
      <c r="Q95" s="2" t="n">
        <v>0</v>
      </c>
      <c r="R95" s="2" t="n">
        <v>0</v>
      </c>
      <c r="S95" s="2" t="n">
        <v>53</v>
      </c>
      <c r="T95" s="2" t="n">
        <v>52</v>
      </c>
      <c r="U95" s="2" t="n">
        <v>1</v>
      </c>
      <c r="V95" s="2" t="n">
        <v>0</v>
      </c>
      <c r="W95" s="2" t="n">
        <v>0</v>
      </c>
      <c r="X95" s="2" t="n">
        <v>0</v>
      </c>
      <c r="Y95" s="2" t="n">
        <v>16</v>
      </c>
      <c r="Z95" s="2" t="n">
        <v>24</v>
      </c>
      <c r="AA95" s="2" t="n">
        <v>0</v>
      </c>
      <c r="AB95" s="2" t="n">
        <v>13</v>
      </c>
      <c r="AC95" s="2"/>
    </row>
    <row r="96" customFormat="false" ht="15" hidden="false" customHeight="false" outlineLevel="0" collapsed="false">
      <c r="A96" s="2" t="n">
        <v>14</v>
      </c>
      <c r="B96" s="2" t="s">
        <v>216</v>
      </c>
      <c r="C96" s="2" t="s">
        <v>223</v>
      </c>
      <c r="D96" s="2" t="s">
        <v>1501</v>
      </c>
      <c r="E96" s="2" t="s">
        <v>1154</v>
      </c>
      <c r="F96" s="2" t="s">
        <v>1178</v>
      </c>
      <c r="G96" s="2" t="s">
        <v>1502</v>
      </c>
      <c r="H96" s="2" t="s">
        <v>1503</v>
      </c>
      <c r="I96" s="2" t="s">
        <v>1406</v>
      </c>
      <c r="J96" s="2" t="s">
        <v>1504</v>
      </c>
      <c r="K96" s="2" t="n">
        <v>1</v>
      </c>
      <c r="L96" s="2" t="n">
        <v>585</v>
      </c>
      <c r="M96" s="2" t="n">
        <v>482</v>
      </c>
      <c r="N96" s="2" t="n">
        <v>362</v>
      </c>
      <c r="O96" s="2" t="n">
        <v>103</v>
      </c>
      <c r="P96" s="2" t="n">
        <v>0</v>
      </c>
      <c r="Q96" s="2" t="n">
        <v>0</v>
      </c>
      <c r="R96" s="2" t="n">
        <v>0</v>
      </c>
      <c r="S96" s="2" t="n">
        <v>2</v>
      </c>
      <c r="T96" s="2" t="n">
        <v>2</v>
      </c>
      <c r="U96" s="2" t="n">
        <v>0</v>
      </c>
      <c r="V96" s="2" t="n">
        <v>0</v>
      </c>
      <c r="W96" s="2" t="n">
        <v>0</v>
      </c>
      <c r="X96" s="2" t="n">
        <v>0</v>
      </c>
      <c r="Y96" s="2" t="n">
        <v>0</v>
      </c>
      <c r="Z96" s="2" t="n">
        <v>0</v>
      </c>
      <c r="AA96" s="2" t="n">
        <v>1</v>
      </c>
      <c r="AB96" s="2" t="n">
        <v>1</v>
      </c>
      <c r="AC96" s="2"/>
    </row>
    <row r="97" customFormat="false" ht="15" hidden="false" customHeight="false" outlineLevel="0" collapsed="false">
      <c r="A97" s="2" t="n">
        <v>14</v>
      </c>
      <c r="B97" s="2" t="s">
        <v>216</v>
      </c>
      <c r="C97" s="2" t="s">
        <v>223</v>
      </c>
      <c r="D97" s="2" t="s">
        <v>1505</v>
      </c>
      <c r="E97" s="2" t="s">
        <v>1154</v>
      </c>
      <c r="F97" s="2" t="s">
        <v>1178</v>
      </c>
      <c r="G97" s="2" t="s">
        <v>1502</v>
      </c>
      <c r="H97" s="2" t="s">
        <v>1506</v>
      </c>
      <c r="I97" s="2" t="s">
        <v>1406</v>
      </c>
      <c r="J97" s="2" t="s">
        <v>1507</v>
      </c>
      <c r="K97" s="2" t="n">
        <v>2</v>
      </c>
      <c r="L97" s="2" t="n">
        <v>1235</v>
      </c>
      <c r="M97" s="2" t="n">
        <v>845</v>
      </c>
      <c r="N97" s="2" t="n">
        <v>726</v>
      </c>
      <c r="O97" s="2" t="n">
        <v>390</v>
      </c>
      <c r="P97" s="2" t="n">
        <v>0</v>
      </c>
      <c r="Q97" s="2" t="n">
        <v>0</v>
      </c>
      <c r="R97" s="2" t="n">
        <v>0</v>
      </c>
      <c r="S97" s="2" t="n">
        <v>6</v>
      </c>
      <c r="T97" s="2" t="n">
        <v>6</v>
      </c>
      <c r="U97" s="2" t="n">
        <v>0</v>
      </c>
      <c r="V97" s="2" t="n">
        <v>0</v>
      </c>
      <c r="W97" s="2" t="n">
        <v>0</v>
      </c>
      <c r="X97" s="2" t="n">
        <v>0</v>
      </c>
      <c r="Y97" s="2" t="n">
        <v>0</v>
      </c>
      <c r="Z97" s="2" t="n">
        <v>2</v>
      </c>
      <c r="AA97" s="2" t="n">
        <v>0</v>
      </c>
      <c r="AB97" s="2" t="n">
        <v>4</v>
      </c>
      <c r="AC97" s="2"/>
    </row>
    <row r="98" customFormat="false" ht="15" hidden="false" customHeight="false" outlineLevel="0" collapsed="false">
      <c r="A98" s="2" t="n">
        <v>14</v>
      </c>
      <c r="B98" s="2" t="s">
        <v>216</v>
      </c>
      <c r="C98" s="2" t="s">
        <v>223</v>
      </c>
      <c r="D98" s="2" t="s">
        <v>1508</v>
      </c>
      <c r="E98" s="2" t="s">
        <v>1154</v>
      </c>
      <c r="F98" s="2" t="s">
        <v>1178</v>
      </c>
      <c r="G98" s="2" t="s">
        <v>1054</v>
      </c>
      <c r="H98" s="2" t="s">
        <v>1509</v>
      </c>
      <c r="I98" s="2" t="s">
        <v>1406</v>
      </c>
      <c r="J98" s="2" t="s">
        <v>1510</v>
      </c>
      <c r="K98" s="2" t="n">
        <v>2</v>
      </c>
      <c r="L98" s="2" t="n">
        <v>663</v>
      </c>
      <c r="M98" s="2" t="n">
        <v>616</v>
      </c>
      <c r="N98" s="2" t="n">
        <v>500</v>
      </c>
      <c r="O98" s="2" t="n">
        <v>47</v>
      </c>
      <c r="P98" s="2" t="n">
        <v>0</v>
      </c>
      <c r="Q98" s="2" t="n">
        <v>0</v>
      </c>
      <c r="R98" s="2" t="n">
        <v>0</v>
      </c>
      <c r="S98" s="2" t="n">
        <v>0</v>
      </c>
      <c r="T98" s="2" t="n">
        <v>0</v>
      </c>
      <c r="U98" s="2" t="n">
        <v>0</v>
      </c>
      <c r="V98" s="2" t="n">
        <v>0</v>
      </c>
      <c r="W98" s="2" t="n">
        <v>0</v>
      </c>
      <c r="X98" s="2" t="n">
        <v>0</v>
      </c>
      <c r="Y98" s="2" t="n">
        <v>0</v>
      </c>
      <c r="Z98" s="2" t="n">
        <v>0</v>
      </c>
      <c r="AA98" s="2" t="n">
        <v>0</v>
      </c>
      <c r="AB98" s="2" t="n">
        <v>0</v>
      </c>
      <c r="AC98" s="2"/>
    </row>
    <row r="99" customFormat="false" ht="15" hidden="false" customHeight="false" outlineLevel="0" collapsed="false">
      <c r="A99" s="2" t="n">
        <v>14</v>
      </c>
      <c r="B99" s="2" t="s">
        <v>216</v>
      </c>
      <c r="C99" s="2" t="s">
        <v>223</v>
      </c>
      <c r="D99" s="2" t="s">
        <v>1511</v>
      </c>
      <c r="E99" s="2" t="s">
        <v>1154</v>
      </c>
      <c r="F99" s="2" t="s">
        <v>1178</v>
      </c>
      <c r="G99" s="2" t="s">
        <v>1512</v>
      </c>
      <c r="H99" s="2" t="s">
        <v>1513</v>
      </c>
      <c r="I99" s="2" t="s">
        <v>1406</v>
      </c>
      <c r="J99" s="2" t="s">
        <v>1514</v>
      </c>
      <c r="K99" s="2" t="n">
        <v>2</v>
      </c>
      <c r="L99" s="2" t="n">
        <v>709</v>
      </c>
      <c r="M99" s="2" t="n">
        <v>528</v>
      </c>
      <c r="N99" s="2" t="n">
        <v>426</v>
      </c>
      <c r="O99" s="2" t="n">
        <v>181</v>
      </c>
      <c r="P99" s="2" t="n">
        <v>0</v>
      </c>
      <c r="Q99" s="2" t="n">
        <v>0</v>
      </c>
      <c r="R99" s="2" t="n">
        <v>0</v>
      </c>
      <c r="S99" s="2" t="n">
        <v>0</v>
      </c>
      <c r="T99" s="2" t="n">
        <v>0</v>
      </c>
      <c r="U99" s="2" t="n">
        <v>0</v>
      </c>
      <c r="V99" s="2" t="n">
        <v>0</v>
      </c>
      <c r="W99" s="2" t="n">
        <v>0</v>
      </c>
      <c r="X99" s="2" t="n">
        <v>0</v>
      </c>
      <c r="Y99" s="2" t="n">
        <v>0</v>
      </c>
      <c r="Z99" s="2" t="n">
        <v>0</v>
      </c>
      <c r="AA99" s="2" t="n">
        <v>0</v>
      </c>
      <c r="AB99" s="2" t="n">
        <v>0</v>
      </c>
      <c r="AC99" s="2"/>
    </row>
    <row r="100" customFormat="false" ht="15" hidden="false" customHeight="false" outlineLevel="0" collapsed="false">
      <c r="A100" s="2" t="n">
        <v>14</v>
      </c>
      <c r="B100" s="2" t="s">
        <v>216</v>
      </c>
      <c r="C100" s="2" t="s">
        <v>223</v>
      </c>
      <c r="D100" s="2" t="s">
        <v>1515</v>
      </c>
      <c r="E100" s="2" t="s">
        <v>1154</v>
      </c>
      <c r="F100" s="2" t="s">
        <v>1178</v>
      </c>
      <c r="G100" s="2" t="s">
        <v>1516</v>
      </c>
      <c r="H100" s="2" t="s">
        <v>1517</v>
      </c>
      <c r="I100" s="2" t="s">
        <v>1406</v>
      </c>
      <c r="J100" s="2" t="s">
        <v>1518</v>
      </c>
      <c r="K100" s="2" t="n">
        <v>2</v>
      </c>
      <c r="L100" s="2" t="n">
        <v>617</v>
      </c>
      <c r="M100" s="2" t="n">
        <v>494</v>
      </c>
      <c r="N100" s="2" t="n">
        <v>389</v>
      </c>
      <c r="O100" s="2" t="n">
        <v>123</v>
      </c>
      <c r="P100" s="2" t="n">
        <v>0</v>
      </c>
      <c r="Q100" s="2" t="n">
        <v>0</v>
      </c>
      <c r="R100" s="2" t="n">
        <v>0</v>
      </c>
      <c r="S100" s="2" t="n">
        <v>0</v>
      </c>
      <c r="T100" s="2" t="n">
        <v>0</v>
      </c>
      <c r="U100" s="2" t="n">
        <v>0</v>
      </c>
      <c r="V100" s="2" t="n">
        <v>0</v>
      </c>
      <c r="W100" s="2" t="n">
        <v>0</v>
      </c>
      <c r="X100" s="2" t="n">
        <v>0</v>
      </c>
      <c r="Y100" s="2" t="n">
        <v>0</v>
      </c>
      <c r="Z100" s="2" t="n">
        <v>0</v>
      </c>
      <c r="AA100" s="2" t="n">
        <v>0</v>
      </c>
      <c r="AB100" s="2" t="n">
        <v>0</v>
      </c>
      <c r="AC100" s="2"/>
    </row>
    <row r="101" customFormat="false" ht="15" hidden="false" customHeight="false" outlineLevel="0" collapsed="false">
      <c r="A101" s="2" t="n">
        <v>14</v>
      </c>
      <c r="B101" s="2" t="s">
        <v>216</v>
      </c>
      <c r="C101" s="2" t="s">
        <v>223</v>
      </c>
      <c r="D101" s="2" t="s">
        <v>1519</v>
      </c>
      <c r="E101" s="2" t="s">
        <v>1154</v>
      </c>
      <c r="F101" s="2" t="s">
        <v>1178</v>
      </c>
      <c r="G101" s="2" t="s">
        <v>1516</v>
      </c>
      <c r="H101" s="2" t="s">
        <v>1520</v>
      </c>
      <c r="I101" s="2" t="s">
        <v>1406</v>
      </c>
      <c r="J101" s="2" t="s">
        <v>1521</v>
      </c>
      <c r="K101" s="2" t="n">
        <v>1</v>
      </c>
      <c r="L101" s="2" t="n">
        <v>568</v>
      </c>
      <c r="M101" s="2" t="n">
        <v>462</v>
      </c>
      <c r="N101" s="2" t="n">
        <v>357</v>
      </c>
      <c r="O101" s="2" t="n">
        <v>106</v>
      </c>
      <c r="P101" s="2" t="n">
        <v>0</v>
      </c>
      <c r="Q101" s="2" t="n">
        <v>0</v>
      </c>
      <c r="R101" s="2" t="n">
        <v>0</v>
      </c>
      <c r="S101" s="2" t="n">
        <v>0</v>
      </c>
      <c r="T101" s="2" t="n">
        <v>0</v>
      </c>
      <c r="U101" s="2" t="n">
        <v>0</v>
      </c>
      <c r="V101" s="2" t="n">
        <v>0</v>
      </c>
      <c r="W101" s="2" t="n">
        <v>0</v>
      </c>
      <c r="X101" s="2" t="n">
        <v>0</v>
      </c>
      <c r="Y101" s="2" t="n">
        <v>0</v>
      </c>
      <c r="Z101" s="2" t="n">
        <v>0</v>
      </c>
      <c r="AA101" s="2" t="n">
        <v>0</v>
      </c>
      <c r="AB101" s="2" t="n">
        <v>0</v>
      </c>
      <c r="AC101" s="2"/>
    </row>
    <row r="102" customFormat="false" ht="15" hidden="false" customHeight="false" outlineLevel="0" collapsed="false">
      <c r="A102" s="2" t="n">
        <v>14</v>
      </c>
      <c r="B102" s="2" t="s">
        <v>216</v>
      </c>
      <c r="C102" s="2" t="s">
        <v>223</v>
      </c>
      <c r="D102" s="2" t="s">
        <v>1522</v>
      </c>
      <c r="E102" s="2" t="s">
        <v>1154</v>
      </c>
      <c r="F102" s="2" t="s">
        <v>1178</v>
      </c>
      <c r="G102" s="2" t="s">
        <v>1516</v>
      </c>
      <c r="H102" s="2" t="s">
        <v>1523</v>
      </c>
      <c r="I102" s="2" t="s">
        <v>1406</v>
      </c>
      <c r="J102" s="2" t="s">
        <v>1524</v>
      </c>
      <c r="K102" s="2" t="n">
        <v>1</v>
      </c>
      <c r="L102" s="2" t="n">
        <v>615</v>
      </c>
      <c r="M102" s="2" t="n">
        <v>511</v>
      </c>
      <c r="N102" s="2" t="n">
        <v>398</v>
      </c>
      <c r="O102" s="2" t="n">
        <v>104</v>
      </c>
      <c r="P102" s="2" t="n">
        <v>0</v>
      </c>
      <c r="Q102" s="2" t="n">
        <v>0</v>
      </c>
      <c r="R102" s="2" t="n">
        <v>0</v>
      </c>
      <c r="S102" s="2" t="n">
        <v>0</v>
      </c>
      <c r="T102" s="2" t="n">
        <v>0</v>
      </c>
      <c r="U102" s="2" t="n">
        <v>0</v>
      </c>
      <c r="V102" s="2" t="n">
        <v>0</v>
      </c>
      <c r="W102" s="2" t="n">
        <v>0</v>
      </c>
      <c r="X102" s="2" t="n">
        <v>0</v>
      </c>
      <c r="Y102" s="2" t="n">
        <v>0</v>
      </c>
      <c r="Z102" s="2" t="n">
        <v>0</v>
      </c>
      <c r="AA102" s="2" t="n">
        <v>0</v>
      </c>
      <c r="AB102" s="2" t="n">
        <v>0</v>
      </c>
      <c r="AC102" s="2"/>
    </row>
    <row r="103" customFormat="false" ht="15" hidden="false" customHeight="false" outlineLevel="0" collapsed="false">
      <c r="A103" s="2" t="n">
        <v>14</v>
      </c>
      <c r="B103" s="2" t="s">
        <v>216</v>
      </c>
      <c r="C103" s="2" t="s">
        <v>223</v>
      </c>
      <c r="D103" s="2" t="s">
        <v>1525</v>
      </c>
      <c r="E103" s="2" t="s">
        <v>1154</v>
      </c>
      <c r="F103" s="2" t="s">
        <v>1178</v>
      </c>
      <c r="G103" s="2" t="s">
        <v>1516</v>
      </c>
      <c r="H103" s="2" t="s">
        <v>1526</v>
      </c>
      <c r="I103" s="2" t="s">
        <v>1406</v>
      </c>
      <c r="J103" s="2" t="s">
        <v>1527</v>
      </c>
      <c r="K103" s="2" t="n">
        <v>2</v>
      </c>
      <c r="L103" s="2" t="n">
        <v>896</v>
      </c>
      <c r="M103" s="2" t="n">
        <v>790</v>
      </c>
      <c r="N103" s="2" t="n">
        <v>678</v>
      </c>
      <c r="O103" s="2" t="n">
        <v>106</v>
      </c>
      <c r="P103" s="2" t="n">
        <v>0</v>
      </c>
      <c r="Q103" s="2" t="n">
        <v>0</v>
      </c>
      <c r="R103" s="2" t="n">
        <v>0</v>
      </c>
      <c r="S103" s="2" t="n">
        <v>0</v>
      </c>
      <c r="T103" s="2" t="n">
        <v>0</v>
      </c>
      <c r="U103" s="2" t="n">
        <v>0</v>
      </c>
      <c r="V103" s="2" t="n">
        <v>0</v>
      </c>
      <c r="W103" s="2" t="n">
        <v>0</v>
      </c>
      <c r="X103" s="2" t="n">
        <v>0</v>
      </c>
      <c r="Y103" s="2" t="n">
        <v>0</v>
      </c>
      <c r="Z103" s="2" t="n">
        <v>0</v>
      </c>
      <c r="AA103" s="2" t="n">
        <v>0</v>
      </c>
      <c r="AB103" s="2" t="n">
        <v>0</v>
      </c>
      <c r="AC103" s="2"/>
    </row>
    <row r="104" customFormat="false" ht="15" hidden="false" customHeight="false" outlineLevel="0" collapsed="false">
      <c r="A104" s="2" t="n">
        <v>14</v>
      </c>
      <c r="B104" s="2" t="s">
        <v>216</v>
      </c>
      <c r="C104" s="2" t="s">
        <v>223</v>
      </c>
      <c r="D104" s="2" t="s">
        <v>1528</v>
      </c>
      <c r="E104" s="2" t="s">
        <v>1154</v>
      </c>
      <c r="F104" s="2" t="s">
        <v>1178</v>
      </c>
      <c r="G104" s="2" t="s">
        <v>1529</v>
      </c>
      <c r="H104" s="2" t="s">
        <v>1530</v>
      </c>
      <c r="I104" s="2" t="s">
        <v>1406</v>
      </c>
      <c r="J104" s="2" t="s">
        <v>1531</v>
      </c>
      <c r="K104" s="2" t="n">
        <v>2</v>
      </c>
      <c r="L104" s="2" t="n">
        <v>870</v>
      </c>
      <c r="M104" s="2" t="n">
        <v>609</v>
      </c>
      <c r="N104" s="2" t="n">
        <v>504</v>
      </c>
      <c r="O104" s="2" t="n">
        <v>261</v>
      </c>
      <c r="P104" s="2" t="n">
        <v>0</v>
      </c>
      <c r="Q104" s="2" t="n">
        <v>0</v>
      </c>
      <c r="R104" s="2" t="n">
        <v>0</v>
      </c>
      <c r="S104" s="2" t="n">
        <v>0</v>
      </c>
      <c r="T104" s="2" t="n">
        <v>0</v>
      </c>
      <c r="U104" s="2" t="n">
        <v>0</v>
      </c>
      <c r="V104" s="2" t="n">
        <v>0</v>
      </c>
      <c r="W104" s="2" t="n">
        <v>0</v>
      </c>
      <c r="X104" s="2" t="n">
        <v>0</v>
      </c>
      <c r="Y104" s="2" t="n">
        <v>0</v>
      </c>
      <c r="Z104" s="2" t="n">
        <v>0</v>
      </c>
      <c r="AA104" s="2" t="n">
        <v>0</v>
      </c>
      <c r="AB104" s="2" t="n">
        <v>0</v>
      </c>
      <c r="AC104" s="2"/>
    </row>
    <row r="105" customFormat="false" ht="15" hidden="false" customHeight="false" outlineLevel="0" collapsed="false">
      <c r="A105" s="2" t="n">
        <v>14</v>
      </c>
      <c r="B105" s="2" t="s">
        <v>216</v>
      </c>
      <c r="C105" s="2" t="s">
        <v>223</v>
      </c>
      <c r="D105" s="2" t="s">
        <v>1532</v>
      </c>
      <c r="E105" s="2" t="s">
        <v>1154</v>
      </c>
      <c r="F105" s="2" t="s">
        <v>1178</v>
      </c>
      <c r="G105" s="2" t="s">
        <v>1533</v>
      </c>
      <c r="H105" s="2" t="s">
        <v>1534</v>
      </c>
      <c r="I105" s="2" t="s">
        <v>1406</v>
      </c>
      <c r="J105" s="2" t="s">
        <v>1535</v>
      </c>
      <c r="K105" s="2" t="n">
        <v>2</v>
      </c>
      <c r="L105" s="2" t="n">
        <v>1121</v>
      </c>
      <c r="M105" s="2" t="n">
        <v>755</v>
      </c>
      <c r="N105" s="2" t="n">
        <v>644</v>
      </c>
      <c r="O105" s="2" t="n">
        <v>366</v>
      </c>
      <c r="P105" s="2" t="n">
        <v>0</v>
      </c>
      <c r="Q105" s="2" t="n">
        <v>0</v>
      </c>
      <c r="R105" s="2" t="n">
        <v>0</v>
      </c>
      <c r="S105" s="2" t="n">
        <v>3</v>
      </c>
      <c r="T105" s="2" t="n">
        <v>2</v>
      </c>
      <c r="U105" s="2" t="n">
        <v>1</v>
      </c>
      <c r="V105" s="2" t="n">
        <v>0</v>
      </c>
      <c r="W105" s="2" t="n">
        <v>0</v>
      </c>
      <c r="X105" s="2" t="n">
        <v>0</v>
      </c>
      <c r="Y105" s="2" t="n">
        <v>0</v>
      </c>
      <c r="Z105" s="2" t="n">
        <v>0</v>
      </c>
      <c r="AA105" s="2" t="n">
        <v>0</v>
      </c>
      <c r="AB105" s="2" t="n">
        <v>3</v>
      </c>
      <c r="AC105" s="2"/>
    </row>
    <row r="106" customFormat="false" ht="15" hidden="false" customHeight="false" outlineLevel="0" collapsed="false">
      <c r="A106" s="2" t="n">
        <v>14</v>
      </c>
      <c r="B106" s="2" t="s">
        <v>216</v>
      </c>
      <c r="C106" s="2" t="s">
        <v>223</v>
      </c>
      <c r="D106" s="2" t="s">
        <v>1536</v>
      </c>
      <c r="E106" s="2" t="s">
        <v>1154</v>
      </c>
      <c r="F106" s="2" t="s">
        <v>1178</v>
      </c>
      <c r="G106" s="2" t="s">
        <v>1537</v>
      </c>
      <c r="H106" s="2" t="s">
        <v>1538</v>
      </c>
      <c r="I106" s="2" t="s">
        <v>1406</v>
      </c>
      <c r="J106" s="2" t="s">
        <v>1539</v>
      </c>
      <c r="K106" s="2" t="n">
        <v>5</v>
      </c>
      <c r="L106" s="2" t="n">
        <v>2439</v>
      </c>
      <c r="M106" s="2" t="n">
        <v>539</v>
      </c>
      <c r="N106" s="2" t="n">
        <v>431</v>
      </c>
      <c r="O106" s="2" t="n">
        <v>403</v>
      </c>
      <c r="P106" s="2" t="n">
        <v>1497</v>
      </c>
      <c r="Q106" s="2" t="n">
        <v>0</v>
      </c>
      <c r="R106" s="2" t="n">
        <v>0</v>
      </c>
      <c r="S106" s="2" t="n">
        <v>5</v>
      </c>
      <c r="T106" s="2" t="n">
        <v>5</v>
      </c>
      <c r="U106" s="2" t="n">
        <v>0</v>
      </c>
      <c r="V106" s="2" t="n">
        <v>0</v>
      </c>
      <c r="W106" s="2" t="n">
        <v>0</v>
      </c>
      <c r="X106" s="2" t="n">
        <v>0</v>
      </c>
      <c r="Y106" s="2" t="n">
        <v>0</v>
      </c>
      <c r="Z106" s="2" t="n">
        <v>0</v>
      </c>
      <c r="AA106" s="2" t="n">
        <v>1</v>
      </c>
      <c r="AB106" s="2" t="n">
        <v>4</v>
      </c>
      <c r="AC106" s="2"/>
    </row>
    <row r="107" customFormat="false" ht="15" hidden="false" customHeight="false" outlineLevel="0" collapsed="false">
      <c r="A107" s="2" t="n">
        <v>14</v>
      </c>
      <c r="B107" s="2" t="s">
        <v>216</v>
      </c>
      <c r="C107" s="2" t="s">
        <v>223</v>
      </c>
      <c r="D107" s="2" t="s">
        <v>1540</v>
      </c>
      <c r="E107" s="2" t="s">
        <v>1154</v>
      </c>
      <c r="F107" s="2" t="s">
        <v>1155</v>
      </c>
      <c r="G107" s="2" t="s">
        <v>1541</v>
      </c>
      <c r="H107" s="2" t="s">
        <v>1542</v>
      </c>
      <c r="I107" s="2" t="s">
        <v>1133</v>
      </c>
      <c r="J107" s="2" t="s">
        <v>1543</v>
      </c>
      <c r="K107" s="2" t="n">
        <v>9</v>
      </c>
      <c r="L107" s="2" t="n">
        <v>4944</v>
      </c>
      <c r="M107" s="2" t="n">
        <v>1319</v>
      </c>
      <c r="N107" s="2" t="n">
        <v>1226</v>
      </c>
      <c r="O107" s="2" t="n">
        <v>3625</v>
      </c>
      <c r="P107" s="2" t="n">
        <v>0</v>
      </c>
      <c r="Q107" s="2" t="n">
        <v>0</v>
      </c>
      <c r="R107" s="2" t="n">
        <v>0</v>
      </c>
      <c r="S107" s="2" t="n">
        <v>5</v>
      </c>
      <c r="T107" s="2" t="n">
        <v>3</v>
      </c>
      <c r="U107" s="2" t="n">
        <v>2</v>
      </c>
      <c r="V107" s="2" t="n">
        <v>0</v>
      </c>
      <c r="W107" s="2" t="n">
        <v>0</v>
      </c>
      <c r="X107" s="2" t="n">
        <v>0</v>
      </c>
      <c r="Y107" s="2" t="n">
        <v>0</v>
      </c>
      <c r="Z107" s="2" t="n">
        <v>1</v>
      </c>
      <c r="AA107" s="2" t="n">
        <v>0</v>
      </c>
      <c r="AB107" s="2" t="n">
        <v>4</v>
      </c>
      <c r="AC107" s="2"/>
    </row>
    <row r="108" customFormat="false" ht="15" hidden="false" customHeight="false" outlineLevel="0" collapsed="false">
      <c r="A108" s="2" t="n">
        <v>14</v>
      </c>
      <c r="B108" s="2" t="s">
        <v>216</v>
      </c>
      <c r="C108" s="2" t="s">
        <v>223</v>
      </c>
      <c r="D108" s="2" t="s">
        <v>1544</v>
      </c>
      <c r="E108" s="2" t="s">
        <v>1154</v>
      </c>
      <c r="F108" s="2" t="s">
        <v>1178</v>
      </c>
      <c r="G108" s="2" t="s">
        <v>1545</v>
      </c>
      <c r="H108" s="2" t="s">
        <v>1546</v>
      </c>
      <c r="I108" s="2" t="s">
        <v>1406</v>
      </c>
      <c r="J108" s="2" t="s">
        <v>1547</v>
      </c>
      <c r="K108" s="2" t="n">
        <v>2</v>
      </c>
      <c r="L108" s="2" t="n">
        <v>696</v>
      </c>
      <c r="M108" s="2" t="n">
        <v>529</v>
      </c>
      <c r="N108" s="2" t="n">
        <v>425</v>
      </c>
      <c r="O108" s="2" t="n">
        <v>167</v>
      </c>
      <c r="P108" s="2" t="n">
        <v>0</v>
      </c>
      <c r="Q108" s="2" t="n">
        <v>0</v>
      </c>
      <c r="R108" s="2" t="n">
        <v>0</v>
      </c>
      <c r="S108" s="2" t="n">
        <v>2</v>
      </c>
      <c r="T108" s="2" t="n">
        <v>2</v>
      </c>
      <c r="U108" s="2" t="n">
        <v>0</v>
      </c>
      <c r="V108" s="2" t="n">
        <v>0</v>
      </c>
      <c r="W108" s="2" t="n">
        <v>0</v>
      </c>
      <c r="X108" s="2" t="n">
        <v>0</v>
      </c>
      <c r="Y108" s="2" t="n">
        <v>0</v>
      </c>
      <c r="Z108" s="2" t="n">
        <v>0</v>
      </c>
      <c r="AA108" s="2" t="n">
        <v>1</v>
      </c>
      <c r="AB108" s="2" t="n">
        <v>1</v>
      </c>
      <c r="AC108" s="2"/>
    </row>
    <row r="109" customFormat="false" ht="15" hidden="false" customHeight="false" outlineLevel="0" collapsed="false">
      <c r="A109" s="2" t="n">
        <v>14</v>
      </c>
      <c r="B109" s="2" t="s">
        <v>216</v>
      </c>
      <c r="C109" s="2" t="s">
        <v>223</v>
      </c>
      <c r="D109" s="2" t="s">
        <v>1548</v>
      </c>
      <c r="E109" s="2" t="s">
        <v>1154</v>
      </c>
      <c r="F109" s="2" t="s">
        <v>1178</v>
      </c>
      <c r="G109" s="2" t="s">
        <v>1545</v>
      </c>
      <c r="H109" s="2" t="s">
        <v>1549</v>
      </c>
      <c r="I109" s="2" t="s">
        <v>1406</v>
      </c>
      <c r="J109" s="2" t="s">
        <v>1550</v>
      </c>
      <c r="K109" s="2" t="n">
        <v>2</v>
      </c>
      <c r="L109" s="2" t="n">
        <v>665</v>
      </c>
      <c r="M109" s="2" t="n">
        <v>567</v>
      </c>
      <c r="N109" s="2" t="n">
        <v>465</v>
      </c>
      <c r="O109" s="2" t="n">
        <v>98</v>
      </c>
      <c r="P109" s="2" t="n">
        <v>0</v>
      </c>
      <c r="Q109" s="2" t="n">
        <v>0</v>
      </c>
      <c r="R109" s="2" t="n">
        <v>0</v>
      </c>
      <c r="S109" s="2" t="n">
        <v>0</v>
      </c>
      <c r="T109" s="2" t="n">
        <v>0</v>
      </c>
      <c r="U109" s="2" t="n">
        <v>0</v>
      </c>
      <c r="V109" s="2" t="n">
        <v>0</v>
      </c>
      <c r="W109" s="2" t="n">
        <v>0</v>
      </c>
      <c r="X109" s="2" t="n">
        <v>0</v>
      </c>
      <c r="Y109" s="2" t="n">
        <v>0</v>
      </c>
      <c r="Z109" s="2" t="n">
        <v>0</v>
      </c>
      <c r="AA109" s="2" t="n">
        <v>0</v>
      </c>
      <c r="AB109" s="2" t="n">
        <v>0</v>
      </c>
      <c r="AC109" s="2"/>
    </row>
    <row r="110" customFormat="false" ht="15" hidden="false" customHeight="false" outlineLevel="0" collapsed="false">
      <c r="A110" s="2" t="n">
        <v>14</v>
      </c>
      <c r="B110" s="2" t="s">
        <v>216</v>
      </c>
      <c r="C110" s="2" t="s">
        <v>223</v>
      </c>
      <c r="D110" s="2" t="s">
        <v>1551</v>
      </c>
      <c r="E110" s="2" t="s">
        <v>1154</v>
      </c>
      <c r="F110" s="2" t="s">
        <v>1178</v>
      </c>
      <c r="G110" s="2" t="s">
        <v>1545</v>
      </c>
      <c r="H110" s="2" t="s">
        <v>1552</v>
      </c>
      <c r="I110" s="2" t="s">
        <v>1406</v>
      </c>
      <c r="J110" s="2" t="s">
        <v>1553</v>
      </c>
      <c r="K110" s="2" t="n">
        <v>2</v>
      </c>
      <c r="L110" s="2" t="n">
        <v>722</v>
      </c>
      <c r="M110" s="2" t="n">
        <v>607</v>
      </c>
      <c r="N110" s="2" t="n">
        <v>501</v>
      </c>
      <c r="O110" s="2" t="n">
        <v>115</v>
      </c>
      <c r="P110" s="2" t="n">
        <v>0</v>
      </c>
      <c r="Q110" s="2" t="n">
        <v>0</v>
      </c>
      <c r="R110" s="2" t="n">
        <v>0</v>
      </c>
      <c r="S110" s="2" t="n">
        <v>0</v>
      </c>
      <c r="T110" s="2" t="n">
        <v>0</v>
      </c>
      <c r="U110" s="2" t="n">
        <v>0</v>
      </c>
      <c r="V110" s="2" t="n">
        <v>0</v>
      </c>
      <c r="W110" s="2" t="n">
        <v>0</v>
      </c>
      <c r="X110" s="2" t="n">
        <v>0</v>
      </c>
      <c r="Y110" s="2" t="n">
        <v>0</v>
      </c>
      <c r="Z110" s="2" t="n">
        <v>0</v>
      </c>
      <c r="AA110" s="2" t="n">
        <v>0</v>
      </c>
      <c r="AB110" s="2" t="n">
        <v>0</v>
      </c>
      <c r="AC110" s="2"/>
    </row>
    <row r="111" customFormat="false" ht="15" hidden="false" customHeight="false" outlineLevel="0" collapsed="false">
      <c r="A111" s="2" t="n">
        <v>14</v>
      </c>
      <c r="B111" s="2" t="s">
        <v>216</v>
      </c>
      <c r="C111" s="2" t="s">
        <v>223</v>
      </c>
      <c r="D111" s="2" t="s">
        <v>1554</v>
      </c>
      <c r="E111" s="2" t="s">
        <v>1154</v>
      </c>
      <c r="F111" s="2" t="s">
        <v>1178</v>
      </c>
      <c r="G111" s="2" t="s">
        <v>1545</v>
      </c>
      <c r="H111" s="2" t="s">
        <v>1555</v>
      </c>
      <c r="I111" s="2" t="s">
        <v>1406</v>
      </c>
      <c r="J111" s="2" t="s">
        <v>1556</v>
      </c>
      <c r="K111" s="2" t="n">
        <v>2</v>
      </c>
      <c r="L111" s="2" t="n">
        <v>717</v>
      </c>
      <c r="M111" s="2" t="n">
        <v>550</v>
      </c>
      <c r="N111" s="2" t="n">
        <v>439</v>
      </c>
      <c r="O111" s="2" t="n">
        <v>167</v>
      </c>
      <c r="P111" s="2" t="n">
        <v>0</v>
      </c>
      <c r="Q111" s="2" t="n">
        <v>0</v>
      </c>
      <c r="R111" s="2" t="n">
        <v>0</v>
      </c>
      <c r="S111" s="2" t="n">
        <v>2</v>
      </c>
      <c r="T111" s="2" t="n">
        <v>2</v>
      </c>
      <c r="U111" s="2" t="n">
        <v>0</v>
      </c>
      <c r="V111" s="2" t="n">
        <v>0</v>
      </c>
      <c r="W111" s="2" t="n">
        <v>0</v>
      </c>
      <c r="X111" s="2" t="n">
        <v>0</v>
      </c>
      <c r="Y111" s="2" t="n">
        <v>1</v>
      </c>
      <c r="Z111" s="2" t="n">
        <v>0</v>
      </c>
      <c r="AA111" s="2" t="n">
        <v>0</v>
      </c>
      <c r="AB111" s="2" t="n">
        <v>1</v>
      </c>
      <c r="AC111" s="2"/>
    </row>
    <row r="112" customFormat="false" ht="15" hidden="false" customHeight="false" outlineLevel="0" collapsed="false">
      <c r="A112" s="2" t="n">
        <v>14</v>
      </c>
      <c r="B112" s="2" t="s">
        <v>216</v>
      </c>
      <c r="C112" s="2" t="s">
        <v>223</v>
      </c>
      <c r="D112" s="2" t="s">
        <v>1557</v>
      </c>
      <c r="E112" s="2" t="s">
        <v>1154</v>
      </c>
      <c r="F112" s="2" t="s">
        <v>1178</v>
      </c>
      <c r="G112" s="2" t="s">
        <v>1545</v>
      </c>
      <c r="H112" s="2" t="s">
        <v>1558</v>
      </c>
      <c r="I112" s="2" t="s">
        <v>1406</v>
      </c>
      <c r="J112" s="2" t="s">
        <v>1559</v>
      </c>
      <c r="K112" s="2" t="n">
        <v>2</v>
      </c>
      <c r="L112" s="2" t="n">
        <v>642</v>
      </c>
      <c r="M112" s="2" t="n">
        <v>425</v>
      </c>
      <c r="N112" s="2" t="n">
        <v>308</v>
      </c>
      <c r="O112" s="2" t="n">
        <v>217</v>
      </c>
      <c r="P112" s="2" t="n">
        <v>0</v>
      </c>
      <c r="Q112" s="2" t="n">
        <v>0</v>
      </c>
      <c r="R112" s="2" t="n">
        <v>0</v>
      </c>
      <c r="S112" s="2" t="n">
        <v>1</v>
      </c>
      <c r="T112" s="2" t="n">
        <v>1</v>
      </c>
      <c r="U112" s="2" t="n">
        <v>0</v>
      </c>
      <c r="V112" s="2" t="n">
        <v>0</v>
      </c>
      <c r="W112" s="2" t="n">
        <v>0</v>
      </c>
      <c r="X112" s="2" t="n">
        <v>0</v>
      </c>
      <c r="Y112" s="2" t="n">
        <v>0</v>
      </c>
      <c r="Z112" s="2" t="n">
        <v>1</v>
      </c>
      <c r="AA112" s="2" t="n">
        <v>0</v>
      </c>
      <c r="AB112" s="2" t="n">
        <v>0</v>
      </c>
      <c r="AC112" s="2"/>
    </row>
    <row r="113" customFormat="false" ht="15" hidden="false" customHeight="false" outlineLevel="0" collapsed="false">
      <c r="A113" s="2" t="n">
        <v>14</v>
      </c>
      <c r="B113" s="2" t="s">
        <v>216</v>
      </c>
      <c r="C113" s="2" t="s">
        <v>223</v>
      </c>
      <c r="D113" s="2" t="s">
        <v>1560</v>
      </c>
      <c r="E113" s="2" t="s">
        <v>1154</v>
      </c>
      <c r="F113" s="2" t="s">
        <v>1178</v>
      </c>
      <c r="G113" s="2" t="s">
        <v>1545</v>
      </c>
      <c r="H113" s="2" t="s">
        <v>1561</v>
      </c>
      <c r="I113" s="2" t="s">
        <v>1406</v>
      </c>
      <c r="J113" s="2" t="s">
        <v>1562</v>
      </c>
      <c r="K113" s="2" t="n">
        <v>2</v>
      </c>
      <c r="L113" s="2" t="n">
        <v>743</v>
      </c>
      <c r="M113" s="2" t="n">
        <v>597</v>
      </c>
      <c r="N113" s="2" t="n">
        <v>482</v>
      </c>
      <c r="O113" s="2" t="n">
        <v>146</v>
      </c>
      <c r="P113" s="2" t="n">
        <v>0</v>
      </c>
      <c r="Q113" s="2" t="n">
        <v>0</v>
      </c>
      <c r="R113" s="2" t="n">
        <v>0</v>
      </c>
      <c r="S113" s="2" t="n">
        <v>1</v>
      </c>
      <c r="T113" s="2" t="n">
        <v>1</v>
      </c>
      <c r="U113" s="2" t="n">
        <v>0</v>
      </c>
      <c r="V113" s="2" t="n">
        <v>0</v>
      </c>
      <c r="W113" s="2" t="n">
        <v>0</v>
      </c>
      <c r="X113" s="2" t="n">
        <v>0</v>
      </c>
      <c r="Y113" s="2" t="n">
        <v>0</v>
      </c>
      <c r="Z113" s="2" t="n">
        <v>0</v>
      </c>
      <c r="AA113" s="2" t="n">
        <v>0</v>
      </c>
      <c r="AB113" s="2" t="n">
        <v>1</v>
      </c>
      <c r="AC113" s="2"/>
    </row>
    <row r="114" customFormat="false" ht="15" hidden="false" customHeight="false" outlineLevel="0" collapsed="false">
      <c r="A114" s="2" t="n">
        <v>14</v>
      </c>
      <c r="B114" s="2" t="s">
        <v>216</v>
      </c>
      <c r="C114" s="2" t="s">
        <v>223</v>
      </c>
      <c r="D114" s="2" t="s">
        <v>1563</v>
      </c>
      <c r="E114" s="2" t="s">
        <v>1154</v>
      </c>
      <c r="F114" s="2" t="s">
        <v>1178</v>
      </c>
      <c r="G114" s="2" t="s">
        <v>1199</v>
      </c>
      <c r="H114" s="2" t="s">
        <v>1564</v>
      </c>
      <c r="I114" s="2" t="s">
        <v>1406</v>
      </c>
      <c r="J114" s="2" t="s">
        <v>1565</v>
      </c>
      <c r="K114" s="2" t="n">
        <v>1</v>
      </c>
      <c r="L114" s="2" t="n">
        <v>328</v>
      </c>
      <c r="M114" s="2" t="n">
        <v>298</v>
      </c>
      <c r="N114" s="2" t="n">
        <v>190</v>
      </c>
      <c r="O114" s="2" t="n">
        <v>30</v>
      </c>
      <c r="P114" s="2" t="n">
        <v>0</v>
      </c>
      <c r="Q114" s="2" t="n">
        <v>0</v>
      </c>
      <c r="R114" s="2" t="n">
        <v>0</v>
      </c>
      <c r="S114" s="2" t="n">
        <v>1</v>
      </c>
      <c r="T114" s="2" t="n">
        <v>0</v>
      </c>
      <c r="U114" s="2" t="n">
        <v>1</v>
      </c>
      <c r="V114" s="2" t="n">
        <v>0</v>
      </c>
      <c r="W114" s="2" t="n">
        <v>0</v>
      </c>
      <c r="X114" s="2" t="n">
        <v>0</v>
      </c>
      <c r="Y114" s="2" t="n">
        <v>0</v>
      </c>
      <c r="Z114" s="2" t="n">
        <v>0</v>
      </c>
      <c r="AA114" s="2" t="n">
        <v>0</v>
      </c>
      <c r="AB114" s="2" t="n">
        <v>1</v>
      </c>
      <c r="AC114" s="2"/>
    </row>
    <row r="115" customFormat="false" ht="15" hidden="false" customHeight="false" outlineLevel="0" collapsed="false">
      <c r="A115" s="2" t="n">
        <v>14</v>
      </c>
      <c r="B115" s="2" t="s">
        <v>216</v>
      </c>
      <c r="C115" s="2" t="s">
        <v>223</v>
      </c>
      <c r="D115" s="2" t="s">
        <v>1566</v>
      </c>
      <c r="E115" s="2" t="s">
        <v>1154</v>
      </c>
      <c r="F115" s="2" t="s">
        <v>1178</v>
      </c>
      <c r="G115" s="2" t="s">
        <v>1567</v>
      </c>
      <c r="H115" s="2" t="s">
        <v>1568</v>
      </c>
      <c r="I115" s="2" t="s">
        <v>1406</v>
      </c>
      <c r="J115" s="2" t="s">
        <v>1569</v>
      </c>
      <c r="K115" s="2" t="n">
        <v>2</v>
      </c>
      <c r="L115" s="2" t="n">
        <v>1178</v>
      </c>
      <c r="M115" s="2" t="n">
        <v>848</v>
      </c>
      <c r="N115" s="2" t="n">
        <v>738</v>
      </c>
      <c r="O115" s="2" t="n">
        <v>330</v>
      </c>
      <c r="P115" s="2" t="n">
        <v>0</v>
      </c>
      <c r="Q115" s="2" t="n">
        <v>0</v>
      </c>
      <c r="R115" s="2" t="n">
        <v>0</v>
      </c>
      <c r="S115" s="2" t="n">
        <v>2</v>
      </c>
      <c r="T115" s="2" t="n">
        <v>2</v>
      </c>
      <c r="U115" s="2" t="n">
        <v>0</v>
      </c>
      <c r="V115" s="2" t="n">
        <v>0</v>
      </c>
      <c r="W115" s="2" t="n">
        <v>0</v>
      </c>
      <c r="X115" s="2" t="n">
        <v>0</v>
      </c>
      <c r="Y115" s="2" t="n">
        <v>0</v>
      </c>
      <c r="Z115" s="2" t="n">
        <v>0</v>
      </c>
      <c r="AA115" s="2" t="n">
        <v>0</v>
      </c>
      <c r="AB115" s="2" t="n">
        <v>2</v>
      </c>
      <c r="AC115" s="2"/>
    </row>
    <row r="116" customFormat="false" ht="15" hidden="false" customHeight="false" outlineLevel="0" collapsed="false">
      <c r="A116" s="2" t="n">
        <v>14</v>
      </c>
      <c r="B116" s="2" t="s">
        <v>216</v>
      </c>
      <c r="C116" s="2" t="s">
        <v>223</v>
      </c>
      <c r="D116" s="2" t="s">
        <v>1570</v>
      </c>
      <c r="E116" s="2" t="s">
        <v>1154</v>
      </c>
      <c r="F116" s="2" t="s">
        <v>1155</v>
      </c>
      <c r="G116" s="2" t="s">
        <v>1571</v>
      </c>
      <c r="H116" s="2" t="s">
        <v>1572</v>
      </c>
      <c r="I116" s="2" t="s">
        <v>1133</v>
      </c>
      <c r="J116" s="2" t="s">
        <v>1573</v>
      </c>
      <c r="K116" s="2" t="n">
        <v>3</v>
      </c>
      <c r="L116" s="2" t="n">
        <v>790</v>
      </c>
      <c r="M116" s="2" t="n">
        <v>258</v>
      </c>
      <c r="N116" s="2" t="n">
        <v>171</v>
      </c>
      <c r="O116" s="2" t="n">
        <v>110</v>
      </c>
      <c r="P116" s="2" t="n">
        <v>422</v>
      </c>
      <c r="Q116" s="2" t="n">
        <v>0</v>
      </c>
      <c r="R116" s="2" t="n">
        <v>0</v>
      </c>
      <c r="S116" s="2" t="n">
        <v>2</v>
      </c>
      <c r="T116" s="2" t="n">
        <v>2</v>
      </c>
      <c r="U116" s="2" t="n">
        <v>0</v>
      </c>
      <c r="V116" s="2" t="n">
        <v>0</v>
      </c>
      <c r="W116" s="2" t="n">
        <v>0</v>
      </c>
      <c r="X116" s="2" t="n">
        <v>0</v>
      </c>
      <c r="Y116" s="2" t="n">
        <v>0</v>
      </c>
      <c r="Z116" s="2" t="n">
        <v>1</v>
      </c>
      <c r="AA116" s="2" t="n">
        <v>0</v>
      </c>
      <c r="AB116" s="2" t="n">
        <v>1</v>
      </c>
      <c r="AC116" s="2"/>
    </row>
    <row r="117" customFormat="false" ht="15" hidden="false" customHeight="false" outlineLevel="0" collapsed="false">
      <c r="A117" s="2" t="n">
        <v>14</v>
      </c>
      <c r="B117" s="2" t="s">
        <v>216</v>
      </c>
      <c r="C117" s="2" t="s">
        <v>223</v>
      </c>
      <c r="D117" s="2" t="s">
        <v>1574</v>
      </c>
      <c r="E117" s="2" t="s">
        <v>1154</v>
      </c>
      <c r="F117" s="2" t="s">
        <v>1178</v>
      </c>
      <c r="G117" s="2" t="s">
        <v>1575</v>
      </c>
      <c r="H117" s="2" t="s">
        <v>1576</v>
      </c>
      <c r="I117" s="2" t="s">
        <v>1406</v>
      </c>
      <c r="J117" s="2" t="s">
        <v>1577</v>
      </c>
      <c r="K117" s="2" t="n">
        <v>2</v>
      </c>
      <c r="L117" s="2" t="n">
        <v>494</v>
      </c>
      <c r="M117" s="2" t="n">
        <v>447</v>
      </c>
      <c r="N117" s="2" t="n">
        <v>331</v>
      </c>
      <c r="O117" s="2" t="n">
        <v>47</v>
      </c>
      <c r="P117" s="2" t="n">
        <v>0</v>
      </c>
      <c r="Q117" s="2" t="n">
        <v>0</v>
      </c>
      <c r="R117" s="2" t="n">
        <v>0</v>
      </c>
      <c r="S117" s="2" t="n">
        <v>0</v>
      </c>
      <c r="T117" s="2" t="n">
        <v>0</v>
      </c>
      <c r="U117" s="2" t="n">
        <v>0</v>
      </c>
      <c r="V117" s="2" t="n">
        <v>0</v>
      </c>
      <c r="W117" s="2" t="n">
        <v>0</v>
      </c>
      <c r="X117" s="2" t="n">
        <v>0</v>
      </c>
      <c r="Y117" s="2" t="n">
        <v>0</v>
      </c>
      <c r="Z117" s="2" t="n">
        <v>0</v>
      </c>
      <c r="AA117" s="2" t="n">
        <v>0</v>
      </c>
      <c r="AB117" s="2" t="n">
        <v>0</v>
      </c>
      <c r="AC117" s="2"/>
    </row>
    <row r="118" customFormat="false" ht="15" hidden="false" customHeight="false" outlineLevel="0" collapsed="false">
      <c r="A118" s="2" t="n">
        <v>14</v>
      </c>
      <c r="B118" s="2" t="s">
        <v>216</v>
      </c>
      <c r="C118" s="2" t="s">
        <v>223</v>
      </c>
      <c r="D118" s="2" t="s">
        <v>1578</v>
      </c>
      <c r="E118" s="2" t="s">
        <v>1154</v>
      </c>
      <c r="F118" s="2" t="s">
        <v>1178</v>
      </c>
      <c r="G118" s="2" t="s">
        <v>1575</v>
      </c>
      <c r="H118" s="2" t="s">
        <v>1579</v>
      </c>
      <c r="I118" s="2" t="s">
        <v>1406</v>
      </c>
      <c r="J118" s="2" t="s">
        <v>1580</v>
      </c>
      <c r="K118" s="2" t="n">
        <v>2</v>
      </c>
      <c r="L118" s="2" t="n">
        <v>476</v>
      </c>
      <c r="M118" s="2" t="n">
        <v>408</v>
      </c>
      <c r="N118" s="2" t="n">
        <v>301</v>
      </c>
      <c r="O118" s="2" t="n">
        <v>68</v>
      </c>
      <c r="P118" s="2" t="n">
        <v>0</v>
      </c>
      <c r="Q118" s="2" t="n">
        <v>0</v>
      </c>
      <c r="R118" s="2" t="n">
        <v>0</v>
      </c>
      <c r="S118" s="2" t="n">
        <v>0</v>
      </c>
      <c r="T118" s="2" t="n">
        <v>0</v>
      </c>
      <c r="U118" s="2" t="n">
        <v>0</v>
      </c>
      <c r="V118" s="2" t="n">
        <v>0</v>
      </c>
      <c r="W118" s="2" t="n">
        <v>0</v>
      </c>
      <c r="X118" s="2" t="n">
        <v>0</v>
      </c>
      <c r="Y118" s="2" t="n">
        <v>0</v>
      </c>
      <c r="Z118" s="2" t="n">
        <v>0</v>
      </c>
      <c r="AA118" s="2" t="n">
        <v>0</v>
      </c>
      <c r="AB118" s="2" t="n">
        <v>0</v>
      </c>
      <c r="AC118" s="2"/>
    </row>
    <row r="119" customFormat="false" ht="15" hidden="false" customHeight="false" outlineLevel="0" collapsed="false">
      <c r="A119" s="2" t="n">
        <v>14</v>
      </c>
      <c r="B119" s="2" t="s">
        <v>216</v>
      </c>
      <c r="C119" s="2" t="s">
        <v>223</v>
      </c>
      <c r="D119" s="2" t="s">
        <v>1581</v>
      </c>
      <c r="E119" s="2" t="s">
        <v>1154</v>
      </c>
      <c r="F119" s="2" t="s">
        <v>1178</v>
      </c>
      <c r="G119" s="2" t="s">
        <v>1575</v>
      </c>
      <c r="H119" s="2" t="s">
        <v>1582</v>
      </c>
      <c r="I119" s="2" t="s">
        <v>1406</v>
      </c>
      <c r="J119" s="2" t="s">
        <v>1583</v>
      </c>
      <c r="K119" s="2" t="n">
        <v>2</v>
      </c>
      <c r="L119" s="2" t="n">
        <v>946</v>
      </c>
      <c r="M119" s="2" t="n">
        <v>654</v>
      </c>
      <c r="N119" s="2" t="n">
        <v>541</v>
      </c>
      <c r="O119" s="2" t="n">
        <v>292</v>
      </c>
      <c r="P119" s="2" t="n">
        <v>0</v>
      </c>
      <c r="Q119" s="2" t="n">
        <v>0</v>
      </c>
      <c r="R119" s="2" t="n">
        <v>0</v>
      </c>
      <c r="S119" s="2" t="n">
        <v>3</v>
      </c>
      <c r="T119" s="2" t="n">
        <v>2</v>
      </c>
      <c r="U119" s="2" t="n">
        <v>1</v>
      </c>
      <c r="V119" s="2" t="n">
        <v>0</v>
      </c>
      <c r="W119" s="2" t="n">
        <v>0</v>
      </c>
      <c r="X119" s="2" t="n">
        <v>0</v>
      </c>
      <c r="Y119" s="2" t="n">
        <v>0</v>
      </c>
      <c r="Z119" s="2" t="n">
        <v>0</v>
      </c>
      <c r="AA119" s="2" t="n">
        <v>0</v>
      </c>
      <c r="AB119" s="2" t="n">
        <v>3</v>
      </c>
      <c r="AC119" s="2"/>
    </row>
    <row r="120" customFormat="false" ht="15" hidden="false" customHeight="false" outlineLevel="0" collapsed="false">
      <c r="A120" s="2" t="n">
        <v>14</v>
      </c>
      <c r="B120" s="2" t="s">
        <v>216</v>
      </c>
      <c r="C120" s="2" t="s">
        <v>223</v>
      </c>
      <c r="D120" s="2" t="s">
        <v>1584</v>
      </c>
      <c r="E120" s="2" t="s">
        <v>1154</v>
      </c>
      <c r="F120" s="2" t="s">
        <v>1178</v>
      </c>
      <c r="G120" s="2" t="s">
        <v>1585</v>
      </c>
      <c r="H120" s="2" t="s">
        <v>1586</v>
      </c>
      <c r="I120" s="2" t="s">
        <v>1406</v>
      </c>
      <c r="J120" s="2" t="s">
        <v>1587</v>
      </c>
      <c r="K120" s="2" t="n">
        <v>2</v>
      </c>
      <c r="L120" s="2" t="n">
        <v>538</v>
      </c>
      <c r="M120" s="2" t="n">
        <v>494</v>
      </c>
      <c r="N120" s="2" t="n">
        <v>383</v>
      </c>
      <c r="O120" s="2" t="n">
        <v>44</v>
      </c>
      <c r="P120" s="2" t="n">
        <v>0</v>
      </c>
      <c r="Q120" s="2" t="n">
        <v>0</v>
      </c>
      <c r="R120" s="2" t="n">
        <v>0</v>
      </c>
      <c r="S120" s="2" t="n">
        <v>0</v>
      </c>
      <c r="T120" s="2" t="n">
        <v>0</v>
      </c>
      <c r="U120" s="2" t="n">
        <v>0</v>
      </c>
      <c r="V120" s="2" t="n">
        <v>0</v>
      </c>
      <c r="W120" s="2" t="n">
        <v>0</v>
      </c>
      <c r="X120" s="2" t="n">
        <v>0</v>
      </c>
      <c r="Y120" s="2" t="n">
        <v>0</v>
      </c>
      <c r="Z120" s="2" t="n">
        <v>0</v>
      </c>
      <c r="AA120" s="2" t="n">
        <v>0</v>
      </c>
      <c r="AB120" s="2" t="n">
        <v>0</v>
      </c>
      <c r="AC120" s="2"/>
    </row>
    <row r="121" customFormat="false" ht="15" hidden="false" customHeight="false" outlineLevel="0" collapsed="false">
      <c r="A121" s="2" t="n">
        <v>14</v>
      </c>
      <c r="B121" s="2" t="s">
        <v>216</v>
      </c>
      <c r="C121" s="2" t="s">
        <v>223</v>
      </c>
      <c r="D121" s="2" t="s">
        <v>1588</v>
      </c>
      <c r="E121" s="2" t="s">
        <v>1154</v>
      </c>
      <c r="F121" s="2" t="s">
        <v>1178</v>
      </c>
      <c r="G121" s="2" t="s">
        <v>1589</v>
      </c>
      <c r="H121" s="2" t="s">
        <v>1590</v>
      </c>
      <c r="I121" s="2" t="s">
        <v>1406</v>
      </c>
      <c r="J121" s="2" t="s">
        <v>1591</v>
      </c>
      <c r="K121" s="2" t="n">
        <v>2</v>
      </c>
      <c r="L121" s="2" t="n">
        <v>720</v>
      </c>
      <c r="M121" s="2" t="n">
        <v>622</v>
      </c>
      <c r="N121" s="2" t="n">
        <v>506</v>
      </c>
      <c r="O121" s="2" t="n">
        <v>98</v>
      </c>
      <c r="P121" s="2" t="n">
        <v>0</v>
      </c>
      <c r="Q121" s="2" t="n">
        <v>0</v>
      </c>
      <c r="R121" s="2" t="n">
        <v>0</v>
      </c>
      <c r="S121" s="2" t="n">
        <v>2</v>
      </c>
      <c r="T121" s="2" t="n">
        <v>2</v>
      </c>
      <c r="U121" s="2" t="n">
        <v>0</v>
      </c>
      <c r="V121" s="2" t="n">
        <v>0</v>
      </c>
      <c r="W121" s="2" t="n">
        <v>0</v>
      </c>
      <c r="X121" s="2" t="n">
        <v>0</v>
      </c>
      <c r="Y121" s="2" t="n">
        <v>0</v>
      </c>
      <c r="Z121" s="2" t="n">
        <v>0</v>
      </c>
      <c r="AA121" s="2" t="n">
        <v>0</v>
      </c>
      <c r="AB121" s="2" t="n">
        <v>2</v>
      </c>
      <c r="AC121" s="2"/>
    </row>
    <row r="122" customFormat="false" ht="15" hidden="false" customHeight="false" outlineLevel="0" collapsed="false">
      <c r="A122" s="2" t="n">
        <v>14</v>
      </c>
      <c r="B122" s="2" t="s">
        <v>216</v>
      </c>
      <c r="C122" s="2" t="s">
        <v>223</v>
      </c>
      <c r="D122" s="2" t="s">
        <v>1592</v>
      </c>
      <c r="E122" s="2" t="s">
        <v>1154</v>
      </c>
      <c r="F122" s="2" t="s">
        <v>1178</v>
      </c>
      <c r="G122" s="2" t="s">
        <v>1593</v>
      </c>
      <c r="H122" s="2" t="s">
        <v>1594</v>
      </c>
      <c r="I122" s="2" t="s">
        <v>1406</v>
      </c>
      <c r="J122" s="2" t="s">
        <v>1595</v>
      </c>
      <c r="K122" s="2" t="n">
        <v>2</v>
      </c>
      <c r="L122" s="2" t="n">
        <v>871</v>
      </c>
      <c r="M122" s="2" t="n">
        <v>676</v>
      </c>
      <c r="N122" s="2" t="n">
        <v>574</v>
      </c>
      <c r="O122" s="2" t="n">
        <v>195</v>
      </c>
      <c r="P122" s="2" t="n">
        <v>0</v>
      </c>
      <c r="Q122" s="2" t="n">
        <v>0</v>
      </c>
      <c r="R122" s="2" t="n">
        <v>0</v>
      </c>
      <c r="S122" s="2" t="n">
        <v>3</v>
      </c>
      <c r="T122" s="2" t="n">
        <v>3</v>
      </c>
      <c r="U122" s="2" t="n">
        <v>0</v>
      </c>
      <c r="V122" s="2" t="n">
        <v>0</v>
      </c>
      <c r="W122" s="2" t="n">
        <v>0</v>
      </c>
      <c r="X122" s="2" t="n">
        <v>0</v>
      </c>
      <c r="Y122" s="2" t="n">
        <v>0</v>
      </c>
      <c r="Z122" s="2" t="n">
        <v>0</v>
      </c>
      <c r="AA122" s="2" t="n">
        <v>0</v>
      </c>
      <c r="AB122" s="2" t="n">
        <v>3</v>
      </c>
      <c r="AC122" s="2"/>
    </row>
    <row r="123" customFormat="false" ht="15" hidden="false" customHeight="false" outlineLevel="0" collapsed="false">
      <c r="A123" s="2" t="n">
        <v>14</v>
      </c>
      <c r="B123" s="2" t="s">
        <v>216</v>
      </c>
      <c r="C123" s="2" t="s">
        <v>223</v>
      </c>
      <c r="D123" s="2" t="s">
        <v>1596</v>
      </c>
      <c r="E123" s="2" t="s">
        <v>1154</v>
      </c>
      <c r="F123" s="2" t="s">
        <v>1178</v>
      </c>
      <c r="G123" s="2" t="s">
        <v>1597</v>
      </c>
      <c r="H123" s="2" t="s">
        <v>1598</v>
      </c>
      <c r="I123" s="2" t="s">
        <v>1406</v>
      </c>
      <c r="J123" s="2" t="s">
        <v>1599</v>
      </c>
      <c r="K123" s="2" t="n">
        <v>2</v>
      </c>
      <c r="L123" s="2" t="n">
        <v>549</v>
      </c>
      <c r="M123" s="2" t="n">
        <v>497</v>
      </c>
      <c r="N123" s="2" t="n">
        <v>388</v>
      </c>
      <c r="O123" s="2" t="n">
        <v>52</v>
      </c>
      <c r="P123" s="2" t="n">
        <v>0</v>
      </c>
      <c r="Q123" s="2" t="n">
        <v>0</v>
      </c>
      <c r="R123" s="2" t="n">
        <v>0</v>
      </c>
      <c r="S123" s="2" t="n">
        <v>0</v>
      </c>
      <c r="T123" s="2" t="n">
        <v>0</v>
      </c>
      <c r="U123" s="2" t="n">
        <v>0</v>
      </c>
      <c r="V123" s="2" t="n">
        <v>0</v>
      </c>
      <c r="W123" s="2" t="n">
        <v>0</v>
      </c>
      <c r="X123" s="2" t="n">
        <v>0</v>
      </c>
      <c r="Y123" s="2" t="n">
        <v>0</v>
      </c>
      <c r="Z123" s="2" t="n">
        <v>0</v>
      </c>
      <c r="AA123" s="2" t="n">
        <v>0</v>
      </c>
      <c r="AB123" s="2" t="n">
        <v>0</v>
      </c>
      <c r="AC123" s="2"/>
    </row>
    <row r="124" customFormat="false" ht="15" hidden="false" customHeight="false" outlineLevel="0" collapsed="false">
      <c r="A124" s="2" t="n">
        <v>14</v>
      </c>
      <c r="B124" s="2" t="s">
        <v>216</v>
      </c>
      <c r="C124" s="2" t="s">
        <v>223</v>
      </c>
      <c r="D124" s="2" t="s">
        <v>1600</v>
      </c>
      <c r="E124" s="2" t="s">
        <v>1154</v>
      </c>
      <c r="F124" s="2" t="s">
        <v>1178</v>
      </c>
      <c r="G124" s="2" t="s">
        <v>1597</v>
      </c>
      <c r="H124" s="2" t="s">
        <v>1601</v>
      </c>
      <c r="I124" s="2" t="s">
        <v>1406</v>
      </c>
      <c r="J124" s="2" t="s">
        <v>1602</v>
      </c>
      <c r="K124" s="2" t="n">
        <v>2</v>
      </c>
      <c r="L124" s="2" t="n">
        <v>902</v>
      </c>
      <c r="M124" s="2" t="n">
        <v>703</v>
      </c>
      <c r="N124" s="2" t="n">
        <v>599</v>
      </c>
      <c r="O124" s="2" t="n">
        <v>199</v>
      </c>
      <c r="P124" s="2" t="n">
        <v>0</v>
      </c>
      <c r="Q124" s="2" t="n">
        <v>0</v>
      </c>
      <c r="R124" s="2" t="n">
        <v>0</v>
      </c>
      <c r="S124" s="2" t="n">
        <v>4</v>
      </c>
      <c r="T124" s="2" t="n">
        <v>4</v>
      </c>
      <c r="U124" s="2" t="n">
        <v>0</v>
      </c>
      <c r="V124" s="2" t="n">
        <v>0</v>
      </c>
      <c r="W124" s="2" t="n">
        <v>0</v>
      </c>
      <c r="X124" s="2" t="n">
        <v>0</v>
      </c>
      <c r="Y124" s="2" t="n">
        <v>0</v>
      </c>
      <c r="Z124" s="2" t="n">
        <v>2</v>
      </c>
      <c r="AA124" s="2" t="n">
        <v>0</v>
      </c>
      <c r="AB124" s="2" t="n">
        <v>2</v>
      </c>
      <c r="AC124" s="2"/>
    </row>
    <row r="125" customFormat="false" ht="15" hidden="false" customHeight="false" outlineLevel="0" collapsed="false">
      <c r="A125" s="2" t="n">
        <v>14</v>
      </c>
      <c r="B125" s="2" t="s">
        <v>216</v>
      </c>
      <c r="C125" s="2" t="s">
        <v>223</v>
      </c>
      <c r="D125" s="2" t="s">
        <v>1603</v>
      </c>
      <c r="E125" s="2" t="s">
        <v>1154</v>
      </c>
      <c r="F125" s="2" t="s">
        <v>1178</v>
      </c>
      <c r="G125" s="2" t="s">
        <v>1604</v>
      </c>
      <c r="H125" s="2" t="s">
        <v>1605</v>
      </c>
      <c r="I125" s="2" t="s">
        <v>1406</v>
      </c>
      <c r="J125" s="2" t="s">
        <v>1606</v>
      </c>
      <c r="K125" s="2" t="n">
        <v>2</v>
      </c>
      <c r="L125" s="2" t="n">
        <v>519</v>
      </c>
      <c r="M125" s="2" t="n">
        <v>467</v>
      </c>
      <c r="N125" s="2" t="n">
        <v>356</v>
      </c>
      <c r="O125" s="2" t="n">
        <v>52</v>
      </c>
      <c r="P125" s="2" t="n">
        <v>0</v>
      </c>
      <c r="Q125" s="2" t="n">
        <v>0</v>
      </c>
      <c r="R125" s="2" t="n">
        <v>0</v>
      </c>
      <c r="S125" s="2" t="n">
        <v>0</v>
      </c>
      <c r="T125" s="2" t="n">
        <v>0</v>
      </c>
      <c r="U125" s="2" t="n">
        <v>0</v>
      </c>
      <c r="V125" s="2" t="n">
        <v>0</v>
      </c>
      <c r="W125" s="2" t="n">
        <v>0</v>
      </c>
      <c r="X125" s="2" t="n">
        <v>0</v>
      </c>
      <c r="Y125" s="2" t="n">
        <v>0</v>
      </c>
      <c r="Z125" s="2" t="n">
        <v>0</v>
      </c>
      <c r="AA125" s="2" t="n">
        <v>0</v>
      </c>
      <c r="AB125" s="2" t="n">
        <v>0</v>
      </c>
      <c r="AC125" s="2"/>
    </row>
    <row r="126" customFormat="false" ht="15" hidden="false" customHeight="false" outlineLevel="0" collapsed="false">
      <c r="A126" s="2" t="n">
        <v>14</v>
      </c>
      <c r="B126" s="2" t="s">
        <v>216</v>
      </c>
      <c r="C126" s="2" t="s">
        <v>223</v>
      </c>
      <c r="D126" s="2" t="s">
        <v>1607</v>
      </c>
      <c r="E126" s="2" t="s">
        <v>1154</v>
      </c>
      <c r="F126" s="2" t="s">
        <v>1178</v>
      </c>
      <c r="G126" s="2" t="s">
        <v>1608</v>
      </c>
      <c r="H126" s="2" t="s">
        <v>1609</v>
      </c>
      <c r="I126" s="2" t="s">
        <v>1406</v>
      </c>
      <c r="J126" s="2" t="s">
        <v>1610</v>
      </c>
      <c r="K126" s="2" t="n">
        <v>2</v>
      </c>
      <c r="L126" s="2" t="n">
        <v>559</v>
      </c>
      <c r="M126" s="2" t="n">
        <v>372</v>
      </c>
      <c r="N126" s="2" t="n">
        <v>263</v>
      </c>
      <c r="O126" s="2" t="n">
        <v>187</v>
      </c>
      <c r="P126" s="2" t="n">
        <v>0</v>
      </c>
      <c r="Q126" s="2" t="n">
        <v>0</v>
      </c>
      <c r="R126" s="2" t="n">
        <v>0</v>
      </c>
      <c r="S126" s="2" t="n">
        <v>5</v>
      </c>
      <c r="T126" s="2" t="n">
        <v>5</v>
      </c>
      <c r="U126" s="2" t="n">
        <v>0</v>
      </c>
      <c r="V126" s="2" t="n">
        <v>0</v>
      </c>
      <c r="W126" s="2" t="n">
        <v>0</v>
      </c>
      <c r="X126" s="2" t="n">
        <v>0</v>
      </c>
      <c r="Y126" s="2" t="n">
        <v>0</v>
      </c>
      <c r="Z126" s="2" t="n">
        <v>0</v>
      </c>
      <c r="AA126" s="2" t="n">
        <v>1</v>
      </c>
      <c r="AB126" s="2" t="n">
        <v>4</v>
      </c>
      <c r="AC126" s="2"/>
    </row>
    <row r="127" customFormat="false" ht="15" hidden="false" customHeight="false" outlineLevel="0" collapsed="false">
      <c r="A127" s="2" t="n">
        <v>14</v>
      </c>
      <c r="B127" s="2" t="s">
        <v>216</v>
      </c>
      <c r="C127" s="2" t="s">
        <v>223</v>
      </c>
      <c r="D127" s="2" t="s">
        <v>1611</v>
      </c>
      <c r="E127" s="2" t="s">
        <v>1154</v>
      </c>
      <c r="F127" s="2" t="s">
        <v>1178</v>
      </c>
      <c r="G127" s="2" t="s">
        <v>1612</v>
      </c>
      <c r="H127" s="2" t="s">
        <v>1613</v>
      </c>
      <c r="I127" s="2" t="s">
        <v>1406</v>
      </c>
      <c r="J127" s="2" t="s">
        <v>1614</v>
      </c>
      <c r="K127" s="2" t="n">
        <v>2</v>
      </c>
      <c r="L127" s="2" t="n">
        <v>591</v>
      </c>
      <c r="M127" s="2" t="n">
        <v>552</v>
      </c>
      <c r="N127" s="2" t="n">
        <v>434</v>
      </c>
      <c r="O127" s="2" t="n">
        <v>39</v>
      </c>
      <c r="P127" s="2" t="n">
        <v>0</v>
      </c>
      <c r="Q127" s="2" t="n">
        <v>0</v>
      </c>
      <c r="R127" s="2" t="n">
        <v>0</v>
      </c>
      <c r="S127" s="2" t="n">
        <v>0</v>
      </c>
      <c r="T127" s="2" t="n">
        <v>0</v>
      </c>
      <c r="U127" s="2" t="n">
        <v>0</v>
      </c>
      <c r="V127" s="2" t="n">
        <v>0</v>
      </c>
      <c r="W127" s="2" t="n">
        <v>0</v>
      </c>
      <c r="X127" s="2" t="n">
        <v>0</v>
      </c>
      <c r="Y127" s="2" t="n">
        <v>0</v>
      </c>
      <c r="Z127" s="2" t="n">
        <v>0</v>
      </c>
      <c r="AA127" s="2" t="n">
        <v>0</v>
      </c>
      <c r="AB127" s="2" t="n">
        <v>0</v>
      </c>
      <c r="AC127" s="2"/>
    </row>
    <row r="128" customFormat="false" ht="15" hidden="false" customHeight="false" outlineLevel="0" collapsed="false">
      <c r="A128" s="2" t="n">
        <v>14</v>
      </c>
      <c r="B128" s="2" t="s">
        <v>216</v>
      </c>
      <c r="C128" s="2" t="s">
        <v>223</v>
      </c>
      <c r="D128" s="2" t="s">
        <v>1615</v>
      </c>
      <c r="E128" s="2" t="s">
        <v>1154</v>
      </c>
      <c r="F128" s="2" t="s">
        <v>1178</v>
      </c>
      <c r="G128" s="2" t="s">
        <v>1612</v>
      </c>
      <c r="H128" s="2" t="s">
        <v>1616</v>
      </c>
      <c r="I128" s="2" t="s">
        <v>1406</v>
      </c>
      <c r="J128" s="2" t="s">
        <v>1617</v>
      </c>
      <c r="K128" s="2" t="n">
        <v>2</v>
      </c>
      <c r="L128" s="2" t="n">
        <v>553</v>
      </c>
      <c r="M128" s="2" t="n">
        <v>478</v>
      </c>
      <c r="N128" s="2" t="n">
        <v>370</v>
      </c>
      <c r="O128" s="2" t="n">
        <v>75</v>
      </c>
      <c r="P128" s="2" t="n">
        <v>0</v>
      </c>
      <c r="Q128" s="2" t="n">
        <v>0</v>
      </c>
      <c r="R128" s="2" t="n">
        <v>0</v>
      </c>
      <c r="S128" s="2" t="n">
        <v>0</v>
      </c>
      <c r="T128" s="2" t="n">
        <v>0</v>
      </c>
      <c r="U128" s="2" t="n">
        <v>0</v>
      </c>
      <c r="V128" s="2" t="n">
        <v>0</v>
      </c>
      <c r="W128" s="2" t="n">
        <v>0</v>
      </c>
      <c r="X128" s="2" t="n">
        <v>0</v>
      </c>
      <c r="Y128" s="2" t="n">
        <v>0</v>
      </c>
      <c r="Z128" s="2" t="n">
        <v>0</v>
      </c>
      <c r="AA128" s="2" t="n">
        <v>0</v>
      </c>
      <c r="AB128" s="2" t="n">
        <v>0</v>
      </c>
      <c r="AC128" s="2"/>
    </row>
    <row r="129" customFormat="false" ht="15" hidden="false" customHeight="false" outlineLevel="0" collapsed="false">
      <c r="A129" s="2" t="n">
        <v>14</v>
      </c>
      <c r="B129" s="2" t="s">
        <v>216</v>
      </c>
      <c r="C129" s="2" t="s">
        <v>223</v>
      </c>
      <c r="D129" s="2" t="s">
        <v>1618</v>
      </c>
      <c r="E129" s="2" t="s">
        <v>1154</v>
      </c>
      <c r="F129" s="2" t="s">
        <v>1178</v>
      </c>
      <c r="G129" s="2" t="s">
        <v>1612</v>
      </c>
      <c r="H129" s="2" t="s">
        <v>1619</v>
      </c>
      <c r="I129" s="2" t="s">
        <v>1406</v>
      </c>
      <c r="J129" s="2" t="s">
        <v>1620</v>
      </c>
      <c r="K129" s="2" t="n">
        <v>2</v>
      </c>
      <c r="L129" s="2" t="n">
        <v>516</v>
      </c>
      <c r="M129" s="2" t="n">
        <v>443</v>
      </c>
      <c r="N129" s="2" t="n">
        <v>323</v>
      </c>
      <c r="O129" s="2" t="n">
        <v>73</v>
      </c>
      <c r="P129" s="2" t="n">
        <v>0</v>
      </c>
      <c r="Q129" s="2" t="n">
        <v>0</v>
      </c>
      <c r="R129" s="2" t="n">
        <v>0</v>
      </c>
      <c r="S129" s="2" t="n">
        <v>2</v>
      </c>
      <c r="T129" s="2" t="n">
        <v>2</v>
      </c>
      <c r="U129" s="2" t="n">
        <v>0</v>
      </c>
      <c r="V129" s="2" t="n">
        <v>0</v>
      </c>
      <c r="W129" s="2" t="n">
        <v>0</v>
      </c>
      <c r="X129" s="2" t="n">
        <v>0</v>
      </c>
      <c r="Y129" s="2" t="n">
        <v>0</v>
      </c>
      <c r="Z129" s="2" t="n">
        <v>0</v>
      </c>
      <c r="AA129" s="2" t="n">
        <v>1</v>
      </c>
      <c r="AB129" s="2" t="n">
        <v>1</v>
      </c>
      <c r="AC129" s="2"/>
    </row>
    <row r="130" customFormat="false" ht="15" hidden="false" customHeight="false" outlineLevel="0" collapsed="false">
      <c r="A130" s="2" t="n">
        <v>14</v>
      </c>
      <c r="B130" s="2" t="s">
        <v>216</v>
      </c>
      <c r="C130" s="2" t="s">
        <v>223</v>
      </c>
      <c r="D130" s="2" t="s">
        <v>1621</v>
      </c>
      <c r="E130" s="2" t="s">
        <v>1154</v>
      </c>
      <c r="F130" s="2" t="s">
        <v>1178</v>
      </c>
      <c r="G130" s="2" t="s">
        <v>1612</v>
      </c>
      <c r="H130" s="2" t="s">
        <v>1622</v>
      </c>
      <c r="I130" s="2" t="s">
        <v>1406</v>
      </c>
      <c r="J130" s="2" t="s">
        <v>1623</v>
      </c>
      <c r="K130" s="2" t="n">
        <v>2</v>
      </c>
      <c r="L130" s="2" t="n">
        <v>494</v>
      </c>
      <c r="M130" s="2" t="n">
        <v>420</v>
      </c>
      <c r="N130" s="2" t="n">
        <v>300</v>
      </c>
      <c r="O130" s="2" t="n">
        <v>74</v>
      </c>
      <c r="P130" s="2" t="n">
        <v>0</v>
      </c>
      <c r="Q130" s="2" t="n">
        <v>0</v>
      </c>
      <c r="R130" s="2" t="n">
        <v>0</v>
      </c>
      <c r="S130" s="2" t="n">
        <v>2</v>
      </c>
      <c r="T130" s="2" t="n">
        <v>2</v>
      </c>
      <c r="U130" s="2" t="n">
        <v>0</v>
      </c>
      <c r="V130" s="2" t="n">
        <v>0</v>
      </c>
      <c r="W130" s="2" t="n">
        <v>0</v>
      </c>
      <c r="X130" s="2" t="n">
        <v>0</v>
      </c>
      <c r="Y130" s="2" t="n">
        <v>0</v>
      </c>
      <c r="Z130" s="2" t="n">
        <v>0</v>
      </c>
      <c r="AA130" s="2" t="n">
        <v>1</v>
      </c>
      <c r="AB130" s="2" t="n">
        <v>1</v>
      </c>
      <c r="AC130" s="2"/>
    </row>
    <row r="131" customFormat="false" ht="15" hidden="false" customHeight="false" outlineLevel="0" collapsed="false">
      <c r="A131" s="2" t="n">
        <v>14</v>
      </c>
      <c r="B131" s="2" t="s">
        <v>216</v>
      </c>
      <c r="C131" s="2" t="s">
        <v>223</v>
      </c>
      <c r="D131" s="2" t="s">
        <v>1624</v>
      </c>
      <c r="E131" s="2" t="s">
        <v>1154</v>
      </c>
      <c r="F131" s="2" t="s">
        <v>1178</v>
      </c>
      <c r="G131" s="2" t="s">
        <v>1612</v>
      </c>
      <c r="H131" s="2" t="s">
        <v>1625</v>
      </c>
      <c r="I131" s="2" t="s">
        <v>1406</v>
      </c>
      <c r="J131" s="2" t="s">
        <v>1626</v>
      </c>
      <c r="K131" s="2" t="n">
        <v>3</v>
      </c>
      <c r="L131" s="2" t="n">
        <v>1012</v>
      </c>
      <c r="M131" s="2" t="n">
        <v>674</v>
      </c>
      <c r="N131" s="2" t="n">
        <v>548</v>
      </c>
      <c r="O131" s="2" t="n">
        <v>338</v>
      </c>
      <c r="P131" s="2" t="n">
        <v>0</v>
      </c>
      <c r="Q131" s="2" t="n">
        <v>0</v>
      </c>
      <c r="R131" s="2" t="n">
        <v>0</v>
      </c>
      <c r="S131" s="2" t="n">
        <v>4</v>
      </c>
      <c r="T131" s="2" t="n">
        <v>4</v>
      </c>
      <c r="U131" s="2" t="n">
        <v>0</v>
      </c>
      <c r="V131" s="2" t="n">
        <v>0</v>
      </c>
      <c r="W131" s="2" t="n">
        <v>0</v>
      </c>
      <c r="X131" s="2" t="n">
        <v>0</v>
      </c>
      <c r="Y131" s="2" t="n">
        <v>0</v>
      </c>
      <c r="Z131" s="2" t="n">
        <v>0</v>
      </c>
      <c r="AA131" s="2" t="n">
        <v>0</v>
      </c>
      <c r="AB131" s="2" t="n">
        <v>4</v>
      </c>
      <c r="AC131" s="2"/>
    </row>
    <row r="132" customFormat="false" ht="15" hidden="false" customHeight="false" outlineLevel="0" collapsed="false">
      <c r="A132" s="2" t="n">
        <v>14</v>
      </c>
      <c r="B132" s="2" t="s">
        <v>216</v>
      </c>
      <c r="C132" s="2" t="s">
        <v>223</v>
      </c>
      <c r="D132" s="2" t="s">
        <v>1627</v>
      </c>
      <c r="E132" s="2" t="s">
        <v>1154</v>
      </c>
      <c r="F132" s="2" t="s">
        <v>1178</v>
      </c>
      <c r="G132" s="2" t="s">
        <v>1612</v>
      </c>
      <c r="H132" s="2" t="s">
        <v>1628</v>
      </c>
      <c r="I132" s="2" t="s">
        <v>1406</v>
      </c>
      <c r="J132" s="2" t="s">
        <v>1629</v>
      </c>
      <c r="K132" s="2" t="n">
        <v>3</v>
      </c>
      <c r="L132" s="2" t="n">
        <v>1012</v>
      </c>
      <c r="M132" s="2" t="n">
        <v>687</v>
      </c>
      <c r="N132" s="2" t="n">
        <v>569</v>
      </c>
      <c r="O132" s="2" t="n">
        <v>325</v>
      </c>
      <c r="P132" s="2" t="n">
        <v>0</v>
      </c>
      <c r="Q132" s="2" t="n">
        <v>0</v>
      </c>
      <c r="R132" s="2" t="n">
        <v>0</v>
      </c>
      <c r="S132" s="2" t="n">
        <v>4</v>
      </c>
      <c r="T132" s="2" t="n">
        <v>3</v>
      </c>
      <c r="U132" s="2" t="n">
        <v>1</v>
      </c>
      <c r="V132" s="2" t="n">
        <v>0</v>
      </c>
      <c r="W132" s="2" t="n">
        <v>0</v>
      </c>
      <c r="X132" s="2" t="n">
        <v>0</v>
      </c>
      <c r="Y132" s="2" t="n">
        <v>0</v>
      </c>
      <c r="Z132" s="2" t="n">
        <v>0</v>
      </c>
      <c r="AA132" s="2" t="n">
        <v>0</v>
      </c>
      <c r="AB132" s="2" t="n">
        <v>4</v>
      </c>
      <c r="AC132" s="2"/>
    </row>
    <row r="133" customFormat="false" ht="15" hidden="false" customHeight="false" outlineLevel="0" collapsed="false">
      <c r="A133" s="2" t="n">
        <v>14</v>
      </c>
      <c r="B133" s="2" t="s">
        <v>216</v>
      </c>
      <c r="C133" s="2" t="s">
        <v>223</v>
      </c>
      <c r="D133" s="2" t="s">
        <v>1630</v>
      </c>
      <c r="E133" s="2" t="s">
        <v>1154</v>
      </c>
      <c r="F133" s="2" t="s">
        <v>1178</v>
      </c>
      <c r="G133" s="2" t="s">
        <v>1631</v>
      </c>
      <c r="H133" s="2" t="s">
        <v>1632</v>
      </c>
      <c r="I133" s="2" t="s">
        <v>1406</v>
      </c>
      <c r="J133" s="2" t="s">
        <v>1633</v>
      </c>
      <c r="K133" s="2" t="n">
        <v>2</v>
      </c>
      <c r="L133" s="2" t="n">
        <v>539</v>
      </c>
      <c r="M133" s="2" t="n">
        <v>486</v>
      </c>
      <c r="N133" s="2" t="n">
        <v>376</v>
      </c>
      <c r="O133" s="2" t="n">
        <v>53</v>
      </c>
      <c r="P133" s="2" t="n">
        <v>0</v>
      </c>
      <c r="Q133" s="2" t="n">
        <v>0</v>
      </c>
      <c r="R133" s="2" t="n">
        <v>0</v>
      </c>
      <c r="S133" s="2" t="n">
        <v>0</v>
      </c>
      <c r="T133" s="2" t="n">
        <v>0</v>
      </c>
      <c r="U133" s="2" t="n">
        <v>0</v>
      </c>
      <c r="V133" s="2" t="n">
        <v>0</v>
      </c>
      <c r="W133" s="2" t="n">
        <v>0</v>
      </c>
      <c r="X133" s="2" t="n">
        <v>0</v>
      </c>
      <c r="Y133" s="2" t="n">
        <v>0</v>
      </c>
      <c r="Z133" s="2" t="n">
        <v>0</v>
      </c>
      <c r="AA133" s="2" t="n">
        <v>0</v>
      </c>
      <c r="AB133" s="2" t="n">
        <v>0</v>
      </c>
      <c r="AC133" s="2"/>
    </row>
    <row r="134" customFormat="false" ht="15" hidden="false" customHeight="false" outlineLevel="0" collapsed="false">
      <c r="A134" s="2" t="n">
        <v>14</v>
      </c>
      <c r="B134" s="2" t="s">
        <v>216</v>
      </c>
      <c r="C134" s="2" t="s">
        <v>223</v>
      </c>
      <c r="D134" s="2" t="s">
        <v>1634</v>
      </c>
      <c r="E134" s="2" t="s">
        <v>1154</v>
      </c>
      <c r="F134" s="2" t="s">
        <v>1178</v>
      </c>
      <c r="G134" s="2" t="s">
        <v>1635</v>
      </c>
      <c r="H134" s="2" t="s">
        <v>1636</v>
      </c>
      <c r="I134" s="2" t="s">
        <v>1406</v>
      </c>
      <c r="J134" s="2" t="s">
        <v>1637</v>
      </c>
      <c r="K134" s="2" t="n">
        <v>2</v>
      </c>
      <c r="L134" s="2" t="n">
        <v>714</v>
      </c>
      <c r="M134" s="2" t="n">
        <v>614</v>
      </c>
      <c r="N134" s="2" t="n">
        <v>503</v>
      </c>
      <c r="O134" s="2" t="n">
        <v>100</v>
      </c>
      <c r="P134" s="2" t="n">
        <v>0</v>
      </c>
      <c r="Q134" s="2" t="n">
        <v>0</v>
      </c>
      <c r="R134" s="2" t="n">
        <v>0</v>
      </c>
      <c r="S134" s="2" t="n">
        <v>2</v>
      </c>
      <c r="T134" s="2" t="n">
        <v>2</v>
      </c>
      <c r="U134" s="2" t="n">
        <v>0</v>
      </c>
      <c r="V134" s="2" t="n">
        <v>0</v>
      </c>
      <c r="W134" s="2" t="n">
        <v>0</v>
      </c>
      <c r="X134" s="2" t="n">
        <v>0</v>
      </c>
      <c r="Y134" s="2" t="n">
        <v>0</v>
      </c>
      <c r="Z134" s="2" t="n">
        <v>0</v>
      </c>
      <c r="AA134" s="2" t="n">
        <v>0</v>
      </c>
      <c r="AB134" s="2" t="n">
        <v>2</v>
      </c>
      <c r="AC134" s="2"/>
    </row>
    <row r="135" customFormat="false" ht="15" hidden="false" customHeight="false" outlineLevel="0" collapsed="false">
      <c r="A135" s="2" t="n">
        <v>14</v>
      </c>
      <c r="B135" s="2" t="s">
        <v>216</v>
      </c>
      <c r="C135" s="2" t="s">
        <v>223</v>
      </c>
      <c r="D135" s="2" t="s">
        <v>1638</v>
      </c>
      <c r="E135" s="2" t="s">
        <v>1154</v>
      </c>
      <c r="F135" s="2" t="s">
        <v>1178</v>
      </c>
      <c r="G135" s="2" t="s">
        <v>1639</v>
      </c>
      <c r="H135" s="2" t="s">
        <v>1640</v>
      </c>
      <c r="I135" s="2" t="s">
        <v>1406</v>
      </c>
      <c r="J135" s="2" t="s">
        <v>1641</v>
      </c>
      <c r="K135" s="2" t="n">
        <v>2</v>
      </c>
      <c r="L135" s="2" t="n">
        <v>569</v>
      </c>
      <c r="M135" s="2" t="n">
        <v>456</v>
      </c>
      <c r="N135" s="2" t="n">
        <v>346</v>
      </c>
      <c r="O135" s="2" t="n">
        <v>113</v>
      </c>
      <c r="P135" s="2" t="n">
        <v>0</v>
      </c>
      <c r="Q135" s="2" t="n">
        <v>0</v>
      </c>
      <c r="R135" s="2" t="n">
        <v>0</v>
      </c>
      <c r="S135" s="2" t="n">
        <v>2</v>
      </c>
      <c r="T135" s="2" t="n">
        <v>2</v>
      </c>
      <c r="U135" s="2" t="n">
        <v>0</v>
      </c>
      <c r="V135" s="2" t="n">
        <v>0</v>
      </c>
      <c r="W135" s="2" t="n">
        <v>0</v>
      </c>
      <c r="X135" s="2" t="n">
        <v>0</v>
      </c>
      <c r="Y135" s="2" t="n">
        <v>1</v>
      </c>
      <c r="Z135" s="2" t="n">
        <v>0</v>
      </c>
      <c r="AA135" s="2" t="n">
        <v>0</v>
      </c>
      <c r="AB135" s="2" t="n">
        <v>1</v>
      </c>
      <c r="AC135" s="2"/>
    </row>
    <row r="136" customFormat="false" ht="15" hidden="false" customHeight="false" outlineLevel="0" collapsed="false">
      <c r="A136" s="2" t="n">
        <v>14</v>
      </c>
      <c r="B136" s="2" t="s">
        <v>216</v>
      </c>
      <c r="C136" s="2" t="s">
        <v>223</v>
      </c>
      <c r="D136" s="2" t="s">
        <v>1642</v>
      </c>
      <c r="E136" s="2" t="s">
        <v>1154</v>
      </c>
      <c r="F136" s="2" t="s">
        <v>1178</v>
      </c>
      <c r="G136" s="2" t="s">
        <v>1639</v>
      </c>
      <c r="H136" s="2" t="s">
        <v>1643</v>
      </c>
      <c r="I136" s="2" t="s">
        <v>1406</v>
      </c>
      <c r="J136" s="2" t="s">
        <v>1644</v>
      </c>
      <c r="K136" s="2" t="n">
        <v>2</v>
      </c>
      <c r="L136" s="2" t="n">
        <v>624</v>
      </c>
      <c r="M136" s="2" t="n">
        <v>549</v>
      </c>
      <c r="N136" s="2" t="n">
        <v>438</v>
      </c>
      <c r="O136" s="2" t="n">
        <v>75</v>
      </c>
      <c r="P136" s="2" t="n">
        <v>0</v>
      </c>
      <c r="Q136" s="2" t="n">
        <v>0</v>
      </c>
      <c r="R136" s="2" t="n">
        <v>0</v>
      </c>
      <c r="S136" s="2" t="n">
        <v>0</v>
      </c>
      <c r="T136" s="2" t="n">
        <v>0</v>
      </c>
      <c r="U136" s="2" t="n">
        <v>0</v>
      </c>
      <c r="V136" s="2" t="n">
        <v>0</v>
      </c>
      <c r="W136" s="2" t="n">
        <v>0</v>
      </c>
      <c r="X136" s="2" t="n">
        <v>0</v>
      </c>
      <c r="Y136" s="2" t="n">
        <v>0</v>
      </c>
      <c r="Z136" s="2" t="n">
        <v>0</v>
      </c>
      <c r="AA136" s="2" t="n">
        <v>0</v>
      </c>
      <c r="AB136" s="2" t="n">
        <v>0</v>
      </c>
      <c r="AC136" s="2"/>
    </row>
    <row r="137" customFormat="false" ht="15" hidden="false" customHeight="false" outlineLevel="0" collapsed="false">
      <c r="A137" s="2" t="n">
        <v>14</v>
      </c>
      <c r="B137" s="2" t="s">
        <v>216</v>
      </c>
      <c r="C137" s="2" t="s">
        <v>223</v>
      </c>
      <c r="D137" s="2" t="s">
        <v>1645</v>
      </c>
      <c r="E137" s="2" t="s">
        <v>1154</v>
      </c>
      <c r="F137" s="2" t="s">
        <v>1178</v>
      </c>
      <c r="G137" s="2" t="s">
        <v>1646</v>
      </c>
      <c r="H137" s="2" t="s">
        <v>1647</v>
      </c>
      <c r="I137" s="2" t="s">
        <v>1406</v>
      </c>
      <c r="J137" s="2" t="s">
        <v>1648</v>
      </c>
      <c r="K137" s="2" t="n">
        <v>2</v>
      </c>
      <c r="L137" s="2" t="n">
        <v>706</v>
      </c>
      <c r="M137" s="2" t="n">
        <v>587</v>
      </c>
      <c r="N137" s="2" t="n">
        <v>479</v>
      </c>
      <c r="O137" s="2" t="n">
        <v>119</v>
      </c>
      <c r="P137" s="2" t="n">
        <v>0</v>
      </c>
      <c r="Q137" s="2" t="n">
        <v>0</v>
      </c>
      <c r="R137" s="2" t="n">
        <v>0</v>
      </c>
      <c r="S137" s="2" t="n">
        <v>0</v>
      </c>
      <c r="T137" s="2" t="n">
        <v>0</v>
      </c>
      <c r="U137" s="2" t="n">
        <v>0</v>
      </c>
      <c r="V137" s="2" t="n">
        <v>0</v>
      </c>
      <c r="W137" s="2" t="n">
        <v>0</v>
      </c>
      <c r="X137" s="2" t="n">
        <v>0</v>
      </c>
      <c r="Y137" s="2" t="n">
        <v>0</v>
      </c>
      <c r="Z137" s="2" t="n">
        <v>0</v>
      </c>
      <c r="AA137" s="2" t="n">
        <v>0</v>
      </c>
      <c r="AB137" s="2" t="n">
        <v>0</v>
      </c>
      <c r="AC137" s="2"/>
    </row>
    <row r="138" customFormat="false" ht="15" hidden="false" customHeight="false" outlineLevel="0" collapsed="false">
      <c r="A138" s="2" t="n">
        <v>14</v>
      </c>
      <c r="B138" s="2" t="s">
        <v>216</v>
      </c>
      <c r="C138" s="2" t="s">
        <v>223</v>
      </c>
      <c r="D138" s="2" t="s">
        <v>1649</v>
      </c>
      <c r="E138" s="2" t="s">
        <v>1154</v>
      </c>
      <c r="F138" s="2" t="s">
        <v>1178</v>
      </c>
      <c r="G138" s="2" t="s">
        <v>1650</v>
      </c>
      <c r="H138" s="2" t="s">
        <v>1651</v>
      </c>
      <c r="I138" s="2" t="s">
        <v>1406</v>
      </c>
      <c r="J138" s="2" t="s">
        <v>1652</v>
      </c>
      <c r="K138" s="2" t="n">
        <v>2</v>
      </c>
      <c r="L138" s="2" t="n">
        <v>652</v>
      </c>
      <c r="M138" s="2" t="n">
        <v>548</v>
      </c>
      <c r="N138" s="2" t="n">
        <v>434</v>
      </c>
      <c r="O138" s="2" t="n">
        <v>104</v>
      </c>
      <c r="P138" s="2" t="n">
        <v>0</v>
      </c>
      <c r="Q138" s="2" t="n">
        <v>0</v>
      </c>
      <c r="R138" s="2" t="n">
        <v>0</v>
      </c>
      <c r="S138" s="2" t="n">
        <v>1</v>
      </c>
      <c r="T138" s="2" t="n">
        <v>1</v>
      </c>
      <c r="U138" s="2" t="n">
        <v>0</v>
      </c>
      <c r="V138" s="2" t="n">
        <v>0</v>
      </c>
      <c r="W138" s="2" t="n">
        <v>0</v>
      </c>
      <c r="X138" s="2" t="n">
        <v>0</v>
      </c>
      <c r="Y138" s="2" t="n">
        <v>0</v>
      </c>
      <c r="Z138" s="2" t="n">
        <v>0</v>
      </c>
      <c r="AA138" s="2" t="n">
        <v>0</v>
      </c>
      <c r="AB138" s="2" t="n">
        <v>1</v>
      </c>
      <c r="AC138" s="2"/>
    </row>
    <row r="139" customFormat="false" ht="15" hidden="false" customHeight="false" outlineLevel="0" collapsed="false">
      <c r="A139" s="2" t="n">
        <v>14</v>
      </c>
      <c r="B139" s="2" t="s">
        <v>216</v>
      </c>
      <c r="C139" s="2" t="s">
        <v>223</v>
      </c>
      <c r="D139" s="2" t="s">
        <v>1653</v>
      </c>
      <c r="E139" s="2" t="s">
        <v>1154</v>
      </c>
      <c r="F139" s="2" t="s">
        <v>1178</v>
      </c>
      <c r="G139" s="2" t="s">
        <v>1654</v>
      </c>
      <c r="H139" s="2" t="s">
        <v>1655</v>
      </c>
      <c r="I139" s="2" t="s">
        <v>1406</v>
      </c>
      <c r="J139" s="2" t="s">
        <v>1656</v>
      </c>
      <c r="K139" s="2" t="n">
        <v>2</v>
      </c>
      <c r="L139" s="2" t="n">
        <v>805</v>
      </c>
      <c r="M139" s="2" t="n">
        <v>688</v>
      </c>
      <c r="N139" s="2" t="n">
        <v>581</v>
      </c>
      <c r="O139" s="2" t="n">
        <v>117</v>
      </c>
      <c r="P139" s="2" t="n">
        <v>0</v>
      </c>
      <c r="Q139" s="2" t="n">
        <v>0</v>
      </c>
      <c r="R139" s="2" t="n">
        <v>0</v>
      </c>
      <c r="S139" s="2" t="n">
        <v>0</v>
      </c>
      <c r="T139" s="2" t="n">
        <v>0</v>
      </c>
      <c r="U139" s="2" t="n">
        <v>0</v>
      </c>
      <c r="V139" s="2" t="n">
        <v>0</v>
      </c>
      <c r="W139" s="2" t="n">
        <v>0</v>
      </c>
      <c r="X139" s="2" t="n">
        <v>0</v>
      </c>
      <c r="Y139" s="2" t="n">
        <v>0</v>
      </c>
      <c r="Z139" s="2" t="n">
        <v>0</v>
      </c>
      <c r="AA139" s="2" t="n">
        <v>0</v>
      </c>
      <c r="AB139" s="2" t="n">
        <v>0</v>
      </c>
      <c r="AC139" s="2"/>
    </row>
    <row r="140" customFormat="false" ht="15" hidden="false" customHeight="false" outlineLevel="0" collapsed="false">
      <c r="A140" s="2" t="n">
        <v>14</v>
      </c>
      <c r="B140" s="2" t="s">
        <v>216</v>
      </c>
      <c r="C140" s="2" t="s">
        <v>223</v>
      </c>
      <c r="D140" s="2" t="s">
        <v>1657</v>
      </c>
      <c r="E140" s="2" t="s">
        <v>1154</v>
      </c>
      <c r="F140" s="2" t="s">
        <v>1178</v>
      </c>
      <c r="G140" s="2" t="s">
        <v>1654</v>
      </c>
      <c r="H140" s="2" t="s">
        <v>1658</v>
      </c>
      <c r="I140" s="2" t="s">
        <v>1406</v>
      </c>
      <c r="J140" s="2" t="s">
        <v>1659</v>
      </c>
      <c r="K140" s="2" t="n">
        <v>2</v>
      </c>
      <c r="L140" s="2" t="n">
        <v>509</v>
      </c>
      <c r="M140" s="2" t="n">
        <v>418</v>
      </c>
      <c r="N140" s="2" t="n">
        <v>315</v>
      </c>
      <c r="O140" s="2" t="n">
        <v>91</v>
      </c>
      <c r="P140" s="2" t="n">
        <v>0</v>
      </c>
      <c r="Q140" s="2" t="n">
        <v>0</v>
      </c>
      <c r="R140" s="2" t="n">
        <v>0</v>
      </c>
      <c r="S140" s="2" t="n">
        <v>0</v>
      </c>
      <c r="T140" s="2" t="n">
        <v>0</v>
      </c>
      <c r="U140" s="2" t="n">
        <v>0</v>
      </c>
      <c r="V140" s="2" t="n">
        <v>0</v>
      </c>
      <c r="W140" s="2" t="n">
        <v>0</v>
      </c>
      <c r="X140" s="2" t="n">
        <v>0</v>
      </c>
      <c r="Y140" s="2" t="n">
        <v>0</v>
      </c>
      <c r="Z140" s="2" t="n">
        <v>0</v>
      </c>
      <c r="AA140" s="2" t="n">
        <v>0</v>
      </c>
      <c r="AB140" s="2" t="n">
        <v>0</v>
      </c>
      <c r="AC140" s="2"/>
    </row>
    <row r="141" customFormat="false" ht="15" hidden="false" customHeight="false" outlineLevel="0" collapsed="false">
      <c r="A141" s="2" t="n">
        <v>14</v>
      </c>
      <c r="B141" s="2" t="s">
        <v>216</v>
      </c>
      <c r="C141" s="2" t="s">
        <v>223</v>
      </c>
      <c r="D141" s="2" t="s">
        <v>1660</v>
      </c>
      <c r="E141" s="2" t="s">
        <v>1154</v>
      </c>
      <c r="F141" s="2" t="s">
        <v>1178</v>
      </c>
      <c r="G141" s="2" t="s">
        <v>1661</v>
      </c>
      <c r="H141" s="2" t="s">
        <v>1662</v>
      </c>
      <c r="I141" s="2" t="s">
        <v>1406</v>
      </c>
      <c r="J141" s="2" t="s">
        <v>1663</v>
      </c>
      <c r="K141" s="2" t="n">
        <v>2</v>
      </c>
      <c r="L141" s="2" t="n">
        <v>525</v>
      </c>
      <c r="M141" s="2" t="n">
        <v>423</v>
      </c>
      <c r="N141" s="2" t="n">
        <v>319</v>
      </c>
      <c r="O141" s="2" t="n">
        <v>102</v>
      </c>
      <c r="P141" s="2" t="n">
        <v>0</v>
      </c>
      <c r="Q141" s="2" t="n">
        <v>0</v>
      </c>
      <c r="R141" s="2" t="n">
        <v>0</v>
      </c>
      <c r="S141" s="2" t="n">
        <v>0</v>
      </c>
      <c r="T141" s="2" t="n">
        <v>0</v>
      </c>
      <c r="U141" s="2" t="n">
        <v>0</v>
      </c>
      <c r="V141" s="2" t="n">
        <v>0</v>
      </c>
      <c r="W141" s="2" t="n">
        <v>0</v>
      </c>
      <c r="X141" s="2" t="n">
        <v>0</v>
      </c>
      <c r="Y141" s="2" t="n">
        <v>0</v>
      </c>
      <c r="Z141" s="2" t="n">
        <v>0</v>
      </c>
      <c r="AA141" s="2" t="n">
        <v>0</v>
      </c>
      <c r="AB141" s="2" t="n">
        <v>0</v>
      </c>
      <c r="AC141" s="2"/>
    </row>
    <row r="142" customFormat="false" ht="15" hidden="false" customHeight="false" outlineLevel="0" collapsed="false">
      <c r="A142" s="2" t="n">
        <v>14</v>
      </c>
      <c r="B142" s="2" t="s">
        <v>216</v>
      </c>
      <c r="C142" s="2" t="s">
        <v>223</v>
      </c>
      <c r="D142" s="2" t="s">
        <v>1664</v>
      </c>
      <c r="E142" s="2" t="s">
        <v>1154</v>
      </c>
      <c r="F142" s="2" t="s">
        <v>1178</v>
      </c>
      <c r="G142" s="2" t="s">
        <v>1665</v>
      </c>
      <c r="H142" s="2" t="s">
        <v>1666</v>
      </c>
      <c r="I142" s="2" t="s">
        <v>1406</v>
      </c>
      <c r="J142" s="2" t="s">
        <v>1667</v>
      </c>
      <c r="K142" s="2" t="n">
        <v>3</v>
      </c>
      <c r="L142" s="2" t="n">
        <v>1338</v>
      </c>
      <c r="M142" s="2" t="n">
        <v>1045</v>
      </c>
      <c r="N142" s="2" t="n">
        <v>932</v>
      </c>
      <c r="O142" s="2" t="n">
        <v>293</v>
      </c>
      <c r="P142" s="2" t="n">
        <v>0</v>
      </c>
      <c r="Q142" s="2" t="n">
        <v>0</v>
      </c>
      <c r="R142" s="2" t="n">
        <v>0</v>
      </c>
      <c r="S142" s="2" t="n">
        <v>4</v>
      </c>
      <c r="T142" s="2" t="n">
        <v>4</v>
      </c>
      <c r="U142" s="2" t="n">
        <v>0</v>
      </c>
      <c r="V142" s="2" t="n">
        <v>0</v>
      </c>
      <c r="W142" s="2" t="n">
        <v>0</v>
      </c>
      <c r="X142" s="2" t="n">
        <v>0</v>
      </c>
      <c r="Y142" s="2" t="n">
        <v>2</v>
      </c>
      <c r="Z142" s="2" t="n">
        <v>0</v>
      </c>
      <c r="AA142" s="2" t="n">
        <v>0</v>
      </c>
      <c r="AB142" s="2" t="n">
        <v>2</v>
      </c>
      <c r="AC142" s="2"/>
    </row>
    <row r="143" customFormat="false" ht="15" hidden="false" customHeight="false" outlineLevel="0" collapsed="false">
      <c r="A143" s="2" t="n">
        <v>14</v>
      </c>
      <c r="B143" s="2" t="s">
        <v>216</v>
      </c>
      <c r="C143" s="2" t="s">
        <v>223</v>
      </c>
      <c r="D143" s="2" t="s">
        <v>1668</v>
      </c>
      <c r="E143" s="2" t="s">
        <v>1154</v>
      </c>
      <c r="F143" s="2" t="s">
        <v>1178</v>
      </c>
      <c r="G143" s="2" t="s">
        <v>1669</v>
      </c>
      <c r="H143" s="2" t="s">
        <v>1670</v>
      </c>
      <c r="I143" s="2" t="s">
        <v>1406</v>
      </c>
      <c r="J143" s="2" t="s">
        <v>1671</v>
      </c>
      <c r="K143" s="2" t="n">
        <v>2</v>
      </c>
      <c r="L143" s="2" t="n">
        <v>619</v>
      </c>
      <c r="M143" s="2" t="n">
        <v>507</v>
      </c>
      <c r="N143" s="2" t="n">
        <v>402</v>
      </c>
      <c r="O143" s="2" t="n">
        <v>112</v>
      </c>
      <c r="P143" s="2" t="n">
        <v>0</v>
      </c>
      <c r="Q143" s="2" t="n">
        <v>0</v>
      </c>
      <c r="R143" s="2" t="n">
        <v>0</v>
      </c>
      <c r="S143" s="2" t="n">
        <v>0</v>
      </c>
      <c r="T143" s="2" t="n">
        <v>0</v>
      </c>
      <c r="U143" s="2" t="n">
        <v>0</v>
      </c>
      <c r="V143" s="2" t="n">
        <v>0</v>
      </c>
      <c r="W143" s="2" t="n">
        <v>0</v>
      </c>
      <c r="X143" s="2" t="n">
        <v>0</v>
      </c>
      <c r="Y143" s="2" t="n">
        <v>0</v>
      </c>
      <c r="Z143" s="2" t="n">
        <v>0</v>
      </c>
      <c r="AA143" s="2" t="n">
        <v>0</v>
      </c>
      <c r="AB143" s="2" t="n">
        <v>0</v>
      </c>
      <c r="AC143" s="2"/>
    </row>
    <row r="144" customFormat="false" ht="15" hidden="false" customHeight="false" outlineLevel="0" collapsed="false">
      <c r="A144" s="2" t="n">
        <v>14</v>
      </c>
      <c r="B144" s="2" t="s">
        <v>216</v>
      </c>
      <c r="C144" s="2" t="s">
        <v>223</v>
      </c>
      <c r="D144" s="2" t="s">
        <v>1672</v>
      </c>
      <c r="E144" s="2" t="s">
        <v>1154</v>
      </c>
      <c r="F144" s="2" t="s">
        <v>1178</v>
      </c>
      <c r="G144" s="2" t="s">
        <v>1669</v>
      </c>
      <c r="H144" s="2" t="s">
        <v>1673</v>
      </c>
      <c r="I144" s="2" t="s">
        <v>1406</v>
      </c>
      <c r="J144" s="2" t="s">
        <v>1674</v>
      </c>
      <c r="K144" s="2" t="n">
        <v>3</v>
      </c>
      <c r="L144" s="2" t="n">
        <v>940</v>
      </c>
      <c r="M144" s="2" t="n">
        <v>400</v>
      </c>
      <c r="N144" s="2" t="n">
        <v>273</v>
      </c>
      <c r="O144" s="2" t="n">
        <v>294</v>
      </c>
      <c r="P144" s="2" t="n">
        <v>246</v>
      </c>
      <c r="Q144" s="2" t="n">
        <v>0</v>
      </c>
      <c r="R144" s="2" t="n">
        <v>0</v>
      </c>
      <c r="S144" s="2" t="n">
        <v>8</v>
      </c>
      <c r="T144" s="2" t="n">
        <v>7</v>
      </c>
      <c r="U144" s="2" t="n">
        <v>1</v>
      </c>
      <c r="V144" s="2" t="n">
        <v>0</v>
      </c>
      <c r="W144" s="2" t="n">
        <v>0</v>
      </c>
      <c r="X144" s="2" t="n">
        <v>0</v>
      </c>
      <c r="Y144" s="2" t="n">
        <v>4</v>
      </c>
      <c r="Z144" s="2" t="n">
        <v>0</v>
      </c>
      <c r="AA144" s="2" t="n">
        <v>0</v>
      </c>
      <c r="AB144" s="2" t="n">
        <v>4</v>
      </c>
      <c r="AC144" s="2"/>
    </row>
    <row r="145" customFormat="false" ht="15" hidden="false" customHeight="false" outlineLevel="0" collapsed="false">
      <c r="A145" s="2" t="n">
        <v>14</v>
      </c>
      <c r="B145" s="2" t="s">
        <v>216</v>
      </c>
      <c r="C145" s="2" t="s">
        <v>223</v>
      </c>
      <c r="D145" s="2" t="s">
        <v>1675</v>
      </c>
      <c r="E145" s="2" t="s">
        <v>1154</v>
      </c>
      <c r="F145" s="2" t="s">
        <v>1178</v>
      </c>
      <c r="G145" s="2" t="s">
        <v>1676</v>
      </c>
      <c r="H145" s="2" t="s">
        <v>1677</v>
      </c>
      <c r="I145" s="2" t="s">
        <v>1406</v>
      </c>
      <c r="J145" s="2" t="s">
        <v>1678</v>
      </c>
      <c r="K145" s="2" t="n">
        <v>2</v>
      </c>
      <c r="L145" s="2" t="n">
        <v>614</v>
      </c>
      <c r="M145" s="2" t="n">
        <v>527</v>
      </c>
      <c r="N145" s="2" t="n">
        <v>418</v>
      </c>
      <c r="O145" s="2" t="n">
        <v>87</v>
      </c>
      <c r="P145" s="2" t="n">
        <v>0</v>
      </c>
      <c r="Q145" s="2" t="n">
        <v>0</v>
      </c>
      <c r="R145" s="2" t="n">
        <v>0</v>
      </c>
      <c r="S145" s="2" t="n">
        <v>0</v>
      </c>
      <c r="T145" s="2" t="n">
        <v>0</v>
      </c>
      <c r="U145" s="2" t="n">
        <v>0</v>
      </c>
      <c r="V145" s="2" t="n">
        <v>0</v>
      </c>
      <c r="W145" s="2" t="n">
        <v>0</v>
      </c>
      <c r="X145" s="2" t="n">
        <v>0</v>
      </c>
      <c r="Y145" s="2" t="n">
        <v>0</v>
      </c>
      <c r="Z145" s="2" t="n">
        <v>0</v>
      </c>
      <c r="AA145" s="2" t="n">
        <v>0</v>
      </c>
      <c r="AB145" s="2" t="n">
        <v>0</v>
      </c>
      <c r="AC145" s="2"/>
    </row>
    <row r="146" customFormat="false" ht="15" hidden="false" customHeight="false" outlineLevel="0" collapsed="false">
      <c r="A146" s="2" t="n">
        <v>14</v>
      </c>
      <c r="B146" s="2" t="s">
        <v>216</v>
      </c>
      <c r="C146" s="2" t="s">
        <v>223</v>
      </c>
      <c r="D146" s="2" t="s">
        <v>1679</v>
      </c>
      <c r="E146" s="2" t="s">
        <v>1154</v>
      </c>
      <c r="F146" s="2" t="s">
        <v>1178</v>
      </c>
      <c r="G146" s="2" t="s">
        <v>1676</v>
      </c>
      <c r="H146" s="2" t="s">
        <v>1680</v>
      </c>
      <c r="I146" s="2" t="s">
        <v>1406</v>
      </c>
      <c r="J146" s="2" t="s">
        <v>1681</v>
      </c>
      <c r="K146" s="2" t="n">
        <v>2</v>
      </c>
      <c r="L146" s="2" t="n">
        <v>694</v>
      </c>
      <c r="M146" s="2" t="n">
        <v>586</v>
      </c>
      <c r="N146" s="2" t="n">
        <v>468</v>
      </c>
      <c r="O146" s="2" t="n">
        <v>108</v>
      </c>
      <c r="P146" s="2" t="n">
        <v>0</v>
      </c>
      <c r="Q146" s="2" t="n">
        <v>0</v>
      </c>
      <c r="R146" s="2" t="n">
        <v>0</v>
      </c>
      <c r="S146" s="2" t="n">
        <v>1</v>
      </c>
      <c r="T146" s="2" t="n">
        <v>1</v>
      </c>
      <c r="U146" s="2" t="n">
        <v>0</v>
      </c>
      <c r="V146" s="2" t="n">
        <v>0</v>
      </c>
      <c r="W146" s="2" t="n">
        <v>0</v>
      </c>
      <c r="X146" s="2" t="n">
        <v>0</v>
      </c>
      <c r="Y146" s="2" t="n">
        <v>0</v>
      </c>
      <c r="Z146" s="2" t="n">
        <v>0</v>
      </c>
      <c r="AA146" s="2" t="n">
        <v>0</v>
      </c>
      <c r="AB146" s="2" t="n">
        <v>1</v>
      </c>
      <c r="AC146" s="2"/>
    </row>
    <row r="147" customFormat="false" ht="15" hidden="false" customHeight="false" outlineLevel="0" collapsed="false">
      <c r="A147" s="2" t="n">
        <v>14</v>
      </c>
      <c r="B147" s="2" t="s">
        <v>216</v>
      </c>
      <c r="C147" s="2" t="s">
        <v>223</v>
      </c>
      <c r="D147" s="2" t="s">
        <v>1682</v>
      </c>
      <c r="E147" s="2" t="s">
        <v>1154</v>
      </c>
      <c r="F147" s="2" t="s">
        <v>1178</v>
      </c>
      <c r="G147" s="2" t="s">
        <v>1676</v>
      </c>
      <c r="H147" s="2" t="s">
        <v>1683</v>
      </c>
      <c r="I147" s="2" t="s">
        <v>1406</v>
      </c>
      <c r="J147" s="2" t="s">
        <v>1684</v>
      </c>
      <c r="K147" s="2" t="n">
        <v>2</v>
      </c>
      <c r="L147" s="2" t="n">
        <v>649</v>
      </c>
      <c r="M147" s="2" t="n">
        <v>537</v>
      </c>
      <c r="N147" s="2" t="n">
        <v>436</v>
      </c>
      <c r="O147" s="2" t="n">
        <v>112</v>
      </c>
      <c r="P147" s="2" t="n">
        <v>0</v>
      </c>
      <c r="Q147" s="2" t="n">
        <v>0</v>
      </c>
      <c r="R147" s="2" t="n">
        <v>0</v>
      </c>
      <c r="S147" s="2" t="n">
        <v>0</v>
      </c>
      <c r="T147" s="2" t="n">
        <v>0</v>
      </c>
      <c r="U147" s="2" t="n">
        <v>0</v>
      </c>
      <c r="V147" s="2" t="n">
        <v>0</v>
      </c>
      <c r="W147" s="2" t="n">
        <v>0</v>
      </c>
      <c r="X147" s="2" t="n">
        <v>0</v>
      </c>
      <c r="Y147" s="2" t="n">
        <v>0</v>
      </c>
      <c r="Z147" s="2" t="n">
        <v>0</v>
      </c>
      <c r="AA147" s="2" t="n">
        <v>0</v>
      </c>
      <c r="AB147" s="2" t="n">
        <v>0</v>
      </c>
      <c r="AC147" s="2"/>
    </row>
    <row r="148" customFormat="false" ht="15" hidden="false" customHeight="false" outlineLevel="0" collapsed="false">
      <c r="A148" s="2" t="n">
        <v>14</v>
      </c>
      <c r="B148" s="2" t="s">
        <v>216</v>
      </c>
      <c r="C148" s="2" t="s">
        <v>223</v>
      </c>
      <c r="D148" s="2" t="s">
        <v>1685</v>
      </c>
      <c r="E148" s="2" t="s">
        <v>1154</v>
      </c>
      <c r="F148" s="2" t="s">
        <v>1178</v>
      </c>
      <c r="G148" s="2" t="s">
        <v>1676</v>
      </c>
      <c r="H148" s="2" t="s">
        <v>1686</v>
      </c>
      <c r="I148" s="2" t="s">
        <v>1406</v>
      </c>
      <c r="J148" s="2" t="s">
        <v>1687</v>
      </c>
      <c r="K148" s="2" t="n">
        <v>2</v>
      </c>
      <c r="L148" s="2" t="n">
        <v>566</v>
      </c>
      <c r="M148" s="2" t="n">
        <v>483</v>
      </c>
      <c r="N148" s="2" t="n">
        <v>379</v>
      </c>
      <c r="O148" s="2" t="n">
        <v>83</v>
      </c>
      <c r="P148" s="2" t="n">
        <v>0</v>
      </c>
      <c r="Q148" s="2" t="n">
        <v>0</v>
      </c>
      <c r="R148" s="2" t="n">
        <v>0</v>
      </c>
      <c r="S148" s="2" t="n">
        <v>0</v>
      </c>
      <c r="T148" s="2" t="n">
        <v>0</v>
      </c>
      <c r="U148" s="2" t="n">
        <v>0</v>
      </c>
      <c r="V148" s="2" t="n">
        <v>0</v>
      </c>
      <c r="W148" s="2" t="n">
        <v>0</v>
      </c>
      <c r="X148" s="2" t="n">
        <v>0</v>
      </c>
      <c r="Y148" s="2" t="n">
        <v>0</v>
      </c>
      <c r="Z148" s="2" t="n">
        <v>0</v>
      </c>
      <c r="AA148" s="2" t="n">
        <v>0</v>
      </c>
      <c r="AB148" s="2" t="n">
        <v>0</v>
      </c>
      <c r="AC148" s="2"/>
    </row>
    <row r="149" customFormat="false" ht="15" hidden="false" customHeight="false" outlineLevel="0" collapsed="false">
      <c r="A149" s="2" t="n">
        <v>14</v>
      </c>
      <c r="B149" s="2" t="s">
        <v>216</v>
      </c>
      <c r="C149" s="2" t="s">
        <v>223</v>
      </c>
      <c r="D149" s="2" t="s">
        <v>1688</v>
      </c>
      <c r="E149" s="2" t="s">
        <v>1154</v>
      </c>
      <c r="F149" s="2" t="s">
        <v>1178</v>
      </c>
      <c r="G149" s="2" t="s">
        <v>1689</v>
      </c>
      <c r="H149" s="2" t="s">
        <v>1690</v>
      </c>
      <c r="I149" s="2" t="s">
        <v>1406</v>
      </c>
      <c r="J149" s="2" t="s">
        <v>1691</v>
      </c>
      <c r="K149" s="2" t="n">
        <v>2</v>
      </c>
      <c r="L149" s="2" t="n">
        <v>773</v>
      </c>
      <c r="M149" s="2" t="n">
        <v>634</v>
      </c>
      <c r="N149" s="2" t="n">
        <v>524</v>
      </c>
      <c r="O149" s="2" t="n">
        <v>139</v>
      </c>
      <c r="P149" s="2" t="n">
        <v>0</v>
      </c>
      <c r="Q149" s="2" t="n">
        <v>0</v>
      </c>
      <c r="R149" s="2" t="n">
        <v>0</v>
      </c>
      <c r="S149" s="2" t="n">
        <v>2</v>
      </c>
      <c r="T149" s="2" t="n">
        <v>2</v>
      </c>
      <c r="U149" s="2" t="n">
        <v>0</v>
      </c>
      <c r="V149" s="2" t="n">
        <v>0</v>
      </c>
      <c r="W149" s="2" t="n">
        <v>0</v>
      </c>
      <c r="X149" s="2" t="n">
        <v>0</v>
      </c>
      <c r="Y149" s="2" t="n">
        <v>0</v>
      </c>
      <c r="Z149" s="2" t="n">
        <v>0</v>
      </c>
      <c r="AA149" s="2" t="n">
        <v>0</v>
      </c>
      <c r="AB149" s="2" t="n">
        <v>2</v>
      </c>
      <c r="AC149" s="2"/>
    </row>
    <row r="150" customFormat="false" ht="15" hidden="false" customHeight="false" outlineLevel="0" collapsed="false">
      <c r="A150" s="2" t="n">
        <v>14</v>
      </c>
      <c r="B150" s="2" t="s">
        <v>216</v>
      </c>
      <c r="C150" s="2" t="s">
        <v>223</v>
      </c>
      <c r="D150" s="2" t="s">
        <v>1692</v>
      </c>
      <c r="E150" s="2" t="s">
        <v>1154</v>
      </c>
      <c r="F150" s="2" t="s">
        <v>1178</v>
      </c>
      <c r="G150" s="2" t="s">
        <v>1689</v>
      </c>
      <c r="H150" s="2" t="s">
        <v>1693</v>
      </c>
      <c r="I150" s="2" t="s">
        <v>1406</v>
      </c>
      <c r="J150" s="2" t="s">
        <v>1694</v>
      </c>
      <c r="K150" s="2" t="n">
        <v>2</v>
      </c>
      <c r="L150" s="2" t="n">
        <v>662</v>
      </c>
      <c r="M150" s="2" t="n">
        <v>586</v>
      </c>
      <c r="N150" s="2" t="n">
        <v>480</v>
      </c>
      <c r="O150" s="2" t="n">
        <v>76</v>
      </c>
      <c r="P150" s="2" t="n">
        <v>0</v>
      </c>
      <c r="Q150" s="2" t="n">
        <v>0</v>
      </c>
      <c r="R150" s="2" t="n">
        <v>0</v>
      </c>
      <c r="S150" s="2" t="n">
        <v>0</v>
      </c>
      <c r="T150" s="2" t="n">
        <v>0</v>
      </c>
      <c r="U150" s="2" t="n">
        <v>0</v>
      </c>
      <c r="V150" s="2" t="n">
        <v>0</v>
      </c>
      <c r="W150" s="2" t="n">
        <v>0</v>
      </c>
      <c r="X150" s="2" t="n">
        <v>0</v>
      </c>
      <c r="Y150" s="2" t="n">
        <v>0</v>
      </c>
      <c r="Z150" s="2" t="n">
        <v>0</v>
      </c>
      <c r="AA150" s="2" t="n">
        <v>0</v>
      </c>
      <c r="AB150" s="2" t="n">
        <v>0</v>
      </c>
      <c r="AC150" s="2"/>
    </row>
    <row r="151" customFormat="false" ht="15" hidden="false" customHeight="false" outlineLevel="0" collapsed="false">
      <c r="A151" s="2" t="n">
        <v>14</v>
      </c>
      <c r="B151" s="2" t="s">
        <v>216</v>
      </c>
      <c r="C151" s="2" t="s">
        <v>223</v>
      </c>
      <c r="D151" s="2" t="s">
        <v>1695</v>
      </c>
      <c r="E151" s="2" t="s">
        <v>1154</v>
      </c>
      <c r="F151" s="2" t="s">
        <v>1155</v>
      </c>
      <c r="G151" s="2" t="s">
        <v>1696</v>
      </c>
      <c r="H151" s="2" t="s">
        <v>1697</v>
      </c>
      <c r="I151" s="2" t="s">
        <v>1133</v>
      </c>
      <c r="J151" s="2" t="s">
        <v>1698</v>
      </c>
      <c r="K151" s="2" t="n">
        <v>2</v>
      </c>
      <c r="L151" s="2" t="n">
        <v>814</v>
      </c>
      <c r="M151" s="2" t="n">
        <v>313</v>
      </c>
      <c r="N151" s="2" t="n">
        <v>212</v>
      </c>
      <c r="O151" s="2" t="n">
        <v>501</v>
      </c>
      <c r="P151" s="2" t="n">
        <v>0</v>
      </c>
      <c r="Q151" s="2" t="n">
        <v>0</v>
      </c>
      <c r="R151" s="2" t="n">
        <v>0</v>
      </c>
      <c r="S151" s="2" t="n">
        <v>1</v>
      </c>
      <c r="T151" s="2" t="n">
        <v>1</v>
      </c>
      <c r="U151" s="2" t="n">
        <v>0</v>
      </c>
      <c r="V151" s="2" t="n">
        <v>0</v>
      </c>
      <c r="W151" s="2" t="n">
        <v>0</v>
      </c>
      <c r="X151" s="2" t="n">
        <v>0</v>
      </c>
      <c r="Y151" s="2" t="n">
        <v>0</v>
      </c>
      <c r="Z151" s="2" t="n">
        <v>0</v>
      </c>
      <c r="AA151" s="2" t="n">
        <v>0</v>
      </c>
      <c r="AB151" s="2" t="n">
        <v>1</v>
      </c>
      <c r="AC151" s="2"/>
    </row>
    <row r="152" customFormat="false" ht="15" hidden="false" customHeight="false" outlineLevel="0" collapsed="false">
      <c r="A152" s="2" t="n">
        <v>14</v>
      </c>
      <c r="B152" s="2" t="s">
        <v>216</v>
      </c>
      <c r="C152" s="2" t="s">
        <v>223</v>
      </c>
      <c r="D152" s="2" t="s">
        <v>1699</v>
      </c>
      <c r="E152" s="2" t="s">
        <v>1154</v>
      </c>
      <c r="F152" s="2" t="s">
        <v>1178</v>
      </c>
      <c r="G152" s="2" t="s">
        <v>1700</v>
      </c>
      <c r="H152" s="2" t="s">
        <v>1701</v>
      </c>
      <c r="I152" s="2" t="s">
        <v>1406</v>
      </c>
      <c r="J152" s="2" t="s">
        <v>1702</v>
      </c>
      <c r="K152" s="2" t="n">
        <v>2</v>
      </c>
      <c r="L152" s="2" t="n">
        <v>559</v>
      </c>
      <c r="M152" s="2" t="n">
        <v>461</v>
      </c>
      <c r="N152" s="2" t="n">
        <v>357</v>
      </c>
      <c r="O152" s="2" t="n">
        <v>98</v>
      </c>
      <c r="P152" s="2" t="n">
        <v>0</v>
      </c>
      <c r="Q152" s="2" t="n">
        <v>0</v>
      </c>
      <c r="R152" s="2" t="n">
        <v>0</v>
      </c>
      <c r="S152" s="2" t="n">
        <v>0</v>
      </c>
      <c r="T152" s="2" t="n">
        <v>0</v>
      </c>
      <c r="U152" s="2" t="n">
        <v>0</v>
      </c>
      <c r="V152" s="2" t="n">
        <v>0</v>
      </c>
      <c r="W152" s="2" t="n">
        <v>0</v>
      </c>
      <c r="X152" s="2" t="n">
        <v>0</v>
      </c>
      <c r="Y152" s="2" t="n">
        <v>0</v>
      </c>
      <c r="Z152" s="2" t="n">
        <v>0</v>
      </c>
      <c r="AA152" s="2" t="n">
        <v>0</v>
      </c>
      <c r="AB152" s="2" t="n">
        <v>0</v>
      </c>
      <c r="AC152" s="2"/>
    </row>
    <row r="153" customFormat="false" ht="15" hidden="false" customHeight="false" outlineLevel="0" collapsed="false">
      <c r="A153" s="2" t="n">
        <v>14</v>
      </c>
      <c r="B153" s="2" t="s">
        <v>216</v>
      </c>
      <c r="C153" s="2" t="s">
        <v>223</v>
      </c>
      <c r="D153" s="2" t="s">
        <v>1703</v>
      </c>
      <c r="E153" s="2" t="s">
        <v>1154</v>
      </c>
      <c r="F153" s="2" t="s">
        <v>1178</v>
      </c>
      <c r="G153" s="2" t="s">
        <v>1704</v>
      </c>
      <c r="H153" s="2" t="s">
        <v>1705</v>
      </c>
      <c r="I153" s="2" t="s">
        <v>1406</v>
      </c>
      <c r="J153" s="2" t="s">
        <v>1706</v>
      </c>
      <c r="K153" s="2" t="n">
        <v>2</v>
      </c>
      <c r="L153" s="2" t="n">
        <v>704</v>
      </c>
      <c r="M153" s="2" t="n">
        <v>596</v>
      </c>
      <c r="N153" s="2" t="n">
        <v>495</v>
      </c>
      <c r="O153" s="2" t="n">
        <v>108</v>
      </c>
      <c r="P153" s="2" t="n">
        <v>0</v>
      </c>
      <c r="Q153" s="2" t="n">
        <v>0</v>
      </c>
      <c r="R153" s="2" t="n">
        <v>0</v>
      </c>
      <c r="S153" s="2" t="n">
        <v>0</v>
      </c>
      <c r="T153" s="2" t="n">
        <v>0</v>
      </c>
      <c r="U153" s="2" t="n">
        <v>0</v>
      </c>
      <c r="V153" s="2" t="n">
        <v>0</v>
      </c>
      <c r="W153" s="2" t="n">
        <v>0</v>
      </c>
      <c r="X153" s="2" t="n">
        <v>0</v>
      </c>
      <c r="Y153" s="2" t="n">
        <v>0</v>
      </c>
      <c r="Z153" s="2" t="n">
        <v>0</v>
      </c>
      <c r="AA153" s="2" t="n">
        <v>0</v>
      </c>
      <c r="AB153" s="2" t="n">
        <v>0</v>
      </c>
      <c r="AC153" s="2"/>
    </row>
    <row r="154" customFormat="false" ht="15" hidden="false" customHeight="false" outlineLevel="0" collapsed="false">
      <c r="A154" s="2" t="n">
        <v>14</v>
      </c>
      <c r="B154" s="2" t="s">
        <v>216</v>
      </c>
      <c r="C154" s="2" t="s">
        <v>223</v>
      </c>
      <c r="D154" s="2" t="s">
        <v>1707</v>
      </c>
      <c r="E154" s="2" t="s">
        <v>1154</v>
      </c>
      <c r="F154" s="2" t="s">
        <v>1178</v>
      </c>
      <c r="G154" s="2" t="s">
        <v>1708</v>
      </c>
      <c r="H154" s="2" t="s">
        <v>1709</v>
      </c>
      <c r="I154" s="2" t="s">
        <v>1406</v>
      </c>
      <c r="J154" s="2" t="s">
        <v>1710</v>
      </c>
      <c r="K154" s="2" t="n">
        <v>2</v>
      </c>
      <c r="L154" s="2" t="n">
        <v>647</v>
      </c>
      <c r="M154" s="2" t="n">
        <v>575</v>
      </c>
      <c r="N154" s="2" t="n">
        <v>471</v>
      </c>
      <c r="O154" s="2" t="n">
        <v>72</v>
      </c>
      <c r="P154" s="2" t="n">
        <v>0</v>
      </c>
      <c r="Q154" s="2" t="n">
        <v>0</v>
      </c>
      <c r="R154" s="2" t="n">
        <v>0</v>
      </c>
      <c r="S154" s="2" t="n">
        <v>0</v>
      </c>
      <c r="T154" s="2" t="n">
        <v>0</v>
      </c>
      <c r="U154" s="2" t="n">
        <v>0</v>
      </c>
      <c r="V154" s="2" t="n">
        <v>0</v>
      </c>
      <c r="W154" s="2" t="n">
        <v>0</v>
      </c>
      <c r="X154" s="2" t="n">
        <v>0</v>
      </c>
      <c r="Y154" s="2" t="n">
        <v>0</v>
      </c>
      <c r="Z154" s="2" t="n">
        <v>0</v>
      </c>
      <c r="AA154" s="2" t="n">
        <v>0</v>
      </c>
      <c r="AB154" s="2" t="n">
        <v>0</v>
      </c>
      <c r="AC154" s="2"/>
    </row>
    <row r="155" customFormat="false" ht="15" hidden="false" customHeight="false" outlineLevel="0" collapsed="false">
      <c r="A155" s="2" t="n">
        <v>14</v>
      </c>
      <c r="B155" s="2" t="s">
        <v>216</v>
      </c>
      <c r="C155" s="2" t="s">
        <v>223</v>
      </c>
      <c r="D155" s="2" t="s">
        <v>1711</v>
      </c>
      <c r="E155" s="2" t="s">
        <v>1154</v>
      </c>
      <c r="F155" s="2" t="s">
        <v>1178</v>
      </c>
      <c r="G155" s="2" t="s">
        <v>1712</v>
      </c>
      <c r="H155" s="2" t="s">
        <v>1713</v>
      </c>
      <c r="I155" s="2" t="s">
        <v>1406</v>
      </c>
      <c r="J155" s="2" t="s">
        <v>1714</v>
      </c>
      <c r="K155" s="2" t="n">
        <v>2</v>
      </c>
      <c r="L155" s="2" t="n">
        <v>1047</v>
      </c>
      <c r="M155" s="2" t="n">
        <v>845</v>
      </c>
      <c r="N155" s="2" t="n">
        <v>736</v>
      </c>
      <c r="O155" s="2" t="n">
        <v>202</v>
      </c>
      <c r="P155" s="2" t="n">
        <v>0</v>
      </c>
      <c r="Q155" s="2" t="n">
        <v>0</v>
      </c>
      <c r="R155" s="2" t="n">
        <v>0</v>
      </c>
      <c r="S155" s="2" t="n">
        <v>3</v>
      </c>
      <c r="T155" s="2" t="n">
        <v>3</v>
      </c>
      <c r="U155" s="2" t="n">
        <v>0</v>
      </c>
      <c r="V155" s="2" t="n">
        <v>0</v>
      </c>
      <c r="W155" s="2" t="n">
        <v>0</v>
      </c>
      <c r="X155" s="2" t="n">
        <v>0</v>
      </c>
      <c r="Y155" s="2" t="n">
        <v>0</v>
      </c>
      <c r="Z155" s="2" t="n">
        <v>0</v>
      </c>
      <c r="AA155" s="2" t="n">
        <v>1</v>
      </c>
      <c r="AB155" s="2" t="n">
        <v>2</v>
      </c>
      <c r="AC155" s="2"/>
    </row>
    <row r="156" customFormat="false" ht="15" hidden="false" customHeight="false" outlineLevel="0" collapsed="false">
      <c r="A156" s="2" t="n">
        <v>14</v>
      </c>
      <c r="B156" s="2" t="s">
        <v>216</v>
      </c>
      <c r="C156" s="2" t="s">
        <v>223</v>
      </c>
      <c r="D156" s="2" t="s">
        <v>1715</v>
      </c>
      <c r="E156" s="2" t="s">
        <v>1154</v>
      </c>
      <c r="F156" s="2" t="s">
        <v>1178</v>
      </c>
      <c r="G156" s="2" t="s">
        <v>1712</v>
      </c>
      <c r="H156" s="2" t="s">
        <v>1716</v>
      </c>
      <c r="I156" s="2" t="s">
        <v>1406</v>
      </c>
      <c r="J156" s="2" t="s">
        <v>1717</v>
      </c>
      <c r="K156" s="2" t="n">
        <v>2</v>
      </c>
      <c r="L156" s="2" t="n">
        <v>914</v>
      </c>
      <c r="M156" s="2" t="n">
        <v>825</v>
      </c>
      <c r="N156" s="2" t="n">
        <v>716</v>
      </c>
      <c r="O156" s="2" t="n">
        <v>89</v>
      </c>
      <c r="P156" s="2" t="n">
        <v>0</v>
      </c>
      <c r="Q156" s="2" t="n">
        <v>0</v>
      </c>
      <c r="R156" s="2" t="n">
        <v>0</v>
      </c>
      <c r="S156" s="2" t="n">
        <v>0</v>
      </c>
      <c r="T156" s="2" t="n">
        <v>0</v>
      </c>
      <c r="U156" s="2" t="n">
        <v>0</v>
      </c>
      <c r="V156" s="2" t="n">
        <v>0</v>
      </c>
      <c r="W156" s="2" t="n">
        <v>0</v>
      </c>
      <c r="X156" s="2" t="n">
        <v>0</v>
      </c>
      <c r="Y156" s="2" t="n">
        <v>0</v>
      </c>
      <c r="Z156" s="2" t="n">
        <v>0</v>
      </c>
      <c r="AA156" s="2" t="n">
        <v>0</v>
      </c>
      <c r="AB156" s="2" t="n">
        <v>0</v>
      </c>
      <c r="AC156" s="2"/>
    </row>
    <row r="157" customFormat="false" ht="15" hidden="false" customHeight="false" outlineLevel="0" collapsed="false">
      <c r="A157" s="2" t="n">
        <v>14</v>
      </c>
      <c r="B157" s="2" t="s">
        <v>216</v>
      </c>
      <c r="C157" s="2" t="s">
        <v>223</v>
      </c>
      <c r="D157" s="2" t="s">
        <v>1718</v>
      </c>
      <c r="E157" s="2" t="s">
        <v>1154</v>
      </c>
      <c r="F157" s="2" t="s">
        <v>1178</v>
      </c>
      <c r="G157" s="2" t="s">
        <v>1719</v>
      </c>
      <c r="H157" s="2" t="s">
        <v>1720</v>
      </c>
      <c r="I157" s="2" t="s">
        <v>1406</v>
      </c>
      <c r="J157" s="2" t="s">
        <v>1721</v>
      </c>
      <c r="K157" s="2" t="n">
        <v>2</v>
      </c>
      <c r="L157" s="2" t="n">
        <v>895</v>
      </c>
      <c r="M157" s="2" t="n">
        <v>629</v>
      </c>
      <c r="N157" s="2" t="n">
        <v>523</v>
      </c>
      <c r="O157" s="2" t="n">
        <v>266</v>
      </c>
      <c r="P157" s="2" t="n">
        <v>0</v>
      </c>
      <c r="Q157" s="2" t="n">
        <v>0</v>
      </c>
      <c r="R157" s="2" t="n">
        <v>0</v>
      </c>
      <c r="S157" s="2" t="n">
        <v>4</v>
      </c>
      <c r="T157" s="2" t="n">
        <v>3</v>
      </c>
      <c r="U157" s="2" t="n">
        <v>1</v>
      </c>
      <c r="V157" s="2" t="n">
        <v>0</v>
      </c>
      <c r="W157" s="2" t="n">
        <v>0</v>
      </c>
      <c r="X157" s="2" t="n">
        <v>0</v>
      </c>
      <c r="Y157" s="2" t="n">
        <v>1</v>
      </c>
      <c r="Z157" s="2" t="n">
        <v>0</v>
      </c>
      <c r="AA157" s="2" t="n">
        <v>0</v>
      </c>
      <c r="AB157" s="2" t="n">
        <v>3</v>
      </c>
      <c r="AC157" s="2"/>
    </row>
    <row r="158" customFormat="false" ht="15" hidden="false" customHeight="false" outlineLevel="0" collapsed="false">
      <c r="A158" s="2" t="n">
        <v>14</v>
      </c>
      <c r="B158" s="2" t="s">
        <v>216</v>
      </c>
      <c r="C158" s="2" t="s">
        <v>223</v>
      </c>
      <c r="D158" s="2" t="s">
        <v>1722</v>
      </c>
      <c r="E158" s="2" t="s">
        <v>1154</v>
      </c>
      <c r="F158" s="2" t="s">
        <v>1178</v>
      </c>
      <c r="G158" s="2" t="s">
        <v>1723</v>
      </c>
      <c r="H158" s="2" t="s">
        <v>1724</v>
      </c>
      <c r="I158" s="2" t="s">
        <v>1406</v>
      </c>
      <c r="J158" s="2" t="s">
        <v>1725</v>
      </c>
      <c r="K158" s="2" t="n">
        <v>2</v>
      </c>
      <c r="L158" s="2" t="n">
        <v>813</v>
      </c>
      <c r="M158" s="2" t="n">
        <v>686</v>
      </c>
      <c r="N158" s="2" t="n">
        <v>584</v>
      </c>
      <c r="O158" s="2" t="n">
        <v>127</v>
      </c>
      <c r="P158" s="2" t="n">
        <v>0</v>
      </c>
      <c r="Q158" s="2" t="n">
        <v>0</v>
      </c>
      <c r="R158" s="2" t="n">
        <v>0</v>
      </c>
      <c r="S158" s="2" t="n">
        <v>0</v>
      </c>
      <c r="T158" s="2" t="n">
        <v>0</v>
      </c>
      <c r="U158" s="2" t="n">
        <v>0</v>
      </c>
      <c r="V158" s="2" t="n">
        <v>0</v>
      </c>
      <c r="W158" s="2" t="n">
        <v>0</v>
      </c>
      <c r="X158" s="2" t="n">
        <v>0</v>
      </c>
      <c r="Y158" s="2" t="n">
        <v>0</v>
      </c>
      <c r="Z158" s="2" t="n">
        <v>0</v>
      </c>
      <c r="AA158" s="2" t="n">
        <v>0</v>
      </c>
      <c r="AB158" s="2" t="n">
        <v>0</v>
      </c>
      <c r="AC158" s="2"/>
    </row>
    <row r="159" customFormat="false" ht="15" hidden="false" customHeight="false" outlineLevel="0" collapsed="false">
      <c r="A159" s="2" t="n">
        <v>14</v>
      </c>
      <c r="B159" s="2" t="s">
        <v>216</v>
      </c>
      <c r="C159" s="2" t="s">
        <v>223</v>
      </c>
      <c r="D159" s="2" t="s">
        <v>1726</v>
      </c>
      <c r="E159" s="2" t="s">
        <v>1154</v>
      </c>
      <c r="F159" s="2" t="s">
        <v>1178</v>
      </c>
      <c r="G159" s="2" t="s">
        <v>1727</v>
      </c>
      <c r="H159" s="2" t="s">
        <v>1728</v>
      </c>
      <c r="I159" s="2" t="s">
        <v>1406</v>
      </c>
      <c r="J159" s="2" t="s">
        <v>1729</v>
      </c>
      <c r="K159" s="2" t="n">
        <v>2</v>
      </c>
      <c r="L159" s="2" t="n">
        <v>563</v>
      </c>
      <c r="M159" s="2" t="n">
        <v>469</v>
      </c>
      <c r="N159" s="2" t="n">
        <v>365</v>
      </c>
      <c r="O159" s="2" t="n">
        <v>94</v>
      </c>
      <c r="P159" s="2" t="n">
        <v>0</v>
      </c>
      <c r="Q159" s="2" t="n">
        <v>0</v>
      </c>
      <c r="R159" s="2" t="n">
        <v>0</v>
      </c>
      <c r="S159" s="2" t="n">
        <v>0</v>
      </c>
      <c r="T159" s="2" t="n">
        <v>0</v>
      </c>
      <c r="U159" s="2" t="n">
        <v>0</v>
      </c>
      <c r="V159" s="2" t="n">
        <v>0</v>
      </c>
      <c r="W159" s="2" t="n">
        <v>0</v>
      </c>
      <c r="X159" s="2" t="n">
        <v>0</v>
      </c>
      <c r="Y159" s="2" t="n">
        <v>0</v>
      </c>
      <c r="Z159" s="2" t="n">
        <v>0</v>
      </c>
      <c r="AA159" s="2" t="n">
        <v>0</v>
      </c>
      <c r="AB159" s="2" t="n">
        <v>0</v>
      </c>
      <c r="AC159" s="2"/>
    </row>
    <row r="160" customFormat="false" ht="15" hidden="false" customHeight="false" outlineLevel="0" collapsed="false">
      <c r="A160" s="2" t="n">
        <v>14</v>
      </c>
      <c r="B160" s="2" t="s">
        <v>216</v>
      </c>
      <c r="C160" s="2" t="s">
        <v>223</v>
      </c>
      <c r="D160" s="2" t="s">
        <v>1730</v>
      </c>
      <c r="E160" s="2" t="s">
        <v>1154</v>
      </c>
      <c r="F160" s="2" t="s">
        <v>1178</v>
      </c>
      <c r="G160" s="2" t="s">
        <v>440</v>
      </c>
      <c r="H160" s="2" t="s">
        <v>1731</v>
      </c>
      <c r="I160" s="2" t="s">
        <v>1406</v>
      </c>
      <c r="J160" s="2" t="s">
        <v>1732</v>
      </c>
      <c r="K160" s="2" t="n">
        <v>2</v>
      </c>
      <c r="L160" s="2" t="n">
        <v>830</v>
      </c>
      <c r="M160" s="2" t="n">
        <v>636</v>
      </c>
      <c r="N160" s="2" t="n">
        <v>518</v>
      </c>
      <c r="O160" s="2" t="n">
        <v>194</v>
      </c>
      <c r="P160" s="2" t="n">
        <v>0</v>
      </c>
      <c r="Q160" s="2" t="n">
        <v>0</v>
      </c>
      <c r="R160" s="2" t="n">
        <v>0</v>
      </c>
      <c r="S160" s="2" t="n">
        <v>2</v>
      </c>
      <c r="T160" s="2" t="n">
        <v>2</v>
      </c>
      <c r="U160" s="2" t="n">
        <v>0</v>
      </c>
      <c r="V160" s="2" t="n">
        <v>0</v>
      </c>
      <c r="W160" s="2" t="n">
        <v>0</v>
      </c>
      <c r="X160" s="2" t="n">
        <v>0</v>
      </c>
      <c r="Y160" s="2" t="n">
        <v>0</v>
      </c>
      <c r="Z160" s="2" t="n">
        <v>0</v>
      </c>
      <c r="AA160" s="2" t="n">
        <v>0</v>
      </c>
      <c r="AB160" s="2" t="n">
        <v>2</v>
      </c>
      <c r="AC160" s="2"/>
    </row>
    <row r="161" customFormat="false" ht="15" hidden="false" customHeight="false" outlineLevel="0" collapsed="false">
      <c r="A161" s="2" t="n">
        <v>14</v>
      </c>
      <c r="B161" s="2" t="s">
        <v>216</v>
      </c>
      <c r="C161" s="2" t="s">
        <v>223</v>
      </c>
      <c r="D161" s="2" t="s">
        <v>1733</v>
      </c>
      <c r="E161" s="2" t="s">
        <v>1154</v>
      </c>
      <c r="F161" s="2" t="s">
        <v>1178</v>
      </c>
      <c r="G161" s="2" t="s">
        <v>440</v>
      </c>
      <c r="H161" s="2" t="s">
        <v>1734</v>
      </c>
      <c r="I161" s="2" t="s">
        <v>1406</v>
      </c>
      <c r="J161" s="2" t="s">
        <v>1735</v>
      </c>
      <c r="K161" s="2" t="n">
        <v>2</v>
      </c>
      <c r="L161" s="2" t="n">
        <v>698</v>
      </c>
      <c r="M161" s="2" t="n">
        <v>561</v>
      </c>
      <c r="N161" s="2" t="n">
        <v>455</v>
      </c>
      <c r="O161" s="2" t="n">
        <v>137</v>
      </c>
      <c r="P161" s="2" t="n">
        <v>0</v>
      </c>
      <c r="Q161" s="2" t="n">
        <v>0</v>
      </c>
      <c r="R161" s="2" t="n">
        <v>0</v>
      </c>
      <c r="S161" s="2" t="n">
        <v>1</v>
      </c>
      <c r="T161" s="2" t="n">
        <v>0</v>
      </c>
      <c r="U161" s="2" t="n">
        <v>0</v>
      </c>
      <c r="V161" s="2" t="n">
        <v>0</v>
      </c>
      <c r="W161" s="2" t="n">
        <v>1</v>
      </c>
      <c r="X161" s="2" t="n">
        <v>0</v>
      </c>
      <c r="Y161" s="2" t="n">
        <v>0</v>
      </c>
      <c r="Z161" s="2" t="n">
        <v>1</v>
      </c>
      <c r="AA161" s="2" t="n">
        <v>0</v>
      </c>
      <c r="AB161" s="2" t="n">
        <v>0</v>
      </c>
      <c r="AC161" s="2"/>
    </row>
    <row r="162" customFormat="false" ht="15" hidden="false" customHeight="false" outlineLevel="0" collapsed="false">
      <c r="A162" s="2" t="n">
        <v>14</v>
      </c>
      <c r="B162" s="2" t="s">
        <v>216</v>
      </c>
      <c r="C162" s="2" t="s">
        <v>223</v>
      </c>
      <c r="D162" s="2" t="s">
        <v>1736</v>
      </c>
      <c r="E162" s="2" t="s">
        <v>1154</v>
      </c>
      <c r="F162" s="2" t="s">
        <v>1178</v>
      </c>
      <c r="G162" s="2" t="s">
        <v>440</v>
      </c>
      <c r="H162" s="2" t="s">
        <v>1737</v>
      </c>
      <c r="I162" s="2" t="s">
        <v>1406</v>
      </c>
      <c r="J162" s="2" t="s">
        <v>1738</v>
      </c>
      <c r="K162" s="2" t="n">
        <v>2</v>
      </c>
      <c r="L162" s="2" t="n">
        <v>594</v>
      </c>
      <c r="M162" s="2" t="n">
        <v>0</v>
      </c>
      <c r="N162" s="2" t="n">
        <v>0</v>
      </c>
      <c r="O162" s="2" t="n">
        <v>594</v>
      </c>
      <c r="P162" s="2" t="n">
        <v>0</v>
      </c>
      <c r="Q162" s="2" t="n">
        <v>0</v>
      </c>
      <c r="R162" s="2" t="n">
        <v>0</v>
      </c>
      <c r="S162" s="2" t="n">
        <v>0</v>
      </c>
      <c r="T162" s="2" t="n">
        <v>0</v>
      </c>
      <c r="U162" s="2" t="n">
        <v>0</v>
      </c>
      <c r="V162" s="2" t="n">
        <v>0</v>
      </c>
      <c r="W162" s="2" t="n">
        <v>0</v>
      </c>
      <c r="X162" s="2" t="n">
        <v>0</v>
      </c>
      <c r="Y162" s="2" t="n">
        <v>0</v>
      </c>
      <c r="Z162" s="2" t="n">
        <v>0</v>
      </c>
      <c r="AA162" s="2" t="n">
        <v>0</v>
      </c>
      <c r="AB162" s="2" t="n">
        <v>0</v>
      </c>
      <c r="AC162" s="2"/>
    </row>
    <row r="163" customFormat="false" ht="15" hidden="false" customHeight="false" outlineLevel="0" collapsed="false">
      <c r="A163" s="2" t="n">
        <v>14</v>
      </c>
      <c r="B163" s="2" t="s">
        <v>216</v>
      </c>
      <c r="C163" s="2" t="s">
        <v>223</v>
      </c>
      <c r="D163" s="2" t="s">
        <v>1739</v>
      </c>
      <c r="E163" s="2" t="s">
        <v>1154</v>
      </c>
      <c r="F163" s="2" t="s">
        <v>1178</v>
      </c>
      <c r="G163" s="2" t="s">
        <v>440</v>
      </c>
      <c r="H163" s="2" t="s">
        <v>1740</v>
      </c>
      <c r="I163" s="2" t="s">
        <v>1406</v>
      </c>
      <c r="J163" s="2" t="s">
        <v>1741</v>
      </c>
      <c r="K163" s="2" t="n">
        <v>3</v>
      </c>
      <c r="L163" s="2" t="n">
        <v>1060</v>
      </c>
      <c r="M163" s="2" t="n">
        <v>797</v>
      </c>
      <c r="N163" s="2" t="n">
        <v>686</v>
      </c>
      <c r="O163" s="2" t="n">
        <v>263</v>
      </c>
      <c r="P163" s="2" t="n">
        <v>0</v>
      </c>
      <c r="Q163" s="2" t="n">
        <v>0</v>
      </c>
      <c r="R163" s="2" t="n">
        <v>0</v>
      </c>
      <c r="S163" s="2" t="n">
        <v>3</v>
      </c>
      <c r="T163" s="2" t="n">
        <v>2</v>
      </c>
      <c r="U163" s="2" t="n">
        <v>1</v>
      </c>
      <c r="V163" s="2" t="n">
        <v>0</v>
      </c>
      <c r="W163" s="2" t="n">
        <v>0</v>
      </c>
      <c r="X163" s="2" t="n">
        <v>0</v>
      </c>
      <c r="Y163" s="2" t="n">
        <v>0</v>
      </c>
      <c r="Z163" s="2" t="n">
        <v>0</v>
      </c>
      <c r="AA163" s="2" t="n">
        <v>1</v>
      </c>
      <c r="AB163" s="2" t="n">
        <v>2</v>
      </c>
      <c r="AC163" s="2"/>
    </row>
    <row r="164" customFormat="false" ht="15" hidden="false" customHeight="false" outlineLevel="0" collapsed="false">
      <c r="A164" s="2" t="n">
        <v>14</v>
      </c>
      <c r="B164" s="2" t="s">
        <v>216</v>
      </c>
      <c r="C164" s="2" t="s">
        <v>223</v>
      </c>
      <c r="D164" s="2" t="s">
        <v>1742</v>
      </c>
      <c r="E164" s="2" t="s">
        <v>1154</v>
      </c>
      <c r="F164" s="2" t="s">
        <v>1178</v>
      </c>
      <c r="G164" s="2" t="s">
        <v>1743</v>
      </c>
      <c r="H164" s="2" t="s">
        <v>1744</v>
      </c>
      <c r="I164" s="2" t="s">
        <v>1406</v>
      </c>
      <c r="J164" s="2" t="s">
        <v>1745</v>
      </c>
      <c r="K164" s="2" t="n">
        <v>2</v>
      </c>
      <c r="L164" s="2" t="n">
        <v>621</v>
      </c>
      <c r="M164" s="2" t="n">
        <v>527</v>
      </c>
      <c r="N164" s="2" t="n">
        <v>416</v>
      </c>
      <c r="O164" s="2" t="n">
        <v>94</v>
      </c>
      <c r="P164" s="2" t="n">
        <v>0</v>
      </c>
      <c r="Q164" s="2" t="n">
        <v>0</v>
      </c>
      <c r="R164" s="2" t="n">
        <v>0</v>
      </c>
      <c r="S164" s="2" t="n">
        <v>1</v>
      </c>
      <c r="T164" s="2" t="n">
        <v>0</v>
      </c>
      <c r="U164" s="2" t="n">
        <v>0</v>
      </c>
      <c r="V164" s="2" t="n">
        <v>0</v>
      </c>
      <c r="W164" s="2" t="n">
        <v>1</v>
      </c>
      <c r="X164" s="2" t="n">
        <v>0</v>
      </c>
      <c r="Y164" s="2" t="n">
        <v>0</v>
      </c>
      <c r="Z164" s="2" t="n">
        <v>1</v>
      </c>
      <c r="AA164" s="2" t="n">
        <v>0</v>
      </c>
      <c r="AB164" s="2" t="n">
        <v>0</v>
      </c>
      <c r="AC164" s="2"/>
    </row>
    <row r="165" customFormat="false" ht="15" hidden="false" customHeight="false" outlineLevel="0" collapsed="false">
      <c r="A165" s="2" t="n">
        <v>14</v>
      </c>
      <c r="B165" s="2" t="s">
        <v>216</v>
      </c>
      <c r="C165" s="2" t="s">
        <v>223</v>
      </c>
      <c r="D165" s="2" t="s">
        <v>1746</v>
      </c>
      <c r="E165" s="2" t="s">
        <v>1154</v>
      </c>
      <c r="F165" s="2" t="s">
        <v>1178</v>
      </c>
      <c r="G165" s="2" t="s">
        <v>1747</v>
      </c>
      <c r="H165" s="2" t="s">
        <v>1748</v>
      </c>
      <c r="I165" s="2" t="s">
        <v>1406</v>
      </c>
      <c r="J165" s="2" t="s">
        <v>1749</v>
      </c>
      <c r="K165" s="2" t="n">
        <v>2</v>
      </c>
      <c r="L165" s="2" t="n">
        <v>762</v>
      </c>
      <c r="M165" s="2" t="n">
        <v>637</v>
      </c>
      <c r="N165" s="2" t="n">
        <v>534</v>
      </c>
      <c r="O165" s="2" t="n">
        <v>125</v>
      </c>
      <c r="P165" s="2" t="n">
        <v>0</v>
      </c>
      <c r="Q165" s="2" t="n">
        <v>0</v>
      </c>
      <c r="R165" s="2" t="n">
        <v>0</v>
      </c>
      <c r="S165" s="2" t="n">
        <v>1</v>
      </c>
      <c r="T165" s="2" t="n">
        <v>0</v>
      </c>
      <c r="U165" s="2" t="n">
        <v>0</v>
      </c>
      <c r="V165" s="2" t="n">
        <v>0</v>
      </c>
      <c r="W165" s="2" t="n">
        <v>1</v>
      </c>
      <c r="X165" s="2" t="n">
        <v>0</v>
      </c>
      <c r="Y165" s="2" t="n">
        <v>0</v>
      </c>
      <c r="Z165" s="2" t="n">
        <v>1</v>
      </c>
      <c r="AA165" s="2" t="n">
        <v>0</v>
      </c>
      <c r="AB165" s="2" t="n">
        <v>0</v>
      </c>
      <c r="AC165" s="2"/>
    </row>
    <row r="166" customFormat="false" ht="15" hidden="false" customHeight="false" outlineLevel="0" collapsed="false">
      <c r="A166" s="2" t="n">
        <v>14</v>
      </c>
      <c r="B166" s="2" t="s">
        <v>216</v>
      </c>
      <c r="C166" s="2" t="s">
        <v>223</v>
      </c>
      <c r="D166" s="2" t="s">
        <v>1750</v>
      </c>
      <c r="E166" s="2" t="s">
        <v>1154</v>
      </c>
      <c r="F166" s="2" t="s">
        <v>1178</v>
      </c>
      <c r="G166" s="2" t="s">
        <v>1747</v>
      </c>
      <c r="H166" s="2" t="s">
        <v>1751</v>
      </c>
      <c r="I166" s="2" t="s">
        <v>1406</v>
      </c>
      <c r="J166" s="2" t="s">
        <v>1752</v>
      </c>
      <c r="K166" s="2" t="n">
        <v>2</v>
      </c>
      <c r="L166" s="2" t="n">
        <v>530</v>
      </c>
      <c r="M166" s="2" t="n">
        <v>390</v>
      </c>
      <c r="N166" s="2" t="n">
        <v>284</v>
      </c>
      <c r="O166" s="2" t="n">
        <v>140</v>
      </c>
      <c r="P166" s="2" t="n">
        <v>0</v>
      </c>
      <c r="Q166" s="2" t="n">
        <v>0</v>
      </c>
      <c r="R166" s="2" t="n">
        <v>0</v>
      </c>
      <c r="S166" s="2" t="n">
        <v>3</v>
      </c>
      <c r="T166" s="2" t="n">
        <v>3</v>
      </c>
      <c r="U166" s="2" t="n">
        <v>0</v>
      </c>
      <c r="V166" s="2" t="n">
        <v>0</v>
      </c>
      <c r="W166" s="2" t="n">
        <v>0</v>
      </c>
      <c r="X166" s="2" t="n">
        <v>0</v>
      </c>
      <c r="Y166" s="2" t="n">
        <v>0</v>
      </c>
      <c r="Z166" s="2" t="n">
        <v>0</v>
      </c>
      <c r="AA166" s="2" t="n">
        <v>0</v>
      </c>
      <c r="AB166" s="2" t="n">
        <v>3</v>
      </c>
      <c r="AC166" s="2"/>
    </row>
    <row r="167" customFormat="false" ht="15" hidden="false" customHeight="false" outlineLevel="0" collapsed="false">
      <c r="A167" s="2" t="n">
        <v>14</v>
      </c>
      <c r="B167" s="2" t="s">
        <v>216</v>
      </c>
      <c r="C167" s="2" t="s">
        <v>223</v>
      </c>
      <c r="D167" s="2" t="s">
        <v>1753</v>
      </c>
      <c r="E167" s="2" t="s">
        <v>1154</v>
      </c>
      <c r="F167" s="2" t="s">
        <v>1178</v>
      </c>
      <c r="G167" s="2" t="s">
        <v>1747</v>
      </c>
      <c r="H167" s="2" t="s">
        <v>1754</v>
      </c>
      <c r="I167" s="2" t="s">
        <v>1406</v>
      </c>
      <c r="J167" s="2" t="s">
        <v>1755</v>
      </c>
      <c r="K167" s="2" t="n">
        <v>2</v>
      </c>
      <c r="L167" s="2" t="n">
        <v>744</v>
      </c>
      <c r="M167" s="2" t="n">
        <v>633</v>
      </c>
      <c r="N167" s="2" t="n">
        <v>524</v>
      </c>
      <c r="O167" s="2" t="n">
        <v>111</v>
      </c>
      <c r="P167" s="2" t="n">
        <v>0</v>
      </c>
      <c r="Q167" s="2" t="n">
        <v>0</v>
      </c>
      <c r="R167" s="2" t="n">
        <v>0</v>
      </c>
      <c r="S167" s="2" t="n">
        <v>1</v>
      </c>
      <c r="T167" s="2" t="n">
        <v>0</v>
      </c>
      <c r="U167" s="2" t="n">
        <v>0</v>
      </c>
      <c r="V167" s="2" t="n">
        <v>0</v>
      </c>
      <c r="W167" s="2" t="n">
        <v>1</v>
      </c>
      <c r="X167" s="2" t="n">
        <v>0</v>
      </c>
      <c r="Y167" s="2" t="n">
        <v>0</v>
      </c>
      <c r="Z167" s="2" t="n">
        <v>1</v>
      </c>
      <c r="AA167" s="2" t="n">
        <v>0</v>
      </c>
      <c r="AB167" s="2" t="n">
        <v>0</v>
      </c>
      <c r="AC167" s="2"/>
    </row>
    <row r="168" customFormat="false" ht="15" hidden="false" customHeight="false" outlineLevel="0" collapsed="false">
      <c r="A168" s="2" t="n">
        <v>14</v>
      </c>
      <c r="B168" s="2" t="s">
        <v>216</v>
      </c>
      <c r="C168" s="2" t="s">
        <v>223</v>
      </c>
      <c r="D168" s="2" t="s">
        <v>1756</v>
      </c>
      <c r="E168" s="2" t="s">
        <v>1154</v>
      </c>
      <c r="F168" s="2" t="s">
        <v>1178</v>
      </c>
      <c r="G168" s="2" t="s">
        <v>1747</v>
      </c>
      <c r="H168" s="2" t="s">
        <v>1757</v>
      </c>
      <c r="I168" s="2" t="s">
        <v>1406</v>
      </c>
      <c r="J168" s="2" t="s">
        <v>1758</v>
      </c>
      <c r="K168" s="2" t="n">
        <v>2</v>
      </c>
      <c r="L168" s="2" t="n">
        <v>852</v>
      </c>
      <c r="M168" s="2" t="n">
        <v>795</v>
      </c>
      <c r="N168" s="2" t="n">
        <v>682</v>
      </c>
      <c r="O168" s="2" t="n">
        <v>57</v>
      </c>
      <c r="P168" s="2" t="n">
        <v>0</v>
      </c>
      <c r="Q168" s="2" t="n">
        <v>0</v>
      </c>
      <c r="R168" s="2" t="n">
        <v>0</v>
      </c>
      <c r="S168" s="2" t="n">
        <v>0</v>
      </c>
      <c r="T168" s="2" t="n">
        <v>0</v>
      </c>
      <c r="U168" s="2" t="n">
        <v>0</v>
      </c>
      <c r="V168" s="2" t="n">
        <v>0</v>
      </c>
      <c r="W168" s="2" t="n">
        <v>0</v>
      </c>
      <c r="X168" s="2" t="n">
        <v>0</v>
      </c>
      <c r="Y168" s="2" t="n">
        <v>0</v>
      </c>
      <c r="Z168" s="2" t="n">
        <v>0</v>
      </c>
      <c r="AA168" s="2" t="n">
        <v>0</v>
      </c>
      <c r="AB168" s="2" t="n">
        <v>0</v>
      </c>
      <c r="AC168" s="2"/>
    </row>
    <row r="169" customFormat="false" ht="15" hidden="false" customHeight="false" outlineLevel="0" collapsed="false">
      <c r="A169" s="2" t="n">
        <v>14</v>
      </c>
      <c r="B169" s="2" t="s">
        <v>216</v>
      </c>
      <c r="C169" s="2" t="s">
        <v>223</v>
      </c>
      <c r="D169" s="2" t="s">
        <v>1759</v>
      </c>
      <c r="E169" s="2" t="s">
        <v>1154</v>
      </c>
      <c r="F169" s="2" t="s">
        <v>1178</v>
      </c>
      <c r="G169" s="2" t="s">
        <v>1747</v>
      </c>
      <c r="H169" s="2" t="s">
        <v>1760</v>
      </c>
      <c r="I169" s="2" t="s">
        <v>1406</v>
      </c>
      <c r="J169" s="2" t="s">
        <v>1761</v>
      </c>
      <c r="K169" s="2" t="n">
        <v>2</v>
      </c>
      <c r="L169" s="2" t="n">
        <v>641</v>
      </c>
      <c r="M169" s="2" t="n">
        <v>532</v>
      </c>
      <c r="N169" s="2" t="n">
        <v>415</v>
      </c>
      <c r="O169" s="2" t="n">
        <v>109</v>
      </c>
      <c r="P169" s="2" t="n">
        <v>0</v>
      </c>
      <c r="Q169" s="2" t="n">
        <v>0</v>
      </c>
      <c r="R169" s="2" t="n">
        <v>0</v>
      </c>
      <c r="S169" s="2" t="n">
        <v>2</v>
      </c>
      <c r="T169" s="2" t="n">
        <v>2</v>
      </c>
      <c r="U169" s="2" t="n">
        <v>0</v>
      </c>
      <c r="V169" s="2" t="n">
        <v>0</v>
      </c>
      <c r="W169" s="2" t="n">
        <v>0</v>
      </c>
      <c r="X169" s="2" t="n">
        <v>0</v>
      </c>
      <c r="Y169" s="2" t="n">
        <v>0</v>
      </c>
      <c r="Z169" s="2" t="n">
        <v>0</v>
      </c>
      <c r="AA169" s="2" t="n">
        <v>1</v>
      </c>
      <c r="AB169" s="2" t="n">
        <v>1</v>
      </c>
      <c r="AC169" s="2"/>
    </row>
    <row r="170" customFormat="false" ht="15" hidden="false" customHeight="false" outlineLevel="0" collapsed="false">
      <c r="A170" s="2" t="n">
        <v>14</v>
      </c>
      <c r="B170" s="2" t="s">
        <v>216</v>
      </c>
      <c r="C170" s="2" t="s">
        <v>223</v>
      </c>
      <c r="D170" s="2" t="s">
        <v>1762</v>
      </c>
      <c r="E170" s="2" t="s">
        <v>1154</v>
      </c>
      <c r="F170" s="2" t="s">
        <v>1155</v>
      </c>
      <c r="G170" s="2" t="s">
        <v>1747</v>
      </c>
      <c r="H170" s="2" t="s">
        <v>1763</v>
      </c>
      <c r="I170" s="2" t="s">
        <v>1133</v>
      </c>
      <c r="J170" s="2" t="s">
        <v>1764</v>
      </c>
      <c r="K170" s="2" t="n">
        <v>3</v>
      </c>
      <c r="L170" s="2" t="n">
        <v>1580</v>
      </c>
      <c r="M170" s="2" t="n">
        <v>389</v>
      </c>
      <c r="N170" s="2" t="n">
        <v>298</v>
      </c>
      <c r="O170" s="2" t="n">
        <v>1191</v>
      </c>
      <c r="P170" s="2" t="n">
        <v>0</v>
      </c>
      <c r="Q170" s="2" t="n">
        <v>0</v>
      </c>
      <c r="R170" s="2" t="n">
        <v>0</v>
      </c>
      <c r="S170" s="2" t="n">
        <v>0</v>
      </c>
      <c r="T170" s="2" t="n">
        <v>0</v>
      </c>
      <c r="U170" s="2" t="n">
        <v>0</v>
      </c>
      <c r="V170" s="2" t="n">
        <v>0</v>
      </c>
      <c r="W170" s="2" t="n">
        <v>0</v>
      </c>
      <c r="X170" s="2" t="n">
        <v>0</v>
      </c>
      <c r="Y170" s="2" t="n">
        <v>0</v>
      </c>
      <c r="Z170" s="2" t="n">
        <v>0</v>
      </c>
      <c r="AA170" s="2" t="n">
        <v>0</v>
      </c>
      <c r="AB170" s="2" t="n">
        <v>0</v>
      </c>
      <c r="AC170" s="2"/>
    </row>
    <row r="171" customFormat="false" ht="15" hidden="false" customHeight="false" outlineLevel="0" collapsed="false">
      <c r="A171" s="2" t="n">
        <v>14</v>
      </c>
      <c r="B171" s="2" t="s">
        <v>216</v>
      </c>
      <c r="C171" s="2" t="s">
        <v>223</v>
      </c>
      <c r="D171" s="2" t="s">
        <v>1765</v>
      </c>
      <c r="E171" s="2" t="s">
        <v>1154</v>
      </c>
      <c r="F171" s="2" t="s">
        <v>1178</v>
      </c>
      <c r="G171" s="2" t="s">
        <v>333</v>
      </c>
      <c r="H171" s="2" t="s">
        <v>1766</v>
      </c>
      <c r="I171" s="2" t="s">
        <v>1406</v>
      </c>
      <c r="J171" s="2" t="s">
        <v>1767</v>
      </c>
      <c r="K171" s="2" t="n">
        <v>3</v>
      </c>
      <c r="L171" s="2" t="n">
        <v>1065</v>
      </c>
      <c r="M171" s="2" t="n">
        <v>779</v>
      </c>
      <c r="N171" s="2" t="n">
        <v>670</v>
      </c>
      <c r="O171" s="2" t="n">
        <v>286</v>
      </c>
      <c r="P171" s="2" t="n">
        <v>0</v>
      </c>
      <c r="Q171" s="2" t="n">
        <v>0</v>
      </c>
      <c r="R171" s="2" t="n">
        <v>0</v>
      </c>
      <c r="S171" s="2" t="n">
        <v>4</v>
      </c>
      <c r="T171" s="2" t="n">
        <v>3</v>
      </c>
      <c r="U171" s="2" t="n">
        <v>1</v>
      </c>
      <c r="V171" s="2" t="n">
        <v>0</v>
      </c>
      <c r="W171" s="2" t="n">
        <v>0</v>
      </c>
      <c r="X171" s="2" t="n">
        <v>0</v>
      </c>
      <c r="Y171" s="2" t="n">
        <v>0</v>
      </c>
      <c r="Z171" s="2" t="n">
        <v>0</v>
      </c>
      <c r="AA171" s="2" t="n">
        <v>1</v>
      </c>
      <c r="AB171" s="2" t="n">
        <v>3</v>
      </c>
      <c r="AC171" s="2"/>
    </row>
    <row r="172" customFormat="false" ht="15" hidden="false" customHeight="false" outlineLevel="0" collapsed="false">
      <c r="A172" s="2" t="n">
        <v>14</v>
      </c>
      <c r="B172" s="2" t="s">
        <v>216</v>
      </c>
      <c r="C172" s="2" t="s">
        <v>223</v>
      </c>
      <c r="D172" s="2" t="s">
        <v>1768</v>
      </c>
      <c r="E172" s="2" t="s">
        <v>1154</v>
      </c>
      <c r="F172" s="2" t="s">
        <v>1178</v>
      </c>
      <c r="G172" s="2" t="s">
        <v>333</v>
      </c>
      <c r="H172" s="2" t="s">
        <v>1769</v>
      </c>
      <c r="I172" s="2" t="s">
        <v>1406</v>
      </c>
      <c r="J172" s="2" t="s">
        <v>1770</v>
      </c>
      <c r="K172" s="2" t="n">
        <v>2</v>
      </c>
      <c r="L172" s="2" t="n">
        <v>716</v>
      </c>
      <c r="M172" s="2" t="n">
        <v>660</v>
      </c>
      <c r="N172" s="2" t="n">
        <v>547</v>
      </c>
      <c r="O172" s="2" t="n">
        <v>56</v>
      </c>
      <c r="P172" s="2" t="n">
        <v>0</v>
      </c>
      <c r="Q172" s="2" t="n">
        <v>0</v>
      </c>
      <c r="R172" s="2" t="n">
        <v>0</v>
      </c>
      <c r="S172" s="2" t="n">
        <v>0</v>
      </c>
      <c r="T172" s="2" t="n">
        <v>0</v>
      </c>
      <c r="U172" s="2" t="n">
        <v>0</v>
      </c>
      <c r="V172" s="2" t="n">
        <v>0</v>
      </c>
      <c r="W172" s="2" t="n">
        <v>0</v>
      </c>
      <c r="X172" s="2" t="n">
        <v>0</v>
      </c>
      <c r="Y172" s="2" t="n">
        <v>0</v>
      </c>
      <c r="Z172" s="2" t="n">
        <v>0</v>
      </c>
      <c r="AA172" s="2" t="n">
        <v>0</v>
      </c>
      <c r="AB172" s="2" t="n">
        <v>0</v>
      </c>
      <c r="AC172" s="2"/>
    </row>
    <row r="173" customFormat="false" ht="15" hidden="false" customHeight="false" outlineLevel="0" collapsed="false">
      <c r="A173" s="2" t="n">
        <v>14</v>
      </c>
      <c r="B173" s="2" t="s">
        <v>216</v>
      </c>
      <c r="C173" s="2" t="s">
        <v>223</v>
      </c>
      <c r="D173" s="2" t="s">
        <v>1771</v>
      </c>
      <c r="E173" s="2" t="s">
        <v>1154</v>
      </c>
      <c r="F173" s="2" t="s">
        <v>1178</v>
      </c>
      <c r="G173" s="2" t="s">
        <v>409</v>
      </c>
      <c r="H173" s="2" t="s">
        <v>1772</v>
      </c>
      <c r="I173" s="2" t="s">
        <v>1406</v>
      </c>
      <c r="J173" s="2" t="s">
        <v>1773</v>
      </c>
      <c r="K173" s="2" t="n">
        <v>2</v>
      </c>
      <c r="L173" s="2" t="n">
        <v>789</v>
      </c>
      <c r="M173" s="2" t="n">
        <v>674</v>
      </c>
      <c r="N173" s="2" t="n">
        <v>564</v>
      </c>
      <c r="O173" s="2" t="n">
        <v>115</v>
      </c>
      <c r="P173" s="2" t="n">
        <v>0</v>
      </c>
      <c r="Q173" s="2" t="n">
        <v>0</v>
      </c>
      <c r="R173" s="2" t="n">
        <v>0</v>
      </c>
      <c r="S173" s="2" t="n">
        <v>2</v>
      </c>
      <c r="T173" s="2" t="n">
        <v>2</v>
      </c>
      <c r="U173" s="2" t="n">
        <v>0</v>
      </c>
      <c r="V173" s="2" t="n">
        <v>0</v>
      </c>
      <c r="W173" s="2" t="n">
        <v>0</v>
      </c>
      <c r="X173" s="2" t="n">
        <v>0</v>
      </c>
      <c r="Y173" s="2" t="n">
        <v>0</v>
      </c>
      <c r="Z173" s="2" t="n">
        <v>0</v>
      </c>
      <c r="AA173" s="2" t="n">
        <v>0</v>
      </c>
      <c r="AB173" s="2" t="n">
        <v>2</v>
      </c>
      <c r="AC173" s="2"/>
    </row>
    <row r="174" customFormat="false" ht="15" hidden="false" customHeight="false" outlineLevel="0" collapsed="false">
      <c r="A174" s="2" t="n">
        <v>14</v>
      </c>
      <c r="B174" s="2" t="s">
        <v>216</v>
      </c>
      <c r="C174" s="2" t="s">
        <v>223</v>
      </c>
      <c r="D174" s="2" t="s">
        <v>1774</v>
      </c>
      <c r="E174" s="2" t="s">
        <v>1154</v>
      </c>
      <c r="F174" s="2" t="s">
        <v>1178</v>
      </c>
      <c r="G174" s="2" t="s">
        <v>409</v>
      </c>
      <c r="H174" s="2" t="s">
        <v>1775</v>
      </c>
      <c r="I174" s="2" t="s">
        <v>1406</v>
      </c>
      <c r="J174" s="2" t="s">
        <v>1776</v>
      </c>
      <c r="K174" s="2" t="n">
        <v>2</v>
      </c>
      <c r="L174" s="2" t="n">
        <v>581</v>
      </c>
      <c r="M174" s="2" t="n">
        <v>469</v>
      </c>
      <c r="N174" s="2" t="n">
        <v>358</v>
      </c>
      <c r="O174" s="2" t="n">
        <v>112</v>
      </c>
      <c r="P174" s="2" t="n">
        <v>0</v>
      </c>
      <c r="Q174" s="2" t="n">
        <v>0</v>
      </c>
      <c r="R174" s="2" t="n">
        <v>0</v>
      </c>
      <c r="S174" s="2" t="n">
        <v>1</v>
      </c>
      <c r="T174" s="2" t="n">
        <v>0</v>
      </c>
      <c r="U174" s="2" t="n">
        <v>0</v>
      </c>
      <c r="V174" s="2" t="n">
        <v>0</v>
      </c>
      <c r="W174" s="2" t="n">
        <v>1</v>
      </c>
      <c r="X174" s="2" t="n">
        <v>0</v>
      </c>
      <c r="Y174" s="2" t="n">
        <v>0</v>
      </c>
      <c r="Z174" s="2" t="n">
        <v>1</v>
      </c>
      <c r="AA174" s="2" t="n">
        <v>0</v>
      </c>
      <c r="AB174" s="2" t="n">
        <v>0</v>
      </c>
      <c r="AC174" s="2"/>
    </row>
    <row r="175" customFormat="false" ht="15" hidden="false" customHeight="false" outlineLevel="0" collapsed="false">
      <c r="A175" s="2" t="n">
        <v>14</v>
      </c>
      <c r="B175" s="2" t="s">
        <v>216</v>
      </c>
      <c r="C175" s="2" t="s">
        <v>223</v>
      </c>
      <c r="D175" s="2" t="s">
        <v>1777</v>
      </c>
      <c r="E175" s="2" t="s">
        <v>1154</v>
      </c>
      <c r="F175" s="2" t="s">
        <v>1178</v>
      </c>
      <c r="G175" s="2" t="s">
        <v>1778</v>
      </c>
      <c r="H175" s="2" t="s">
        <v>1779</v>
      </c>
      <c r="I175" s="2" t="s">
        <v>1406</v>
      </c>
      <c r="J175" s="2" t="s">
        <v>1780</v>
      </c>
      <c r="K175" s="2" t="n">
        <v>2</v>
      </c>
      <c r="L175" s="2" t="n">
        <v>656</v>
      </c>
      <c r="M175" s="2" t="n">
        <v>581</v>
      </c>
      <c r="N175" s="2" t="n">
        <v>479</v>
      </c>
      <c r="O175" s="2" t="n">
        <v>75</v>
      </c>
      <c r="P175" s="2" t="n">
        <v>0</v>
      </c>
      <c r="Q175" s="2" t="n">
        <v>0</v>
      </c>
      <c r="R175" s="2" t="n">
        <v>0</v>
      </c>
      <c r="S175" s="2" t="n">
        <v>0</v>
      </c>
      <c r="T175" s="2" t="n">
        <v>0</v>
      </c>
      <c r="U175" s="2" t="n">
        <v>0</v>
      </c>
      <c r="V175" s="2" t="n">
        <v>0</v>
      </c>
      <c r="W175" s="2" t="n">
        <v>0</v>
      </c>
      <c r="X175" s="2" t="n">
        <v>0</v>
      </c>
      <c r="Y175" s="2" t="n">
        <v>0</v>
      </c>
      <c r="Z175" s="2" t="n">
        <v>0</v>
      </c>
      <c r="AA175" s="2" t="n">
        <v>0</v>
      </c>
      <c r="AB175" s="2" t="n">
        <v>0</v>
      </c>
      <c r="AC175" s="2"/>
    </row>
    <row r="176" customFormat="false" ht="15" hidden="false" customHeight="false" outlineLevel="0" collapsed="false">
      <c r="A176" s="2" t="n">
        <v>14</v>
      </c>
      <c r="B176" s="2" t="s">
        <v>216</v>
      </c>
      <c r="C176" s="2" t="s">
        <v>223</v>
      </c>
      <c r="D176" s="2" t="s">
        <v>1781</v>
      </c>
      <c r="E176" s="2" t="s">
        <v>1154</v>
      </c>
      <c r="F176" s="2" t="s">
        <v>1178</v>
      </c>
      <c r="G176" s="2" t="s">
        <v>1778</v>
      </c>
      <c r="H176" s="2" t="s">
        <v>1782</v>
      </c>
      <c r="I176" s="2" t="s">
        <v>1406</v>
      </c>
      <c r="J176" s="2" t="s">
        <v>1783</v>
      </c>
      <c r="K176" s="2" t="n">
        <v>9</v>
      </c>
      <c r="L176" s="2" t="n">
        <v>3682</v>
      </c>
      <c r="M176" s="2" t="n">
        <v>941</v>
      </c>
      <c r="N176" s="2" t="n">
        <v>839</v>
      </c>
      <c r="O176" s="2" t="n">
        <v>166</v>
      </c>
      <c r="P176" s="2" t="n">
        <v>2575</v>
      </c>
      <c r="Q176" s="2" t="n">
        <v>0</v>
      </c>
      <c r="R176" s="2" t="n">
        <v>0</v>
      </c>
      <c r="S176" s="2" t="n">
        <v>3</v>
      </c>
      <c r="T176" s="2" t="n">
        <v>3</v>
      </c>
      <c r="U176" s="2" t="n">
        <v>0</v>
      </c>
      <c r="V176" s="2" t="n">
        <v>0</v>
      </c>
      <c r="W176" s="2" t="n">
        <v>0</v>
      </c>
      <c r="X176" s="2" t="n">
        <v>0</v>
      </c>
      <c r="Y176" s="2" t="n">
        <v>0</v>
      </c>
      <c r="Z176" s="2" t="n">
        <v>0</v>
      </c>
      <c r="AA176" s="2" t="n">
        <v>0</v>
      </c>
      <c r="AB176" s="2" t="n">
        <v>3</v>
      </c>
      <c r="AC176" s="2"/>
    </row>
    <row r="177" customFormat="false" ht="15" hidden="false" customHeight="false" outlineLevel="0" collapsed="false">
      <c r="A177" s="2" t="n">
        <v>14</v>
      </c>
      <c r="B177" s="2" t="s">
        <v>216</v>
      </c>
      <c r="C177" s="2" t="s">
        <v>223</v>
      </c>
      <c r="D177" s="2" t="s">
        <v>1784</v>
      </c>
      <c r="E177" s="2" t="s">
        <v>1154</v>
      </c>
      <c r="F177" s="2" t="s">
        <v>1178</v>
      </c>
      <c r="G177" s="2" t="s">
        <v>1785</v>
      </c>
      <c r="H177" s="2" t="s">
        <v>1786</v>
      </c>
      <c r="I177" s="2" t="s">
        <v>1406</v>
      </c>
      <c r="J177" s="2" t="s">
        <v>1787</v>
      </c>
      <c r="K177" s="2" t="n">
        <v>2</v>
      </c>
      <c r="L177" s="2" t="n">
        <v>715</v>
      </c>
      <c r="M177" s="2" t="n">
        <v>597</v>
      </c>
      <c r="N177" s="2" t="n">
        <v>495</v>
      </c>
      <c r="O177" s="2" t="n">
        <v>118</v>
      </c>
      <c r="P177" s="2" t="n">
        <v>0</v>
      </c>
      <c r="Q177" s="2" t="n">
        <v>0</v>
      </c>
      <c r="R177" s="2" t="n">
        <v>0</v>
      </c>
      <c r="S177" s="2" t="n">
        <v>0</v>
      </c>
      <c r="T177" s="2" t="n">
        <v>0</v>
      </c>
      <c r="U177" s="2" t="n">
        <v>0</v>
      </c>
      <c r="V177" s="2" t="n">
        <v>0</v>
      </c>
      <c r="W177" s="2" t="n">
        <v>0</v>
      </c>
      <c r="X177" s="2" t="n">
        <v>0</v>
      </c>
      <c r="Y177" s="2" t="n">
        <v>0</v>
      </c>
      <c r="Z177" s="2" t="n">
        <v>0</v>
      </c>
      <c r="AA177" s="2" t="n">
        <v>0</v>
      </c>
      <c r="AB177" s="2" t="n">
        <v>0</v>
      </c>
      <c r="AC177" s="2"/>
    </row>
    <row r="178" customFormat="false" ht="15" hidden="false" customHeight="false" outlineLevel="0" collapsed="false">
      <c r="A178" s="2" t="n">
        <v>14</v>
      </c>
      <c r="B178" s="2" t="s">
        <v>216</v>
      </c>
      <c r="C178" s="2" t="s">
        <v>223</v>
      </c>
      <c r="D178" s="2" t="s">
        <v>1788</v>
      </c>
      <c r="E178" s="2" t="s">
        <v>1154</v>
      </c>
      <c r="F178" s="2" t="s">
        <v>1178</v>
      </c>
      <c r="G178" s="2" t="s">
        <v>1785</v>
      </c>
      <c r="H178" s="2" t="s">
        <v>1789</v>
      </c>
      <c r="I178" s="2" t="s">
        <v>1406</v>
      </c>
      <c r="J178" s="2" t="s">
        <v>1790</v>
      </c>
      <c r="K178" s="2" t="n">
        <v>2</v>
      </c>
      <c r="L178" s="2" t="n">
        <v>632</v>
      </c>
      <c r="M178" s="2" t="n">
        <v>577</v>
      </c>
      <c r="N178" s="2" t="n">
        <v>467</v>
      </c>
      <c r="O178" s="2" t="n">
        <v>55</v>
      </c>
      <c r="P178" s="2" t="n">
        <v>0</v>
      </c>
      <c r="Q178" s="2" t="n">
        <v>0</v>
      </c>
      <c r="R178" s="2" t="n">
        <v>0</v>
      </c>
      <c r="S178" s="2" t="n">
        <v>0</v>
      </c>
      <c r="T178" s="2" t="n">
        <v>0</v>
      </c>
      <c r="U178" s="2" t="n">
        <v>0</v>
      </c>
      <c r="V178" s="2" t="n">
        <v>0</v>
      </c>
      <c r="W178" s="2" t="n">
        <v>0</v>
      </c>
      <c r="X178" s="2" t="n">
        <v>0</v>
      </c>
      <c r="Y178" s="2" t="n">
        <v>0</v>
      </c>
      <c r="Z178" s="2" t="n">
        <v>0</v>
      </c>
      <c r="AA178" s="2" t="n">
        <v>0</v>
      </c>
      <c r="AB178" s="2" t="n">
        <v>0</v>
      </c>
      <c r="AC178" s="2"/>
    </row>
    <row r="179" customFormat="false" ht="15" hidden="false" customHeight="false" outlineLevel="0" collapsed="false">
      <c r="A179" s="2" t="n">
        <v>14</v>
      </c>
      <c r="B179" s="2" t="s">
        <v>216</v>
      </c>
      <c r="C179" s="2" t="s">
        <v>223</v>
      </c>
      <c r="D179" s="2" t="s">
        <v>1791</v>
      </c>
      <c r="E179" s="2" t="s">
        <v>1154</v>
      </c>
      <c r="F179" s="2" t="s">
        <v>1178</v>
      </c>
      <c r="G179" s="2" t="s">
        <v>1785</v>
      </c>
      <c r="H179" s="2" t="s">
        <v>1792</v>
      </c>
      <c r="I179" s="2" t="s">
        <v>1406</v>
      </c>
      <c r="J179" s="2" t="s">
        <v>1793</v>
      </c>
      <c r="K179" s="2" t="n">
        <v>2</v>
      </c>
      <c r="L179" s="2" t="n">
        <v>736</v>
      </c>
      <c r="M179" s="2" t="n">
        <v>636</v>
      </c>
      <c r="N179" s="2" t="n">
        <v>520</v>
      </c>
      <c r="O179" s="2" t="n">
        <v>100</v>
      </c>
      <c r="P179" s="2" t="n">
        <v>0</v>
      </c>
      <c r="Q179" s="2" t="n">
        <v>0</v>
      </c>
      <c r="R179" s="2" t="n">
        <v>0</v>
      </c>
      <c r="S179" s="2" t="n">
        <v>2</v>
      </c>
      <c r="T179" s="2" t="n">
        <v>2</v>
      </c>
      <c r="U179" s="2" t="n">
        <v>0</v>
      </c>
      <c r="V179" s="2" t="n">
        <v>0</v>
      </c>
      <c r="W179" s="2" t="n">
        <v>0</v>
      </c>
      <c r="X179" s="2" t="n">
        <v>0</v>
      </c>
      <c r="Y179" s="2" t="n">
        <v>0</v>
      </c>
      <c r="Z179" s="2" t="n">
        <v>0</v>
      </c>
      <c r="AA179" s="2" t="n">
        <v>0</v>
      </c>
      <c r="AB179" s="2" t="n">
        <v>2</v>
      </c>
      <c r="AC179" s="2"/>
    </row>
    <row r="180" customFormat="false" ht="15" hidden="false" customHeight="false" outlineLevel="0" collapsed="false">
      <c r="A180" s="2" t="n">
        <v>14</v>
      </c>
      <c r="B180" s="2" t="s">
        <v>216</v>
      </c>
      <c r="C180" s="2" t="s">
        <v>223</v>
      </c>
      <c r="D180" s="2" t="s">
        <v>1794</v>
      </c>
      <c r="E180" s="2" t="s">
        <v>1154</v>
      </c>
      <c r="F180" s="2" t="s">
        <v>1178</v>
      </c>
      <c r="G180" s="2" t="s">
        <v>1795</v>
      </c>
      <c r="H180" s="2" t="s">
        <v>1796</v>
      </c>
      <c r="I180" s="2" t="s">
        <v>1406</v>
      </c>
      <c r="J180" s="2" t="s">
        <v>1797</v>
      </c>
      <c r="K180" s="2" t="n">
        <v>2</v>
      </c>
      <c r="L180" s="2" t="n">
        <v>741</v>
      </c>
      <c r="M180" s="2" t="n">
        <v>667</v>
      </c>
      <c r="N180" s="2" t="n">
        <v>571</v>
      </c>
      <c r="O180" s="2" t="n">
        <v>74</v>
      </c>
      <c r="P180" s="2" t="n">
        <v>0</v>
      </c>
      <c r="Q180" s="2" t="n">
        <v>0</v>
      </c>
      <c r="R180" s="2" t="n">
        <v>0</v>
      </c>
      <c r="S180" s="2" t="n">
        <v>0</v>
      </c>
      <c r="T180" s="2" t="n">
        <v>0</v>
      </c>
      <c r="U180" s="2" t="n">
        <v>0</v>
      </c>
      <c r="V180" s="2" t="n">
        <v>0</v>
      </c>
      <c r="W180" s="2" t="n">
        <v>0</v>
      </c>
      <c r="X180" s="2" t="n">
        <v>0</v>
      </c>
      <c r="Y180" s="2" t="n">
        <v>0</v>
      </c>
      <c r="Z180" s="2" t="n">
        <v>0</v>
      </c>
      <c r="AA180" s="2" t="n">
        <v>0</v>
      </c>
      <c r="AB180" s="2" t="n">
        <v>0</v>
      </c>
      <c r="AC180" s="2"/>
    </row>
    <row r="181" customFormat="false" ht="15" hidden="false" customHeight="false" outlineLevel="0" collapsed="false">
      <c r="A181" s="2" t="n">
        <v>14</v>
      </c>
      <c r="B181" s="2" t="s">
        <v>216</v>
      </c>
      <c r="C181" s="2" t="s">
        <v>223</v>
      </c>
      <c r="D181" s="2" t="s">
        <v>1798</v>
      </c>
      <c r="E181" s="2" t="s">
        <v>1154</v>
      </c>
      <c r="F181" s="2" t="s">
        <v>1155</v>
      </c>
      <c r="G181" s="2" t="s">
        <v>1799</v>
      </c>
      <c r="H181" s="2" t="s">
        <v>1800</v>
      </c>
      <c r="I181" s="2" t="s">
        <v>1133</v>
      </c>
      <c r="J181" s="2" t="s">
        <v>1801</v>
      </c>
      <c r="K181" s="2" t="n">
        <v>14</v>
      </c>
      <c r="L181" s="2" t="n">
        <v>7623</v>
      </c>
      <c r="M181" s="2" t="n">
        <v>1350</v>
      </c>
      <c r="N181" s="2" t="n">
        <v>1232</v>
      </c>
      <c r="O181" s="2" t="n">
        <v>6273</v>
      </c>
      <c r="P181" s="2" t="n">
        <v>0</v>
      </c>
      <c r="Q181" s="2" t="n">
        <v>0</v>
      </c>
      <c r="R181" s="2" t="n">
        <v>0</v>
      </c>
      <c r="S181" s="2" t="n">
        <v>75</v>
      </c>
      <c r="T181" s="2" t="n">
        <v>73</v>
      </c>
      <c r="U181" s="2" t="n">
        <v>2</v>
      </c>
      <c r="V181" s="2" t="n">
        <v>0</v>
      </c>
      <c r="W181" s="2" t="n">
        <v>0</v>
      </c>
      <c r="X181" s="2" t="n">
        <v>0</v>
      </c>
      <c r="Y181" s="2" t="n">
        <v>26</v>
      </c>
      <c r="Z181" s="2" t="n">
        <v>29</v>
      </c>
      <c r="AA181" s="2" t="n">
        <v>3</v>
      </c>
      <c r="AB181" s="2" t="n">
        <v>17</v>
      </c>
      <c r="AC181" s="2"/>
    </row>
    <row r="182" customFormat="false" ht="15" hidden="false" customHeight="false" outlineLevel="0" collapsed="false">
      <c r="A182" s="2" t="n">
        <v>14</v>
      </c>
      <c r="B182" s="2" t="s">
        <v>216</v>
      </c>
      <c r="C182" s="2" t="s">
        <v>223</v>
      </c>
      <c r="D182" s="2" t="s">
        <v>1802</v>
      </c>
      <c r="E182" s="2" t="s">
        <v>1154</v>
      </c>
      <c r="F182" s="2" t="s">
        <v>1178</v>
      </c>
      <c r="G182" s="2" t="s">
        <v>1803</v>
      </c>
      <c r="H182" s="2" t="s">
        <v>1804</v>
      </c>
      <c r="I182" s="2" t="s">
        <v>1406</v>
      </c>
      <c r="J182" s="2" t="s">
        <v>1805</v>
      </c>
      <c r="K182" s="2" t="n">
        <v>2</v>
      </c>
      <c r="L182" s="2" t="n">
        <v>814</v>
      </c>
      <c r="M182" s="2" t="n">
        <v>694</v>
      </c>
      <c r="N182" s="2" t="n">
        <v>579</v>
      </c>
      <c r="O182" s="2" t="n">
        <v>120</v>
      </c>
      <c r="P182" s="2" t="n">
        <v>0</v>
      </c>
      <c r="Q182" s="2" t="n">
        <v>0</v>
      </c>
      <c r="R182" s="2" t="n">
        <v>0</v>
      </c>
      <c r="S182" s="2" t="n">
        <v>2</v>
      </c>
      <c r="T182" s="2" t="n">
        <v>2</v>
      </c>
      <c r="U182" s="2" t="n">
        <v>0</v>
      </c>
      <c r="V182" s="2" t="n">
        <v>0</v>
      </c>
      <c r="W182" s="2" t="n">
        <v>0</v>
      </c>
      <c r="X182" s="2" t="n">
        <v>0</v>
      </c>
      <c r="Y182" s="2" t="n">
        <v>0</v>
      </c>
      <c r="Z182" s="2" t="n">
        <v>0</v>
      </c>
      <c r="AA182" s="2" t="n">
        <v>0</v>
      </c>
      <c r="AB182" s="2" t="n">
        <v>2</v>
      </c>
      <c r="AC182" s="2"/>
    </row>
    <row r="183" customFormat="false" ht="15" hidden="false" customHeight="false" outlineLevel="0" collapsed="false">
      <c r="A183" s="2" t="n">
        <v>14</v>
      </c>
      <c r="B183" s="2" t="s">
        <v>216</v>
      </c>
      <c r="C183" s="2" t="s">
        <v>223</v>
      </c>
      <c r="D183" s="2" t="s">
        <v>1806</v>
      </c>
      <c r="E183" s="2" t="s">
        <v>1154</v>
      </c>
      <c r="F183" s="2" t="s">
        <v>1178</v>
      </c>
      <c r="G183" s="2" t="s">
        <v>1807</v>
      </c>
      <c r="H183" s="2" t="s">
        <v>1808</v>
      </c>
      <c r="I183" s="2" t="s">
        <v>1406</v>
      </c>
      <c r="J183" s="2" t="s">
        <v>1809</v>
      </c>
      <c r="K183" s="2" t="n">
        <v>2</v>
      </c>
      <c r="L183" s="2" t="n">
        <v>591</v>
      </c>
      <c r="M183" s="2" t="n">
        <v>494</v>
      </c>
      <c r="N183" s="2" t="n">
        <v>386</v>
      </c>
      <c r="O183" s="2" t="n">
        <v>97</v>
      </c>
      <c r="P183" s="2" t="n">
        <v>0</v>
      </c>
      <c r="Q183" s="2" t="n">
        <v>0</v>
      </c>
      <c r="R183" s="2" t="n">
        <v>0</v>
      </c>
      <c r="S183" s="2" t="n">
        <v>0</v>
      </c>
      <c r="T183" s="2" t="n">
        <v>0</v>
      </c>
      <c r="U183" s="2" t="n">
        <v>0</v>
      </c>
      <c r="V183" s="2" t="n">
        <v>0</v>
      </c>
      <c r="W183" s="2" t="n">
        <v>0</v>
      </c>
      <c r="X183" s="2" t="n">
        <v>0</v>
      </c>
      <c r="Y183" s="2" t="n">
        <v>0</v>
      </c>
      <c r="Z183" s="2" t="n">
        <v>0</v>
      </c>
      <c r="AA183" s="2" t="n">
        <v>0</v>
      </c>
      <c r="AB183" s="2" t="n">
        <v>0</v>
      </c>
      <c r="AC183" s="2"/>
    </row>
    <row r="184" customFormat="false" ht="15" hidden="false" customHeight="false" outlineLevel="0" collapsed="false">
      <c r="A184" s="2" t="n">
        <v>14</v>
      </c>
      <c r="B184" s="2" t="s">
        <v>216</v>
      </c>
      <c r="C184" s="2" t="s">
        <v>223</v>
      </c>
      <c r="D184" s="2" t="s">
        <v>1810</v>
      </c>
      <c r="E184" s="2" t="s">
        <v>1154</v>
      </c>
      <c r="F184" s="2" t="s">
        <v>1178</v>
      </c>
      <c r="G184" s="2" t="s">
        <v>1811</v>
      </c>
      <c r="H184" s="2" t="s">
        <v>1812</v>
      </c>
      <c r="I184" s="2" t="s">
        <v>1406</v>
      </c>
      <c r="J184" s="2" t="s">
        <v>1813</v>
      </c>
      <c r="K184" s="2" t="n">
        <v>2</v>
      </c>
      <c r="L184" s="2" t="n">
        <v>947</v>
      </c>
      <c r="M184" s="2" t="n">
        <v>802</v>
      </c>
      <c r="N184" s="2" t="n">
        <v>694</v>
      </c>
      <c r="O184" s="2" t="n">
        <v>145</v>
      </c>
      <c r="P184" s="2" t="n">
        <v>0</v>
      </c>
      <c r="Q184" s="2" t="n">
        <v>0</v>
      </c>
      <c r="R184" s="2" t="n">
        <v>0</v>
      </c>
      <c r="S184" s="2" t="n">
        <v>1</v>
      </c>
      <c r="T184" s="2" t="n">
        <v>0</v>
      </c>
      <c r="U184" s="2" t="n">
        <v>0</v>
      </c>
      <c r="V184" s="2" t="n">
        <v>0</v>
      </c>
      <c r="W184" s="2" t="n">
        <v>1</v>
      </c>
      <c r="X184" s="2" t="n">
        <v>0</v>
      </c>
      <c r="Y184" s="2" t="n">
        <v>0</v>
      </c>
      <c r="Z184" s="2" t="n">
        <v>1</v>
      </c>
      <c r="AA184" s="2" t="n">
        <v>0</v>
      </c>
      <c r="AB184" s="2" t="n">
        <v>0</v>
      </c>
      <c r="AC184" s="2"/>
    </row>
    <row r="185" customFormat="false" ht="15" hidden="false" customHeight="false" outlineLevel="0" collapsed="false">
      <c r="A185" s="2" t="n">
        <v>14</v>
      </c>
      <c r="B185" s="2" t="s">
        <v>216</v>
      </c>
      <c r="C185" s="2" t="s">
        <v>223</v>
      </c>
      <c r="D185" s="2" t="s">
        <v>1814</v>
      </c>
      <c r="E185" s="2" t="s">
        <v>1154</v>
      </c>
      <c r="F185" s="2" t="s">
        <v>1178</v>
      </c>
      <c r="G185" s="2" t="s">
        <v>1811</v>
      </c>
      <c r="H185" s="2" t="s">
        <v>1815</v>
      </c>
      <c r="I185" s="2" t="s">
        <v>1406</v>
      </c>
      <c r="J185" s="2" t="s">
        <v>1816</v>
      </c>
      <c r="K185" s="2" t="n">
        <v>3</v>
      </c>
      <c r="L185" s="2" t="n">
        <v>1220</v>
      </c>
      <c r="M185" s="2" t="n">
        <v>1038</v>
      </c>
      <c r="N185" s="2" t="n">
        <v>923</v>
      </c>
      <c r="O185" s="2" t="n">
        <v>182</v>
      </c>
      <c r="P185" s="2" t="n">
        <v>0</v>
      </c>
      <c r="Q185" s="2" t="n">
        <v>0</v>
      </c>
      <c r="R185" s="2" t="n">
        <v>0</v>
      </c>
      <c r="S185" s="2" t="n">
        <v>2</v>
      </c>
      <c r="T185" s="2" t="n">
        <v>2</v>
      </c>
      <c r="U185" s="2" t="n">
        <v>0</v>
      </c>
      <c r="V185" s="2" t="n">
        <v>0</v>
      </c>
      <c r="W185" s="2" t="n">
        <v>0</v>
      </c>
      <c r="X185" s="2" t="n">
        <v>0</v>
      </c>
      <c r="Y185" s="2" t="n">
        <v>0</v>
      </c>
      <c r="Z185" s="2" t="n">
        <v>0</v>
      </c>
      <c r="AA185" s="2" t="n">
        <v>0</v>
      </c>
      <c r="AB185" s="2" t="n">
        <v>2</v>
      </c>
      <c r="AC185" s="2"/>
    </row>
    <row r="186" customFormat="false" ht="15" hidden="false" customHeight="false" outlineLevel="0" collapsed="false">
      <c r="A186" s="2" t="n">
        <v>14</v>
      </c>
      <c r="B186" s="2" t="s">
        <v>216</v>
      </c>
      <c r="C186" s="2" t="s">
        <v>223</v>
      </c>
      <c r="D186" s="2" t="s">
        <v>1817</v>
      </c>
      <c r="E186" s="2" t="s">
        <v>1154</v>
      </c>
      <c r="F186" s="2" t="s">
        <v>1178</v>
      </c>
      <c r="G186" s="2" t="s">
        <v>1818</v>
      </c>
      <c r="H186" s="2" t="s">
        <v>1819</v>
      </c>
      <c r="I186" s="2" t="s">
        <v>1406</v>
      </c>
      <c r="J186" s="2" t="s">
        <v>1820</v>
      </c>
      <c r="K186" s="2" t="n">
        <v>3</v>
      </c>
      <c r="L186" s="2" t="n">
        <v>950</v>
      </c>
      <c r="M186" s="2" t="n">
        <v>876</v>
      </c>
      <c r="N186" s="2" t="n">
        <v>768</v>
      </c>
      <c r="O186" s="2" t="n">
        <v>74</v>
      </c>
      <c r="P186" s="2" t="n">
        <v>0</v>
      </c>
      <c r="Q186" s="2" t="n">
        <v>0</v>
      </c>
      <c r="R186" s="2" t="n">
        <v>0</v>
      </c>
      <c r="S186" s="2" t="n">
        <v>0</v>
      </c>
      <c r="T186" s="2" t="n">
        <v>0</v>
      </c>
      <c r="U186" s="2" t="n">
        <v>0</v>
      </c>
      <c r="V186" s="2" t="n">
        <v>0</v>
      </c>
      <c r="W186" s="2" t="n">
        <v>0</v>
      </c>
      <c r="X186" s="2" t="n">
        <v>0</v>
      </c>
      <c r="Y186" s="2" t="n">
        <v>0</v>
      </c>
      <c r="Z186" s="2" t="n">
        <v>0</v>
      </c>
      <c r="AA186" s="2" t="n">
        <v>0</v>
      </c>
      <c r="AB186" s="2" t="n">
        <v>0</v>
      </c>
      <c r="AC186" s="2"/>
    </row>
    <row r="187" customFormat="false" ht="15" hidden="false" customHeight="false" outlineLevel="0" collapsed="false">
      <c r="A187" s="2" t="n">
        <v>14</v>
      </c>
      <c r="B187" s="2" t="s">
        <v>216</v>
      </c>
      <c r="C187" s="2" t="s">
        <v>223</v>
      </c>
      <c r="D187" s="2" t="s">
        <v>1821</v>
      </c>
      <c r="E187" s="2" t="s">
        <v>1154</v>
      </c>
      <c r="F187" s="2" t="s">
        <v>1178</v>
      </c>
      <c r="G187" s="2" t="s">
        <v>1822</v>
      </c>
      <c r="H187" s="2" t="s">
        <v>1823</v>
      </c>
      <c r="I187" s="2" t="s">
        <v>1406</v>
      </c>
      <c r="J187" s="2" t="s">
        <v>1824</v>
      </c>
      <c r="K187" s="2" t="n">
        <v>2</v>
      </c>
      <c r="L187" s="2" t="n">
        <v>787</v>
      </c>
      <c r="M187" s="2" t="n">
        <v>715</v>
      </c>
      <c r="N187" s="2" t="n">
        <v>606</v>
      </c>
      <c r="O187" s="2" t="n">
        <v>72</v>
      </c>
      <c r="P187" s="2" t="n">
        <v>0</v>
      </c>
      <c r="Q187" s="2" t="n">
        <v>0</v>
      </c>
      <c r="R187" s="2" t="n">
        <v>0</v>
      </c>
      <c r="S187" s="2" t="n">
        <v>0</v>
      </c>
      <c r="T187" s="2" t="n">
        <v>0</v>
      </c>
      <c r="U187" s="2" t="n">
        <v>0</v>
      </c>
      <c r="V187" s="2" t="n">
        <v>0</v>
      </c>
      <c r="W187" s="2" t="n">
        <v>0</v>
      </c>
      <c r="X187" s="2" t="n">
        <v>0</v>
      </c>
      <c r="Y187" s="2" t="n">
        <v>0</v>
      </c>
      <c r="Z187" s="2" t="n">
        <v>0</v>
      </c>
      <c r="AA187" s="2" t="n">
        <v>0</v>
      </c>
      <c r="AB187" s="2" t="n">
        <v>0</v>
      </c>
      <c r="AC187" s="2"/>
    </row>
    <row r="188" customFormat="false" ht="15" hidden="false" customHeight="false" outlineLevel="0" collapsed="false">
      <c r="A188" s="2" t="n">
        <v>14</v>
      </c>
      <c r="B188" s="2" t="s">
        <v>216</v>
      </c>
      <c r="C188" s="2" t="s">
        <v>223</v>
      </c>
      <c r="D188" s="2" t="s">
        <v>1825</v>
      </c>
      <c r="E188" s="2" t="s">
        <v>1154</v>
      </c>
      <c r="F188" s="2" t="s">
        <v>1155</v>
      </c>
      <c r="G188" s="2" t="s">
        <v>1826</v>
      </c>
      <c r="H188" s="2" t="s">
        <v>1827</v>
      </c>
      <c r="I188" s="2" t="s">
        <v>1133</v>
      </c>
      <c r="J188" s="2" t="s">
        <v>1828</v>
      </c>
      <c r="K188" s="2" t="n">
        <v>2</v>
      </c>
      <c r="L188" s="2" t="n">
        <v>760</v>
      </c>
      <c r="M188" s="2" t="n">
        <v>537</v>
      </c>
      <c r="N188" s="2" t="n">
        <v>442</v>
      </c>
      <c r="O188" s="2" t="n">
        <v>223</v>
      </c>
      <c r="P188" s="2" t="n">
        <v>0</v>
      </c>
      <c r="Q188" s="2" t="n">
        <v>0</v>
      </c>
      <c r="R188" s="2" t="n">
        <v>0</v>
      </c>
      <c r="S188" s="2" t="n">
        <v>3</v>
      </c>
      <c r="T188" s="2" t="n">
        <v>3</v>
      </c>
      <c r="U188" s="2" t="n">
        <v>0</v>
      </c>
      <c r="V188" s="2" t="n">
        <v>0</v>
      </c>
      <c r="W188" s="2" t="n">
        <v>0</v>
      </c>
      <c r="X188" s="2" t="n">
        <v>0</v>
      </c>
      <c r="Y188" s="2" t="n">
        <v>0</v>
      </c>
      <c r="Z188" s="2" t="n">
        <v>1</v>
      </c>
      <c r="AA188" s="2" t="n">
        <v>0</v>
      </c>
      <c r="AB188" s="2" t="n">
        <v>2</v>
      </c>
      <c r="AC188" s="2"/>
    </row>
    <row r="189" customFormat="false" ht="15" hidden="false" customHeight="false" outlineLevel="0" collapsed="false">
      <c r="A189" s="2" t="n">
        <v>14</v>
      </c>
      <c r="B189" s="2" t="s">
        <v>216</v>
      </c>
      <c r="C189" s="2" t="s">
        <v>223</v>
      </c>
      <c r="D189" s="2" t="s">
        <v>1829</v>
      </c>
      <c r="E189" s="2" t="s">
        <v>1154</v>
      </c>
      <c r="F189" s="2" t="s">
        <v>1178</v>
      </c>
      <c r="G189" s="2" t="s">
        <v>1830</v>
      </c>
      <c r="H189" s="2" t="s">
        <v>1831</v>
      </c>
      <c r="I189" s="2" t="s">
        <v>1406</v>
      </c>
      <c r="J189" s="2" t="s">
        <v>1832</v>
      </c>
      <c r="K189" s="2" t="n">
        <v>2</v>
      </c>
      <c r="L189" s="2" t="n">
        <v>835</v>
      </c>
      <c r="M189" s="2" t="n">
        <v>755</v>
      </c>
      <c r="N189" s="2" t="n">
        <v>647</v>
      </c>
      <c r="O189" s="2" t="n">
        <v>80</v>
      </c>
      <c r="P189" s="2" t="n">
        <v>0</v>
      </c>
      <c r="Q189" s="2" t="n">
        <v>0</v>
      </c>
      <c r="R189" s="2" t="n">
        <v>0</v>
      </c>
      <c r="S189" s="2" t="n">
        <v>2</v>
      </c>
      <c r="T189" s="2" t="n">
        <v>2</v>
      </c>
      <c r="U189" s="2" t="n">
        <v>0</v>
      </c>
      <c r="V189" s="2" t="n">
        <v>0</v>
      </c>
      <c r="W189" s="2" t="n">
        <v>0</v>
      </c>
      <c r="X189" s="2" t="n">
        <v>0</v>
      </c>
      <c r="Y189" s="2" t="n">
        <v>0</v>
      </c>
      <c r="Z189" s="2" t="n">
        <v>0</v>
      </c>
      <c r="AA189" s="2" t="n">
        <v>1</v>
      </c>
      <c r="AB189" s="2" t="n">
        <v>1</v>
      </c>
      <c r="AC189" s="2"/>
    </row>
    <row r="190" customFormat="false" ht="15" hidden="false" customHeight="false" outlineLevel="0" collapsed="false">
      <c r="A190" s="2" t="n">
        <v>14</v>
      </c>
      <c r="B190" s="2" t="s">
        <v>216</v>
      </c>
      <c r="C190" s="2" t="s">
        <v>223</v>
      </c>
      <c r="D190" s="2" t="s">
        <v>1833</v>
      </c>
      <c r="E190" s="2" t="s">
        <v>1154</v>
      </c>
      <c r="F190" s="2" t="s">
        <v>1178</v>
      </c>
      <c r="G190" s="2" t="s">
        <v>1834</v>
      </c>
      <c r="H190" s="2" t="s">
        <v>1835</v>
      </c>
      <c r="I190" s="2" t="s">
        <v>1406</v>
      </c>
      <c r="J190" s="2" t="s">
        <v>1836</v>
      </c>
      <c r="K190" s="2" t="n">
        <v>3</v>
      </c>
      <c r="L190" s="2" t="n">
        <v>1396</v>
      </c>
      <c r="M190" s="2" t="n">
        <v>1248</v>
      </c>
      <c r="N190" s="2" t="n">
        <v>1136</v>
      </c>
      <c r="O190" s="2" t="n">
        <v>148</v>
      </c>
      <c r="P190" s="2" t="n">
        <v>0</v>
      </c>
      <c r="Q190" s="2" t="n">
        <v>0</v>
      </c>
      <c r="R190" s="2" t="n">
        <v>0</v>
      </c>
      <c r="S190" s="2" t="n">
        <v>2</v>
      </c>
      <c r="T190" s="2" t="n">
        <v>2</v>
      </c>
      <c r="U190" s="2" t="n">
        <v>0</v>
      </c>
      <c r="V190" s="2" t="n">
        <v>0</v>
      </c>
      <c r="W190" s="2" t="n">
        <v>0</v>
      </c>
      <c r="X190" s="2" t="n">
        <v>0</v>
      </c>
      <c r="Y190" s="2" t="n">
        <v>0</v>
      </c>
      <c r="Z190" s="2" t="n">
        <v>0</v>
      </c>
      <c r="AA190" s="2" t="n">
        <v>0</v>
      </c>
      <c r="AB190" s="2" t="n">
        <v>2</v>
      </c>
      <c r="AC190" s="2"/>
    </row>
    <row r="191" customFormat="false" ht="15" hidden="false" customHeight="false" outlineLevel="0" collapsed="false">
      <c r="A191" s="2" t="n">
        <v>14</v>
      </c>
      <c r="B191" s="2" t="s">
        <v>216</v>
      </c>
      <c r="C191" s="2" t="s">
        <v>223</v>
      </c>
      <c r="D191" s="2" t="s">
        <v>1837</v>
      </c>
      <c r="E191" s="2" t="s">
        <v>1154</v>
      </c>
      <c r="F191" s="2" t="s">
        <v>1178</v>
      </c>
      <c r="G191" s="2" t="s">
        <v>1838</v>
      </c>
      <c r="H191" s="2" t="s">
        <v>1839</v>
      </c>
      <c r="I191" s="2" t="s">
        <v>1406</v>
      </c>
      <c r="J191" s="2" t="s">
        <v>1840</v>
      </c>
      <c r="K191" s="2" t="n">
        <v>3</v>
      </c>
      <c r="L191" s="2" t="n">
        <v>896</v>
      </c>
      <c r="M191" s="2" t="n">
        <v>844</v>
      </c>
      <c r="N191" s="2" t="n">
        <v>732</v>
      </c>
      <c r="O191" s="2" t="n">
        <v>52</v>
      </c>
      <c r="P191" s="2" t="n">
        <v>0</v>
      </c>
      <c r="Q191" s="2" t="n">
        <v>0</v>
      </c>
      <c r="R191" s="2" t="n">
        <v>0</v>
      </c>
      <c r="S191" s="2" t="n">
        <v>0</v>
      </c>
      <c r="T191" s="2" t="n">
        <v>0</v>
      </c>
      <c r="U191" s="2" t="n">
        <v>0</v>
      </c>
      <c r="V191" s="2" t="n">
        <v>0</v>
      </c>
      <c r="W191" s="2" t="n">
        <v>0</v>
      </c>
      <c r="X191" s="2" t="n">
        <v>0</v>
      </c>
      <c r="Y191" s="2" t="n">
        <v>0</v>
      </c>
      <c r="Z191" s="2" t="n">
        <v>0</v>
      </c>
      <c r="AA191" s="2" t="n">
        <v>0</v>
      </c>
      <c r="AB191" s="2" t="n">
        <v>0</v>
      </c>
      <c r="AC191" s="2"/>
    </row>
    <row r="192" customFormat="false" ht="15" hidden="false" customHeight="false" outlineLevel="0" collapsed="false">
      <c r="A192" s="2" t="n">
        <v>14</v>
      </c>
      <c r="B192" s="2" t="s">
        <v>216</v>
      </c>
      <c r="C192" s="2" t="s">
        <v>223</v>
      </c>
      <c r="D192" s="2" t="s">
        <v>1841</v>
      </c>
      <c r="E192" s="2" t="s">
        <v>1154</v>
      </c>
      <c r="F192" s="2" t="s">
        <v>1178</v>
      </c>
      <c r="G192" s="2" t="s">
        <v>1838</v>
      </c>
      <c r="H192" s="2" t="s">
        <v>1842</v>
      </c>
      <c r="I192" s="2" t="s">
        <v>1406</v>
      </c>
      <c r="J192" s="2" t="s">
        <v>1843</v>
      </c>
      <c r="K192" s="2" t="n">
        <v>2</v>
      </c>
      <c r="L192" s="2" t="n">
        <v>816</v>
      </c>
      <c r="M192" s="2" t="n">
        <v>765</v>
      </c>
      <c r="N192" s="2" t="n">
        <v>650</v>
      </c>
      <c r="O192" s="2" t="n">
        <v>51</v>
      </c>
      <c r="P192" s="2" t="n">
        <v>0</v>
      </c>
      <c r="Q192" s="2" t="n">
        <v>0</v>
      </c>
      <c r="R192" s="2" t="n">
        <v>0</v>
      </c>
      <c r="S192" s="2" t="n">
        <v>0</v>
      </c>
      <c r="T192" s="2" t="n">
        <v>0</v>
      </c>
      <c r="U192" s="2" t="n">
        <v>0</v>
      </c>
      <c r="V192" s="2" t="n">
        <v>0</v>
      </c>
      <c r="W192" s="2" t="n">
        <v>0</v>
      </c>
      <c r="X192" s="2" t="n">
        <v>0</v>
      </c>
      <c r="Y192" s="2" t="n">
        <v>0</v>
      </c>
      <c r="Z192" s="2" t="n">
        <v>0</v>
      </c>
      <c r="AA192" s="2" t="n">
        <v>0</v>
      </c>
      <c r="AB192" s="2" t="n">
        <v>0</v>
      </c>
      <c r="AC192" s="2"/>
    </row>
    <row r="193" customFormat="false" ht="15" hidden="false" customHeight="false" outlineLevel="0" collapsed="false">
      <c r="A193" s="2" t="n">
        <v>14</v>
      </c>
      <c r="B193" s="2" t="s">
        <v>216</v>
      </c>
      <c r="C193" s="2" t="s">
        <v>223</v>
      </c>
      <c r="D193" s="2" t="s">
        <v>1844</v>
      </c>
      <c r="E193" s="2" t="s">
        <v>1154</v>
      </c>
      <c r="F193" s="2" t="s">
        <v>1178</v>
      </c>
      <c r="G193" s="2" t="s">
        <v>1838</v>
      </c>
      <c r="H193" s="2" t="s">
        <v>1845</v>
      </c>
      <c r="I193" s="2" t="s">
        <v>1406</v>
      </c>
      <c r="J193" s="2" t="s">
        <v>1846</v>
      </c>
      <c r="K193" s="2" t="n">
        <v>2</v>
      </c>
      <c r="L193" s="2" t="n">
        <v>906</v>
      </c>
      <c r="M193" s="2" t="n">
        <v>774</v>
      </c>
      <c r="N193" s="2" t="n">
        <v>664</v>
      </c>
      <c r="O193" s="2" t="n">
        <v>132</v>
      </c>
      <c r="P193" s="2" t="n">
        <v>0</v>
      </c>
      <c r="Q193" s="2" t="n">
        <v>0</v>
      </c>
      <c r="R193" s="2" t="n">
        <v>0</v>
      </c>
      <c r="S193" s="2" t="n">
        <v>2</v>
      </c>
      <c r="T193" s="2" t="n">
        <v>2</v>
      </c>
      <c r="U193" s="2" t="n">
        <v>0</v>
      </c>
      <c r="V193" s="2" t="n">
        <v>0</v>
      </c>
      <c r="W193" s="2" t="n">
        <v>0</v>
      </c>
      <c r="X193" s="2" t="n">
        <v>0</v>
      </c>
      <c r="Y193" s="2" t="n">
        <v>0</v>
      </c>
      <c r="Z193" s="2" t="n">
        <v>0</v>
      </c>
      <c r="AA193" s="2" t="n">
        <v>0</v>
      </c>
      <c r="AB193" s="2" t="n">
        <v>2</v>
      </c>
      <c r="AC193" s="2"/>
    </row>
    <row r="194" customFormat="false" ht="15" hidden="false" customHeight="false" outlineLevel="0" collapsed="false">
      <c r="A194" s="2" t="n">
        <v>14</v>
      </c>
      <c r="B194" s="2" t="s">
        <v>216</v>
      </c>
      <c r="C194" s="2" t="s">
        <v>223</v>
      </c>
      <c r="D194" s="2" t="s">
        <v>1847</v>
      </c>
      <c r="E194" s="2" t="s">
        <v>1154</v>
      </c>
      <c r="F194" s="2" t="s">
        <v>1178</v>
      </c>
      <c r="G194" s="2" t="s">
        <v>1848</v>
      </c>
      <c r="H194" s="2" t="s">
        <v>1849</v>
      </c>
      <c r="I194" s="2" t="s">
        <v>1406</v>
      </c>
      <c r="J194" s="2" t="s">
        <v>1850</v>
      </c>
      <c r="K194" s="2" t="n">
        <v>2</v>
      </c>
      <c r="L194" s="2" t="n">
        <v>559</v>
      </c>
      <c r="M194" s="2" t="n">
        <v>507</v>
      </c>
      <c r="N194" s="2" t="n">
        <v>384</v>
      </c>
      <c r="O194" s="2" t="n">
        <v>52</v>
      </c>
      <c r="P194" s="2" t="n">
        <v>0</v>
      </c>
      <c r="Q194" s="2" t="n">
        <v>0</v>
      </c>
      <c r="R194" s="2" t="n">
        <v>0</v>
      </c>
      <c r="S194" s="2" t="n">
        <v>0</v>
      </c>
      <c r="T194" s="2" t="n">
        <v>0</v>
      </c>
      <c r="U194" s="2" t="n">
        <v>0</v>
      </c>
      <c r="V194" s="2" t="n">
        <v>0</v>
      </c>
      <c r="W194" s="2" t="n">
        <v>0</v>
      </c>
      <c r="X194" s="2" t="n">
        <v>0</v>
      </c>
      <c r="Y194" s="2" t="n">
        <v>0</v>
      </c>
      <c r="Z194" s="2" t="n">
        <v>0</v>
      </c>
      <c r="AA194" s="2" t="n">
        <v>0</v>
      </c>
      <c r="AB194" s="2" t="n">
        <v>0</v>
      </c>
      <c r="AC194" s="2"/>
    </row>
    <row r="195" customFormat="false" ht="15" hidden="false" customHeight="false" outlineLevel="0" collapsed="false">
      <c r="A195" s="2" t="n">
        <v>14</v>
      </c>
      <c r="B195" s="2" t="s">
        <v>216</v>
      </c>
      <c r="C195" s="2" t="s">
        <v>223</v>
      </c>
      <c r="D195" s="2" t="s">
        <v>1851</v>
      </c>
      <c r="E195" s="2" t="s">
        <v>1154</v>
      </c>
      <c r="F195" s="2" t="s">
        <v>1178</v>
      </c>
      <c r="G195" s="2" t="s">
        <v>1852</v>
      </c>
      <c r="H195" s="2" t="s">
        <v>1853</v>
      </c>
      <c r="I195" s="2" t="s">
        <v>1406</v>
      </c>
      <c r="J195" s="2" t="s">
        <v>1854</v>
      </c>
      <c r="K195" s="2" t="n">
        <v>2</v>
      </c>
      <c r="L195" s="2" t="n">
        <v>651</v>
      </c>
      <c r="M195" s="2" t="n">
        <v>609</v>
      </c>
      <c r="N195" s="2" t="n">
        <v>494</v>
      </c>
      <c r="O195" s="2" t="n">
        <v>42</v>
      </c>
      <c r="P195" s="2" t="n">
        <v>0</v>
      </c>
      <c r="Q195" s="2" t="n">
        <v>0</v>
      </c>
      <c r="R195" s="2" t="n">
        <v>0</v>
      </c>
      <c r="S195" s="2" t="n">
        <v>0</v>
      </c>
      <c r="T195" s="2" t="n">
        <v>0</v>
      </c>
      <c r="U195" s="2" t="n">
        <v>0</v>
      </c>
      <c r="V195" s="2" t="n">
        <v>0</v>
      </c>
      <c r="W195" s="2" t="n">
        <v>0</v>
      </c>
      <c r="X195" s="2" t="n">
        <v>0</v>
      </c>
      <c r="Y195" s="2" t="n">
        <v>0</v>
      </c>
      <c r="Z195" s="2" t="n">
        <v>0</v>
      </c>
      <c r="AA195" s="2" t="n">
        <v>0</v>
      </c>
      <c r="AB195" s="2" t="n">
        <v>0</v>
      </c>
      <c r="AC195" s="2"/>
    </row>
    <row r="196" customFormat="false" ht="15" hidden="false" customHeight="false" outlineLevel="0" collapsed="false">
      <c r="A196" s="2" t="n">
        <v>14</v>
      </c>
      <c r="B196" s="2" t="s">
        <v>216</v>
      </c>
      <c r="C196" s="2" t="s">
        <v>223</v>
      </c>
      <c r="D196" s="2" t="s">
        <v>1855</v>
      </c>
      <c r="E196" s="2" t="s">
        <v>1154</v>
      </c>
      <c r="F196" s="2" t="s">
        <v>1178</v>
      </c>
      <c r="G196" s="2" t="s">
        <v>1852</v>
      </c>
      <c r="H196" s="2" t="s">
        <v>1856</v>
      </c>
      <c r="I196" s="2" t="s">
        <v>1406</v>
      </c>
      <c r="J196" s="2" t="s">
        <v>1857</v>
      </c>
      <c r="K196" s="2" t="n">
        <v>2</v>
      </c>
      <c r="L196" s="2" t="n">
        <v>633</v>
      </c>
      <c r="M196" s="2" t="n">
        <v>593</v>
      </c>
      <c r="N196" s="2" t="n">
        <v>481</v>
      </c>
      <c r="O196" s="2" t="n">
        <v>40</v>
      </c>
      <c r="P196" s="2" t="n">
        <v>0</v>
      </c>
      <c r="Q196" s="2" t="n">
        <v>0</v>
      </c>
      <c r="R196" s="2" t="n">
        <v>0</v>
      </c>
      <c r="S196" s="2" t="n">
        <v>0</v>
      </c>
      <c r="T196" s="2" t="n">
        <v>0</v>
      </c>
      <c r="U196" s="2" t="n">
        <v>0</v>
      </c>
      <c r="V196" s="2" t="n">
        <v>0</v>
      </c>
      <c r="W196" s="2" t="n">
        <v>0</v>
      </c>
      <c r="X196" s="2" t="n">
        <v>0</v>
      </c>
      <c r="Y196" s="2" t="n">
        <v>0</v>
      </c>
      <c r="Z196" s="2" t="n">
        <v>0</v>
      </c>
      <c r="AA196" s="2" t="n">
        <v>0</v>
      </c>
      <c r="AB196" s="2" t="n">
        <v>0</v>
      </c>
      <c r="AC196" s="2"/>
    </row>
    <row r="197" customFormat="false" ht="15" hidden="false" customHeight="false" outlineLevel="0" collapsed="false">
      <c r="A197" s="2" t="n">
        <v>14</v>
      </c>
      <c r="B197" s="2" t="s">
        <v>216</v>
      </c>
      <c r="C197" s="2" t="s">
        <v>223</v>
      </c>
      <c r="D197" s="2" t="s">
        <v>1858</v>
      </c>
      <c r="E197" s="2" t="s">
        <v>1154</v>
      </c>
      <c r="F197" s="2" t="s">
        <v>1178</v>
      </c>
      <c r="G197" s="2" t="s">
        <v>1859</v>
      </c>
      <c r="H197" s="2" t="s">
        <v>1860</v>
      </c>
      <c r="I197" s="2" t="s">
        <v>1406</v>
      </c>
      <c r="J197" s="2" t="s">
        <v>1861</v>
      </c>
      <c r="K197" s="2" t="n">
        <v>2</v>
      </c>
      <c r="L197" s="2" t="n">
        <v>679</v>
      </c>
      <c r="M197" s="2" t="n">
        <v>515</v>
      </c>
      <c r="N197" s="2" t="n">
        <v>406</v>
      </c>
      <c r="O197" s="2" t="n">
        <v>164</v>
      </c>
      <c r="P197" s="2" t="n">
        <v>0</v>
      </c>
      <c r="Q197" s="2" t="n">
        <v>0</v>
      </c>
      <c r="R197" s="2" t="n">
        <v>0</v>
      </c>
      <c r="S197" s="2" t="n">
        <v>2</v>
      </c>
      <c r="T197" s="2" t="n">
        <v>2</v>
      </c>
      <c r="U197" s="2" t="n">
        <v>0</v>
      </c>
      <c r="V197" s="2" t="n">
        <v>0</v>
      </c>
      <c r="W197" s="2" t="n">
        <v>0</v>
      </c>
      <c r="X197" s="2" t="n">
        <v>0</v>
      </c>
      <c r="Y197" s="2" t="n">
        <v>0</v>
      </c>
      <c r="Z197" s="2" t="n">
        <v>0</v>
      </c>
      <c r="AA197" s="2" t="n">
        <v>0</v>
      </c>
      <c r="AB197" s="2" t="n">
        <v>2</v>
      </c>
      <c r="AC197" s="2"/>
    </row>
    <row r="198" customFormat="false" ht="15" hidden="false" customHeight="false" outlineLevel="0" collapsed="false">
      <c r="A198" s="2" t="n">
        <v>14</v>
      </c>
      <c r="B198" s="2" t="s">
        <v>216</v>
      </c>
      <c r="C198" s="2" t="s">
        <v>223</v>
      </c>
      <c r="D198" s="2" t="s">
        <v>1862</v>
      </c>
      <c r="E198" s="2" t="s">
        <v>1154</v>
      </c>
      <c r="F198" s="2" t="s">
        <v>1178</v>
      </c>
      <c r="G198" s="2" t="s">
        <v>1863</v>
      </c>
      <c r="H198" s="2" t="s">
        <v>1864</v>
      </c>
      <c r="I198" s="2" t="s">
        <v>1406</v>
      </c>
      <c r="J198" s="2" t="s">
        <v>1865</v>
      </c>
      <c r="K198" s="2" t="n">
        <v>2</v>
      </c>
      <c r="L198" s="2" t="n">
        <v>877</v>
      </c>
      <c r="M198" s="2" t="n">
        <v>804</v>
      </c>
      <c r="N198" s="2" t="n">
        <v>695</v>
      </c>
      <c r="O198" s="2" t="n">
        <v>73</v>
      </c>
      <c r="P198" s="2" t="n">
        <v>0</v>
      </c>
      <c r="Q198" s="2" t="n">
        <v>0</v>
      </c>
      <c r="R198" s="2" t="n">
        <v>0</v>
      </c>
      <c r="S198" s="2" t="n">
        <v>0</v>
      </c>
      <c r="T198" s="2" t="n">
        <v>0</v>
      </c>
      <c r="U198" s="2" t="n">
        <v>0</v>
      </c>
      <c r="V198" s="2" t="n">
        <v>0</v>
      </c>
      <c r="W198" s="2" t="n">
        <v>0</v>
      </c>
      <c r="X198" s="2" t="n">
        <v>0</v>
      </c>
      <c r="Y198" s="2" t="n">
        <v>0</v>
      </c>
      <c r="Z198" s="2" t="n">
        <v>0</v>
      </c>
      <c r="AA198" s="2" t="n">
        <v>0</v>
      </c>
      <c r="AB198" s="2" t="n">
        <v>0</v>
      </c>
      <c r="AC198" s="2"/>
    </row>
    <row r="199" customFormat="false" ht="15" hidden="false" customHeight="false" outlineLevel="0" collapsed="false">
      <c r="A199" s="2" t="n">
        <v>14</v>
      </c>
      <c r="B199" s="2" t="s">
        <v>216</v>
      </c>
      <c r="C199" s="2" t="s">
        <v>223</v>
      </c>
      <c r="D199" s="2" t="s">
        <v>1866</v>
      </c>
      <c r="E199" s="2" t="s">
        <v>1154</v>
      </c>
      <c r="F199" s="2" t="s">
        <v>1178</v>
      </c>
      <c r="G199" s="2" t="s">
        <v>1867</v>
      </c>
      <c r="H199" s="2" t="s">
        <v>1868</v>
      </c>
      <c r="I199" s="2" t="s">
        <v>1406</v>
      </c>
      <c r="J199" s="2" t="s">
        <v>1869</v>
      </c>
      <c r="K199" s="2" t="n">
        <v>2</v>
      </c>
      <c r="L199" s="2" t="n">
        <v>772</v>
      </c>
      <c r="M199" s="2" t="n">
        <v>706</v>
      </c>
      <c r="N199" s="2" t="n">
        <v>591</v>
      </c>
      <c r="O199" s="2" t="n">
        <v>66</v>
      </c>
      <c r="P199" s="2" t="n">
        <v>0</v>
      </c>
      <c r="Q199" s="2" t="n">
        <v>0</v>
      </c>
      <c r="R199" s="2" t="n">
        <v>0</v>
      </c>
      <c r="S199" s="2" t="n">
        <v>0</v>
      </c>
      <c r="T199" s="2" t="n">
        <v>0</v>
      </c>
      <c r="U199" s="2" t="n">
        <v>0</v>
      </c>
      <c r="V199" s="2" t="n">
        <v>0</v>
      </c>
      <c r="W199" s="2" t="n">
        <v>0</v>
      </c>
      <c r="X199" s="2" t="n">
        <v>0</v>
      </c>
      <c r="Y199" s="2" t="n">
        <v>0</v>
      </c>
      <c r="Z199" s="2" t="n">
        <v>0</v>
      </c>
      <c r="AA199" s="2" t="n">
        <v>0</v>
      </c>
      <c r="AB199" s="2" t="n">
        <v>0</v>
      </c>
      <c r="AC199" s="2"/>
    </row>
    <row r="200" customFormat="false" ht="15" hidden="false" customHeight="false" outlineLevel="0" collapsed="false">
      <c r="A200" s="2" t="n">
        <v>14</v>
      </c>
      <c r="B200" s="2" t="s">
        <v>216</v>
      </c>
      <c r="C200" s="2" t="s">
        <v>223</v>
      </c>
      <c r="D200" s="2" t="s">
        <v>1870</v>
      </c>
      <c r="E200" s="2" t="s">
        <v>1154</v>
      </c>
      <c r="F200" s="2" t="s">
        <v>1178</v>
      </c>
      <c r="G200" s="2" t="s">
        <v>1871</v>
      </c>
      <c r="H200" s="2" t="s">
        <v>1872</v>
      </c>
      <c r="I200" s="2" t="s">
        <v>1406</v>
      </c>
      <c r="J200" s="2" t="s">
        <v>1873</v>
      </c>
      <c r="K200" s="2" t="n">
        <v>2</v>
      </c>
      <c r="L200" s="2" t="n">
        <v>954</v>
      </c>
      <c r="M200" s="2" t="n">
        <v>800</v>
      </c>
      <c r="N200" s="2" t="n">
        <v>685</v>
      </c>
      <c r="O200" s="2" t="n">
        <v>154</v>
      </c>
      <c r="P200" s="2" t="n">
        <v>0</v>
      </c>
      <c r="Q200" s="2" t="n">
        <v>0</v>
      </c>
      <c r="R200" s="2" t="n">
        <v>0</v>
      </c>
      <c r="S200" s="2" t="n">
        <v>3</v>
      </c>
      <c r="T200" s="2" t="n">
        <v>3</v>
      </c>
      <c r="U200" s="2" t="n">
        <v>0</v>
      </c>
      <c r="V200" s="2" t="n">
        <v>0</v>
      </c>
      <c r="W200" s="2" t="n">
        <v>0</v>
      </c>
      <c r="X200" s="2" t="n">
        <v>0</v>
      </c>
      <c r="Y200" s="2" t="n">
        <v>0</v>
      </c>
      <c r="Z200" s="2" t="n">
        <v>0</v>
      </c>
      <c r="AA200" s="2" t="n">
        <v>0</v>
      </c>
      <c r="AB200" s="2" t="n">
        <v>3</v>
      </c>
      <c r="AC200" s="2"/>
    </row>
    <row r="201" customFormat="false" ht="15" hidden="false" customHeight="false" outlineLevel="0" collapsed="false">
      <c r="A201" s="2" t="n">
        <v>14</v>
      </c>
      <c r="B201" s="2" t="s">
        <v>216</v>
      </c>
      <c r="C201" s="2" t="s">
        <v>223</v>
      </c>
      <c r="D201" s="2" t="s">
        <v>1874</v>
      </c>
      <c r="E201" s="2" t="s">
        <v>1154</v>
      </c>
      <c r="F201" s="2" t="s">
        <v>1178</v>
      </c>
      <c r="G201" s="2" t="s">
        <v>1875</v>
      </c>
      <c r="H201" s="2" t="s">
        <v>1876</v>
      </c>
      <c r="I201" s="2" t="s">
        <v>1406</v>
      </c>
      <c r="J201" s="2" t="s">
        <v>1877</v>
      </c>
      <c r="K201" s="2" t="n">
        <v>2</v>
      </c>
      <c r="L201" s="2" t="n">
        <v>740</v>
      </c>
      <c r="M201" s="2" t="n">
        <v>634</v>
      </c>
      <c r="N201" s="2" t="n">
        <v>523</v>
      </c>
      <c r="O201" s="2" t="n">
        <v>106</v>
      </c>
      <c r="P201" s="2" t="n">
        <v>0</v>
      </c>
      <c r="Q201" s="2" t="n">
        <v>0</v>
      </c>
      <c r="R201" s="2" t="n">
        <v>0</v>
      </c>
      <c r="S201" s="2" t="n">
        <v>0</v>
      </c>
      <c r="T201" s="2" t="n">
        <v>0</v>
      </c>
      <c r="U201" s="2" t="n">
        <v>0</v>
      </c>
      <c r="V201" s="2" t="n">
        <v>0</v>
      </c>
      <c r="W201" s="2" t="n">
        <v>0</v>
      </c>
      <c r="X201" s="2" t="n">
        <v>0</v>
      </c>
      <c r="Y201" s="2" t="n">
        <v>0</v>
      </c>
      <c r="Z201" s="2" t="n">
        <v>0</v>
      </c>
      <c r="AA201" s="2" t="n">
        <v>0</v>
      </c>
      <c r="AB201" s="2" t="n">
        <v>0</v>
      </c>
      <c r="AC201" s="2"/>
    </row>
    <row r="202" customFormat="false" ht="15" hidden="false" customHeight="false" outlineLevel="0" collapsed="false">
      <c r="A202" s="2" t="n">
        <v>14</v>
      </c>
      <c r="B202" s="2" t="s">
        <v>216</v>
      </c>
      <c r="C202" s="2" t="s">
        <v>223</v>
      </c>
      <c r="D202" s="2" t="s">
        <v>1878</v>
      </c>
      <c r="E202" s="2" t="s">
        <v>1154</v>
      </c>
      <c r="F202" s="2" t="s">
        <v>1178</v>
      </c>
      <c r="G202" s="2" t="s">
        <v>1879</v>
      </c>
      <c r="H202" s="2" t="s">
        <v>1880</v>
      </c>
      <c r="I202" s="2" t="s">
        <v>1133</v>
      </c>
      <c r="J202" s="2" t="s">
        <v>1881</v>
      </c>
      <c r="K202" s="2" t="n">
        <v>2</v>
      </c>
      <c r="L202" s="2" t="n">
        <v>643</v>
      </c>
      <c r="M202" s="2" t="n">
        <v>576</v>
      </c>
      <c r="N202" s="2" t="n">
        <v>461</v>
      </c>
      <c r="O202" s="2" t="n">
        <v>67</v>
      </c>
      <c r="P202" s="2" t="n">
        <v>0</v>
      </c>
      <c r="Q202" s="2" t="n">
        <v>0</v>
      </c>
      <c r="R202" s="2" t="n">
        <v>0</v>
      </c>
      <c r="S202" s="2" t="n">
        <v>0</v>
      </c>
      <c r="T202" s="2" t="n">
        <v>0</v>
      </c>
      <c r="U202" s="2" t="n">
        <v>0</v>
      </c>
      <c r="V202" s="2" t="n">
        <v>0</v>
      </c>
      <c r="W202" s="2" t="n">
        <v>0</v>
      </c>
      <c r="X202" s="2" t="n">
        <v>0</v>
      </c>
      <c r="Y202" s="2" t="n">
        <v>0</v>
      </c>
      <c r="Z202" s="2" t="n">
        <v>0</v>
      </c>
      <c r="AA202" s="2" t="n">
        <v>0</v>
      </c>
      <c r="AB202" s="2" t="n">
        <v>0</v>
      </c>
      <c r="AC202" s="2"/>
    </row>
    <row r="203" customFormat="false" ht="15" hidden="false" customHeight="false" outlineLevel="0" collapsed="false">
      <c r="A203" s="2" t="n">
        <v>14</v>
      </c>
      <c r="B203" s="2" t="s">
        <v>216</v>
      </c>
      <c r="C203" s="2" t="s">
        <v>223</v>
      </c>
      <c r="D203" s="2" t="s">
        <v>1882</v>
      </c>
      <c r="E203" s="2" t="s">
        <v>1154</v>
      </c>
      <c r="F203" s="2" t="s">
        <v>1178</v>
      </c>
      <c r="G203" s="2" t="s">
        <v>1883</v>
      </c>
      <c r="H203" s="2" t="s">
        <v>1884</v>
      </c>
      <c r="I203" s="2" t="s">
        <v>1406</v>
      </c>
      <c r="J203" s="2" t="s">
        <v>1885</v>
      </c>
      <c r="K203" s="2" t="n">
        <v>2</v>
      </c>
      <c r="L203" s="2" t="n">
        <v>677</v>
      </c>
      <c r="M203" s="2" t="n">
        <v>585</v>
      </c>
      <c r="N203" s="2" t="n">
        <v>466</v>
      </c>
      <c r="O203" s="2" t="n">
        <v>92</v>
      </c>
      <c r="P203" s="2" t="n">
        <v>0</v>
      </c>
      <c r="Q203" s="2" t="n">
        <v>0</v>
      </c>
      <c r="R203" s="2" t="n">
        <v>0</v>
      </c>
      <c r="S203" s="2" t="n">
        <v>2</v>
      </c>
      <c r="T203" s="2" t="n">
        <v>2</v>
      </c>
      <c r="U203" s="2" t="n">
        <v>0</v>
      </c>
      <c r="V203" s="2" t="n">
        <v>0</v>
      </c>
      <c r="W203" s="2" t="n">
        <v>0</v>
      </c>
      <c r="X203" s="2" t="n">
        <v>0</v>
      </c>
      <c r="Y203" s="2" t="n">
        <v>0</v>
      </c>
      <c r="Z203" s="2" t="n">
        <v>0</v>
      </c>
      <c r="AA203" s="2" t="n">
        <v>1</v>
      </c>
      <c r="AB203" s="2" t="n">
        <v>1</v>
      </c>
      <c r="AC203" s="2"/>
    </row>
    <row r="204" customFormat="false" ht="15" hidden="false" customHeight="false" outlineLevel="0" collapsed="false">
      <c r="A204" s="2" t="n">
        <v>14</v>
      </c>
      <c r="B204" s="2" t="s">
        <v>216</v>
      </c>
      <c r="C204" s="2" t="s">
        <v>223</v>
      </c>
      <c r="D204" s="2" t="s">
        <v>1886</v>
      </c>
      <c r="E204" s="2" t="s">
        <v>1154</v>
      </c>
      <c r="F204" s="2" t="s">
        <v>1178</v>
      </c>
      <c r="G204" s="2" t="s">
        <v>1883</v>
      </c>
      <c r="H204" s="2" t="s">
        <v>1887</v>
      </c>
      <c r="I204" s="2" t="s">
        <v>1406</v>
      </c>
      <c r="J204" s="2" t="s">
        <v>1888</v>
      </c>
      <c r="K204" s="2" t="n">
        <v>2</v>
      </c>
      <c r="L204" s="2" t="n">
        <v>747</v>
      </c>
      <c r="M204" s="2" t="n">
        <v>699</v>
      </c>
      <c r="N204" s="2" t="n">
        <v>589</v>
      </c>
      <c r="O204" s="2" t="n">
        <v>48</v>
      </c>
      <c r="P204" s="2" t="n">
        <v>0</v>
      </c>
      <c r="Q204" s="2" t="n">
        <v>0</v>
      </c>
      <c r="R204" s="2" t="n">
        <v>0</v>
      </c>
      <c r="S204" s="2" t="n">
        <v>0</v>
      </c>
      <c r="T204" s="2" t="n">
        <v>0</v>
      </c>
      <c r="U204" s="2" t="n">
        <v>0</v>
      </c>
      <c r="V204" s="2" t="n">
        <v>0</v>
      </c>
      <c r="W204" s="2" t="n">
        <v>0</v>
      </c>
      <c r="X204" s="2" t="n">
        <v>0</v>
      </c>
      <c r="Y204" s="2" t="n">
        <v>0</v>
      </c>
      <c r="Z204" s="2" t="n">
        <v>0</v>
      </c>
      <c r="AA204" s="2" t="n">
        <v>0</v>
      </c>
      <c r="AB204" s="2" t="n">
        <v>0</v>
      </c>
      <c r="AC204" s="2"/>
    </row>
    <row r="205" customFormat="false" ht="15" hidden="false" customHeight="false" outlineLevel="0" collapsed="false">
      <c r="A205" s="2" t="n">
        <v>14</v>
      </c>
      <c r="B205" s="2" t="s">
        <v>216</v>
      </c>
      <c r="C205" s="2" t="s">
        <v>223</v>
      </c>
      <c r="D205" s="2" t="s">
        <v>1889</v>
      </c>
      <c r="E205" s="2" t="s">
        <v>1154</v>
      </c>
      <c r="F205" s="2" t="s">
        <v>1178</v>
      </c>
      <c r="G205" s="2" t="s">
        <v>1883</v>
      </c>
      <c r="H205" s="2" t="s">
        <v>1890</v>
      </c>
      <c r="I205" s="2" t="s">
        <v>1406</v>
      </c>
      <c r="J205" s="2" t="s">
        <v>1891</v>
      </c>
      <c r="K205" s="2" t="n">
        <v>3</v>
      </c>
      <c r="L205" s="2" t="n">
        <v>908</v>
      </c>
      <c r="M205" s="2" t="n">
        <v>749</v>
      </c>
      <c r="N205" s="2" t="n">
        <v>635</v>
      </c>
      <c r="O205" s="2" t="n">
        <v>159</v>
      </c>
      <c r="P205" s="2" t="n">
        <v>0</v>
      </c>
      <c r="Q205" s="2" t="n">
        <v>0</v>
      </c>
      <c r="R205" s="2" t="n">
        <v>0</v>
      </c>
      <c r="S205" s="2" t="n">
        <v>2</v>
      </c>
      <c r="T205" s="2" t="n">
        <v>2</v>
      </c>
      <c r="U205" s="2" t="n">
        <v>0</v>
      </c>
      <c r="V205" s="2" t="n">
        <v>0</v>
      </c>
      <c r="W205" s="2" t="n">
        <v>0</v>
      </c>
      <c r="X205" s="2" t="n">
        <v>0</v>
      </c>
      <c r="Y205" s="2" t="n">
        <v>0</v>
      </c>
      <c r="Z205" s="2" t="n">
        <v>0</v>
      </c>
      <c r="AA205" s="2" t="n">
        <v>0</v>
      </c>
      <c r="AB205" s="2" t="n">
        <v>2</v>
      </c>
      <c r="AC205" s="2"/>
    </row>
    <row r="206" customFormat="false" ht="15" hidden="false" customHeight="false" outlineLevel="0" collapsed="false">
      <c r="A206" s="2" t="n">
        <v>14</v>
      </c>
      <c r="B206" s="2" t="s">
        <v>216</v>
      </c>
      <c r="C206" s="2" t="s">
        <v>223</v>
      </c>
      <c r="D206" s="2" t="s">
        <v>1892</v>
      </c>
      <c r="E206" s="2" t="s">
        <v>1154</v>
      </c>
      <c r="F206" s="2" t="s">
        <v>1178</v>
      </c>
      <c r="G206" s="2" t="s">
        <v>1883</v>
      </c>
      <c r="H206" s="2" t="s">
        <v>1893</v>
      </c>
      <c r="I206" s="2" t="s">
        <v>1406</v>
      </c>
      <c r="J206" s="2" t="s">
        <v>1894</v>
      </c>
      <c r="K206" s="2" t="n">
        <v>3</v>
      </c>
      <c r="L206" s="2" t="n">
        <v>1005</v>
      </c>
      <c r="M206" s="2" t="n">
        <v>838</v>
      </c>
      <c r="N206" s="2" t="n">
        <v>730</v>
      </c>
      <c r="O206" s="2" t="n">
        <v>167</v>
      </c>
      <c r="P206" s="2" t="n">
        <v>0</v>
      </c>
      <c r="Q206" s="2" t="n">
        <v>0</v>
      </c>
      <c r="R206" s="2" t="n">
        <v>0</v>
      </c>
      <c r="S206" s="2" t="n">
        <v>2</v>
      </c>
      <c r="T206" s="2" t="n">
        <v>2</v>
      </c>
      <c r="U206" s="2" t="n">
        <v>0</v>
      </c>
      <c r="V206" s="2" t="n">
        <v>0</v>
      </c>
      <c r="W206" s="2" t="n">
        <v>0</v>
      </c>
      <c r="X206" s="2" t="n">
        <v>0</v>
      </c>
      <c r="Y206" s="2" t="n">
        <v>0</v>
      </c>
      <c r="Z206" s="2" t="n">
        <v>0</v>
      </c>
      <c r="AA206" s="2" t="n">
        <v>1</v>
      </c>
      <c r="AB206" s="2" t="n">
        <v>1</v>
      </c>
      <c r="AC206" s="2"/>
    </row>
    <row r="207" customFormat="false" ht="15" hidden="false" customHeight="false" outlineLevel="0" collapsed="false">
      <c r="A207" s="2" t="n">
        <v>14</v>
      </c>
      <c r="B207" s="2" t="s">
        <v>216</v>
      </c>
      <c r="C207" s="2" t="s">
        <v>223</v>
      </c>
      <c r="D207" s="2" t="s">
        <v>1895</v>
      </c>
      <c r="E207" s="2" t="s">
        <v>1154</v>
      </c>
      <c r="F207" s="2" t="s">
        <v>1178</v>
      </c>
      <c r="G207" s="2" t="s">
        <v>1883</v>
      </c>
      <c r="H207" s="2" t="s">
        <v>1896</v>
      </c>
      <c r="I207" s="2" t="s">
        <v>1406</v>
      </c>
      <c r="J207" s="2" t="s">
        <v>1897</v>
      </c>
      <c r="K207" s="2" t="n">
        <v>2</v>
      </c>
      <c r="L207" s="2" t="n">
        <v>861</v>
      </c>
      <c r="M207" s="2" t="n">
        <v>623</v>
      </c>
      <c r="N207" s="2" t="n">
        <v>509</v>
      </c>
      <c r="O207" s="2" t="n">
        <v>238</v>
      </c>
      <c r="P207" s="2" t="n">
        <v>0</v>
      </c>
      <c r="Q207" s="2" t="n">
        <v>0</v>
      </c>
      <c r="R207" s="2" t="n">
        <v>0</v>
      </c>
      <c r="S207" s="2" t="n">
        <v>2</v>
      </c>
      <c r="T207" s="2" t="n">
        <v>2</v>
      </c>
      <c r="U207" s="2" t="n">
        <v>0</v>
      </c>
      <c r="V207" s="2" t="n">
        <v>0</v>
      </c>
      <c r="W207" s="2" t="n">
        <v>0</v>
      </c>
      <c r="X207" s="2" t="n">
        <v>0</v>
      </c>
      <c r="Y207" s="2" t="n">
        <v>0</v>
      </c>
      <c r="Z207" s="2" t="n">
        <v>0</v>
      </c>
      <c r="AA207" s="2" t="n">
        <v>0</v>
      </c>
      <c r="AB207" s="2" t="n">
        <v>2</v>
      </c>
      <c r="AC207" s="2"/>
    </row>
    <row r="208" customFormat="false" ht="15" hidden="false" customHeight="false" outlineLevel="0" collapsed="false">
      <c r="A208" s="2" t="n">
        <v>14</v>
      </c>
      <c r="B208" s="2" t="s">
        <v>216</v>
      </c>
      <c r="C208" s="2" t="s">
        <v>223</v>
      </c>
      <c r="D208" s="2" t="s">
        <v>1898</v>
      </c>
      <c r="E208" s="2" t="s">
        <v>1154</v>
      </c>
      <c r="F208" s="2" t="s">
        <v>1178</v>
      </c>
      <c r="G208" s="2" t="s">
        <v>1883</v>
      </c>
      <c r="H208" s="2" t="s">
        <v>1899</v>
      </c>
      <c r="I208" s="2" t="s">
        <v>1406</v>
      </c>
      <c r="J208" s="2" t="s">
        <v>1900</v>
      </c>
      <c r="K208" s="2" t="n">
        <v>2</v>
      </c>
      <c r="L208" s="2" t="n">
        <v>706</v>
      </c>
      <c r="M208" s="2" t="n">
        <v>654</v>
      </c>
      <c r="N208" s="2" t="n">
        <v>542</v>
      </c>
      <c r="O208" s="2" t="n">
        <v>52</v>
      </c>
      <c r="P208" s="2" t="n">
        <v>0</v>
      </c>
      <c r="Q208" s="2" t="n">
        <v>0</v>
      </c>
      <c r="R208" s="2" t="n">
        <v>0</v>
      </c>
      <c r="S208" s="2" t="n">
        <v>0</v>
      </c>
      <c r="T208" s="2" t="n">
        <v>0</v>
      </c>
      <c r="U208" s="2" t="n">
        <v>0</v>
      </c>
      <c r="V208" s="2" t="n">
        <v>0</v>
      </c>
      <c r="W208" s="2" t="n">
        <v>0</v>
      </c>
      <c r="X208" s="2" t="n">
        <v>0</v>
      </c>
      <c r="Y208" s="2" t="n">
        <v>0</v>
      </c>
      <c r="Z208" s="2" t="n">
        <v>0</v>
      </c>
      <c r="AA208" s="2" t="n">
        <v>0</v>
      </c>
      <c r="AB208" s="2" t="n">
        <v>0</v>
      </c>
      <c r="AC208" s="2"/>
    </row>
    <row r="209" customFormat="false" ht="15" hidden="false" customHeight="false" outlineLevel="0" collapsed="false">
      <c r="A209" s="2" t="n">
        <v>14</v>
      </c>
      <c r="B209" s="2" t="s">
        <v>216</v>
      </c>
      <c r="C209" s="2" t="s">
        <v>223</v>
      </c>
      <c r="D209" s="2" t="s">
        <v>1901</v>
      </c>
      <c r="E209" s="2" t="s">
        <v>1154</v>
      </c>
      <c r="F209" s="2" t="s">
        <v>1178</v>
      </c>
      <c r="G209" s="2" t="s">
        <v>1902</v>
      </c>
      <c r="H209" s="2" t="s">
        <v>1903</v>
      </c>
      <c r="I209" s="2" t="s">
        <v>1406</v>
      </c>
      <c r="J209" s="2" t="s">
        <v>1904</v>
      </c>
      <c r="K209" s="2" t="n">
        <v>2</v>
      </c>
      <c r="L209" s="2" t="n">
        <v>774</v>
      </c>
      <c r="M209" s="2" t="n">
        <v>666</v>
      </c>
      <c r="N209" s="2" t="n">
        <v>547</v>
      </c>
      <c r="O209" s="2" t="n">
        <v>108</v>
      </c>
      <c r="P209" s="2" t="n">
        <v>0</v>
      </c>
      <c r="Q209" s="2" t="n">
        <v>0</v>
      </c>
      <c r="R209" s="2" t="n">
        <v>0</v>
      </c>
      <c r="S209" s="2" t="n">
        <v>2</v>
      </c>
      <c r="T209" s="2" t="n">
        <v>2</v>
      </c>
      <c r="U209" s="2" t="n">
        <v>0</v>
      </c>
      <c r="V209" s="2" t="n">
        <v>0</v>
      </c>
      <c r="W209" s="2" t="n">
        <v>0</v>
      </c>
      <c r="X209" s="2" t="n">
        <v>0</v>
      </c>
      <c r="Y209" s="2" t="n">
        <v>0</v>
      </c>
      <c r="Z209" s="2" t="n">
        <v>0</v>
      </c>
      <c r="AA209" s="2" t="n">
        <v>1</v>
      </c>
      <c r="AB209" s="2" t="n">
        <v>1</v>
      </c>
      <c r="AC209" s="2"/>
    </row>
    <row r="210" customFormat="false" ht="15" hidden="false" customHeight="false" outlineLevel="0" collapsed="false">
      <c r="A210" s="2" t="n">
        <v>14</v>
      </c>
      <c r="B210" s="2" t="s">
        <v>216</v>
      </c>
      <c r="C210" s="2" t="s">
        <v>223</v>
      </c>
      <c r="D210" s="2" t="s">
        <v>1905</v>
      </c>
      <c r="E210" s="2" t="s">
        <v>1154</v>
      </c>
      <c r="F210" s="2" t="s">
        <v>1178</v>
      </c>
      <c r="G210" s="2" t="s">
        <v>1906</v>
      </c>
      <c r="H210" s="2" t="s">
        <v>1907</v>
      </c>
      <c r="I210" s="2" t="s">
        <v>1406</v>
      </c>
      <c r="J210" s="2" t="s">
        <v>1908</v>
      </c>
      <c r="K210" s="2" t="n">
        <v>2</v>
      </c>
      <c r="L210" s="2" t="n">
        <v>870</v>
      </c>
      <c r="M210" s="2" t="n">
        <v>682</v>
      </c>
      <c r="N210" s="2" t="n">
        <v>565</v>
      </c>
      <c r="O210" s="2" t="n">
        <v>188</v>
      </c>
      <c r="P210" s="2" t="n">
        <v>0</v>
      </c>
      <c r="Q210" s="2" t="n">
        <v>0</v>
      </c>
      <c r="R210" s="2" t="n">
        <v>0</v>
      </c>
      <c r="S210" s="2" t="n">
        <v>2</v>
      </c>
      <c r="T210" s="2" t="n">
        <v>2</v>
      </c>
      <c r="U210" s="2" t="n">
        <v>0</v>
      </c>
      <c r="V210" s="2" t="n">
        <v>0</v>
      </c>
      <c r="W210" s="2" t="n">
        <v>0</v>
      </c>
      <c r="X210" s="2" t="n">
        <v>0</v>
      </c>
      <c r="Y210" s="2" t="n">
        <v>0</v>
      </c>
      <c r="Z210" s="2" t="n">
        <v>0</v>
      </c>
      <c r="AA210" s="2" t="n">
        <v>1</v>
      </c>
      <c r="AB210" s="2" t="n">
        <v>1</v>
      </c>
      <c r="AC210" s="2"/>
    </row>
    <row r="211" customFormat="false" ht="15" hidden="false" customHeight="false" outlineLevel="0" collapsed="false">
      <c r="A211" s="2" t="n">
        <v>14</v>
      </c>
      <c r="B211" s="2" t="s">
        <v>216</v>
      </c>
      <c r="C211" s="2" t="s">
        <v>223</v>
      </c>
      <c r="D211" s="2" t="s">
        <v>1909</v>
      </c>
      <c r="E211" s="2" t="s">
        <v>1154</v>
      </c>
      <c r="F211" s="2" t="s">
        <v>1178</v>
      </c>
      <c r="G211" s="2" t="s">
        <v>1906</v>
      </c>
      <c r="H211" s="2" t="s">
        <v>1910</v>
      </c>
      <c r="I211" s="2" t="s">
        <v>1406</v>
      </c>
      <c r="J211" s="2" t="s">
        <v>1911</v>
      </c>
      <c r="K211" s="2" t="n">
        <v>3</v>
      </c>
      <c r="L211" s="2" t="n">
        <v>1091</v>
      </c>
      <c r="M211" s="2" t="n">
        <v>805</v>
      </c>
      <c r="N211" s="2" t="n">
        <v>694</v>
      </c>
      <c r="O211" s="2" t="n">
        <v>286</v>
      </c>
      <c r="P211" s="2" t="n">
        <v>0</v>
      </c>
      <c r="Q211" s="2" t="n">
        <v>0</v>
      </c>
      <c r="R211" s="2" t="n">
        <v>0</v>
      </c>
      <c r="S211" s="2" t="n">
        <v>3</v>
      </c>
      <c r="T211" s="2" t="n">
        <v>2</v>
      </c>
      <c r="U211" s="2" t="n">
        <v>1</v>
      </c>
      <c r="V211" s="2" t="n">
        <v>0</v>
      </c>
      <c r="W211" s="2" t="n">
        <v>0</v>
      </c>
      <c r="X211" s="2" t="n">
        <v>0</v>
      </c>
      <c r="Y211" s="2" t="n">
        <v>0</v>
      </c>
      <c r="Z211" s="2" t="n">
        <v>0</v>
      </c>
      <c r="AA211" s="2" t="n">
        <v>1</v>
      </c>
      <c r="AB211" s="2" t="n">
        <v>2</v>
      </c>
      <c r="AC211" s="2"/>
    </row>
    <row r="212" customFormat="false" ht="15" hidden="false" customHeight="false" outlineLevel="0" collapsed="false">
      <c r="A212" s="2" t="n">
        <v>14</v>
      </c>
      <c r="B212" s="2" t="s">
        <v>216</v>
      </c>
      <c r="C212" s="2" t="s">
        <v>223</v>
      </c>
      <c r="D212" s="2" t="s">
        <v>1912</v>
      </c>
      <c r="E212" s="2" t="s">
        <v>1154</v>
      </c>
      <c r="F212" s="2" t="s">
        <v>1178</v>
      </c>
      <c r="G212" s="2" t="s">
        <v>1913</v>
      </c>
      <c r="H212" s="2" t="s">
        <v>1914</v>
      </c>
      <c r="I212" s="2" t="s">
        <v>1406</v>
      </c>
      <c r="J212" s="2" t="s">
        <v>1915</v>
      </c>
      <c r="K212" s="2" t="n">
        <v>3</v>
      </c>
      <c r="L212" s="2" t="n">
        <v>1061</v>
      </c>
      <c r="M212" s="2" t="n">
        <v>799</v>
      </c>
      <c r="N212" s="2" t="n">
        <v>687</v>
      </c>
      <c r="O212" s="2" t="n">
        <v>262</v>
      </c>
      <c r="P212" s="2" t="n">
        <v>0</v>
      </c>
      <c r="Q212" s="2" t="n">
        <v>0</v>
      </c>
      <c r="R212" s="2" t="n">
        <v>0</v>
      </c>
      <c r="S212" s="2" t="n">
        <v>4</v>
      </c>
      <c r="T212" s="2" t="n">
        <v>3</v>
      </c>
      <c r="U212" s="2" t="n">
        <v>1</v>
      </c>
      <c r="V212" s="2" t="n">
        <v>0</v>
      </c>
      <c r="W212" s="2" t="n">
        <v>0</v>
      </c>
      <c r="X212" s="2" t="n">
        <v>0</v>
      </c>
      <c r="Y212" s="2" t="n">
        <v>2</v>
      </c>
      <c r="Z212" s="2" t="n">
        <v>0</v>
      </c>
      <c r="AA212" s="2" t="n">
        <v>0</v>
      </c>
      <c r="AB212" s="2" t="n">
        <v>2</v>
      </c>
      <c r="AC212" s="2"/>
    </row>
    <row r="213" customFormat="false" ht="15" hidden="false" customHeight="false" outlineLevel="0" collapsed="false">
      <c r="A213" s="2" t="n">
        <v>14</v>
      </c>
      <c r="B213" s="2" t="s">
        <v>216</v>
      </c>
      <c r="C213" s="2" t="s">
        <v>223</v>
      </c>
      <c r="D213" s="2" t="s">
        <v>1916</v>
      </c>
      <c r="E213" s="2" t="s">
        <v>1154</v>
      </c>
      <c r="F213" s="2" t="s">
        <v>1178</v>
      </c>
      <c r="G213" s="2" t="s">
        <v>1917</v>
      </c>
      <c r="H213" s="2" t="s">
        <v>1918</v>
      </c>
      <c r="I213" s="2" t="s">
        <v>1406</v>
      </c>
      <c r="J213" s="2" t="s">
        <v>1919</v>
      </c>
      <c r="K213" s="2" t="n">
        <v>3</v>
      </c>
      <c r="L213" s="2" t="n">
        <v>837</v>
      </c>
      <c r="M213" s="2" t="n">
        <v>787</v>
      </c>
      <c r="N213" s="2" t="n">
        <v>672</v>
      </c>
      <c r="O213" s="2" t="n">
        <v>50</v>
      </c>
      <c r="P213" s="2" t="n">
        <v>0</v>
      </c>
      <c r="Q213" s="2" t="n">
        <v>0</v>
      </c>
      <c r="R213" s="2" t="n">
        <v>0</v>
      </c>
      <c r="S213" s="2" t="n">
        <v>0</v>
      </c>
      <c r="T213" s="2" t="n">
        <v>0</v>
      </c>
      <c r="U213" s="2" t="n">
        <v>0</v>
      </c>
      <c r="V213" s="2" t="n">
        <v>0</v>
      </c>
      <c r="W213" s="2" t="n">
        <v>0</v>
      </c>
      <c r="X213" s="2" t="n">
        <v>0</v>
      </c>
      <c r="Y213" s="2" t="n">
        <v>0</v>
      </c>
      <c r="Z213" s="2" t="n">
        <v>0</v>
      </c>
      <c r="AA213" s="2" t="n">
        <v>0</v>
      </c>
      <c r="AB213" s="2" t="n">
        <v>0</v>
      </c>
      <c r="AC213" s="2"/>
    </row>
    <row r="214" customFormat="false" ht="15" hidden="false" customHeight="false" outlineLevel="0" collapsed="false">
      <c r="A214" s="2" t="n">
        <v>14</v>
      </c>
      <c r="B214" s="2" t="s">
        <v>216</v>
      </c>
      <c r="C214" s="2" t="s">
        <v>223</v>
      </c>
      <c r="D214" s="2" t="s">
        <v>1920</v>
      </c>
      <c r="E214" s="2" t="s">
        <v>1154</v>
      </c>
      <c r="F214" s="2" t="s">
        <v>1178</v>
      </c>
      <c r="G214" s="2" t="s">
        <v>1917</v>
      </c>
      <c r="H214" s="2" t="s">
        <v>1921</v>
      </c>
      <c r="I214" s="2" t="s">
        <v>1406</v>
      </c>
      <c r="J214" s="2" t="s">
        <v>1922</v>
      </c>
      <c r="K214" s="2" t="n">
        <v>2</v>
      </c>
      <c r="L214" s="2" t="n">
        <v>744</v>
      </c>
      <c r="M214" s="2" t="n">
        <v>695</v>
      </c>
      <c r="N214" s="2" t="n">
        <v>582</v>
      </c>
      <c r="O214" s="2" t="n">
        <v>49</v>
      </c>
      <c r="P214" s="2" t="n">
        <v>0</v>
      </c>
      <c r="Q214" s="2" t="n">
        <v>0</v>
      </c>
      <c r="R214" s="2" t="n">
        <v>0</v>
      </c>
      <c r="S214" s="2" t="n">
        <v>0</v>
      </c>
      <c r="T214" s="2" t="n">
        <v>0</v>
      </c>
      <c r="U214" s="2" t="n">
        <v>0</v>
      </c>
      <c r="V214" s="2" t="n">
        <v>0</v>
      </c>
      <c r="W214" s="2" t="n">
        <v>0</v>
      </c>
      <c r="X214" s="2" t="n">
        <v>0</v>
      </c>
      <c r="Y214" s="2" t="n">
        <v>0</v>
      </c>
      <c r="Z214" s="2" t="n">
        <v>0</v>
      </c>
      <c r="AA214" s="2" t="n">
        <v>0</v>
      </c>
      <c r="AB214" s="2" t="n">
        <v>0</v>
      </c>
      <c r="AC214" s="2"/>
    </row>
    <row r="215" customFormat="false" ht="15" hidden="false" customHeight="false" outlineLevel="0" collapsed="false">
      <c r="A215" s="2" t="n">
        <v>14</v>
      </c>
      <c r="B215" s="2" t="s">
        <v>216</v>
      </c>
      <c r="C215" s="2" t="s">
        <v>223</v>
      </c>
      <c r="D215" s="2" t="s">
        <v>1923</v>
      </c>
      <c r="E215" s="2" t="s">
        <v>1154</v>
      </c>
      <c r="F215" s="2" t="s">
        <v>1178</v>
      </c>
      <c r="G215" s="2" t="s">
        <v>1917</v>
      </c>
      <c r="H215" s="2" t="s">
        <v>1924</v>
      </c>
      <c r="I215" s="2" t="s">
        <v>1406</v>
      </c>
      <c r="J215" s="2" t="s">
        <v>1925</v>
      </c>
      <c r="K215" s="2" t="n">
        <v>2</v>
      </c>
      <c r="L215" s="2" t="n">
        <v>779</v>
      </c>
      <c r="M215" s="2" t="n">
        <v>726</v>
      </c>
      <c r="N215" s="2" t="n">
        <v>608</v>
      </c>
      <c r="O215" s="2" t="n">
        <v>53</v>
      </c>
      <c r="P215" s="2" t="n">
        <v>0</v>
      </c>
      <c r="Q215" s="2" t="n">
        <v>0</v>
      </c>
      <c r="R215" s="2" t="n">
        <v>0</v>
      </c>
      <c r="S215" s="2" t="n">
        <v>0</v>
      </c>
      <c r="T215" s="2" t="n">
        <v>0</v>
      </c>
      <c r="U215" s="2" t="n">
        <v>0</v>
      </c>
      <c r="V215" s="2" t="n">
        <v>0</v>
      </c>
      <c r="W215" s="2" t="n">
        <v>0</v>
      </c>
      <c r="X215" s="2" t="n">
        <v>0</v>
      </c>
      <c r="Y215" s="2" t="n">
        <v>0</v>
      </c>
      <c r="Z215" s="2" t="n">
        <v>0</v>
      </c>
      <c r="AA215" s="2" t="n">
        <v>0</v>
      </c>
      <c r="AB215" s="2" t="n">
        <v>0</v>
      </c>
      <c r="AC215" s="2"/>
    </row>
    <row r="216" customFormat="false" ht="15" hidden="false" customHeight="false" outlineLevel="0" collapsed="false">
      <c r="A216" s="2" t="n">
        <v>14</v>
      </c>
      <c r="B216" s="2" t="s">
        <v>216</v>
      </c>
      <c r="C216" s="2" t="s">
        <v>223</v>
      </c>
      <c r="D216" s="2" t="s">
        <v>1926</v>
      </c>
      <c r="E216" s="2" t="s">
        <v>1154</v>
      </c>
      <c r="F216" s="2" t="s">
        <v>1178</v>
      </c>
      <c r="G216" s="2" t="s">
        <v>1927</v>
      </c>
      <c r="H216" s="2" t="s">
        <v>1928</v>
      </c>
      <c r="I216" s="2" t="s">
        <v>1406</v>
      </c>
      <c r="J216" s="2" t="s">
        <v>1929</v>
      </c>
      <c r="K216" s="2" t="n">
        <v>3</v>
      </c>
      <c r="L216" s="2" t="n">
        <v>964</v>
      </c>
      <c r="M216" s="2" t="n">
        <v>714</v>
      </c>
      <c r="N216" s="2" t="n">
        <v>610</v>
      </c>
      <c r="O216" s="2" t="n">
        <v>250</v>
      </c>
      <c r="P216" s="2" t="n">
        <v>0</v>
      </c>
      <c r="Q216" s="2" t="n">
        <v>0</v>
      </c>
      <c r="R216" s="2" t="n">
        <v>0</v>
      </c>
      <c r="S216" s="2" t="n">
        <v>4</v>
      </c>
      <c r="T216" s="2" t="n">
        <v>3</v>
      </c>
      <c r="U216" s="2" t="n">
        <v>1</v>
      </c>
      <c r="V216" s="2" t="n">
        <v>0</v>
      </c>
      <c r="W216" s="2" t="n">
        <v>0</v>
      </c>
      <c r="X216" s="2" t="n">
        <v>0</v>
      </c>
      <c r="Y216" s="2" t="n">
        <v>1</v>
      </c>
      <c r="Z216" s="2" t="n">
        <v>0</v>
      </c>
      <c r="AA216" s="2" t="n">
        <v>0</v>
      </c>
      <c r="AB216" s="2" t="n">
        <v>3</v>
      </c>
      <c r="AC216" s="2"/>
    </row>
    <row r="217" customFormat="false" ht="15" hidden="false" customHeight="false" outlineLevel="0" collapsed="false">
      <c r="A217" s="2" t="n">
        <v>14</v>
      </c>
      <c r="B217" s="2" t="s">
        <v>216</v>
      </c>
      <c r="C217" s="2" t="s">
        <v>223</v>
      </c>
      <c r="D217" s="2" t="s">
        <v>1930</v>
      </c>
      <c r="E217" s="2" t="s">
        <v>1154</v>
      </c>
      <c r="F217" s="2" t="s">
        <v>1155</v>
      </c>
      <c r="G217" s="2" t="s">
        <v>1931</v>
      </c>
      <c r="H217" s="2" t="s">
        <v>1932</v>
      </c>
      <c r="I217" s="2" t="s">
        <v>1133</v>
      </c>
      <c r="J217" s="2" t="s">
        <v>1933</v>
      </c>
      <c r="K217" s="2" t="n">
        <v>9</v>
      </c>
      <c r="L217" s="2" t="n">
        <v>3345</v>
      </c>
      <c r="M217" s="2" t="n">
        <v>589</v>
      </c>
      <c r="N217" s="2" t="n">
        <v>495</v>
      </c>
      <c r="O217" s="2" t="n">
        <v>99</v>
      </c>
      <c r="P217" s="2" t="n">
        <v>2657</v>
      </c>
      <c r="Q217" s="2" t="n">
        <v>0</v>
      </c>
      <c r="R217" s="2" t="n">
        <v>0</v>
      </c>
      <c r="S217" s="2" t="n">
        <v>24</v>
      </c>
      <c r="T217" s="2" t="n">
        <v>22</v>
      </c>
      <c r="U217" s="2" t="n">
        <v>0</v>
      </c>
      <c r="V217" s="2" t="n">
        <v>0</v>
      </c>
      <c r="W217" s="2" t="n">
        <v>2</v>
      </c>
      <c r="X217" s="2" t="n">
        <v>0</v>
      </c>
      <c r="Y217" s="2" t="n">
        <v>4</v>
      </c>
      <c r="Z217" s="2" t="n">
        <v>6</v>
      </c>
      <c r="AA217" s="2" t="n">
        <v>0</v>
      </c>
      <c r="AB217" s="2" t="n">
        <v>14</v>
      </c>
      <c r="AC217" s="2"/>
    </row>
    <row r="218" customFormat="false" ht="15" hidden="false" customHeight="false" outlineLevel="0" collapsed="false">
      <c r="A218" s="2" t="n">
        <v>14</v>
      </c>
      <c r="B218" s="2" t="s">
        <v>216</v>
      </c>
      <c r="C218" s="2" t="s">
        <v>223</v>
      </c>
      <c r="D218" s="2" t="s">
        <v>1934</v>
      </c>
      <c r="E218" s="2" t="s">
        <v>1154</v>
      </c>
      <c r="F218" s="2" t="s">
        <v>1178</v>
      </c>
      <c r="G218" s="2" t="s">
        <v>1935</v>
      </c>
      <c r="H218" s="2" t="s">
        <v>1936</v>
      </c>
      <c r="I218" s="2" t="s">
        <v>1406</v>
      </c>
      <c r="J218" s="2" t="s">
        <v>1937</v>
      </c>
      <c r="K218" s="2" t="n">
        <v>2</v>
      </c>
      <c r="L218" s="2" t="n">
        <v>782</v>
      </c>
      <c r="M218" s="2" t="n">
        <v>728</v>
      </c>
      <c r="N218" s="2" t="n">
        <v>610</v>
      </c>
      <c r="O218" s="2" t="n">
        <v>54</v>
      </c>
      <c r="P218" s="2" t="n">
        <v>0</v>
      </c>
      <c r="Q218" s="2" t="n">
        <v>0</v>
      </c>
      <c r="R218" s="2" t="n">
        <v>0</v>
      </c>
      <c r="S218" s="2" t="n">
        <v>0</v>
      </c>
      <c r="T218" s="2" t="n">
        <v>0</v>
      </c>
      <c r="U218" s="2" t="n">
        <v>0</v>
      </c>
      <c r="V218" s="2" t="n">
        <v>0</v>
      </c>
      <c r="W218" s="2" t="n">
        <v>0</v>
      </c>
      <c r="X218" s="2" t="n">
        <v>0</v>
      </c>
      <c r="Y218" s="2" t="n">
        <v>0</v>
      </c>
      <c r="Z218" s="2" t="n">
        <v>0</v>
      </c>
      <c r="AA218" s="2" t="n">
        <v>0</v>
      </c>
      <c r="AB218" s="2" t="n">
        <v>0</v>
      </c>
      <c r="AC218" s="2"/>
    </row>
    <row r="219" customFormat="false" ht="15" hidden="false" customHeight="false" outlineLevel="0" collapsed="false">
      <c r="A219" s="2" t="n">
        <v>14</v>
      </c>
      <c r="B219" s="2" t="s">
        <v>216</v>
      </c>
      <c r="C219" s="2" t="s">
        <v>223</v>
      </c>
      <c r="D219" s="2" t="s">
        <v>1938</v>
      </c>
      <c r="E219" s="2" t="s">
        <v>1154</v>
      </c>
      <c r="F219" s="2" t="s">
        <v>1178</v>
      </c>
      <c r="G219" s="2" t="s">
        <v>1939</v>
      </c>
      <c r="H219" s="2" t="s">
        <v>1940</v>
      </c>
      <c r="I219" s="2" t="s">
        <v>1406</v>
      </c>
      <c r="J219" s="2" t="s">
        <v>1941</v>
      </c>
      <c r="K219" s="2" t="n">
        <v>9</v>
      </c>
      <c r="L219" s="2" t="n">
        <v>3626</v>
      </c>
      <c r="M219" s="2" t="n">
        <v>919</v>
      </c>
      <c r="N219" s="2" t="n">
        <v>804</v>
      </c>
      <c r="O219" s="2" t="n">
        <v>128</v>
      </c>
      <c r="P219" s="2" t="n">
        <v>2579</v>
      </c>
      <c r="Q219" s="2" t="n">
        <v>0</v>
      </c>
      <c r="R219" s="2" t="n">
        <v>0</v>
      </c>
      <c r="S219" s="2" t="n">
        <v>1</v>
      </c>
      <c r="T219" s="2" t="n">
        <v>1</v>
      </c>
      <c r="U219" s="2" t="n">
        <v>0</v>
      </c>
      <c r="V219" s="2" t="n">
        <v>0</v>
      </c>
      <c r="W219" s="2" t="n">
        <v>0</v>
      </c>
      <c r="X219" s="2" t="n">
        <v>0</v>
      </c>
      <c r="Y219" s="2" t="n">
        <v>0</v>
      </c>
      <c r="Z219" s="2" t="n">
        <v>0</v>
      </c>
      <c r="AA219" s="2" t="n">
        <v>0</v>
      </c>
      <c r="AB219" s="2" t="n">
        <v>1</v>
      </c>
      <c r="AC219" s="2"/>
    </row>
    <row r="220" customFormat="false" ht="15" hidden="false" customHeight="false" outlineLevel="0" collapsed="false">
      <c r="A220" s="2" t="n">
        <v>14</v>
      </c>
      <c r="B220" s="2" t="s">
        <v>216</v>
      </c>
      <c r="C220" s="2" t="s">
        <v>223</v>
      </c>
      <c r="D220" s="2" t="s">
        <v>1942</v>
      </c>
      <c r="E220" s="2" t="s">
        <v>1154</v>
      </c>
      <c r="F220" s="2" t="s">
        <v>1178</v>
      </c>
      <c r="G220" s="2" t="s">
        <v>1943</v>
      </c>
      <c r="H220" s="2" t="s">
        <v>1944</v>
      </c>
      <c r="I220" s="2" t="s">
        <v>1406</v>
      </c>
      <c r="J220" s="2" t="s">
        <v>1945</v>
      </c>
      <c r="K220" s="2" t="n">
        <v>2</v>
      </c>
      <c r="L220" s="2" t="n">
        <v>735</v>
      </c>
      <c r="M220" s="2" t="n">
        <v>654</v>
      </c>
      <c r="N220" s="2" t="n">
        <v>550</v>
      </c>
      <c r="O220" s="2" t="n">
        <v>81</v>
      </c>
      <c r="P220" s="2" t="n">
        <v>0</v>
      </c>
      <c r="Q220" s="2" t="n">
        <v>0</v>
      </c>
      <c r="R220" s="2" t="n">
        <v>0</v>
      </c>
      <c r="S220" s="2" t="n">
        <v>0</v>
      </c>
      <c r="T220" s="2" t="n">
        <v>0</v>
      </c>
      <c r="U220" s="2" t="n">
        <v>0</v>
      </c>
      <c r="V220" s="2" t="n">
        <v>0</v>
      </c>
      <c r="W220" s="2" t="n">
        <v>0</v>
      </c>
      <c r="X220" s="2" t="n">
        <v>0</v>
      </c>
      <c r="Y220" s="2" t="n">
        <v>0</v>
      </c>
      <c r="Z220" s="2" t="n">
        <v>0</v>
      </c>
      <c r="AA220" s="2" t="n">
        <v>0</v>
      </c>
      <c r="AB220" s="2" t="n">
        <v>0</v>
      </c>
      <c r="AC220" s="2"/>
    </row>
    <row r="221" customFormat="false" ht="15" hidden="false" customHeight="false" outlineLevel="0" collapsed="false">
      <c r="A221" s="2" t="n">
        <v>14</v>
      </c>
      <c r="B221" s="2" t="s">
        <v>216</v>
      </c>
      <c r="C221" s="2" t="s">
        <v>223</v>
      </c>
      <c r="D221" s="2" t="s">
        <v>1946</v>
      </c>
      <c r="E221" s="2" t="s">
        <v>1154</v>
      </c>
      <c r="F221" s="2" t="s">
        <v>1178</v>
      </c>
      <c r="G221" s="2" t="s">
        <v>1947</v>
      </c>
      <c r="H221" s="2" t="s">
        <v>1948</v>
      </c>
      <c r="I221" s="2" t="s">
        <v>1406</v>
      </c>
      <c r="J221" s="2" t="s">
        <v>1949</v>
      </c>
      <c r="K221" s="2" t="n">
        <v>3</v>
      </c>
      <c r="L221" s="2" t="n">
        <v>998</v>
      </c>
      <c r="M221" s="2" t="n">
        <v>768</v>
      </c>
      <c r="N221" s="2" t="n">
        <v>661</v>
      </c>
      <c r="O221" s="2" t="n">
        <v>230</v>
      </c>
      <c r="P221" s="2" t="n">
        <v>0</v>
      </c>
      <c r="Q221" s="2" t="n">
        <v>0</v>
      </c>
      <c r="R221" s="2" t="n">
        <v>0</v>
      </c>
      <c r="S221" s="2" t="n">
        <v>4</v>
      </c>
      <c r="T221" s="2" t="n">
        <v>3</v>
      </c>
      <c r="U221" s="2" t="n">
        <v>1</v>
      </c>
      <c r="V221" s="2" t="n">
        <v>0</v>
      </c>
      <c r="W221" s="2" t="n">
        <v>0</v>
      </c>
      <c r="X221" s="2" t="n">
        <v>0</v>
      </c>
      <c r="Y221" s="2" t="n">
        <v>0</v>
      </c>
      <c r="Z221" s="2" t="n">
        <v>0</v>
      </c>
      <c r="AA221" s="2" t="n">
        <v>0</v>
      </c>
      <c r="AB221" s="2" t="n">
        <v>4</v>
      </c>
      <c r="AC221" s="2"/>
    </row>
    <row r="222" customFormat="false" ht="15" hidden="false" customHeight="false" outlineLevel="0" collapsed="false">
      <c r="A222" s="2" t="n">
        <v>14</v>
      </c>
      <c r="B222" s="2" t="s">
        <v>216</v>
      </c>
      <c r="C222" s="2" t="s">
        <v>223</v>
      </c>
      <c r="D222" s="2" t="s">
        <v>1950</v>
      </c>
      <c r="E222" s="2" t="s">
        <v>1154</v>
      </c>
      <c r="F222" s="2" t="s">
        <v>1178</v>
      </c>
      <c r="G222" s="2" t="s">
        <v>1951</v>
      </c>
      <c r="H222" s="2" t="s">
        <v>1952</v>
      </c>
      <c r="I222" s="2" t="s">
        <v>1406</v>
      </c>
      <c r="J222" s="2" t="s">
        <v>1953</v>
      </c>
      <c r="K222" s="2" t="n">
        <v>3</v>
      </c>
      <c r="L222" s="2" t="n">
        <v>835</v>
      </c>
      <c r="M222" s="2" t="n">
        <v>781</v>
      </c>
      <c r="N222" s="2" t="n">
        <v>673</v>
      </c>
      <c r="O222" s="2" t="n">
        <v>54</v>
      </c>
      <c r="P222" s="2" t="n">
        <v>0</v>
      </c>
      <c r="Q222" s="2" t="n">
        <v>0</v>
      </c>
      <c r="R222" s="2" t="n">
        <v>0</v>
      </c>
      <c r="S222" s="2" t="n">
        <v>0</v>
      </c>
      <c r="T222" s="2" t="n">
        <v>0</v>
      </c>
      <c r="U222" s="2" t="n">
        <v>0</v>
      </c>
      <c r="V222" s="2" t="n">
        <v>0</v>
      </c>
      <c r="W222" s="2" t="n">
        <v>0</v>
      </c>
      <c r="X222" s="2" t="n">
        <v>0</v>
      </c>
      <c r="Y222" s="2" t="n">
        <v>0</v>
      </c>
      <c r="Z222" s="2" t="n">
        <v>0</v>
      </c>
      <c r="AA222" s="2" t="n">
        <v>0</v>
      </c>
      <c r="AB222" s="2" t="n">
        <v>0</v>
      </c>
      <c r="AC222" s="2"/>
    </row>
    <row r="223" customFormat="false" ht="15" hidden="false" customHeight="false" outlineLevel="0" collapsed="false">
      <c r="A223" s="2" t="n">
        <v>14</v>
      </c>
      <c r="B223" s="2" t="s">
        <v>216</v>
      </c>
      <c r="C223" s="2" t="s">
        <v>223</v>
      </c>
      <c r="D223" s="2" t="s">
        <v>1954</v>
      </c>
      <c r="E223" s="2" t="s">
        <v>1154</v>
      </c>
      <c r="F223" s="2" t="s">
        <v>1178</v>
      </c>
      <c r="G223" s="2" t="s">
        <v>1955</v>
      </c>
      <c r="H223" s="2" t="s">
        <v>1956</v>
      </c>
      <c r="I223" s="2" t="s">
        <v>1406</v>
      </c>
      <c r="J223" s="2" t="s">
        <v>1957</v>
      </c>
      <c r="K223" s="2" t="n">
        <v>2</v>
      </c>
      <c r="L223" s="2" t="n">
        <v>728</v>
      </c>
      <c r="M223" s="2" t="n">
        <v>649</v>
      </c>
      <c r="N223" s="2" t="n">
        <v>547</v>
      </c>
      <c r="O223" s="2" t="n">
        <v>79</v>
      </c>
      <c r="P223" s="2" t="n">
        <v>0</v>
      </c>
      <c r="Q223" s="2" t="n">
        <v>0</v>
      </c>
      <c r="R223" s="2" t="n">
        <v>0</v>
      </c>
      <c r="S223" s="2" t="n">
        <v>0</v>
      </c>
      <c r="T223" s="2" t="n">
        <v>0</v>
      </c>
      <c r="U223" s="2" t="n">
        <v>0</v>
      </c>
      <c r="V223" s="2" t="n">
        <v>0</v>
      </c>
      <c r="W223" s="2" t="n">
        <v>0</v>
      </c>
      <c r="X223" s="2" t="n">
        <v>0</v>
      </c>
      <c r="Y223" s="2" t="n">
        <v>0</v>
      </c>
      <c r="Z223" s="2" t="n">
        <v>0</v>
      </c>
      <c r="AA223" s="2" t="n">
        <v>0</v>
      </c>
      <c r="AB223" s="2" t="n">
        <v>0</v>
      </c>
      <c r="AC223" s="2"/>
    </row>
    <row r="224" customFormat="false" ht="15" hidden="false" customHeight="false" outlineLevel="0" collapsed="false">
      <c r="A224" s="2" t="n">
        <v>14</v>
      </c>
      <c r="B224" s="2" t="s">
        <v>216</v>
      </c>
      <c r="C224" s="2" t="s">
        <v>223</v>
      </c>
      <c r="D224" s="2" t="s">
        <v>1958</v>
      </c>
      <c r="E224" s="2" t="s">
        <v>1154</v>
      </c>
      <c r="F224" s="2" t="s">
        <v>1178</v>
      </c>
      <c r="G224" s="2" t="s">
        <v>1959</v>
      </c>
      <c r="H224" s="2" t="s">
        <v>1960</v>
      </c>
      <c r="I224" s="2" t="s">
        <v>1406</v>
      </c>
      <c r="J224" s="2" t="s">
        <v>1961</v>
      </c>
      <c r="K224" s="2" t="n">
        <v>2</v>
      </c>
      <c r="L224" s="2" t="n">
        <v>784</v>
      </c>
      <c r="M224" s="2" t="n">
        <v>684</v>
      </c>
      <c r="N224" s="2" t="n">
        <v>566</v>
      </c>
      <c r="O224" s="2" t="n">
        <v>100</v>
      </c>
      <c r="P224" s="2" t="n">
        <v>0</v>
      </c>
      <c r="Q224" s="2" t="n">
        <v>0</v>
      </c>
      <c r="R224" s="2" t="n">
        <v>0</v>
      </c>
      <c r="S224" s="2" t="n">
        <v>2</v>
      </c>
      <c r="T224" s="2" t="n">
        <v>2</v>
      </c>
      <c r="U224" s="2" t="n">
        <v>0</v>
      </c>
      <c r="V224" s="2" t="n">
        <v>0</v>
      </c>
      <c r="W224" s="2" t="n">
        <v>0</v>
      </c>
      <c r="X224" s="2" t="n">
        <v>0</v>
      </c>
      <c r="Y224" s="2" t="n">
        <v>0</v>
      </c>
      <c r="Z224" s="2" t="n">
        <v>0</v>
      </c>
      <c r="AA224" s="2" t="n">
        <v>0</v>
      </c>
      <c r="AB224" s="2" t="n">
        <v>2</v>
      </c>
      <c r="AC224" s="2"/>
    </row>
    <row r="225" customFormat="false" ht="15" hidden="false" customHeight="false" outlineLevel="0" collapsed="false">
      <c r="A225" s="2" t="n">
        <v>14</v>
      </c>
      <c r="B225" s="2" t="s">
        <v>216</v>
      </c>
      <c r="C225" s="2" t="s">
        <v>223</v>
      </c>
      <c r="D225" s="2" t="s">
        <v>1962</v>
      </c>
      <c r="E225" s="2" t="s">
        <v>1154</v>
      </c>
      <c r="F225" s="2" t="s">
        <v>1178</v>
      </c>
      <c r="G225" s="2" t="s">
        <v>1959</v>
      </c>
      <c r="H225" s="2" t="s">
        <v>1963</v>
      </c>
      <c r="I225" s="2" t="s">
        <v>1406</v>
      </c>
      <c r="J225" s="2" t="s">
        <v>1964</v>
      </c>
      <c r="K225" s="2" t="n">
        <v>2</v>
      </c>
      <c r="L225" s="2" t="n">
        <v>829</v>
      </c>
      <c r="M225" s="2" t="n">
        <v>717</v>
      </c>
      <c r="N225" s="2" t="n">
        <v>604</v>
      </c>
      <c r="O225" s="2" t="n">
        <v>112</v>
      </c>
      <c r="P225" s="2" t="n">
        <v>0</v>
      </c>
      <c r="Q225" s="2" t="n">
        <v>0</v>
      </c>
      <c r="R225" s="2" t="n">
        <v>0</v>
      </c>
      <c r="S225" s="2" t="n">
        <v>2</v>
      </c>
      <c r="T225" s="2" t="n">
        <v>2</v>
      </c>
      <c r="U225" s="2" t="n">
        <v>0</v>
      </c>
      <c r="V225" s="2" t="n">
        <v>0</v>
      </c>
      <c r="W225" s="2" t="n">
        <v>0</v>
      </c>
      <c r="X225" s="2" t="n">
        <v>0</v>
      </c>
      <c r="Y225" s="2" t="n">
        <v>0</v>
      </c>
      <c r="Z225" s="2" t="n">
        <v>0</v>
      </c>
      <c r="AA225" s="2" t="n">
        <v>0</v>
      </c>
      <c r="AB225" s="2" t="n">
        <v>2</v>
      </c>
      <c r="AC225" s="2"/>
    </row>
    <row r="226" customFormat="false" ht="15" hidden="false" customHeight="false" outlineLevel="0" collapsed="false">
      <c r="A226" s="2" t="n">
        <v>14</v>
      </c>
      <c r="B226" s="2" t="s">
        <v>216</v>
      </c>
      <c r="C226" s="2" t="s">
        <v>223</v>
      </c>
      <c r="D226" s="2" t="s">
        <v>1965</v>
      </c>
      <c r="E226" s="2" t="s">
        <v>1154</v>
      </c>
      <c r="F226" s="2" t="s">
        <v>1178</v>
      </c>
      <c r="G226" s="2" t="s">
        <v>755</v>
      </c>
      <c r="H226" s="2" t="s">
        <v>1966</v>
      </c>
      <c r="I226" s="2" t="s">
        <v>1406</v>
      </c>
      <c r="J226" s="2" t="s">
        <v>1967</v>
      </c>
      <c r="K226" s="2" t="n">
        <v>2</v>
      </c>
      <c r="L226" s="2" t="n">
        <v>707</v>
      </c>
      <c r="M226" s="2" t="n">
        <v>653</v>
      </c>
      <c r="N226" s="2" t="n">
        <v>544</v>
      </c>
      <c r="O226" s="2" t="n">
        <v>54</v>
      </c>
      <c r="P226" s="2" t="n">
        <v>0</v>
      </c>
      <c r="Q226" s="2" t="n">
        <v>0</v>
      </c>
      <c r="R226" s="2" t="n">
        <v>0</v>
      </c>
      <c r="S226" s="2" t="n">
        <v>0</v>
      </c>
      <c r="T226" s="2" t="n">
        <v>0</v>
      </c>
      <c r="U226" s="2" t="n">
        <v>0</v>
      </c>
      <c r="V226" s="2" t="n">
        <v>0</v>
      </c>
      <c r="W226" s="2" t="n">
        <v>0</v>
      </c>
      <c r="X226" s="2" t="n">
        <v>0</v>
      </c>
      <c r="Y226" s="2" t="n">
        <v>0</v>
      </c>
      <c r="Z226" s="2" t="n">
        <v>0</v>
      </c>
      <c r="AA226" s="2" t="n">
        <v>0</v>
      </c>
      <c r="AB226" s="2" t="n">
        <v>0</v>
      </c>
      <c r="AC226" s="2"/>
    </row>
    <row r="227" customFormat="false" ht="15" hidden="false" customHeight="false" outlineLevel="0" collapsed="false">
      <c r="A227" s="2" t="n">
        <v>14</v>
      </c>
      <c r="B227" s="2" t="s">
        <v>216</v>
      </c>
      <c r="C227" s="2" t="s">
        <v>223</v>
      </c>
      <c r="D227" s="2" t="s">
        <v>1968</v>
      </c>
      <c r="E227" s="2" t="s">
        <v>1154</v>
      </c>
      <c r="F227" s="2" t="s">
        <v>1178</v>
      </c>
      <c r="G227" s="2" t="s">
        <v>1969</v>
      </c>
      <c r="H227" s="2" t="s">
        <v>1970</v>
      </c>
      <c r="I227" s="2" t="s">
        <v>1406</v>
      </c>
      <c r="J227" s="2" t="s">
        <v>1971</v>
      </c>
      <c r="K227" s="2" t="n">
        <v>2</v>
      </c>
      <c r="L227" s="2" t="n">
        <v>782</v>
      </c>
      <c r="M227" s="2" t="n">
        <v>737</v>
      </c>
      <c r="N227" s="2" t="n">
        <v>636</v>
      </c>
      <c r="O227" s="2" t="n">
        <v>45</v>
      </c>
      <c r="P227" s="2" t="n">
        <v>0</v>
      </c>
      <c r="Q227" s="2" t="n">
        <v>0</v>
      </c>
      <c r="R227" s="2" t="n">
        <v>0</v>
      </c>
      <c r="S227" s="2" t="n">
        <v>0</v>
      </c>
      <c r="T227" s="2" t="n">
        <v>0</v>
      </c>
      <c r="U227" s="2" t="n">
        <v>0</v>
      </c>
      <c r="V227" s="2" t="n">
        <v>0</v>
      </c>
      <c r="W227" s="2" t="n">
        <v>0</v>
      </c>
      <c r="X227" s="2" t="n">
        <v>0</v>
      </c>
      <c r="Y227" s="2" t="n">
        <v>0</v>
      </c>
      <c r="Z227" s="2" t="n">
        <v>0</v>
      </c>
      <c r="AA227" s="2" t="n">
        <v>0</v>
      </c>
      <c r="AB227" s="2" t="n">
        <v>0</v>
      </c>
      <c r="AC227" s="2"/>
    </row>
    <row r="228" customFormat="false" ht="15" hidden="false" customHeight="false" outlineLevel="0" collapsed="false">
      <c r="A228" s="2" t="n">
        <v>14</v>
      </c>
      <c r="B228" s="2" t="s">
        <v>216</v>
      </c>
      <c r="C228" s="2" t="s">
        <v>223</v>
      </c>
      <c r="D228" s="2" t="s">
        <v>1972</v>
      </c>
      <c r="E228" s="2" t="s">
        <v>1154</v>
      </c>
      <c r="F228" s="2" t="s">
        <v>1178</v>
      </c>
      <c r="G228" s="2" t="s">
        <v>1973</v>
      </c>
      <c r="H228" s="2" t="s">
        <v>1974</v>
      </c>
      <c r="I228" s="2" t="s">
        <v>1406</v>
      </c>
      <c r="J228" s="2" t="s">
        <v>1975</v>
      </c>
      <c r="K228" s="2" t="n">
        <v>2</v>
      </c>
      <c r="L228" s="2" t="n">
        <v>760</v>
      </c>
      <c r="M228" s="2" t="n">
        <v>684</v>
      </c>
      <c r="N228" s="2" t="n">
        <v>571</v>
      </c>
      <c r="O228" s="2" t="n">
        <v>76</v>
      </c>
      <c r="P228" s="2" t="n">
        <v>0</v>
      </c>
      <c r="Q228" s="2" t="n">
        <v>0</v>
      </c>
      <c r="R228" s="2" t="n">
        <v>0</v>
      </c>
      <c r="S228" s="2" t="n">
        <v>0</v>
      </c>
      <c r="T228" s="2" t="n">
        <v>0</v>
      </c>
      <c r="U228" s="2" t="n">
        <v>0</v>
      </c>
      <c r="V228" s="2" t="n">
        <v>0</v>
      </c>
      <c r="W228" s="2" t="n">
        <v>0</v>
      </c>
      <c r="X228" s="2" t="n">
        <v>0</v>
      </c>
      <c r="Y228" s="2" t="n">
        <v>0</v>
      </c>
      <c r="Z228" s="2" t="n">
        <v>0</v>
      </c>
      <c r="AA228" s="2" t="n">
        <v>0</v>
      </c>
      <c r="AB228" s="2" t="n">
        <v>0</v>
      </c>
      <c r="AC228" s="2"/>
    </row>
    <row r="229" customFormat="false" ht="15" hidden="false" customHeight="false" outlineLevel="0" collapsed="false">
      <c r="A229" s="2" t="n">
        <v>14</v>
      </c>
      <c r="B229" s="2" t="s">
        <v>216</v>
      </c>
      <c r="C229" s="2" t="s">
        <v>223</v>
      </c>
      <c r="D229" s="2" t="s">
        <v>1976</v>
      </c>
      <c r="E229" s="2" t="s">
        <v>1154</v>
      </c>
      <c r="F229" s="2" t="s">
        <v>1178</v>
      </c>
      <c r="G229" s="2" t="s">
        <v>1977</v>
      </c>
      <c r="H229" s="2" t="s">
        <v>1978</v>
      </c>
      <c r="I229" s="2" t="s">
        <v>1406</v>
      </c>
      <c r="J229" s="2" t="s">
        <v>1979</v>
      </c>
      <c r="K229" s="2" t="n">
        <v>2</v>
      </c>
      <c r="L229" s="2" t="n">
        <v>717</v>
      </c>
      <c r="M229" s="2" t="n">
        <v>629</v>
      </c>
      <c r="N229" s="2" t="n">
        <v>518</v>
      </c>
      <c r="O229" s="2" t="n">
        <v>88</v>
      </c>
      <c r="P229" s="2" t="n">
        <v>0</v>
      </c>
      <c r="Q229" s="2" t="n">
        <v>0</v>
      </c>
      <c r="R229" s="2" t="n">
        <v>0</v>
      </c>
      <c r="S229" s="2" t="n">
        <v>0</v>
      </c>
      <c r="T229" s="2" t="n">
        <v>0</v>
      </c>
      <c r="U229" s="2" t="n">
        <v>0</v>
      </c>
      <c r="V229" s="2" t="n">
        <v>0</v>
      </c>
      <c r="W229" s="2" t="n">
        <v>0</v>
      </c>
      <c r="X229" s="2" t="n">
        <v>0</v>
      </c>
      <c r="Y229" s="2" t="n">
        <v>0</v>
      </c>
      <c r="Z229" s="2" t="n">
        <v>0</v>
      </c>
      <c r="AA229" s="2" t="n">
        <v>0</v>
      </c>
      <c r="AB229" s="2" t="n">
        <v>0</v>
      </c>
      <c r="AC229" s="2"/>
    </row>
    <row r="230" customFormat="false" ht="15" hidden="false" customHeight="false" outlineLevel="0" collapsed="false">
      <c r="A230" s="2" t="n">
        <v>14</v>
      </c>
      <c r="B230" s="2" t="s">
        <v>216</v>
      </c>
      <c r="C230" s="2" t="s">
        <v>223</v>
      </c>
      <c r="D230" s="2" t="s">
        <v>1980</v>
      </c>
      <c r="E230" s="2" t="s">
        <v>1154</v>
      </c>
      <c r="F230" s="2" t="s">
        <v>1178</v>
      </c>
      <c r="G230" s="2" t="s">
        <v>683</v>
      </c>
      <c r="H230" s="2" t="s">
        <v>1981</v>
      </c>
      <c r="I230" s="2" t="s">
        <v>1406</v>
      </c>
      <c r="J230" s="2" t="s">
        <v>1982</v>
      </c>
      <c r="K230" s="2" t="n">
        <v>3</v>
      </c>
      <c r="L230" s="2" t="n">
        <v>1075</v>
      </c>
      <c r="M230" s="2" t="n">
        <v>775</v>
      </c>
      <c r="N230" s="2" t="n">
        <v>671</v>
      </c>
      <c r="O230" s="2" t="n">
        <v>300</v>
      </c>
      <c r="P230" s="2" t="n">
        <v>0</v>
      </c>
      <c r="Q230" s="2" t="n">
        <v>0</v>
      </c>
      <c r="R230" s="2" t="n">
        <v>0</v>
      </c>
      <c r="S230" s="2" t="n">
        <v>5</v>
      </c>
      <c r="T230" s="2" t="n">
        <v>3</v>
      </c>
      <c r="U230" s="2" t="n">
        <v>1</v>
      </c>
      <c r="V230" s="2" t="n">
        <v>0</v>
      </c>
      <c r="W230" s="2" t="n">
        <v>1</v>
      </c>
      <c r="X230" s="2" t="n">
        <v>0</v>
      </c>
      <c r="Y230" s="2" t="n">
        <v>1</v>
      </c>
      <c r="Z230" s="2" t="n">
        <v>1</v>
      </c>
      <c r="AA230" s="2" t="n">
        <v>0</v>
      </c>
      <c r="AB230" s="2" t="n">
        <v>3</v>
      </c>
      <c r="AC230" s="2"/>
    </row>
    <row r="231" customFormat="false" ht="15" hidden="false" customHeight="false" outlineLevel="0" collapsed="false">
      <c r="A231" s="2" t="n">
        <v>14</v>
      </c>
      <c r="B231" s="2" t="s">
        <v>216</v>
      </c>
      <c r="C231" s="2" t="s">
        <v>223</v>
      </c>
      <c r="D231" s="2" t="s">
        <v>1983</v>
      </c>
      <c r="E231" s="2" t="s">
        <v>1154</v>
      </c>
      <c r="F231" s="2" t="s">
        <v>1178</v>
      </c>
      <c r="G231" s="2" t="s">
        <v>683</v>
      </c>
      <c r="H231" s="2" t="s">
        <v>1984</v>
      </c>
      <c r="I231" s="2" t="s">
        <v>1406</v>
      </c>
      <c r="J231" s="2" t="s">
        <v>1985</v>
      </c>
      <c r="K231" s="2" t="n">
        <v>3</v>
      </c>
      <c r="L231" s="2" t="n">
        <v>1376</v>
      </c>
      <c r="M231" s="2" t="n">
        <v>1285</v>
      </c>
      <c r="N231" s="2" t="n">
        <v>1165</v>
      </c>
      <c r="O231" s="2" t="n">
        <v>91</v>
      </c>
      <c r="P231" s="2" t="n">
        <v>0</v>
      </c>
      <c r="Q231" s="2" t="n">
        <v>0</v>
      </c>
      <c r="R231" s="2" t="n">
        <v>0</v>
      </c>
      <c r="S231" s="2" t="n">
        <v>0</v>
      </c>
      <c r="T231" s="2" t="n">
        <v>0</v>
      </c>
      <c r="U231" s="2" t="n">
        <v>0</v>
      </c>
      <c r="V231" s="2" t="n">
        <v>0</v>
      </c>
      <c r="W231" s="2" t="n">
        <v>0</v>
      </c>
      <c r="X231" s="2" t="n">
        <v>0</v>
      </c>
      <c r="Y231" s="2" t="n">
        <v>0</v>
      </c>
      <c r="Z231" s="2" t="n">
        <v>0</v>
      </c>
      <c r="AA231" s="2" t="n">
        <v>0</v>
      </c>
      <c r="AB231" s="2" t="n">
        <v>0</v>
      </c>
      <c r="AC231" s="2"/>
    </row>
    <row r="232" customFormat="false" ht="15" hidden="false" customHeight="false" outlineLevel="0" collapsed="false">
      <c r="A232" s="2" t="n">
        <v>14</v>
      </c>
      <c r="B232" s="2" t="s">
        <v>216</v>
      </c>
      <c r="C232" s="2" t="s">
        <v>223</v>
      </c>
      <c r="D232" s="2" t="s">
        <v>1986</v>
      </c>
      <c r="E232" s="2" t="s">
        <v>1154</v>
      </c>
      <c r="F232" s="2" t="s">
        <v>1178</v>
      </c>
      <c r="G232" s="2" t="s">
        <v>683</v>
      </c>
      <c r="H232" s="2" t="s">
        <v>1987</v>
      </c>
      <c r="I232" s="2" t="s">
        <v>1406</v>
      </c>
      <c r="J232" s="2" t="s">
        <v>1988</v>
      </c>
      <c r="K232" s="2" t="n">
        <v>3</v>
      </c>
      <c r="L232" s="2" t="n">
        <v>1112</v>
      </c>
      <c r="M232" s="2" t="n">
        <v>816</v>
      </c>
      <c r="N232" s="2" t="n">
        <v>712</v>
      </c>
      <c r="O232" s="2" t="n">
        <v>296</v>
      </c>
      <c r="P232" s="2" t="n">
        <v>0</v>
      </c>
      <c r="Q232" s="2" t="n">
        <v>0</v>
      </c>
      <c r="R232" s="2" t="n">
        <v>0</v>
      </c>
      <c r="S232" s="2" t="n">
        <v>5</v>
      </c>
      <c r="T232" s="2" t="n">
        <v>3</v>
      </c>
      <c r="U232" s="2" t="n">
        <v>1</v>
      </c>
      <c r="V232" s="2" t="n">
        <v>0</v>
      </c>
      <c r="W232" s="2" t="n">
        <v>1</v>
      </c>
      <c r="X232" s="2" t="n">
        <v>0</v>
      </c>
      <c r="Y232" s="2" t="n">
        <v>1</v>
      </c>
      <c r="Z232" s="2" t="n">
        <v>1</v>
      </c>
      <c r="AA232" s="2" t="n">
        <v>0</v>
      </c>
      <c r="AB232" s="2" t="n">
        <v>3</v>
      </c>
      <c r="AC232" s="2"/>
    </row>
    <row r="233" customFormat="false" ht="15" hidden="false" customHeight="false" outlineLevel="0" collapsed="false">
      <c r="A233" s="2" t="n">
        <v>14</v>
      </c>
      <c r="B233" s="2" t="s">
        <v>216</v>
      </c>
      <c r="C233" s="2" t="s">
        <v>223</v>
      </c>
      <c r="D233" s="2" t="s">
        <v>1989</v>
      </c>
      <c r="E233" s="2" t="s">
        <v>1154</v>
      </c>
      <c r="F233" s="2" t="s">
        <v>1178</v>
      </c>
      <c r="G233" s="2" t="s">
        <v>1990</v>
      </c>
      <c r="H233" s="2" t="s">
        <v>1991</v>
      </c>
      <c r="I233" s="2" t="s">
        <v>1406</v>
      </c>
      <c r="J233" s="2" t="s">
        <v>1992</v>
      </c>
      <c r="K233" s="2" t="n">
        <v>2</v>
      </c>
      <c r="L233" s="2" t="n">
        <v>854</v>
      </c>
      <c r="M233" s="2" t="n">
        <v>762</v>
      </c>
      <c r="N233" s="2" t="n">
        <v>647</v>
      </c>
      <c r="O233" s="2" t="n">
        <v>92</v>
      </c>
      <c r="P233" s="2" t="n">
        <v>0</v>
      </c>
      <c r="Q233" s="2" t="n">
        <v>0</v>
      </c>
      <c r="R233" s="2" t="n">
        <v>0</v>
      </c>
      <c r="S233" s="2" t="n">
        <v>2</v>
      </c>
      <c r="T233" s="2" t="n">
        <v>2</v>
      </c>
      <c r="U233" s="2" t="n">
        <v>0</v>
      </c>
      <c r="V233" s="2" t="n">
        <v>0</v>
      </c>
      <c r="W233" s="2" t="n">
        <v>0</v>
      </c>
      <c r="X233" s="2" t="n">
        <v>0</v>
      </c>
      <c r="Y233" s="2" t="n">
        <v>0</v>
      </c>
      <c r="Z233" s="2" t="n">
        <v>0</v>
      </c>
      <c r="AA233" s="2" t="n">
        <v>1</v>
      </c>
      <c r="AB233" s="2" t="n">
        <v>1</v>
      </c>
      <c r="AC233" s="2"/>
    </row>
    <row r="234" customFormat="false" ht="15" hidden="false" customHeight="false" outlineLevel="0" collapsed="false">
      <c r="A234" s="2" t="n">
        <v>14</v>
      </c>
      <c r="B234" s="2" t="s">
        <v>216</v>
      </c>
      <c r="C234" s="2" t="s">
        <v>223</v>
      </c>
      <c r="D234" s="2" t="s">
        <v>1993</v>
      </c>
      <c r="E234" s="2" t="s">
        <v>1154</v>
      </c>
      <c r="F234" s="2" t="s">
        <v>1178</v>
      </c>
      <c r="G234" s="2" t="s">
        <v>1994</v>
      </c>
      <c r="H234" s="2" t="s">
        <v>1995</v>
      </c>
      <c r="I234" s="2" t="s">
        <v>1406</v>
      </c>
      <c r="J234" s="2" t="s">
        <v>1996</v>
      </c>
      <c r="K234" s="2" t="n">
        <v>2</v>
      </c>
      <c r="L234" s="2" t="n">
        <v>844</v>
      </c>
      <c r="M234" s="2" t="n">
        <v>669</v>
      </c>
      <c r="N234" s="2" t="n">
        <v>542</v>
      </c>
      <c r="O234" s="2" t="n">
        <v>175</v>
      </c>
      <c r="P234" s="2" t="n">
        <v>0</v>
      </c>
      <c r="Q234" s="2" t="n">
        <v>0</v>
      </c>
      <c r="R234" s="2" t="n">
        <v>0</v>
      </c>
      <c r="S234" s="2" t="n">
        <v>3</v>
      </c>
      <c r="T234" s="2" t="n">
        <v>3</v>
      </c>
      <c r="U234" s="2" t="n">
        <v>0</v>
      </c>
      <c r="V234" s="2" t="n">
        <v>0</v>
      </c>
      <c r="W234" s="2" t="n">
        <v>0</v>
      </c>
      <c r="X234" s="2" t="n">
        <v>0</v>
      </c>
      <c r="Y234" s="2" t="n">
        <v>0</v>
      </c>
      <c r="Z234" s="2" t="n">
        <v>0</v>
      </c>
      <c r="AA234" s="2" t="n">
        <v>1</v>
      </c>
      <c r="AB234" s="2" t="n">
        <v>2</v>
      </c>
      <c r="AC234" s="2"/>
    </row>
    <row r="235" customFormat="false" ht="15" hidden="false" customHeight="false" outlineLevel="0" collapsed="false">
      <c r="A235" s="2" t="n">
        <v>14</v>
      </c>
      <c r="B235" s="2" t="s">
        <v>216</v>
      </c>
      <c r="C235" s="2" t="s">
        <v>223</v>
      </c>
      <c r="D235" s="2" t="s">
        <v>1997</v>
      </c>
      <c r="E235" s="2" t="s">
        <v>1154</v>
      </c>
      <c r="F235" s="2" t="s">
        <v>1178</v>
      </c>
      <c r="G235" s="2" t="s">
        <v>817</v>
      </c>
      <c r="H235" s="2" t="s">
        <v>1998</v>
      </c>
      <c r="I235" s="2" t="s">
        <v>1406</v>
      </c>
      <c r="J235" s="2" t="s">
        <v>1999</v>
      </c>
      <c r="K235" s="2" t="n">
        <v>3</v>
      </c>
      <c r="L235" s="2" t="n">
        <v>1224</v>
      </c>
      <c r="M235" s="2" t="n">
        <v>859</v>
      </c>
      <c r="N235" s="2" t="n">
        <v>749</v>
      </c>
      <c r="O235" s="2" t="n">
        <v>365</v>
      </c>
      <c r="P235" s="2" t="n">
        <v>0</v>
      </c>
      <c r="Q235" s="2" t="n">
        <v>0</v>
      </c>
      <c r="R235" s="2" t="n">
        <v>0</v>
      </c>
      <c r="S235" s="2" t="n">
        <v>3</v>
      </c>
      <c r="T235" s="2" t="n">
        <v>3</v>
      </c>
      <c r="U235" s="2" t="n">
        <v>0</v>
      </c>
      <c r="V235" s="2" t="n">
        <v>0</v>
      </c>
      <c r="W235" s="2" t="n">
        <v>0</v>
      </c>
      <c r="X235" s="2" t="n">
        <v>0</v>
      </c>
      <c r="Y235" s="2" t="n">
        <v>0</v>
      </c>
      <c r="Z235" s="2" t="n">
        <v>0</v>
      </c>
      <c r="AA235" s="2" t="n">
        <v>1</v>
      </c>
      <c r="AB235" s="2" t="n">
        <v>2</v>
      </c>
      <c r="AC235" s="2"/>
    </row>
    <row r="236" customFormat="false" ht="15" hidden="false" customHeight="false" outlineLevel="0" collapsed="false">
      <c r="A236" s="2" t="n">
        <v>14</v>
      </c>
      <c r="B236" s="2" t="s">
        <v>216</v>
      </c>
      <c r="C236" s="2" t="s">
        <v>223</v>
      </c>
      <c r="D236" s="2" t="s">
        <v>2000</v>
      </c>
      <c r="E236" s="2" t="s">
        <v>1154</v>
      </c>
      <c r="F236" s="2" t="s">
        <v>1178</v>
      </c>
      <c r="G236" s="2" t="s">
        <v>1041</v>
      </c>
      <c r="H236" s="2" t="s">
        <v>2001</v>
      </c>
      <c r="I236" s="2" t="s">
        <v>1406</v>
      </c>
      <c r="J236" s="2" t="s">
        <v>2002</v>
      </c>
      <c r="K236" s="2" t="n">
        <v>2</v>
      </c>
      <c r="L236" s="2" t="n">
        <v>647</v>
      </c>
      <c r="M236" s="2" t="n">
        <v>537</v>
      </c>
      <c r="N236" s="2" t="n">
        <v>424</v>
      </c>
      <c r="O236" s="2" t="n">
        <v>110</v>
      </c>
      <c r="P236" s="2" t="n">
        <v>0</v>
      </c>
      <c r="Q236" s="2" t="n">
        <v>0</v>
      </c>
      <c r="R236" s="2" t="n">
        <v>0</v>
      </c>
      <c r="S236" s="2" t="n">
        <v>2</v>
      </c>
      <c r="T236" s="2" t="n">
        <v>2</v>
      </c>
      <c r="U236" s="2" t="n">
        <v>0</v>
      </c>
      <c r="V236" s="2" t="n">
        <v>0</v>
      </c>
      <c r="W236" s="2" t="n">
        <v>0</v>
      </c>
      <c r="X236" s="2" t="n">
        <v>0</v>
      </c>
      <c r="Y236" s="2" t="n">
        <v>0</v>
      </c>
      <c r="Z236" s="2" t="n">
        <v>0</v>
      </c>
      <c r="AA236" s="2" t="n">
        <v>1</v>
      </c>
      <c r="AB236" s="2" t="n">
        <v>1</v>
      </c>
      <c r="AC236" s="2"/>
    </row>
    <row r="237" customFormat="false" ht="15" hidden="false" customHeight="false" outlineLevel="0" collapsed="false">
      <c r="A237" s="2" t="n">
        <v>14</v>
      </c>
      <c r="B237" s="2" t="s">
        <v>216</v>
      </c>
      <c r="C237" s="2" t="s">
        <v>223</v>
      </c>
      <c r="D237" s="2" t="s">
        <v>2003</v>
      </c>
      <c r="E237" s="2" t="s">
        <v>1154</v>
      </c>
      <c r="F237" s="2" t="s">
        <v>1178</v>
      </c>
      <c r="G237" s="2" t="s">
        <v>2004</v>
      </c>
      <c r="H237" s="2" t="s">
        <v>2005</v>
      </c>
      <c r="I237" s="2" t="s">
        <v>1406</v>
      </c>
      <c r="J237" s="2" t="s">
        <v>2006</v>
      </c>
      <c r="K237" s="2" t="n">
        <v>2</v>
      </c>
      <c r="L237" s="2" t="n">
        <v>761</v>
      </c>
      <c r="M237" s="2" t="n">
        <v>666</v>
      </c>
      <c r="N237" s="2" t="n">
        <v>546</v>
      </c>
      <c r="O237" s="2" t="n">
        <v>95</v>
      </c>
      <c r="P237" s="2" t="n">
        <v>0</v>
      </c>
      <c r="Q237" s="2" t="n">
        <v>0</v>
      </c>
      <c r="R237" s="2" t="n">
        <v>0</v>
      </c>
      <c r="S237" s="2" t="n">
        <v>2</v>
      </c>
      <c r="T237" s="2" t="n">
        <v>2</v>
      </c>
      <c r="U237" s="2" t="n">
        <v>0</v>
      </c>
      <c r="V237" s="2" t="n">
        <v>0</v>
      </c>
      <c r="W237" s="2" t="n">
        <v>0</v>
      </c>
      <c r="X237" s="2" t="n">
        <v>0</v>
      </c>
      <c r="Y237" s="2" t="n">
        <v>0</v>
      </c>
      <c r="Z237" s="2" t="n">
        <v>0</v>
      </c>
      <c r="AA237" s="2" t="n">
        <v>1</v>
      </c>
      <c r="AB237" s="2" t="n">
        <v>1</v>
      </c>
      <c r="AC237" s="2"/>
    </row>
    <row r="238" customFormat="false" ht="15" hidden="false" customHeight="false" outlineLevel="0" collapsed="false">
      <c r="A238" s="2" t="n">
        <v>14</v>
      </c>
      <c r="B238" s="2" t="s">
        <v>216</v>
      </c>
      <c r="C238" s="2" t="s">
        <v>223</v>
      </c>
      <c r="D238" s="2" t="s">
        <v>2007</v>
      </c>
      <c r="E238" s="2" t="s">
        <v>1154</v>
      </c>
      <c r="F238" s="2" t="s">
        <v>1178</v>
      </c>
      <c r="G238" s="2" t="s">
        <v>2004</v>
      </c>
      <c r="H238" s="2" t="s">
        <v>2008</v>
      </c>
      <c r="I238" s="2" t="s">
        <v>1406</v>
      </c>
      <c r="J238" s="2" t="s">
        <v>2009</v>
      </c>
      <c r="K238" s="2" t="n">
        <v>2</v>
      </c>
      <c r="L238" s="2" t="n">
        <v>804</v>
      </c>
      <c r="M238" s="2" t="n">
        <v>685</v>
      </c>
      <c r="N238" s="2" t="n">
        <v>568</v>
      </c>
      <c r="O238" s="2" t="n">
        <v>119</v>
      </c>
      <c r="P238" s="2" t="n">
        <v>0</v>
      </c>
      <c r="Q238" s="2" t="n">
        <v>0</v>
      </c>
      <c r="R238" s="2" t="n">
        <v>0</v>
      </c>
      <c r="S238" s="2" t="n">
        <v>2</v>
      </c>
      <c r="T238" s="2" t="n">
        <v>2</v>
      </c>
      <c r="U238" s="2" t="n">
        <v>0</v>
      </c>
      <c r="V238" s="2" t="n">
        <v>0</v>
      </c>
      <c r="W238" s="2" t="n">
        <v>0</v>
      </c>
      <c r="X238" s="2" t="n">
        <v>0</v>
      </c>
      <c r="Y238" s="2" t="n">
        <v>0</v>
      </c>
      <c r="Z238" s="2" t="n">
        <v>0</v>
      </c>
      <c r="AA238" s="2" t="n">
        <v>0</v>
      </c>
      <c r="AB238" s="2" t="n">
        <v>2</v>
      </c>
      <c r="AC238" s="2"/>
    </row>
    <row r="239" customFormat="false" ht="15" hidden="false" customHeight="false" outlineLevel="0" collapsed="false">
      <c r="A239" s="2" t="n">
        <v>14</v>
      </c>
      <c r="B239" s="2" t="s">
        <v>216</v>
      </c>
      <c r="C239" s="2" t="s">
        <v>223</v>
      </c>
      <c r="D239" s="2" t="s">
        <v>2010</v>
      </c>
      <c r="E239" s="2" t="s">
        <v>1154</v>
      </c>
      <c r="F239" s="2" t="s">
        <v>1178</v>
      </c>
      <c r="G239" s="2" t="s">
        <v>884</v>
      </c>
      <c r="H239" s="2" t="s">
        <v>2011</v>
      </c>
      <c r="I239" s="2" t="s">
        <v>1406</v>
      </c>
      <c r="J239" s="2" t="s">
        <v>2012</v>
      </c>
      <c r="K239" s="2" t="n">
        <v>2</v>
      </c>
      <c r="L239" s="2" t="n">
        <v>864</v>
      </c>
      <c r="M239" s="2" t="n">
        <v>745</v>
      </c>
      <c r="N239" s="2" t="n">
        <v>628</v>
      </c>
      <c r="O239" s="2" t="n">
        <v>119</v>
      </c>
      <c r="P239" s="2" t="n">
        <v>0</v>
      </c>
      <c r="Q239" s="2" t="n">
        <v>0</v>
      </c>
      <c r="R239" s="2" t="n">
        <v>0</v>
      </c>
      <c r="S239" s="2" t="n">
        <v>2</v>
      </c>
      <c r="T239" s="2" t="n">
        <v>2</v>
      </c>
      <c r="U239" s="2" t="n">
        <v>0</v>
      </c>
      <c r="V239" s="2" t="n">
        <v>0</v>
      </c>
      <c r="W239" s="2" t="n">
        <v>0</v>
      </c>
      <c r="X239" s="2" t="n">
        <v>0</v>
      </c>
      <c r="Y239" s="2" t="n">
        <v>0</v>
      </c>
      <c r="Z239" s="2" t="n">
        <v>0</v>
      </c>
      <c r="AA239" s="2" t="n">
        <v>0</v>
      </c>
      <c r="AB239" s="2" t="n">
        <v>2</v>
      </c>
      <c r="AC239" s="2"/>
    </row>
    <row r="240" customFormat="false" ht="15" hidden="false" customHeight="false" outlineLevel="0" collapsed="false">
      <c r="A240" s="2" t="n">
        <v>14</v>
      </c>
      <c r="B240" s="2" t="s">
        <v>216</v>
      </c>
      <c r="C240" s="2" t="s">
        <v>223</v>
      </c>
      <c r="D240" s="2" t="s">
        <v>2013</v>
      </c>
      <c r="E240" s="2" t="s">
        <v>1154</v>
      </c>
      <c r="F240" s="2" t="s">
        <v>1178</v>
      </c>
      <c r="G240" s="2" t="s">
        <v>866</v>
      </c>
      <c r="H240" s="2" t="s">
        <v>2014</v>
      </c>
      <c r="I240" s="2" t="s">
        <v>1406</v>
      </c>
      <c r="J240" s="2" t="s">
        <v>2015</v>
      </c>
      <c r="K240" s="2" t="n">
        <v>2</v>
      </c>
      <c r="L240" s="2" t="n">
        <v>865</v>
      </c>
      <c r="M240" s="2" t="n">
        <v>642</v>
      </c>
      <c r="N240" s="2" t="n">
        <v>527</v>
      </c>
      <c r="O240" s="2" t="n">
        <v>223</v>
      </c>
      <c r="P240" s="2" t="n">
        <v>0</v>
      </c>
      <c r="Q240" s="2" t="n">
        <v>0</v>
      </c>
      <c r="R240" s="2" t="n">
        <v>0</v>
      </c>
      <c r="S240" s="2" t="n">
        <v>4</v>
      </c>
      <c r="T240" s="2" t="n">
        <v>4</v>
      </c>
      <c r="U240" s="2" t="n">
        <v>0</v>
      </c>
      <c r="V240" s="2" t="n">
        <v>0</v>
      </c>
      <c r="W240" s="2" t="n">
        <v>0</v>
      </c>
      <c r="X240" s="2" t="n">
        <v>0</v>
      </c>
      <c r="Y240" s="2" t="n">
        <v>0</v>
      </c>
      <c r="Z240" s="2" t="n">
        <v>0</v>
      </c>
      <c r="AA240" s="2" t="n">
        <v>1</v>
      </c>
      <c r="AB240" s="2" t="n">
        <v>3</v>
      </c>
      <c r="AC240" s="2"/>
    </row>
    <row r="241" customFormat="false" ht="15" hidden="false" customHeight="false" outlineLevel="0" collapsed="false">
      <c r="A241" s="2" t="n">
        <v>14</v>
      </c>
      <c r="B241" s="2" t="s">
        <v>216</v>
      </c>
      <c r="C241" s="2" t="s">
        <v>223</v>
      </c>
      <c r="D241" s="2" t="s">
        <v>2016</v>
      </c>
      <c r="E241" s="2" t="s">
        <v>1154</v>
      </c>
      <c r="F241" s="2" t="s">
        <v>1178</v>
      </c>
      <c r="G241" s="2" t="s">
        <v>866</v>
      </c>
      <c r="H241" s="2" t="s">
        <v>2017</v>
      </c>
      <c r="I241" s="2" t="s">
        <v>1406</v>
      </c>
      <c r="J241" s="2" t="s">
        <v>2018</v>
      </c>
      <c r="K241" s="2" t="n">
        <v>2</v>
      </c>
      <c r="L241" s="2" t="n">
        <v>815</v>
      </c>
      <c r="M241" s="2" t="n">
        <v>725</v>
      </c>
      <c r="N241" s="2" t="n">
        <v>605</v>
      </c>
      <c r="O241" s="2" t="n">
        <v>90</v>
      </c>
      <c r="P241" s="2" t="n">
        <v>0</v>
      </c>
      <c r="Q241" s="2" t="n">
        <v>0</v>
      </c>
      <c r="R241" s="2" t="n">
        <v>0</v>
      </c>
      <c r="S241" s="2" t="n">
        <v>2</v>
      </c>
      <c r="T241" s="2" t="n">
        <v>2</v>
      </c>
      <c r="U241" s="2" t="n">
        <v>0</v>
      </c>
      <c r="V241" s="2" t="n">
        <v>0</v>
      </c>
      <c r="W241" s="2" t="n">
        <v>0</v>
      </c>
      <c r="X241" s="2" t="n">
        <v>0</v>
      </c>
      <c r="Y241" s="2" t="n">
        <v>0</v>
      </c>
      <c r="Z241" s="2" t="n">
        <v>0</v>
      </c>
      <c r="AA241" s="2" t="n">
        <v>1</v>
      </c>
      <c r="AB241" s="2" t="n">
        <v>1</v>
      </c>
      <c r="AC241" s="2"/>
    </row>
    <row r="242" customFormat="false" ht="15" hidden="false" customHeight="false" outlineLevel="0" collapsed="false">
      <c r="A242" s="2" t="n">
        <v>14</v>
      </c>
      <c r="B242" s="2" t="s">
        <v>216</v>
      </c>
      <c r="C242" s="2" t="s">
        <v>223</v>
      </c>
      <c r="D242" s="2" t="s">
        <v>2019</v>
      </c>
      <c r="E242" s="2" t="s">
        <v>1154</v>
      </c>
      <c r="F242" s="2" t="s">
        <v>1178</v>
      </c>
      <c r="G242" s="2" t="s">
        <v>866</v>
      </c>
      <c r="H242" s="2" t="s">
        <v>2020</v>
      </c>
      <c r="I242" s="2" t="s">
        <v>1406</v>
      </c>
      <c r="J242" s="2" t="s">
        <v>2021</v>
      </c>
      <c r="K242" s="2" t="n">
        <v>2</v>
      </c>
      <c r="L242" s="2" t="n">
        <v>823</v>
      </c>
      <c r="M242" s="2" t="n">
        <v>730</v>
      </c>
      <c r="N242" s="2" t="n">
        <v>610</v>
      </c>
      <c r="O242" s="2" t="n">
        <v>93</v>
      </c>
      <c r="P242" s="2" t="n">
        <v>0</v>
      </c>
      <c r="Q242" s="2" t="n">
        <v>0</v>
      </c>
      <c r="R242" s="2" t="n">
        <v>0</v>
      </c>
      <c r="S242" s="2" t="n">
        <v>2</v>
      </c>
      <c r="T242" s="2" t="n">
        <v>2</v>
      </c>
      <c r="U242" s="2" t="n">
        <v>0</v>
      </c>
      <c r="V242" s="2" t="n">
        <v>0</v>
      </c>
      <c r="W242" s="2" t="n">
        <v>0</v>
      </c>
      <c r="X242" s="2" t="n">
        <v>0</v>
      </c>
      <c r="Y242" s="2" t="n">
        <v>0</v>
      </c>
      <c r="Z242" s="2" t="n">
        <v>0</v>
      </c>
      <c r="AA242" s="2" t="n">
        <v>1</v>
      </c>
      <c r="AB242" s="2" t="n">
        <v>1</v>
      </c>
      <c r="AC242" s="2"/>
    </row>
    <row r="243" customFormat="false" ht="15" hidden="false" customHeight="false" outlineLevel="0" collapsed="false">
      <c r="A243" s="2" t="n">
        <v>14</v>
      </c>
      <c r="B243" s="2" t="s">
        <v>216</v>
      </c>
      <c r="C243" s="2" t="s">
        <v>223</v>
      </c>
      <c r="D243" s="2" t="s">
        <v>2022</v>
      </c>
      <c r="E243" s="2" t="s">
        <v>1154</v>
      </c>
      <c r="F243" s="2" t="s">
        <v>1178</v>
      </c>
      <c r="G243" s="2" t="s">
        <v>2023</v>
      </c>
      <c r="H243" s="2" t="s">
        <v>2024</v>
      </c>
      <c r="I243" s="2" t="s">
        <v>1406</v>
      </c>
      <c r="J243" s="2" t="s">
        <v>2025</v>
      </c>
      <c r="K243" s="2" t="n">
        <v>2</v>
      </c>
      <c r="L243" s="2" t="n">
        <v>725</v>
      </c>
      <c r="M243" s="2" t="n">
        <v>676</v>
      </c>
      <c r="N243" s="2" t="n">
        <v>560</v>
      </c>
      <c r="O243" s="2" t="n">
        <v>49</v>
      </c>
      <c r="P243" s="2" t="n">
        <v>0</v>
      </c>
      <c r="Q243" s="2" t="n">
        <v>0</v>
      </c>
      <c r="R243" s="2" t="n">
        <v>0</v>
      </c>
      <c r="S243" s="2" t="n">
        <v>0</v>
      </c>
      <c r="T243" s="2" t="n">
        <v>0</v>
      </c>
      <c r="U243" s="2" t="n">
        <v>0</v>
      </c>
      <c r="V243" s="2" t="n">
        <v>0</v>
      </c>
      <c r="W243" s="2" t="n">
        <v>0</v>
      </c>
      <c r="X243" s="2" t="n">
        <v>0</v>
      </c>
      <c r="Y243" s="2" t="n">
        <v>0</v>
      </c>
      <c r="Z243" s="2" t="n">
        <v>0</v>
      </c>
      <c r="AA243" s="2" t="n">
        <v>0</v>
      </c>
      <c r="AB243" s="2" t="n">
        <v>0</v>
      </c>
      <c r="AC243" s="2"/>
    </row>
    <row r="244" customFormat="false" ht="15" hidden="false" customHeight="false" outlineLevel="0" collapsed="false">
      <c r="A244" s="2" t="n">
        <v>14</v>
      </c>
      <c r="B244" s="2" t="s">
        <v>216</v>
      </c>
      <c r="C244" s="2" t="s">
        <v>223</v>
      </c>
      <c r="D244" s="2" t="s">
        <v>2026</v>
      </c>
      <c r="E244" s="2" t="s">
        <v>1154</v>
      </c>
      <c r="F244" s="2" t="s">
        <v>1178</v>
      </c>
      <c r="G244" s="2" t="s">
        <v>2023</v>
      </c>
      <c r="H244" s="2" t="s">
        <v>2027</v>
      </c>
      <c r="I244" s="2" t="s">
        <v>1406</v>
      </c>
      <c r="J244" s="2" t="s">
        <v>2028</v>
      </c>
      <c r="K244" s="2" t="n">
        <v>2</v>
      </c>
      <c r="L244" s="2" t="n">
        <v>761</v>
      </c>
      <c r="M244" s="2" t="n">
        <v>713</v>
      </c>
      <c r="N244" s="2" t="n">
        <v>602</v>
      </c>
      <c r="O244" s="2" t="n">
        <v>48</v>
      </c>
      <c r="P244" s="2" t="n">
        <v>0</v>
      </c>
      <c r="Q244" s="2" t="n">
        <v>0</v>
      </c>
      <c r="R244" s="2" t="n">
        <v>0</v>
      </c>
      <c r="S244" s="2" t="n">
        <v>0</v>
      </c>
      <c r="T244" s="2" t="n">
        <v>0</v>
      </c>
      <c r="U244" s="2" t="n">
        <v>0</v>
      </c>
      <c r="V244" s="2" t="n">
        <v>0</v>
      </c>
      <c r="W244" s="2" t="n">
        <v>0</v>
      </c>
      <c r="X244" s="2" t="n">
        <v>0</v>
      </c>
      <c r="Y244" s="2" t="n">
        <v>0</v>
      </c>
      <c r="Z244" s="2" t="n">
        <v>0</v>
      </c>
      <c r="AA244" s="2" t="n">
        <v>0</v>
      </c>
      <c r="AB244" s="2" t="n">
        <v>0</v>
      </c>
      <c r="AC244" s="2"/>
    </row>
    <row r="245" customFormat="false" ht="15" hidden="false" customHeight="false" outlineLevel="0" collapsed="false">
      <c r="A245" s="2" t="n">
        <v>14</v>
      </c>
      <c r="B245" s="2" t="s">
        <v>216</v>
      </c>
      <c r="C245" s="2" t="s">
        <v>223</v>
      </c>
      <c r="D245" s="2" t="s">
        <v>2029</v>
      </c>
      <c r="E245" s="2" t="s">
        <v>1154</v>
      </c>
      <c r="F245" s="2" t="s">
        <v>1178</v>
      </c>
      <c r="G245" s="2" t="s">
        <v>2030</v>
      </c>
      <c r="H245" s="2" t="s">
        <v>2031</v>
      </c>
      <c r="I245" s="2" t="s">
        <v>1406</v>
      </c>
      <c r="J245" s="2" t="s">
        <v>2032</v>
      </c>
      <c r="K245" s="2" t="n">
        <v>3</v>
      </c>
      <c r="L245" s="2" t="n">
        <v>922</v>
      </c>
      <c r="M245" s="2" t="n">
        <v>696</v>
      </c>
      <c r="N245" s="2" t="n">
        <v>578</v>
      </c>
      <c r="O245" s="2" t="n">
        <v>69</v>
      </c>
      <c r="P245" s="2" t="n">
        <v>157</v>
      </c>
      <c r="Q245" s="2" t="n">
        <v>0</v>
      </c>
      <c r="R245" s="2" t="n">
        <v>0</v>
      </c>
      <c r="S245" s="2" t="n">
        <v>0</v>
      </c>
      <c r="T245" s="2" t="n">
        <v>0</v>
      </c>
      <c r="U245" s="2" t="n">
        <v>0</v>
      </c>
      <c r="V245" s="2" t="n">
        <v>0</v>
      </c>
      <c r="W245" s="2" t="n">
        <v>0</v>
      </c>
      <c r="X245" s="2" t="n">
        <v>0</v>
      </c>
      <c r="Y245" s="2" t="n">
        <v>0</v>
      </c>
      <c r="Z245" s="2" t="n">
        <v>0</v>
      </c>
      <c r="AA245" s="2" t="n">
        <v>0</v>
      </c>
      <c r="AB245" s="2" t="n">
        <v>0</v>
      </c>
      <c r="AC245" s="2"/>
    </row>
    <row r="246" customFormat="false" ht="15" hidden="false" customHeight="false" outlineLevel="0" collapsed="false">
      <c r="A246" s="2" t="n">
        <v>14</v>
      </c>
      <c r="B246" s="2" t="s">
        <v>216</v>
      </c>
      <c r="C246" s="2" t="s">
        <v>223</v>
      </c>
      <c r="D246" s="2" t="s">
        <v>2033</v>
      </c>
      <c r="E246" s="2" t="s">
        <v>1154</v>
      </c>
      <c r="F246" s="2" t="s">
        <v>1155</v>
      </c>
      <c r="G246" s="2" t="s">
        <v>2030</v>
      </c>
      <c r="H246" s="2" t="s">
        <v>2034</v>
      </c>
      <c r="I246" s="2" t="s">
        <v>1133</v>
      </c>
      <c r="J246" s="2" t="s">
        <v>2035</v>
      </c>
      <c r="K246" s="2" t="n">
        <v>7</v>
      </c>
      <c r="L246" s="2" t="n">
        <v>1307</v>
      </c>
      <c r="M246" s="2" t="n">
        <v>304</v>
      </c>
      <c r="N246" s="2" t="n">
        <v>210</v>
      </c>
      <c r="O246" s="2" t="n">
        <v>246</v>
      </c>
      <c r="P246" s="2" t="n">
        <v>757</v>
      </c>
      <c r="Q246" s="2" t="n">
        <v>0</v>
      </c>
      <c r="R246" s="2" t="n">
        <v>0</v>
      </c>
      <c r="S246" s="2" t="n">
        <v>13</v>
      </c>
      <c r="T246" s="2" t="n">
        <v>12</v>
      </c>
      <c r="U246" s="2" t="n">
        <v>0</v>
      </c>
      <c r="V246" s="2" t="n">
        <v>0</v>
      </c>
      <c r="W246" s="2" t="n">
        <v>1</v>
      </c>
      <c r="X246" s="2" t="n">
        <v>0</v>
      </c>
      <c r="Y246" s="2" t="n">
        <v>2</v>
      </c>
      <c r="Z246" s="2" t="n">
        <v>3</v>
      </c>
      <c r="AA246" s="2" t="n">
        <v>0</v>
      </c>
      <c r="AB246" s="2" t="n">
        <v>8</v>
      </c>
      <c r="AC246" s="2"/>
    </row>
    <row r="247" customFormat="false" ht="15" hidden="false" customHeight="false" outlineLevel="0" collapsed="false">
      <c r="A247" s="2" t="n">
        <v>14</v>
      </c>
      <c r="B247" s="2" t="s">
        <v>216</v>
      </c>
      <c r="C247" s="2" t="s">
        <v>223</v>
      </c>
      <c r="D247" s="2" t="s">
        <v>2036</v>
      </c>
      <c r="E247" s="2" t="s">
        <v>1154</v>
      </c>
      <c r="F247" s="2" t="s">
        <v>1178</v>
      </c>
      <c r="G247" s="2" t="s">
        <v>851</v>
      </c>
      <c r="H247" s="2" t="s">
        <v>2037</v>
      </c>
      <c r="I247" s="2" t="s">
        <v>1406</v>
      </c>
      <c r="J247" s="2" t="s">
        <v>2038</v>
      </c>
      <c r="K247" s="2" t="n">
        <v>2</v>
      </c>
      <c r="L247" s="2" t="n">
        <v>1027</v>
      </c>
      <c r="M247" s="2" t="n">
        <v>725</v>
      </c>
      <c r="N247" s="2" t="n">
        <v>618</v>
      </c>
      <c r="O247" s="2" t="n">
        <v>302</v>
      </c>
      <c r="P247" s="2" t="n">
        <v>0</v>
      </c>
      <c r="Q247" s="2" t="n">
        <v>0</v>
      </c>
      <c r="R247" s="2" t="n">
        <v>0</v>
      </c>
      <c r="S247" s="2" t="n">
        <v>5</v>
      </c>
      <c r="T247" s="2" t="n">
        <v>4</v>
      </c>
      <c r="U247" s="2" t="n">
        <v>1</v>
      </c>
      <c r="V247" s="2" t="n">
        <v>0</v>
      </c>
      <c r="W247" s="2" t="n">
        <v>0</v>
      </c>
      <c r="X247" s="2" t="n">
        <v>0</v>
      </c>
      <c r="Y247" s="2" t="n">
        <v>1</v>
      </c>
      <c r="Z247" s="2" t="n">
        <v>0</v>
      </c>
      <c r="AA247" s="2" t="n">
        <v>1</v>
      </c>
      <c r="AB247" s="2" t="n">
        <v>3</v>
      </c>
      <c r="AC247" s="2"/>
    </row>
    <row r="248" customFormat="false" ht="15" hidden="false" customHeight="false" outlineLevel="0" collapsed="false">
      <c r="A248" s="2" t="n">
        <v>14</v>
      </c>
      <c r="B248" s="2" t="s">
        <v>216</v>
      </c>
      <c r="C248" s="2" t="s">
        <v>223</v>
      </c>
      <c r="D248" s="2" t="s">
        <v>2039</v>
      </c>
      <c r="E248" s="2" t="s">
        <v>1154</v>
      </c>
      <c r="F248" s="2" t="s">
        <v>1155</v>
      </c>
      <c r="G248" s="2" t="s">
        <v>924</v>
      </c>
      <c r="H248" s="2" t="s">
        <v>2040</v>
      </c>
      <c r="I248" s="2" t="s">
        <v>1133</v>
      </c>
      <c r="J248" s="2" t="s">
        <v>2041</v>
      </c>
      <c r="K248" s="2" t="n">
        <v>12</v>
      </c>
      <c r="L248" s="2" t="n">
        <v>6206</v>
      </c>
      <c r="M248" s="2" t="n">
        <v>915</v>
      </c>
      <c r="N248" s="2" t="n">
        <v>822</v>
      </c>
      <c r="O248" s="2" t="n">
        <v>5291</v>
      </c>
      <c r="P248" s="2" t="n">
        <v>0</v>
      </c>
      <c r="Q248" s="2" t="n">
        <v>0</v>
      </c>
      <c r="R248" s="2" t="n">
        <v>0</v>
      </c>
      <c r="S248" s="2" t="n">
        <v>29</v>
      </c>
      <c r="T248" s="2" t="n">
        <v>29</v>
      </c>
      <c r="U248" s="2" t="n">
        <v>0</v>
      </c>
      <c r="V248" s="2" t="n">
        <v>0</v>
      </c>
      <c r="W248" s="2" t="n">
        <v>0</v>
      </c>
      <c r="X248" s="2" t="n">
        <v>0</v>
      </c>
      <c r="Y248" s="2" t="n">
        <v>10</v>
      </c>
      <c r="Z248" s="2" t="n">
        <v>9</v>
      </c>
      <c r="AA248" s="2" t="n">
        <v>0</v>
      </c>
      <c r="AB248" s="2" t="n">
        <v>10</v>
      </c>
      <c r="AC248" s="2"/>
    </row>
    <row r="249" customFormat="false" ht="15" hidden="false" customHeight="false" outlineLevel="0" collapsed="false">
      <c r="A249" s="2" t="n">
        <v>14</v>
      </c>
      <c r="B249" s="2" t="s">
        <v>216</v>
      </c>
      <c r="C249" s="2" t="s">
        <v>223</v>
      </c>
      <c r="D249" s="2" t="s">
        <v>2042</v>
      </c>
      <c r="E249" s="2" t="s">
        <v>1154</v>
      </c>
      <c r="F249" s="2" t="s">
        <v>1178</v>
      </c>
      <c r="G249" s="2" t="s">
        <v>2043</v>
      </c>
      <c r="H249" s="2" t="s">
        <v>2044</v>
      </c>
      <c r="I249" s="2" t="s">
        <v>1406</v>
      </c>
      <c r="J249" s="2" t="s">
        <v>2045</v>
      </c>
      <c r="K249" s="2" t="n">
        <v>3</v>
      </c>
      <c r="L249" s="2" t="n">
        <v>1191</v>
      </c>
      <c r="M249" s="2" t="n">
        <v>884</v>
      </c>
      <c r="N249" s="2" t="n">
        <v>771</v>
      </c>
      <c r="O249" s="2" t="n">
        <v>307</v>
      </c>
      <c r="P249" s="2" t="n">
        <v>0</v>
      </c>
      <c r="Q249" s="2" t="n">
        <v>0</v>
      </c>
      <c r="R249" s="2" t="n">
        <v>0</v>
      </c>
      <c r="S249" s="2" t="n">
        <v>2</v>
      </c>
      <c r="T249" s="2" t="n">
        <v>2</v>
      </c>
      <c r="U249" s="2" t="n">
        <v>0</v>
      </c>
      <c r="V249" s="2" t="n">
        <v>0</v>
      </c>
      <c r="W249" s="2" t="n">
        <v>0</v>
      </c>
      <c r="X249" s="2" t="n">
        <v>0</v>
      </c>
      <c r="Y249" s="2" t="n">
        <v>0</v>
      </c>
      <c r="Z249" s="2" t="n">
        <v>0</v>
      </c>
      <c r="AA249" s="2" t="n">
        <v>1</v>
      </c>
      <c r="AB249" s="2" t="n">
        <v>1</v>
      </c>
      <c r="AC249" s="2"/>
    </row>
    <row r="250" customFormat="false" ht="15" hidden="false" customHeight="false" outlineLevel="0" collapsed="false">
      <c r="A250" s="2" t="n">
        <v>14</v>
      </c>
      <c r="B250" s="2" t="s">
        <v>216</v>
      </c>
      <c r="C250" s="2" t="s">
        <v>223</v>
      </c>
      <c r="D250" s="2" t="s">
        <v>2046</v>
      </c>
      <c r="E250" s="2" t="s">
        <v>1154</v>
      </c>
      <c r="F250" s="2" t="s">
        <v>1178</v>
      </c>
      <c r="G250" s="2" t="s">
        <v>284</v>
      </c>
      <c r="H250" s="2" t="s">
        <v>2047</v>
      </c>
      <c r="I250" s="2" t="s">
        <v>1406</v>
      </c>
      <c r="J250" s="2" t="s">
        <v>2048</v>
      </c>
      <c r="K250" s="2" t="n">
        <v>3</v>
      </c>
      <c r="L250" s="2" t="n">
        <v>1248</v>
      </c>
      <c r="M250" s="2" t="n">
        <v>882</v>
      </c>
      <c r="N250" s="2" t="n">
        <v>767</v>
      </c>
      <c r="O250" s="2" t="n">
        <v>366</v>
      </c>
      <c r="P250" s="2" t="n">
        <v>0</v>
      </c>
      <c r="Q250" s="2" t="n">
        <v>0</v>
      </c>
      <c r="R250" s="2" t="n">
        <v>0</v>
      </c>
      <c r="S250" s="2" t="n">
        <v>2</v>
      </c>
      <c r="T250" s="2" t="n">
        <v>2</v>
      </c>
      <c r="U250" s="2" t="n">
        <v>0</v>
      </c>
      <c r="V250" s="2" t="n">
        <v>0</v>
      </c>
      <c r="W250" s="2" t="n">
        <v>0</v>
      </c>
      <c r="X250" s="2" t="n">
        <v>0</v>
      </c>
      <c r="Y250" s="2" t="n">
        <v>0</v>
      </c>
      <c r="Z250" s="2" t="n">
        <v>0</v>
      </c>
      <c r="AA250" s="2" t="n">
        <v>0</v>
      </c>
      <c r="AB250" s="2" t="n">
        <v>2</v>
      </c>
      <c r="AC250" s="2"/>
    </row>
    <row r="251" customFormat="false" ht="15" hidden="false" customHeight="false" outlineLevel="0" collapsed="false">
      <c r="A251" s="2" t="n">
        <v>14</v>
      </c>
      <c r="B251" s="2" t="s">
        <v>216</v>
      </c>
      <c r="C251" s="2" t="s">
        <v>223</v>
      </c>
      <c r="D251" s="2" t="s">
        <v>2049</v>
      </c>
      <c r="E251" s="2" t="s">
        <v>1154</v>
      </c>
      <c r="F251" s="2" t="s">
        <v>1178</v>
      </c>
      <c r="G251" s="2" t="s">
        <v>2050</v>
      </c>
      <c r="H251" s="2" t="s">
        <v>2051</v>
      </c>
      <c r="I251" s="2" t="s">
        <v>1406</v>
      </c>
      <c r="J251" s="2" t="s">
        <v>2052</v>
      </c>
      <c r="K251" s="2" t="n">
        <v>2</v>
      </c>
      <c r="L251" s="2" t="n">
        <v>800</v>
      </c>
      <c r="M251" s="2" t="n">
        <v>700</v>
      </c>
      <c r="N251" s="2" t="n">
        <v>581</v>
      </c>
      <c r="O251" s="2" t="n">
        <v>100</v>
      </c>
      <c r="P251" s="2" t="n">
        <v>0</v>
      </c>
      <c r="Q251" s="2" t="n">
        <v>0</v>
      </c>
      <c r="R251" s="2" t="n">
        <v>0</v>
      </c>
      <c r="S251" s="2" t="n">
        <v>2</v>
      </c>
      <c r="T251" s="2" t="n">
        <v>2</v>
      </c>
      <c r="U251" s="2" t="n">
        <v>0</v>
      </c>
      <c r="V251" s="2" t="n">
        <v>0</v>
      </c>
      <c r="W251" s="2" t="n">
        <v>0</v>
      </c>
      <c r="X251" s="2" t="n">
        <v>0</v>
      </c>
      <c r="Y251" s="2" t="n">
        <v>0</v>
      </c>
      <c r="Z251" s="2" t="n">
        <v>0</v>
      </c>
      <c r="AA251" s="2" t="n">
        <v>0</v>
      </c>
      <c r="AB251" s="2" t="n">
        <v>2</v>
      </c>
      <c r="AC251" s="2"/>
    </row>
    <row r="252" customFormat="false" ht="15" hidden="false" customHeight="false" outlineLevel="0" collapsed="false">
      <c r="A252" s="2" t="n">
        <v>14</v>
      </c>
      <c r="B252" s="2" t="s">
        <v>216</v>
      </c>
      <c r="C252" s="2" t="s">
        <v>223</v>
      </c>
      <c r="D252" s="2" t="s">
        <v>2053</v>
      </c>
      <c r="E252" s="2" t="s">
        <v>1154</v>
      </c>
      <c r="F252" s="2" t="s">
        <v>1178</v>
      </c>
      <c r="G252" s="2" t="s">
        <v>2054</v>
      </c>
      <c r="H252" s="2" t="s">
        <v>2055</v>
      </c>
      <c r="I252" s="2" t="s">
        <v>1406</v>
      </c>
      <c r="J252" s="2" t="s">
        <v>2056</v>
      </c>
      <c r="K252" s="2" t="n">
        <v>2</v>
      </c>
      <c r="L252" s="2" t="n">
        <v>890</v>
      </c>
      <c r="M252" s="2" t="n">
        <v>778</v>
      </c>
      <c r="N252" s="2" t="n">
        <v>664</v>
      </c>
      <c r="O252" s="2" t="n">
        <v>112</v>
      </c>
      <c r="P252" s="2" t="n">
        <v>0</v>
      </c>
      <c r="Q252" s="2" t="n">
        <v>0</v>
      </c>
      <c r="R252" s="2" t="n">
        <v>0</v>
      </c>
      <c r="S252" s="2" t="n">
        <v>2</v>
      </c>
      <c r="T252" s="2" t="n">
        <v>2</v>
      </c>
      <c r="U252" s="2" t="n">
        <v>0</v>
      </c>
      <c r="V252" s="2" t="n">
        <v>0</v>
      </c>
      <c r="W252" s="2" t="n">
        <v>0</v>
      </c>
      <c r="X252" s="2" t="n">
        <v>0</v>
      </c>
      <c r="Y252" s="2" t="n">
        <v>0</v>
      </c>
      <c r="Z252" s="2" t="n">
        <v>0</v>
      </c>
      <c r="AA252" s="2" t="n">
        <v>0</v>
      </c>
      <c r="AB252" s="2" t="n">
        <v>2</v>
      </c>
      <c r="AC252" s="2"/>
    </row>
    <row r="253" customFormat="false" ht="15" hidden="false" customHeight="false" outlineLevel="0" collapsed="false">
      <c r="A253" s="2" t="n">
        <v>14</v>
      </c>
      <c r="B253" s="2" t="s">
        <v>216</v>
      </c>
      <c r="C253" s="2" t="s">
        <v>223</v>
      </c>
      <c r="D253" s="2" t="s">
        <v>2057</v>
      </c>
      <c r="E253" s="2" t="s">
        <v>1154</v>
      </c>
      <c r="F253" s="2" t="s">
        <v>1178</v>
      </c>
      <c r="G253" s="2" t="s">
        <v>2058</v>
      </c>
      <c r="H253" s="2" t="s">
        <v>2059</v>
      </c>
      <c r="I253" s="2" t="s">
        <v>1406</v>
      </c>
      <c r="J253" s="2" t="s">
        <v>2060</v>
      </c>
      <c r="K253" s="2" t="n">
        <v>3</v>
      </c>
      <c r="L253" s="2" t="n">
        <v>1262</v>
      </c>
      <c r="M253" s="2" t="n">
        <v>1192</v>
      </c>
      <c r="N253" s="2" t="n">
        <v>1077</v>
      </c>
      <c r="O253" s="2" t="n">
        <v>70</v>
      </c>
      <c r="P253" s="2" t="n">
        <v>0</v>
      </c>
      <c r="Q253" s="2" t="n">
        <v>0</v>
      </c>
      <c r="R253" s="2" t="n">
        <v>0</v>
      </c>
      <c r="S253" s="2" t="n">
        <v>0</v>
      </c>
      <c r="T253" s="2" t="n">
        <v>0</v>
      </c>
      <c r="U253" s="2" t="n">
        <v>0</v>
      </c>
      <c r="V253" s="2" t="n">
        <v>0</v>
      </c>
      <c r="W253" s="2" t="n">
        <v>0</v>
      </c>
      <c r="X253" s="2" t="n">
        <v>0</v>
      </c>
      <c r="Y253" s="2" t="n">
        <v>0</v>
      </c>
      <c r="Z253" s="2" t="n">
        <v>0</v>
      </c>
      <c r="AA253" s="2" t="n">
        <v>0</v>
      </c>
      <c r="AB253" s="2" t="n">
        <v>0</v>
      </c>
      <c r="AC253" s="2"/>
    </row>
    <row r="254" customFormat="false" ht="15" hidden="false" customHeight="false" outlineLevel="0" collapsed="false">
      <c r="A254" s="2" t="n">
        <v>15</v>
      </c>
      <c r="B254" s="2" t="s">
        <v>230</v>
      </c>
      <c r="C254" s="2" t="s">
        <v>235</v>
      </c>
      <c r="D254" s="2" t="s">
        <v>2061</v>
      </c>
      <c r="E254" s="2" t="s">
        <v>1129</v>
      </c>
      <c r="F254" s="2" t="s">
        <v>1169</v>
      </c>
      <c r="G254" s="2" t="s">
        <v>2062</v>
      </c>
      <c r="H254" s="2" t="s">
        <v>2063</v>
      </c>
      <c r="I254" s="2" t="s">
        <v>1133</v>
      </c>
      <c r="J254" s="2" t="s">
        <v>2064</v>
      </c>
      <c r="K254" s="2" t="n">
        <v>7</v>
      </c>
      <c r="L254" s="2" t="n">
        <v>4898</v>
      </c>
      <c r="M254" s="2" t="n">
        <v>0</v>
      </c>
      <c r="N254" s="2" t="n">
        <v>0</v>
      </c>
      <c r="O254" s="2" t="n">
        <v>4898</v>
      </c>
      <c r="P254" s="2" t="n">
        <v>0</v>
      </c>
      <c r="Q254" s="2" t="n">
        <v>0</v>
      </c>
      <c r="R254" s="2" t="n">
        <v>0</v>
      </c>
      <c r="S254" s="2" t="n">
        <v>3</v>
      </c>
      <c r="T254" s="2" t="n">
        <v>1</v>
      </c>
      <c r="U254" s="2" t="n">
        <v>2</v>
      </c>
      <c r="V254" s="2" t="n">
        <v>0</v>
      </c>
      <c r="W254" s="2" t="n">
        <v>0</v>
      </c>
      <c r="X254" s="2" t="n">
        <v>0</v>
      </c>
      <c r="Y254" s="2" t="n">
        <v>1</v>
      </c>
      <c r="Z254" s="2" t="n">
        <v>1</v>
      </c>
      <c r="AA254" s="2" t="n">
        <v>0</v>
      </c>
      <c r="AB254" s="2" t="n">
        <v>1</v>
      </c>
      <c r="AC254" s="2" t="s">
        <v>1135</v>
      </c>
    </row>
    <row r="255" customFormat="false" ht="15" hidden="false" customHeight="false" outlineLevel="0" collapsed="false">
      <c r="A255" s="2" t="n">
        <v>15</v>
      </c>
      <c r="B255" s="2" t="s">
        <v>230</v>
      </c>
      <c r="C255" s="2" t="s">
        <v>235</v>
      </c>
      <c r="D255" s="2" t="s">
        <v>2065</v>
      </c>
      <c r="E255" s="2" t="s">
        <v>1129</v>
      </c>
      <c r="F255" s="2" t="s">
        <v>1169</v>
      </c>
      <c r="G255" s="2" t="s">
        <v>2062</v>
      </c>
      <c r="H255" s="2" t="s">
        <v>2066</v>
      </c>
      <c r="I255" s="2" t="s">
        <v>1133</v>
      </c>
      <c r="J255" s="2" t="s">
        <v>2067</v>
      </c>
      <c r="K255" s="2" t="n">
        <v>7</v>
      </c>
      <c r="L255" s="2" t="n">
        <v>4991</v>
      </c>
      <c r="M255" s="2" t="n">
        <v>0</v>
      </c>
      <c r="N255" s="2" t="n">
        <v>0</v>
      </c>
      <c r="O255" s="2" t="n">
        <v>4991</v>
      </c>
      <c r="P255" s="2" t="n">
        <v>0</v>
      </c>
      <c r="Q255" s="2" t="n">
        <v>0</v>
      </c>
      <c r="R255" s="2" t="n">
        <v>0</v>
      </c>
      <c r="S255" s="2" t="n">
        <v>6</v>
      </c>
      <c r="T255" s="2" t="n">
        <v>3</v>
      </c>
      <c r="U255" s="2" t="n">
        <v>0</v>
      </c>
      <c r="V255" s="2" t="n">
        <v>0</v>
      </c>
      <c r="W255" s="2" t="n">
        <v>3</v>
      </c>
      <c r="X255" s="2" t="n">
        <v>0</v>
      </c>
      <c r="Y255" s="2" t="n">
        <v>3</v>
      </c>
      <c r="Z255" s="2" t="n">
        <v>0</v>
      </c>
      <c r="AA255" s="2" t="n">
        <v>0</v>
      </c>
      <c r="AB255" s="2" t="n">
        <v>3</v>
      </c>
      <c r="AC255" s="2" t="s">
        <v>1135</v>
      </c>
    </row>
    <row r="256" customFormat="false" ht="15" hidden="false" customHeight="false" outlineLevel="0" collapsed="false">
      <c r="A256" s="2" t="n">
        <v>15</v>
      </c>
      <c r="B256" s="2" t="s">
        <v>230</v>
      </c>
      <c r="C256" s="2" t="s">
        <v>235</v>
      </c>
      <c r="D256" s="2" t="s">
        <v>2068</v>
      </c>
      <c r="E256" s="2" t="s">
        <v>1129</v>
      </c>
      <c r="F256" s="2" t="s">
        <v>1169</v>
      </c>
      <c r="G256" s="2" t="s">
        <v>932</v>
      </c>
      <c r="H256" s="2" t="s">
        <v>2069</v>
      </c>
      <c r="I256" s="2" t="s">
        <v>1133</v>
      </c>
      <c r="J256" s="2" t="s">
        <v>2070</v>
      </c>
      <c r="K256" s="2" t="n">
        <v>7</v>
      </c>
      <c r="L256" s="2" t="n">
        <v>3016</v>
      </c>
      <c r="M256" s="2" t="n">
        <v>0</v>
      </c>
      <c r="N256" s="2" t="n">
        <v>0</v>
      </c>
      <c r="O256" s="2" t="n">
        <v>3016</v>
      </c>
      <c r="P256" s="2" t="n">
        <v>0</v>
      </c>
      <c r="Q256" s="2" t="n">
        <v>0</v>
      </c>
      <c r="R256" s="2" t="n">
        <v>0</v>
      </c>
      <c r="S256" s="2" t="n">
        <v>8</v>
      </c>
      <c r="T256" s="2" t="n">
        <v>7</v>
      </c>
      <c r="U256" s="2" t="n">
        <v>0</v>
      </c>
      <c r="V256" s="2" t="n">
        <v>0</v>
      </c>
      <c r="W256" s="2" t="n">
        <v>1</v>
      </c>
      <c r="X256" s="2" t="n">
        <v>0</v>
      </c>
      <c r="Y256" s="2" t="n">
        <v>1</v>
      </c>
      <c r="Z256" s="2" t="n">
        <v>4</v>
      </c>
      <c r="AA256" s="2" t="n">
        <v>1</v>
      </c>
      <c r="AB256" s="2" t="n">
        <v>2</v>
      </c>
      <c r="AC256" s="2" t="s">
        <v>1135</v>
      </c>
    </row>
    <row r="257" customFormat="false" ht="15" hidden="false" customHeight="false" outlineLevel="0" collapsed="false">
      <c r="A257" s="2" t="n">
        <v>16</v>
      </c>
      <c r="B257" s="2" t="s">
        <v>241</v>
      </c>
      <c r="C257" s="2" t="s">
        <v>247</v>
      </c>
      <c r="D257" s="2" t="s">
        <v>2071</v>
      </c>
      <c r="E257" s="2" t="s">
        <v>1137</v>
      </c>
      <c r="F257" s="2" t="s">
        <v>1138</v>
      </c>
      <c r="G257" s="2" t="s">
        <v>2072</v>
      </c>
      <c r="H257" s="2" t="s">
        <v>2073</v>
      </c>
      <c r="I257" s="2" t="s">
        <v>1133</v>
      </c>
      <c r="J257" s="2" t="s">
        <v>2074</v>
      </c>
      <c r="K257" s="2" t="n">
        <v>2</v>
      </c>
      <c r="L257" s="2" t="n">
        <v>927</v>
      </c>
      <c r="M257" s="2" t="n">
        <v>635</v>
      </c>
      <c r="N257" s="2" t="n">
        <v>540</v>
      </c>
      <c r="O257" s="2" t="n">
        <v>292</v>
      </c>
      <c r="P257" s="2" t="n">
        <v>0</v>
      </c>
      <c r="Q257" s="2" t="n">
        <v>0</v>
      </c>
      <c r="R257" s="2" t="n">
        <v>0</v>
      </c>
      <c r="S257" s="2" t="n">
        <v>2</v>
      </c>
      <c r="T257" s="2" t="n">
        <v>0</v>
      </c>
      <c r="U257" s="2" t="n">
        <v>2</v>
      </c>
      <c r="V257" s="2" t="n">
        <v>0</v>
      </c>
      <c r="W257" s="2" t="n">
        <v>0</v>
      </c>
      <c r="X257" s="2" t="n">
        <v>0</v>
      </c>
      <c r="Y257" s="2" t="n">
        <v>0</v>
      </c>
      <c r="Z257" s="2" t="n">
        <v>2</v>
      </c>
      <c r="AA257" s="2" t="n">
        <v>0</v>
      </c>
      <c r="AB257" s="2" t="n">
        <v>0</v>
      </c>
      <c r="AC257" s="2"/>
    </row>
    <row r="258" customFormat="false" ht="15" hidden="false" customHeight="false" outlineLevel="0" collapsed="false">
      <c r="A258" s="2" t="n">
        <v>16</v>
      </c>
      <c r="B258" s="2" t="s">
        <v>241</v>
      </c>
      <c r="C258" s="2" t="s">
        <v>247</v>
      </c>
      <c r="D258" s="2" t="s">
        <v>2075</v>
      </c>
      <c r="E258" s="2" t="s">
        <v>1137</v>
      </c>
      <c r="F258" s="2" t="s">
        <v>1138</v>
      </c>
      <c r="G258" s="2" t="s">
        <v>2076</v>
      </c>
      <c r="H258" s="2" t="s">
        <v>2077</v>
      </c>
      <c r="I258" s="2" t="s">
        <v>1133</v>
      </c>
      <c r="J258" s="2" t="s">
        <v>2078</v>
      </c>
      <c r="K258" s="2" t="n">
        <v>4</v>
      </c>
      <c r="L258" s="2" t="n">
        <v>2236</v>
      </c>
      <c r="M258" s="2" t="n">
        <v>678</v>
      </c>
      <c r="N258" s="2" t="n">
        <v>573</v>
      </c>
      <c r="O258" s="2" t="n">
        <v>1558</v>
      </c>
      <c r="P258" s="2" t="n">
        <v>0</v>
      </c>
      <c r="Q258" s="2" t="n">
        <v>0</v>
      </c>
      <c r="R258" s="2" t="n">
        <v>0</v>
      </c>
      <c r="S258" s="2" t="n">
        <v>36</v>
      </c>
      <c r="T258" s="2" t="n">
        <v>36</v>
      </c>
      <c r="U258" s="2" t="n">
        <v>0</v>
      </c>
      <c r="V258" s="2" t="n">
        <v>0</v>
      </c>
      <c r="W258" s="2" t="n">
        <v>0</v>
      </c>
      <c r="X258" s="2" t="n">
        <v>0</v>
      </c>
      <c r="Y258" s="2" t="n">
        <v>9</v>
      </c>
      <c r="Z258" s="2" t="n">
        <v>2</v>
      </c>
      <c r="AA258" s="2" t="n">
        <v>17</v>
      </c>
      <c r="AB258" s="2" t="n">
        <v>8</v>
      </c>
      <c r="AC258" s="2"/>
    </row>
    <row r="259" customFormat="false" ht="15" hidden="false" customHeight="false" outlineLevel="0" collapsed="false">
      <c r="A259" s="2" t="n">
        <v>16</v>
      </c>
      <c r="B259" s="2" t="s">
        <v>241</v>
      </c>
      <c r="C259" s="2" t="s">
        <v>247</v>
      </c>
      <c r="D259" s="2" t="s">
        <v>2079</v>
      </c>
      <c r="E259" s="2" t="s">
        <v>1154</v>
      </c>
      <c r="F259" s="2" t="s">
        <v>1155</v>
      </c>
      <c r="G259" s="2" t="s">
        <v>432</v>
      </c>
      <c r="H259" s="2" t="s">
        <v>2080</v>
      </c>
      <c r="I259" s="2" t="s">
        <v>1133</v>
      </c>
      <c r="J259" s="2" t="s">
        <v>2081</v>
      </c>
      <c r="K259" s="2" t="n">
        <v>9</v>
      </c>
      <c r="L259" s="2" t="n">
        <v>3417</v>
      </c>
      <c r="M259" s="2" t="n">
        <v>795</v>
      </c>
      <c r="N259" s="2" t="n">
        <v>641</v>
      </c>
      <c r="O259" s="2" t="n">
        <v>1232</v>
      </c>
      <c r="P259" s="2" t="n">
        <v>1390</v>
      </c>
      <c r="Q259" s="2" t="n">
        <v>0</v>
      </c>
      <c r="R259" s="2" t="n">
        <v>0</v>
      </c>
      <c r="S259" s="2" t="n">
        <v>43</v>
      </c>
      <c r="T259" s="2" t="n">
        <v>39</v>
      </c>
      <c r="U259" s="2" t="n">
        <v>3</v>
      </c>
      <c r="V259" s="2" t="n">
        <v>0</v>
      </c>
      <c r="W259" s="2" t="n">
        <v>0</v>
      </c>
      <c r="X259" s="2" t="n">
        <v>1</v>
      </c>
      <c r="Y259" s="2" t="n">
        <v>1</v>
      </c>
      <c r="Z259" s="2" t="n">
        <v>15</v>
      </c>
      <c r="AA259" s="2" t="n">
        <v>2</v>
      </c>
      <c r="AB259" s="2" t="n">
        <v>25</v>
      </c>
      <c r="AC259" s="2"/>
    </row>
    <row r="260" customFormat="false" ht="15" hidden="false" customHeight="false" outlineLevel="0" collapsed="false">
      <c r="A260" s="2" t="n">
        <v>17</v>
      </c>
      <c r="B260" s="2" t="s">
        <v>253</v>
      </c>
      <c r="C260" s="2" t="s">
        <v>259</v>
      </c>
      <c r="D260" s="2" t="s">
        <v>2082</v>
      </c>
      <c r="E260" s="2" t="s">
        <v>1137</v>
      </c>
      <c r="F260" s="2" t="s">
        <v>2083</v>
      </c>
      <c r="G260" s="2" t="s">
        <v>262</v>
      </c>
      <c r="H260" s="2" t="s">
        <v>2084</v>
      </c>
      <c r="I260" s="2" t="s">
        <v>1133</v>
      </c>
      <c r="J260" s="2" t="s">
        <v>2085</v>
      </c>
      <c r="K260" s="2" t="n">
        <v>2</v>
      </c>
      <c r="L260" s="2" t="n">
        <v>920</v>
      </c>
      <c r="M260" s="2" t="n">
        <v>690</v>
      </c>
      <c r="N260" s="2" t="n">
        <v>585</v>
      </c>
      <c r="O260" s="2" t="n">
        <v>172</v>
      </c>
      <c r="P260" s="2" t="n">
        <v>58</v>
      </c>
      <c r="Q260" s="2" t="n">
        <v>0</v>
      </c>
      <c r="R260" s="2" t="n">
        <v>0</v>
      </c>
      <c r="S260" s="2" t="n">
        <v>5</v>
      </c>
      <c r="T260" s="2" t="n">
        <v>5</v>
      </c>
      <c r="U260" s="2" t="n">
        <v>0</v>
      </c>
      <c r="V260" s="2" t="n">
        <v>0</v>
      </c>
      <c r="W260" s="2" t="n">
        <v>0</v>
      </c>
      <c r="X260" s="2" t="n">
        <v>0</v>
      </c>
      <c r="Y260" s="2" t="n">
        <v>0</v>
      </c>
      <c r="Z260" s="2" t="n">
        <v>5</v>
      </c>
      <c r="AA260" s="2" t="n">
        <v>0</v>
      </c>
      <c r="AB260" s="2" t="n">
        <v>0</v>
      </c>
      <c r="AC260" s="2"/>
    </row>
    <row r="261" customFormat="false" ht="15" hidden="false" customHeight="false" outlineLevel="0" collapsed="false">
      <c r="A261" s="2" t="n">
        <v>17</v>
      </c>
      <c r="B261" s="2" t="s">
        <v>253</v>
      </c>
      <c r="C261" s="2" t="s">
        <v>259</v>
      </c>
      <c r="D261" s="2" t="s">
        <v>2086</v>
      </c>
      <c r="E261" s="2" t="s">
        <v>1137</v>
      </c>
      <c r="F261" s="2" t="s">
        <v>1138</v>
      </c>
      <c r="G261" s="2" t="s">
        <v>2087</v>
      </c>
      <c r="H261" s="2" t="s">
        <v>2088</v>
      </c>
      <c r="I261" s="2" t="s">
        <v>1133</v>
      </c>
      <c r="J261" s="2" t="s">
        <v>2089</v>
      </c>
      <c r="K261" s="2" t="n">
        <v>2</v>
      </c>
      <c r="L261" s="2" t="n">
        <v>1042</v>
      </c>
      <c r="M261" s="2" t="n">
        <v>938</v>
      </c>
      <c r="N261" s="2" t="n">
        <v>839</v>
      </c>
      <c r="O261" s="2" t="n">
        <v>49</v>
      </c>
      <c r="P261" s="2" t="n">
        <v>55</v>
      </c>
      <c r="Q261" s="2" t="n">
        <v>0</v>
      </c>
      <c r="R261" s="2" t="n">
        <v>0</v>
      </c>
      <c r="S261" s="2" t="n">
        <v>0</v>
      </c>
      <c r="T261" s="2" t="n">
        <v>0</v>
      </c>
      <c r="U261" s="2" t="n">
        <v>0</v>
      </c>
      <c r="V261" s="2" t="n">
        <v>0</v>
      </c>
      <c r="W261" s="2" t="n">
        <v>0</v>
      </c>
      <c r="X261" s="2" t="n">
        <v>0</v>
      </c>
      <c r="Y261" s="2" t="n">
        <v>0</v>
      </c>
      <c r="Z261" s="2" t="n">
        <v>0</v>
      </c>
      <c r="AA261" s="2" t="n">
        <v>0</v>
      </c>
      <c r="AB261" s="2" t="n">
        <v>0</v>
      </c>
      <c r="AC261" s="2"/>
    </row>
    <row r="262" customFormat="false" ht="15" hidden="false" customHeight="false" outlineLevel="0" collapsed="false">
      <c r="A262" s="2" t="n">
        <v>17</v>
      </c>
      <c r="B262" s="2" t="s">
        <v>253</v>
      </c>
      <c r="C262" s="2" t="s">
        <v>259</v>
      </c>
      <c r="D262" s="2" t="s">
        <v>2090</v>
      </c>
      <c r="E262" s="2" t="s">
        <v>1137</v>
      </c>
      <c r="F262" s="2" t="s">
        <v>2083</v>
      </c>
      <c r="G262" s="2" t="s">
        <v>2091</v>
      </c>
      <c r="H262" s="2" t="s">
        <v>2092</v>
      </c>
      <c r="I262" s="2" t="s">
        <v>1133</v>
      </c>
      <c r="J262" s="2" t="s">
        <v>2093</v>
      </c>
      <c r="K262" s="2" t="n">
        <v>3</v>
      </c>
      <c r="L262" s="2" t="n">
        <v>1205</v>
      </c>
      <c r="M262" s="2" t="n">
        <v>976</v>
      </c>
      <c r="N262" s="2" t="n">
        <v>873</v>
      </c>
      <c r="O262" s="2" t="n">
        <v>229</v>
      </c>
      <c r="P262" s="2" t="n">
        <v>0</v>
      </c>
      <c r="Q262" s="2" t="n">
        <v>0</v>
      </c>
      <c r="R262" s="2" t="n">
        <v>0</v>
      </c>
      <c r="S262" s="2" t="n">
        <v>5</v>
      </c>
      <c r="T262" s="2" t="n">
        <v>5</v>
      </c>
      <c r="U262" s="2" t="n">
        <v>0</v>
      </c>
      <c r="V262" s="2" t="n">
        <v>0</v>
      </c>
      <c r="W262" s="2" t="n">
        <v>0</v>
      </c>
      <c r="X262" s="2" t="n">
        <v>0</v>
      </c>
      <c r="Y262" s="2" t="n">
        <v>0</v>
      </c>
      <c r="Z262" s="2" t="n">
        <v>5</v>
      </c>
      <c r="AA262" s="2" t="n">
        <v>0</v>
      </c>
      <c r="AB262" s="2" t="n">
        <v>0</v>
      </c>
      <c r="AC262" s="2"/>
    </row>
    <row r="263" customFormat="false" ht="15" hidden="false" customHeight="false" outlineLevel="0" collapsed="false">
      <c r="A263" s="2" t="n">
        <v>17</v>
      </c>
      <c r="B263" s="2" t="s">
        <v>253</v>
      </c>
      <c r="C263" s="2" t="s">
        <v>259</v>
      </c>
      <c r="D263" s="2" t="s">
        <v>2094</v>
      </c>
      <c r="E263" s="2" t="s">
        <v>1137</v>
      </c>
      <c r="F263" s="2" t="s">
        <v>2083</v>
      </c>
      <c r="G263" s="2" t="s">
        <v>2095</v>
      </c>
      <c r="H263" s="2" t="s">
        <v>2096</v>
      </c>
      <c r="I263" s="2" t="s">
        <v>1133</v>
      </c>
      <c r="J263" s="2" t="s">
        <v>2097</v>
      </c>
      <c r="K263" s="2" t="n">
        <v>3</v>
      </c>
      <c r="L263" s="2" t="n">
        <v>1025</v>
      </c>
      <c r="M263" s="2" t="n">
        <v>772</v>
      </c>
      <c r="N263" s="2" t="n">
        <v>671</v>
      </c>
      <c r="O263" s="2" t="n">
        <v>253</v>
      </c>
      <c r="P263" s="2" t="n">
        <v>0</v>
      </c>
      <c r="Q263" s="2" t="n">
        <v>0</v>
      </c>
      <c r="R263" s="2" t="n">
        <v>0</v>
      </c>
      <c r="S263" s="2" t="n">
        <v>5</v>
      </c>
      <c r="T263" s="2" t="n">
        <v>5</v>
      </c>
      <c r="U263" s="2" t="n">
        <v>0</v>
      </c>
      <c r="V263" s="2" t="n">
        <v>0</v>
      </c>
      <c r="W263" s="2" t="n">
        <v>0</v>
      </c>
      <c r="X263" s="2" t="n">
        <v>0</v>
      </c>
      <c r="Y263" s="2" t="n">
        <v>0</v>
      </c>
      <c r="Z263" s="2" t="n">
        <v>5</v>
      </c>
      <c r="AA263" s="2" t="n">
        <v>0</v>
      </c>
      <c r="AB263" s="2" t="n">
        <v>0</v>
      </c>
      <c r="AC263" s="2"/>
    </row>
    <row r="264" customFormat="false" ht="15" hidden="false" customHeight="false" outlineLevel="0" collapsed="false">
      <c r="A264" s="2" t="n">
        <v>17</v>
      </c>
      <c r="B264" s="2" t="s">
        <v>253</v>
      </c>
      <c r="C264" s="2" t="s">
        <v>259</v>
      </c>
      <c r="D264" s="2" t="s">
        <v>2098</v>
      </c>
      <c r="E264" s="2" t="s">
        <v>1137</v>
      </c>
      <c r="F264" s="2" t="s">
        <v>2083</v>
      </c>
      <c r="G264" s="2" t="s">
        <v>2099</v>
      </c>
      <c r="H264" s="2" t="s">
        <v>2100</v>
      </c>
      <c r="I264" s="2" t="s">
        <v>1133</v>
      </c>
      <c r="J264" s="2" t="s">
        <v>2101</v>
      </c>
      <c r="K264" s="2" t="n">
        <v>3</v>
      </c>
      <c r="L264" s="2" t="n">
        <v>1138</v>
      </c>
      <c r="M264" s="2" t="n">
        <v>923</v>
      </c>
      <c r="N264" s="2" t="n">
        <v>823</v>
      </c>
      <c r="O264" s="2" t="n">
        <v>215</v>
      </c>
      <c r="P264" s="2" t="n">
        <v>0</v>
      </c>
      <c r="Q264" s="2" t="n">
        <v>0</v>
      </c>
      <c r="R264" s="2" t="n">
        <v>0</v>
      </c>
      <c r="S264" s="2" t="n">
        <v>5</v>
      </c>
      <c r="T264" s="2" t="n">
        <v>5</v>
      </c>
      <c r="U264" s="2" t="n">
        <v>0</v>
      </c>
      <c r="V264" s="2" t="n">
        <v>0</v>
      </c>
      <c r="W264" s="2" t="n">
        <v>0</v>
      </c>
      <c r="X264" s="2" t="n">
        <v>0</v>
      </c>
      <c r="Y264" s="2" t="n">
        <v>0</v>
      </c>
      <c r="Z264" s="2" t="n">
        <v>5</v>
      </c>
      <c r="AA264" s="2" t="n">
        <v>0</v>
      </c>
      <c r="AB264" s="2" t="n">
        <v>0</v>
      </c>
      <c r="AC264" s="2"/>
    </row>
    <row r="265" customFormat="false" ht="15" hidden="false" customHeight="false" outlineLevel="0" collapsed="false">
      <c r="A265" s="2" t="n">
        <v>17</v>
      </c>
      <c r="B265" s="2" t="s">
        <v>253</v>
      </c>
      <c r="C265" s="2" t="s">
        <v>259</v>
      </c>
      <c r="D265" s="2" t="s">
        <v>2102</v>
      </c>
      <c r="E265" s="2" t="s">
        <v>1137</v>
      </c>
      <c r="F265" s="2" t="s">
        <v>2083</v>
      </c>
      <c r="G265" s="2" t="s">
        <v>2103</v>
      </c>
      <c r="H265" s="2" t="s">
        <v>2104</v>
      </c>
      <c r="I265" s="2" t="s">
        <v>1133</v>
      </c>
      <c r="J265" s="2" t="s">
        <v>2105</v>
      </c>
      <c r="K265" s="2" t="n">
        <v>3</v>
      </c>
      <c r="L265" s="2" t="n">
        <v>1067</v>
      </c>
      <c r="M265" s="2" t="n">
        <v>858</v>
      </c>
      <c r="N265" s="2" t="n">
        <v>745</v>
      </c>
      <c r="O265" s="2" t="n">
        <v>209</v>
      </c>
      <c r="P265" s="2" t="n">
        <v>0</v>
      </c>
      <c r="Q265" s="2" t="n">
        <v>0</v>
      </c>
      <c r="R265" s="2" t="n">
        <v>0</v>
      </c>
      <c r="S265" s="2" t="n">
        <v>5</v>
      </c>
      <c r="T265" s="2" t="n">
        <v>5</v>
      </c>
      <c r="U265" s="2" t="n">
        <v>0</v>
      </c>
      <c r="V265" s="2" t="n">
        <v>0</v>
      </c>
      <c r="W265" s="2" t="n">
        <v>0</v>
      </c>
      <c r="X265" s="2" t="n">
        <v>0</v>
      </c>
      <c r="Y265" s="2" t="n">
        <v>0</v>
      </c>
      <c r="Z265" s="2" t="n">
        <v>5</v>
      </c>
      <c r="AA265" s="2" t="n">
        <v>0</v>
      </c>
      <c r="AB265" s="2" t="n">
        <v>0</v>
      </c>
      <c r="AC265" s="2"/>
    </row>
    <row r="266" customFormat="false" ht="15" hidden="false" customHeight="false" outlineLevel="0" collapsed="false">
      <c r="A266" s="2" t="n">
        <v>17</v>
      </c>
      <c r="B266" s="2" t="s">
        <v>253</v>
      </c>
      <c r="C266" s="2" t="s">
        <v>259</v>
      </c>
      <c r="D266" s="2" t="s">
        <v>2106</v>
      </c>
      <c r="E266" s="2" t="s">
        <v>1137</v>
      </c>
      <c r="F266" s="2" t="s">
        <v>2083</v>
      </c>
      <c r="G266" s="2" t="s">
        <v>2103</v>
      </c>
      <c r="H266" s="2" t="s">
        <v>2107</v>
      </c>
      <c r="I266" s="2" t="s">
        <v>1133</v>
      </c>
      <c r="J266" s="2" t="s">
        <v>2108</v>
      </c>
      <c r="K266" s="2" t="n">
        <v>3</v>
      </c>
      <c r="L266" s="2" t="n">
        <v>911</v>
      </c>
      <c r="M266" s="2" t="n">
        <v>708</v>
      </c>
      <c r="N266" s="2" t="n">
        <v>595</v>
      </c>
      <c r="O266" s="2" t="n">
        <v>203</v>
      </c>
      <c r="P266" s="2" t="n">
        <v>0</v>
      </c>
      <c r="Q266" s="2" t="n">
        <v>0</v>
      </c>
      <c r="R266" s="2" t="n">
        <v>0</v>
      </c>
      <c r="S266" s="2" t="n">
        <v>5</v>
      </c>
      <c r="T266" s="2" t="n">
        <v>5</v>
      </c>
      <c r="U266" s="2" t="n">
        <v>0</v>
      </c>
      <c r="V266" s="2" t="n">
        <v>0</v>
      </c>
      <c r="W266" s="2" t="n">
        <v>0</v>
      </c>
      <c r="X266" s="2" t="n">
        <v>0</v>
      </c>
      <c r="Y266" s="2" t="n">
        <v>0</v>
      </c>
      <c r="Z266" s="2" t="n">
        <v>5</v>
      </c>
      <c r="AA266" s="2" t="n">
        <v>0</v>
      </c>
      <c r="AB266" s="2" t="n">
        <v>0</v>
      </c>
      <c r="AC266" s="2"/>
    </row>
    <row r="267" customFormat="false" ht="15" hidden="false" customHeight="false" outlineLevel="0" collapsed="false">
      <c r="A267" s="2" t="n">
        <v>17</v>
      </c>
      <c r="B267" s="2" t="s">
        <v>253</v>
      </c>
      <c r="C267" s="2" t="s">
        <v>259</v>
      </c>
      <c r="D267" s="2" t="s">
        <v>2109</v>
      </c>
      <c r="E267" s="2" t="s">
        <v>1137</v>
      </c>
      <c r="F267" s="2" t="s">
        <v>2083</v>
      </c>
      <c r="G267" s="2" t="s">
        <v>2103</v>
      </c>
      <c r="H267" s="2" t="s">
        <v>2110</v>
      </c>
      <c r="I267" s="2" t="s">
        <v>1133</v>
      </c>
      <c r="J267" s="2" t="s">
        <v>2111</v>
      </c>
      <c r="K267" s="2" t="n">
        <v>3</v>
      </c>
      <c r="L267" s="2" t="n">
        <v>1144</v>
      </c>
      <c r="M267" s="2" t="n">
        <v>916</v>
      </c>
      <c r="N267" s="2" t="n">
        <v>792</v>
      </c>
      <c r="O267" s="2" t="n">
        <v>228</v>
      </c>
      <c r="P267" s="2" t="n">
        <v>0</v>
      </c>
      <c r="Q267" s="2" t="n">
        <v>0</v>
      </c>
      <c r="R267" s="2" t="n">
        <v>0</v>
      </c>
      <c r="S267" s="2" t="n">
        <v>5</v>
      </c>
      <c r="T267" s="2" t="n">
        <v>5</v>
      </c>
      <c r="U267" s="2" t="n">
        <v>0</v>
      </c>
      <c r="V267" s="2" t="n">
        <v>0</v>
      </c>
      <c r="W267" s="2" t="n">
        <v>0</v>
      </c>
      <c r="X267" s="2" t="n">
        <v>0</v>
      </c>
      <c r="Y267" s="2" t="n">
        <v>0</v>
      </c>
      <c r="Z267" s="2" t="n">
        <v>5</v>
      </c>
      <c r="AA267" s="2" t="n">
        <v>0</v>
      </c>
      <c r="AB267" s="2" t="n">
        <v>0</v>
      </c>
      <c r="AC267" s="2"/>
    </row>
    <row r="268" customFormat="false" ht="15" hidden="false" customHeight="false" outlineLevel="0" collapsed="false">
      <c r="A268" s="2" t="n">
        <v>17</v>
      </c>
      <c r="B268" s="2" t="s">
        <v>253</v>
      </c>
      <c r="C268" s="2" t="s">
        <v>259</v>
      </c>
      <c r="D268" s="2" t="s">
        <v>2112</v>
      </c>
      <c r="E268" s="2" t="s">
        <v>1137</v>
      </c>
      <c r="F268" s="2" t="s">
        <v>2083</v>
      </c>
      <c r="G268" s="2" t="s">
        <v>2113</v>
      </c>
      <c r="H268" s="2" t="s">
        <v>2114</v>
      </c>
      <c r="I268" s="2" t="s">
        <v>1133</v>
      </c>
      <c r="J268" s="2" t="s">
        <v>2115</v>
      </c>
      <c r="K268" s="2" t="n">
        <v>3</v>
      </c>
      <c r="L268" s="2" t="n">
        <v>1129</v>
      </c>
      <c r="M268" s="2" t="n">
        <v>945</v>
      </c>
      <c r="N268" s="2" t="n">
        <v>827</v>
      </c>
      <c r="O268" s="2" t="n">
        <v>184</v>
      </c>
      <c r="P268" s="2" t="n">
        <v>0</v>
      </c>
      <c r="Q268" s="2" t="n">
        <v>0</v>
      </c>
      <c r="R268" s="2" t="n">
        <v>0</v>
      </c>
      <c r="S268" s="2" t="n">
        <v>5</v>
      </c>
      <c r="T268" s="2" t="n">
        <v>5</v>
      </c>
      <c r="U268" s="2" t="n">
        <v>0</v>
      </c>
      <c r="V268" s="2" t="n">
        <v>0</v>
      </c>
      <c r="W268" s="2" t="n">
        <v>0</v>
      </c>
      <c r="X268" s="2" t="n">
        <v>0</v>
      </c>
      <c r="Y268" s="2" t="n">
        <v>0</v>
      </c>
      <c r="Z268" s="2" t="n">
        <v>5</v>
      </c>
      <c r="AA268" s="2" t="n">
        <v>0</v>
      </c>
      <c r="AB268" s="2" t="n">
        <v>0</v>
      </c>
      <c r="AC268" s="2"/>
    </row>
    <row r="269" customFormat="false" ht="15" hidden="false" customHeight="false" outlineLevel="0" collapsed="false">
      <c r="A269" s="2" t="n">
        <v>17</v>
      </c>
      <c r="B269" s="2" t="s">
        <v>253</v>
      </c>
      <c r="C269" s="2" t="s">
        <v>259</v>
      </c>
      <c r="D269" s="2" t="s">
        <v>2116</v>
      </c>
      <c r="E269" s="2" t="s">
        <v>1137</v>
      </c>
      <c r="F269" s="2" t="s">
        <v>2083</v>
      </c>
      <c r="G269" s="2" t="s">
        <v>2117</v>
      </c>
      <c r="H269" s="2" t="s">
        <v>2118</v>
      </c>
      <c r="I269" s="2" t="s">
        <v>1133</v>
      </c>
      <c r="J269" s="2" t="s">
        <v>2119</v>
      </c>
      <c r="K269" s="2" t="n">
        <v>3</v>
      </c>
      <c r="L269" s="2" t="n">
        <v>1217</v>
      </c>
      <c r="M269" s="2" t="n">
        <v>995</v>
      </c>
      <c r="N269" s="2" t="n">
        <v>882</v>
      </c>
      <c r="O269" s="2" t="n">
        <v>222</v>
      </c>
      <c r="P269" s="2" t="n">
        <v>0</v>
      </c>
      <c r="Q269" s="2" t="n">
        <v>0</v>
      </c>
      <c r="R269" s="2" t="n">
        <v>0</v>
      </c>
      <c r="S269" s="2" t="n">
        <v>5</v>
      </c>
      <c r="T269" s="2" t="n">
        <v>5</v>
      </c>
      <c r="U269" s="2" t="n">
        <v>0</v>
      </c>
      <c r="V269" s="2" t="n">
        <v>0</v>
      </c>
      <c r="W269" s="2" t="n">
        <v>0</v>
      </c>
      <c r="X269" s="2" t="n">
        <v>0</v>
      </c>
      <c r="Y269" s="2" t="n">
        <v>0</v>
      </c>
      <c r="Z269" s="2" t="n">
        <v>5</v>
      </c>
      <c r="AA269" s="2" t="n">
        <v>0</v>
      </c>
      <c r="AB269" s="2" t="n">
        <v>0</v>
      </c>
      <c r="AC269" s="2"/>
    </row>
    <row r="270" customFormat="false" ht="15" hidden="false" customHeight="false" outlineLevel="0" collapsed="false">
      <c r="A270" s="2" t="n">
        <v>17</v>
      </c>
      <c r="B270" s="2" t="s">
        <v>253</v>
      </c>
      <c r="C270" s="2" t="s">
        <v>259</v>
      </c>
      <c r="D270" s="2" t="s">
        <v>2120</v>
      </c>
      <c r="E270" s="2" t="s">
        <v>1137</v>
      </c>
      <c r="F270" s="2" t="s">
        <v>2083</v>
      </c>
      <c r="G270" s="2" t="s">
        <v>2121</v>
      </c>
      <c r="H270" s="2" t="s">
        <v>2122</v>
      </c>
      <c r="I270" s="2" t="s">
        <v>1133</v>
      </c>
      <c r="J270" s="2" t="s">
        <v>2123</v>
      </c>
      <c r="K270" s="2" t="n">
        <v>3</v>
      </c>
      <c r="L270" s="2" t="n">
        <v>1005</v>
      </c>
      <c r="M270" s="2" t="n">
        <v>805</v>
      </c>
      <c r="N270" s="2" t="n">
        <v>691</v>
      </c>
      <c r="O270" s="2" t="n">
        <v>200</v>
      </c>
      <c r="P270" s="2" t="n">
        <v>0</v>
      </c>
      <c r="Q270" s="2" t="n">
        <v>0</v>
      </c>
      <c r="R270" s="2" t="n">
        <v>0</v>
      </c>
      <c r="S270" s="2" t="n">
        <v>5</v>
      </c>
      <c r="T270" s="2" t="n">
        <v>5</v>
      </c>
      <c r="U270" s="2" t="n">
        <v>0</v>
      </c>
      <c r="V270" s="2" t="n">
        <v>0</v>
      </c>
      <c r="W270" s="2" t="n">
        <v>0</v>
      </c>
      <c r="X270" s="2" t="n">
        <v>0</v>
      </c>
      <c r="Y270" s="2" t="n">
        <v>0</v>
      </c>
      <c r="Z270" s="2" t="n">
        <v>5</v>
      </c>
      <c r="AA270" s="2" t="n">
        <v>0</v>
      </c>
      <c r="AB270" s="2" t="n">
        <v>0</v>
      </c>
      <c r="AC270" s="2"/>
    </row>
    <row r="271" customFormat="false" ht="15" hidden="false" customHeight="false" outlineLevel="0" collapsed="false">
      <c r="A271" s="2" t="n">
        <v>17</v>
      </c>
      <c r="B271" s="2" t="s">
        <v>253</v>
      </c>
      <c r="C271" s="2" t="s">
        <v>259</v>
      </c>
      <c r="D271" s="2" t="s">
        <v>2124</v>
      </c>
      <c r="E271" s="2" t="s">
        <v>1137</v>
      </c>
      <c r="F271" s="2" t="s">
        <v>2083</v>
      </c>
      <c r="G271" s="2" t="s">
        <v>2125</v>
      </c>
      <c r="H271" s="2" t="s">
        <v>2126</v>
      </c>
      <c r="I271" s="2" t="s">
        <v>1133</v>
      </c>
      <c r="J271" s="2" t="s">
        <v>2127</v>
      </c>
      <c r="K271" s="2" t="n">
        <v>3</v>
      </c>
      <c r="L271" s="2" t="n">
        <v>974</v>
      </c>
      <c r="M271" s="2" t="n">
        <v>765</v>
      </c>
      <c r="N271" s="2" t="n">
        <v>654</v>
      </c>
      <c r="O271" s="2" t="n">
        <v>209</v>
      </c>
      <c r="P271" s="2" t="n">
        <v>0</v>
      </c>
      <c r="Q271" s="2" t="n">
        <v>0</v>
      </c>
      <c r="R271" s="2" t="n">
        <v>0</v>
      </c>
      <c r="S271" s="2" t="n">
        <v>5</v>
      </c>
      <c r="T271" s="2" t="n">
        <v>5</v>
      </c>
      <c r="U271" s="2" t="n">
        <v>0</v>
      </c>
      <c r="V271" s="2" t="n">
        <v>0</v>
      </c>
      <c r="W271" s="2" t="n">
        <v>0</v>
      </c>
      <c r="X271" s="2" t="n">
        <v>0</v>
      </c>
      <c r="Y271" s="2" t="n">
        <v>0</v>
      </c>
      <c r="Z271" s="2" t="n">
        <v>5</v>
      </c>
      <c r="AA271" s="2" t="n">
        <v>0</v>
      </c>
      <c r="AB271" s="2" t="n">
        <v>0</v>
      </c>
      <c r="AC271" s="2"/>
    </row>
    <row r="272" customFormat="false" ht="15" hidden="false" customHeight="false" outlineLevel="0" collapsed="false">
      <c r="A272" s="2" t="n">
        <v>17</v>
      </c>
      <c r="B272" s="2" t="s">
        <v>253</v>
      </c>
      <c r="C272" s="2" t="s">
        <v>259</v>
      </c>
      <c r="D272" s="2" t="s">
        <v>2128</v>
      </c>
      <c r="E272" s="2" t="s">
        <v>1137</v>
      </c>
      <c r="F272" s="2" t="s">
        <v>2083</v>
      </c>
      <c r="G272" s="2" t="s">
        <v>2129</v>
      </c>
      <c r="H272" s="2" t="s">
        <v>2130</v>
      </c>
      <c r="I272" s="2" t="s">
        <v>1133</v>
      </c>
      <c r="J272" s="2" t="s">
        <v>2131</v>
      </c>
      <c r="K272" s="2" t="n">
        <v>3</v>
      </c>
      <c r="L272" s="2" t="n">
        <v>1055</v>
      </c>
      <c r="M272" s="2" t="n">
        <v>846</v>
      </c>
      <c r="N272" s="2" t="n">
        <v>732</v>
      </c>
      <c r="O272" s="2" t="n">
        <v>209</v>
      </c>
      <c r="P272" s="2" t="n">
        <v>0</v>
      </c>
      <c r="Q272" s="2" t="n">
        <v>0</v>
      </c>
      <c r="R272" s="2" t="n">
        <v>0</v>
      </c>
      <c r="S272" s="2" t="n">
        <v>5</v>
      </c>
      <c r="T272" s="2" t="n">
        <v>5</v>
      </c>
      <c r="U272" s="2" t="n">
        <v>0</v>
      </c>
      <c r="V272" s="2" t="n">
        <v>0</v>
      </c>
      <c r="W272" s="2" t="n">
        <v>0</v>
      </c>
      <c r="X272" s="2" t="n">
        <v>0</v>
      </c>
      <c r="Y272" s="2" t="n">
        <v>0</v>
      </c>
      <c r="Z272" s="2" t="n">
        <v>5</v>
      </c>
      <c r="AA272" s="2" t="n">
        <v>0</v>
      </c>
      <c r="AB272" s="2" t="n">
        <v>0</v>
      </c>
      <c r="AC272" s="2"/>
    </row>
    <row r="273" customFormat="false" ht="15" hidden="false" customHeight="false" outlineLevel="0" collapsed="false">
      <c r="A273" s="2" t="n">
        <v>17</v>
      </c>
      <c r="B273" s="2" t="s">
        <v>253</v>
      </c>
      <c r="C273" s="2" t="s">
        <v>259</v>
      </c>
      <c r="D273" s="2" t="s">
        <v>2132</v>
      </c>
      <c r="E273" s="2" t="s">
        <v>1137</v>
      </c>
      <c r="F273" s="2" t="s">
        <v>2083</v>
      </c>
      <c r="G273" s="2" t="s">
        <v>2133</v>
      </c>
      <c r="H273" s="2" t="s">
        <v>2134</v>
      </c>
      <c r="I273" s="2" t="s">
        <v>1133</v>
      </c>
      <c r="J273" s="2" t="s">
        <v>2135</v>
      </c>
      <c r="K273" s="2" t="n">
        <v>4</v>
      </c>
      <c r="L273" s="2" t="n">
        <v>1513</v>
      </c>
      <c r="M273" s="2" t="n">
        <v>1280</v>
      </c>
      <c r="N273" s="2" t="n">
        <v>1171</v>
      </c>
      <c r="O273" s="2" t="n">
        <v>233</v>
      </c>
      <c r="P273" s="2" t="n">
        <v>0</v>
      </c>
      <c r="Q273" s="2" t="n">
        <v>0</v>
      </c>
      <c r="R273" s="2" t="n">
        <v>0</v>
      </c>
      <c r="S273" s="2" t="n">
        <v>5</v>
      </c>
      <c r="T273" s="2" t="n">
        <v>5</v>
      </c>
      <c r="U273" s="2" t="n">
        <v>0</v>
      </c>
      <c r="V273" s="2" t="n">
        <v>0</v>
      </c>
      <c r="W273" s="2" t="n">
        <v>0</v>
      </c>
      <c r="X273" s="2" t="n">
        <v>0</v>
      </c>
      <c r="Y273" s="2" t="n">
        <v>0</v>
      </c>
      <c r="Z273" s="2" t="n">
        <v>5</v>
      </c>
      <c r="AA273" s="2" t="n">
        <v>0</v>
      </c>
      <c r="AB273" s="2" t="n">
        <v>0</v>
      </c>
      <c r="AC273" s="2"/>
    </row>
    <row r="274" customFormat="false" ht="15" hidden="false" customHeight="false" outlineLevel="0" collapsed="false">
      <c r="A274" s="2" t="n">
        <v>17</v>
      </c>
      <c r="B274" s="2" t="s">
        <v>253</v>
      </c>
      <c r="C274" s="2" t="s">
        <v>259</v>
      </c>
      <c r="D274" s="2" t="s">
        <v>2136</v>
      </c>
      <c r="E274" s="2" t="s">
        <v>1137</v>
      </c>
      <c r="F274" s="2" t="s">
        <v>2083</v>
      </c>
      <c r="G274" s="2" t="s">
        <v>2137</v>
      </c>
      <c r="H274" s="2" t="s">
        <v>2138</v>
      </c>
      <c r="I274" s="2" t="s">
        <v>1133</v>
      </c>
      <c r="J274" s="2" t="s">
        <v>2139</v>
      </c>
      <c r="K274" s="2" t="n">
        <v>5</v>
      </c>
      <c r="L274" s="2" t="n">
        <v>1450</v>
      </c>
      <c r="M274" s="2" t="n">
        <v>912</v>
      </c>
      <c r="N274" s="2" t="n">
        <v>807</v>
      </c>
      <c r="O274" s="2" t="n">
        <v>169</v>
      </c>
      <c r="P274" s="2" t="n">
        <v>369</v>
      </c>
      <c r="Q274" s="2" t="n">
        <v>0</v>
      </c>
      <c r="R274" s="2" t="n">
        <v>0</v>
      </c>
      <c r="S274" s="2" t="n">
        <v>5</v>
      </c>
      <c r="T274" s="2" t="n">
        <v>5</v>
      </c>
      <c r="U274" s="2" t="n">
        <v>0</v>
      </c>
      <c r="V274" s="2" t="n">
        <v>0</v>
      </c>
      <c r="W274" s="2" t="n">
        <v>0</v>
      </c>
      <c r="X274" s="2" t="n">
        <v>0</v>
      </c>
      <c r="Y274" s="2" t="n">
        <v>0</v>
      </c>
      <c r="Z274" s="2" t="n">
        <v>5</v>
      </c>
      <c r="AA274" s="2" t="n">
        <v>0</v>
      </c>
      <c r="AB274" s="2" t="n">
        <v>0</v>
      </c>
      <c r="AC274" s="2"/>
    </row>
    <row r="275" customFormat="false" ht="15" hidden="false" customHeight="false" outlineLevel="0" collapsed="false">
      <c r="A275" s="2" t="n">
        <v>17</v>
      </c>
      <c r="B275" s="2" t="s">
        <v>253</v>
      </c>
      <c r="C275" s="2" t="s">
        <v>259</v>
      </c>
      <c r="D275" s="2" t="s">
        <v>2140</v>
      </c>
      <c r="E275" s="2" t="s">
        <v>1137</v>
      </c>
      <c r="F275" s="2" t="s">
        <v>2083</v>
      </c>
      <c r="G275" s="2" t="s">
        <v>2137</v>
      </c>
      <c r="H275" s="2" t="s">
        <v>2141</v>
      </c>
      <c r="I275" s="2" t="s">
        <v>1133</v>
      </c>
      <c r="J275" s="2" t="s">
        <v>2142</v>
      </c>
      <c r="K275" s="2" t="n">
        <v>4</v>
      </c>
      <c r="L275" s="2" t="n">
        <v>1195</v>
      </c>
      <c r="M275" s="2" t="n">
        <v>965</v>
      </c>
      <c r="N275" s="2" t="n">
        <v>860</v>
      </c>
      <c r="O275" s="2" t="n">
        <v>169</v>
      </c>
      <c r="P275" s="2" t="n">
        <v>61</v>
      </c>
      <c r="Q275" s="2" t="n">
        <v>0</v>
      </c>
      <c r="R275" s="2" t="n">
        <v>0</v>
      </c>
      <c r="S275" s="2" t="n">
        <v>5</v>
      </c>
      <c r="T275" s="2" t="n">
        <v>5</v>
      </c>
      <c r="U275" s="2" t="n">
        <v>0</v>
      </c>
      <c r="V275" s="2" t="n">
        <v>0</v>
      </c>
      <c r="W275" s="2" t="n">
        <v>0</v>
      </c>
      <c r="X275" s="2" t="n">
        <v>0</v>
      </c>
      <c r="Y275" s="2" t="n">
        <v>0</v>
      </c>
      <c r="Z275" s="2" t="n">
        <v>5</v>
      </c>
      <c r="AA275" s="2" t="n">
        <v>0</v>
      </c>
      <c r="AB275" s="2" t="n">
        <v>0</v>
      </c>
      <c r="AC275" s="2"/>
    </row>
    <row r="276" customFormat="false" ht="15" hidden="false" customHeight="false" outlineLevel="0" collapsed="false">
      <c r="A276" s="2" t="n">
        <v>17</v>
      </c>
      <c r="B276" s="2" t="s">
        <v>253</v>
      </c>
      <c r="C276" s="2" t="s">
        <v>259</v>
      </c>
      <c r="D276" s="2" t="s">
        <v>2143</v>
      </c>
      <c r="E276" s="2" t="s">
        <v>1137</v>
      </c>
      <c r="F276" s="2" t="s">
        <v>2083</v>
      </c>
      <c r="G276" s="2" t="s">
        <v>2144</v>
      </c>
      <c r="H276" s="2" t="s">
        <v>2145</v>
      </c>
      <c r="I276" s="2" t="s">
        <v>1133</v>
      </c>
      <c r="J276" s="2" t="s">
        <v>2146</v>
      </c>
      <c r="K276" s="2" t="n">
        <v>4</v>
      </c>
      <c r="L276" s="2" t="n">
        <v>1446</v>
      </c>
      <c r="M276" s="2" t="n">
        <v>1239</v>
      </c>
      <c r="N276" s="2" t="n">
        <v>1143</v>
      </c>
      <c r="O276" s="2" t="n">
        <v>207</v>
      </c>
      <c r="P276" s="2" t="n">
        <v>0</v>
      </c>
      <c r="Q276" s="2" t="n">
        <v>0</v>
      </c>
      <c r="R276" s="2" t="n">
        <v>0</v>
      </c>
      <c r="S276" s="2" t="n">
        <v>5</v>
      </c>
      <c r="T276" s="2" t="n">
        <v>5</v>
      </c>
      <c r="U276" s="2" t="n">
        <v>0</v>
      </c>
      <c r="V276" s="2" t="n">
        <v>0</v>
      </c>
      <c r="W276" s="2" t="n">
        <v>0</v>
      </c>
      <c r="X276" s="2" t="n">
        <v>0</v>
      </c>
      <c r="Y276" s="2" t="n">
        <v>0</v>
      </c>
      <c r="Z276" s="2" t="n">
        <v>5</v>
      </c>
      <c r="AA276" s="2" t="n">
        <v>0</v>
      </c>
      <c r="AB276" s="2" t="n">
        <v>0</v>
      </c>
      <c r="AC276" s="2"/>
    </row>
    <row r="277" customFormat="false" ht="15" hidden="false" customHeight="false" outlineLevel="0" collapsed="false">
      <c r="A277" s="2" t="n">
        <v>17</v>
      </c>
      <c r="B277" s="2" t="s">
        <v>253</v>
      </c>
      <c r="C277" s="2" t="s">
        <v>259</v>
      </c>
      <c r="D277" s="2" t="s">
        <v>2147</v>
      </c>
      <c r="E277" s="2" t="s">
        <v>1154</v>
      </c>
      <c r="F277" s="2" t="s">
        <v>1178</v>
      </c>
      <c r="G277" s="2" t="s">
        <v>2148</v>
      </c>
      <c r="H277" s="2" t="s">
        <v>2149</v>
      </c>
      <c r="I277" s="2" t="s">
        <v>1133</v>
      </c>
      <c r="J277" s="2" t="s">
        <v>2150</v>
      </c>
      <c r="K277" s="2" t="n">
        <v>4</v>
      </c>
      <c r="L277" s="2" t="n">
        <v>1678</v>
      </c>
      <c r="M277" s="2" t="n">
        <v>1504</v>
      </c>
      <c r="N277" s="2" t="n">
        <v>1396</v>
      </c>
      <c r="O277" s="2" t="n">
        <v>42</v>
      </c>
      <c r="P277" s="2" t="n">
        <v>132</v>
      </c>
      <c r="Q277" s="2" t="n">
        <v>0</v>
      </c>
      <c r="R277" s="2" t="n">
        <v>0</v>
      </c>
      <c r="S277" s="2" t="n">
        <v>0</v>
      </c>
      <c r="T277" s="2" t="n">
        <v>0</v>
      </c>
      <c r="U277" s="2" t="n">
        <v>0</v>
      </c>
      <c r="V277" s="2" t="n">
        <v>0</v>
      </c>
      <c r="W277" s="2" t="n">
        <v>0</v>
      </c>
      <c r="X277" s="2" t="n">
        <v>0</v>
      </c>
      <c r="Y277" s="2" t="n">
        <v>0</v>
      </c>
      <c r="Z277" s="2" t="n">
        <v>0</v>
      </c>
      <c r="AA277" s="2" t="n">
        <v>0</v>
      </c>
      <c r="AB277" s="2" t="n">
        <v>0</v>
      </c>
      <c r="AC277" s="2"/>
    </row>
    <row r="278" customFormat="false" ht="15" hidden="false" customHeight="false" outlineLevel="0" collapsed="false">
      <c r="A278" s="2" t="n">
        <v>17</v>
      </c>
      <c r="B278" s="2" t="s">
        <v>253</v>
      </c>
      <c r="C278" s="2" t="s">
        <v>259</v>
      </c>
      <c r="D278" s="2" t="s">
        <v>2151</v>
      </c>
      <c r="E278" s="2" t="s">
        <v>1137</v>
      </c>
      <c r="F278" s="2" t="s">
        <v>2083</v>
      </c>
      <c r="G278" s="2" t="s">
        <v>263</v>
      </c>
      <c r="H278" s="2" t="s">
        <v>2152</v>
      </c>
      <c r="I278" s="2" t="s">
        <v>1133</v>
      </c>
      <c r="J278" s="2" t="s">
        <v>2153</v>
      </c>
      <c r="K278" s="2" t="n">
        <v>5</v>
      </c>
      <c r="L278" s="2" t="n">
        <v>2441</v>
      </c>
      <c r="M278" s="2" t="n">
        <v>2225</v>
      </c>
      <c r="N278" s="2" t="n">
        <v>2124</v>
      </c>
      <c r="O278" s="2" t="n">
        <v>216</v>
      </c>
      <c r="P278" s="2" t="n">
        <v>0</v>
      </c>
      <c r="Q278" s="2" t="n">
        <v>0</v>
      </c>
      <c r="R278" s="2" t="n">
        <v>0</v>
      </c>
      <c r="S278" s="2" t="n">
        <v>5</v>
      </c>
      <c r="T278" s="2" t="n">
        <v>5</v>
      </c>
      <c r="U278" s="2" t="n">
        <v>0</v>
      </c>
      <c r="V278" s="2" t="n">
        <v>0</v>
      </c>
      <c r="W278" s="2" t="n">
        <v>0</v>
      </c>
      <c r="X278" s="2" t="n">
        <v>0</v>
      </c>
      <c r="Y278" s="2" t="n">
        <v>0</v>
      </c>
      <c r="Z278" s="2" t="n">
        <v>5</v>
      </c>
      <c r="AA278" s="2" t="n">
        <v>0</v>
      </c>
      <c r="AB278" s="2" t="n">
        <v>0</v>
      </c>
      <c r="AC278" s="2"/>
    </row>
    <row r="279" customFormat="false" ht="15" hidden="false" customHeight="false" outlineLevel="0" collapsed="false">
      <c r="A279" s="2" t="n">
        <v>18</v>
      </c>
      <c r="B279" s="2" t="s">
        <v>265</v>
      </c>
      <c r="C279" s="2" t="s">
        <v>270</v>
      </c>
      <c r="D279" s="2" t="s">
        <v>2154</v>
      </c>
      <c r="E279" s="2" t="s">
        <v>1129</v>
      </c>
      <c r="F279" s="2" t="s">
        <v>1169</v>
      </c>
      <c r="G279" s="2" t="s">
        <v>1170</v>
      </c>
      <c r="H279" s="2" t="s">
        <v>2155</v>
      </c>
      <c r="I279" s="2" t="s">
        <v>1133</v>
      </c>
      <c r="J279" s="2" t="s">
        <v>2156</v>
      </c>
      <c r="K279" s="2" t="n">
        <v>85</v>
      </c>
      <c r="L279" s="2" t="n">
        <v>54187</v>
      </c>
      <c r="M279" s="2" t="n">
        <v>0</v>
      </c>
      <c r="N279" s="2" t="n">
        <v>0</v>
      </c>
      <c r="O279" s="2" t="n">
        <v>1086</v>
      </c>
      <c r="P279" s="2" t="n">
        <v>53101</v>
      </c>
      <c r="Q279" s="2" t="n">
        <v>0</v>
      </c>
      <c r="R279" s="2" t="n">
        <v>0</v>
      </c>
      <c r="S279" s="2" t="n">
        <v>243</v>
      </c>
      <c r="T279" s="2" t="n">
        <v>179</v>
      </c>
      <c r="U279" s="2" t="n">
        <v>20</v>
      </c>
      <c r="V279" s="2" t="n">
        <v>1</v>
      </c>
      <c r="W279" s="2" t="n">
        <v>36</v>
      </c>
      <c r="X279" s="2" t="n">
        <v>7</v>
      </c>
      <c r="Y279" s="2" t="n">
        <v>141</v>
      </c>
      <c r="Z279" s="2" t="n">
        <v>22</v>
      </c>
      <c r="AA279" s="2" t="n">
        <v>3</v>
      </c>
      <c r="AB279" s="2" t="n">
        <v>77</v>
      </c>
      <c r="AC279" s="2" t="s">
        <v>1135</v>
      </c>
    </row>
    <row r="280" customFormat="false" ht="15" hidden="false" customHeight="false" outlineLevel="0" collapsed="false">
      <c r="A280" s="2" t="n">
        <v>18</v>
      </c>
      <c r="B280" s="2" t="s">
        <v>265</v>
      </c>
      <c r="C280" s="2" t="s">
        <v>270</v>
      </c>
      <c r="D280" s="2" t="s">
        <v>2157</v>
      </c>
      <c r="E280" s="2" t="s">
        <v>1154</v>
      </c>
      <c r="F280" s="2" t="s">
        <v>1155</v>
      </c>
      <c r="G280" s="2" t="s">
        <v>2158</v>
      </c>
      <c r="H280" s="2" t="s">
        <v>2159</v>
      </c>
      <c r="I280" s="2" t="s">
        <v>1133</v>
      </c>
      <c r="J280" s="2" t="s">
        <v>2160</v>
      </c>
      <c r="K280" s="2" t="n">
        <v>10</v>
      </c>
      <c r="L280" s="2" t="n">
        <v>2265</v>
      </c>
      <c r="M280" s="2" t="n">
        <v>1376</v>
      </c>
      <c r="N280" s="2" t="n">
        <v>1236</v>
      </c>
      <c r="O280" s="2" t="n">
        <v>130</v>
      </c>
      <c r="P280" s="2" t="n">
        <v>759</v>
      </c>
      <c r="Q280" s="2" t="n">
        <v>0</v>
      </c>
      <c r="R280" s="2" t="n">
        <v>0</v>
      </c>
      <c r="S280" s="2" t="n">
        <v>13</v>
      </c>
      <c r="T280" s="2" t="n">
        <v>13</v>
      </c>
      <c r="U280" s="2" t="n">
        <v>0</v>
      </c>
      <c r="V280" s="2" t="n">
        <v>0</v>
      </c>
      <c r="W280" s="2" t="n">
        <v>0</v>
      </c>
      <c r="X280" s="2" t="n">
        <v>0</v>
      </c>
      <c r="Y280" s="2" t="n">
        <v>0</v>
      </c>
      <c r="Z280" s="2" t="n">
        <v>0</v>
      </c>
      <c r="AA280" s="2" t="n">
        <v>0</v>
      </c>
      <c r="AB280" s="2" t="n">
        <v>13</v>
      </c>
      <c r="AC280" s="2"/>
    </row>
    <row r="281" customFormat="false" ht="15" hidden="false" customHeight="false" outlineLevel="0" collapsed="false">
      <c r="A281" s="2" t="n">
        <v>19</v>
      </c>
      <c r="B281" s="2" t="s">
        <v>275</v>
      </c>
      <c r="C281" s="2" t="s">
        <v>280</v>
      </c>
      <c r="D281" s="2" t="s">
        <v>2161</v>
      </c>
      <c r="E281" s="2" t="s">
        <v>1154</v>
      </c>
      <c r="F281" s="2" t="s">
        <v>1155</v>
      </c>
      <c r="G281" s="2" t="s">
        <v>2162</v>
      </c>
      <c r="H281" s="2" t="s">
        <v>2163</v>
      </c>
      <c r="I281" s="2" t="s">
        <v>1133</v>
      </c>
      <c r="J281" s="2" t="s">
        <v>2164</v>
      </c>
      <c r="K281" s="2" t="n">
        <v>5</v>
      </c>
      <c r="L281" s="2" t="n">
        <v>1228</v>
      </c>
      <c r="M281" s="2" t="n">
        <v>346</v>
      </c>
      <c r="N281" s="2" t="n">
        <v>246</v>
      </c>
      <c r="O281" s="2" t="n">
        <v>312</v>
      </c>
      <c r="P281" s="2" t="n">
        <v>570</v>
      </c>
      <c r="Q281" s="2" t="n">
        <v>0</v>
      </c>
      <c r="R281" s="2" t="n">
        <v>0</v>
      </c>
      <c r="S281" s="2" t="n">
        <v>5</v>
      </c>
      <c r="T281" s="2" t="n">
        <v>5</v>
      </c>
      <c r="U281" s="2" t="n">
        <v>0</v>
      </c>
      <c r="V281" s="2" t="n">
        <v>0</v>
      </c>
      <c r="W281" s="2" t="n">
        <v>0</v>
      </c>
      <c r="X281" s="2" t="n">
        <v>0</v>
      </c>
      <c r="Y281" s="2" t="n">
        <v>0</v>
      </c>
      <c r="Z281" s="2" t="n">
        <v>0</v>
      </c>
      <c r="AA281" s="2" t="n">
        <v>0</v>
      </c>
      <c r="AB281" s="2" t="n">
        <v>5</v>
      </c>
      <c r="AC281" s="2"/>
    </row>
    <row r="282" customFormat="false" ht="15" hidden="false" customHeight="false" outlineLevel="0" collapsed="false">
      <c r="A282" s="2" t="n">
        <v>19</v>
      </c>
      <c r="B282" s="2" t="s">
        <v>275</v>
      </c>
      <c r="C282" s="2" t="s">
        <v>280</v>
      </c>
      <c r="D282" s="2" t="s">
        <v>2165</v>
      </c>
      <c r="E282" s="2" t="s">
        <v>1154</v>
      </c>
      <c r="F282" s="2" t="s">
        <v>1155</v>
      </c>
      <c r="G282" s="2" t="s">
        <v>2166</v>
      </c>
      <c r="H282" s="2" t="s">
        <v>2167</v>
      </c>
      <c r="I282" s="2" t="s">
        <v>1133</v>
      </c>
      <c r="J282" s="2" t="s">
        <v>2168</v>
      </c>
      <c r="K282" s="2" t="n">
        <v>5</v>
      </c>
      <c r="L282" s="2" t="n">
        <v>1265</v>
      </c>
      <c r="M282" s="2" t="n">
        <v>294</v>
      </c>
      <c r="N282" s="2" t="n">
        <v>192</v>
      </c>
      <c r="O282" s="2" t="n">
        <v>118</v>
      </c>
      <c r="P282" s="2" t="n">
        <v>853</v>
      </c>
      <c r="Q282" s="2" t="n">
        <v>0</v>
      </c>
      <c r="R282" s="2" t="n">
        <v>0</v>
      </c>
      <c r="S282" s="2" t="n">
        <v>1</v>
      </c>
      <c r="T282" s="2" t="n">
        <v>0</v>
      </c>
      <c r="U282" s="2" t="n">
        <v>0</v>
      </c>
      <c r="V282" s="2" t="n">
        <v>0</v>
      </c>
      <c r="W282" s="2" t="n">
        <v>1</v>
      </c>
      <c r="X282" s="2" t="n">
        <v>0</v>
      </c>
      <c r="Y282" s="2" t="n">
        <v>0</v>
      </c>
      <c r="Z282" s="2" t="n">
        <v>0</v>
      </c>
      <c r="AA282" s="2" t="n">
        <v>0</v>
      </c>
      <c r="AB282" s="2" t="n">
        <v>1</v>
      </c>
      <c r="AC282" s="2"/>
    </row>
    <row r="283" customFormat="false" ht="15" hidden="false" customHeight="false" outlineLevel="0" collapsed="false">
      <c r="A283" s="2" t="n">
        <v>19</v>
      </c>
      <c r="B283" s="2" t="s">
        <v>275</v>
      </c>
      <c r="C283" s="2" t="s">
        <v>280</v>
      </c>
      <c r="D283" s="2" t="s">
        <v>2169</v>
      </c>
      <c r="E283" s="2" t="s">
        <v>1154</v>
      </c>
      <c r="F283" s="2" t="s">
        <v>1155</v>
      </c>
      <c r="G283" s="2" t="s">
        <v>2170</v>
      </c>
      <c r="H283" s="2" t="s">
        <v>2171</v>
      </c>
      <c r="I283" s="2" t="s">
        <v>1133</v>
      </c>
      <c r="J283" s="2" t="s">
        <v>2172</v>
      </c>
      <c r="K283" s="2" t="n">
        <v>27</v>
      </c>
      <c r="L283" s="2" t="n">
        <v>7350</v>
      </c>
      <c r="M283" s="2" t="n">
        <v>779</v>
      </c>
      <c r="N283" s="2" t="n">
        <v>670</v>
      </c>
      <c r="O283" s="2" t="n">
        <v>445</v>
      </c>
      <c r="P283" s="2" t="n">
        <v>6126</v>
      </c>
      <c r="Q283" s="2" t="n">
        <v>0</v>
      </c>
      <c r="R283" s="2" t="n">
        <v>0</v>
      </c>
      <c r="S283" s="2" t="n">
        <v>23</v>
      </c>
      <c r="T283" s="2" t="n">
        <v>16</v>
      </c>
      <c r="U283" s="2" t="n">
        <v>0</v>
      </c>
      <c r="V283" s="2" t="n">
        <v>0</v>
      </c>
      <c r="W283" s="2" t="n">
        <v>7</v>
      </c>
      <c r="X283" s="2" t="n">
        <v>0</v>
      </c>
      <c r="Y283" s="2" t="n">
        <v>2</v>
      </c>
      <c r="Z283" s="2" t="n">
        <v>0</v>
      </c>
      <c r="AA283" s="2" t="n">
        <v>0</v>
      </c>
      <c r="AB283" s="2" t="n">
        <v>21</v>
      </c>
      <c r="AC283" s="2"/>
    </row>
    <row r="284" customFormat="false" ht="15" hidden="false" customHeight="false" outlineLevel="0" collapsed="false">
      <c r="A284" s="2" t="n">
        <v>19</v>
      </c>
      <c r="B284" s="2" t="s">
        <v>275</v>
      </c>
      <c r="C284" s="2" t="s">
        <v>280</v>
      </c>
      <c r="D284" s="2" t="s">
        <v>2173</v>
      </c>
      <c r="E284" s="2" t="s">
        <v>1154</v>
      </c>
      <c r="F284" s="2" t="s">
        <v>1155</v>
      </c>
      <c r="G284" s="2" t="s">
        <v>2174</v>
      </c>
      <c r="H284" s="2" t="s">
        <v>2175</v>
      </c>
      <c r="I284" s="2" t="s">
        <v>1133</v>
      </c>
      <c r="J284" s="2" t="s">
        <v>2176</v>
      </c>
      <c r="K284" s="2" t="n">
        <v>3</v>
      </c>
      <c r="L284" s="2" t="n">
        <v>672</v>
      </c>
      <c r="M284" s="2" t="n">
        <v>273</v>
      </c>
      <c r="N284" s="2" t="n">
        <v>171</v>
      </c>
      <c r="O284" s="2" t="n">
        <v>335</v>
      </c>
      <c r="P284" s="2" t="n">
        <v>64</v>
      </c>
      <c r="Q284" s="2" t="n">
        <v>0</v>
      </c>
      <c r="R284" s="2" t="n">
        <v>0</v>
      </c>
      <c r="S284" s="2" t="n">
        <v>0</v>
      </c>
      <c r="T284" s="2" t="n">
        <v>0</v>
      </c>
      <c r="U284" s="2" t="n">
        <v>0</v>
      </c>
      <c r="V284" s="2" t="n">
        <v>0</v>
      </c>
      <c r="W284" s="2" t="n">
        <v>0</v>
      </c>
      <c r="X284" s="2" t="n">
        <v>0</v>
      </c>
      <c r="Y284" s="2" t="n">
        <v>0</v>
      </c>
      <c r="Z284" s="2" t="n">
        <v>0</v>
      </c>
      <c r="AA284" s="2" t="n">
        <v>0</v>
      </c>
      <c r="AB284" s="2" t="n">
        <v>0</v>
      </c>
      <c r="AC284" s="2"/>
    </row>
    <row r="285" customFormat="false" ht="15" hidden="false" customHeight="false" outlineLevel="0" collapsed="false">
      <c r="A285" s="2" t="n">
        <v>19</v>
      </c>
      <c r="B285" s="2" t="s">
        <v>275</v>
      </c>
      <c r="C285" s="2" t="s">
        <v>280</v>
      </c>
      <c r="D285" s="2" t="s">
        <v>2177</v>
      </c>
      <c r="E285" s="2" t="s">
        <v>1154</v>
      </c>
      <c r="F285" s="2" t="s">
        <v>1155</v>
      </c>
      <c r="G285" s="2" t="s">
        <v>2178</v>
      </c>
      <c r="H285" s="2" t="s">
        <v>2179</v>
      </c>
      <c r="I285" s="2" t="s">
        <v>1133</v>
      </c>
      <c r="J285" s="2" t="s">
        <v>2180</v>
      </c>
      <c r="K285" s="2" t="n">
        <v>5</v>
      </c>
      <c r="L285" s="2" t="n">
        <v>1755</v>
      </c>
      <c r="M285" s="2" t="n">
        <v>275</v>
      </c>
      <c r="N285" s="2" t="n">
        <v>151</v>
      </c>
      <c r="O285" s="2" t="n">
        <v>415</v>
      </c>
      <c r="P285" s="2" t="n">
        <v>1065</v>
      </c>
      <c r="Q285" s="2" t="n">
        <v>0</v>
      </c>
      <c r="R285" s="2" t="n">
        <v>0</v>
      </c>
      <c r="S285" s="2" t="n">
        <v>4</v>
      </c>
      <c r="T285" s="2" t="n">
        <v>0</v>
      </c>
      <c r="U285" s="2" t="n">
        <v>0</v>
      </c>
      <c r="V285" s="2" t="n">
        <v>0</v>
      </c>
      <c r="W285" s="2" t="n">
        <v>4</v>
      </c>
      <c r="X285" s="2" t="n">
        <v>0</v>
      </c>
      <c r="Y285" s="2" t="n">
        <v>0</v>
      </c>
      <c r="Z285" s="2" t="n">
        <v>0</v>
      </c>
      <c r="AA285" s="2" t="n">
        <v>0</v>
      </c>
      <c r="AB285" s="2" t="n">
        <v>4</v>
      </c>
      <c r="AC285" s="2"/>
    </row>
    <row r="286" customFormat="false" ht="15" hidden="false" customHeight="false" outlineLevel="0" collapsed="false">
      <c r="A286" s="2" t="n">
        <v>19</v>
      </c>
      <c r="B286" s="2" t="s">
        <v>275</v>
      </c>
      <c r="C286" s="2" t="s">
        <v>280</v>
      </c>
      <c r="D286" s="2" t="s">
        <v>2181</v>
      </c>
      <c r="E286" s="2" t="s">
        <v>1154</v>
      </c>
      <c r="F286" s="2" t="s">
        <v>1155</v>
      </c>
      <c r="G286" s="2" t="s">
        <v>2182</v>
      </c>
      <c r="H286" s="2" t="s">
        <v>2183</v>
      </c>
      <c r="I286" s="2" t="s">
        <v>1133</v>
      </c>
      <c r="J286" s="2" t="s">
        <v>2184</v>
      </c>
      <c r="K286" s="2" t="n">
        <v>3</v>
      </c>
      <c r="L286" s="2" t="n">
        <v>647</v>
      </c>
      <c r="M286" s="2" t="n">
        <v>371</v>
      </c>
      <c r="N286" s="2" t="n">
        <v>274</v>
      </c>
      <c r="O286" s="2" t="n">
        <v>219</v>
      </c>
      <c r="P286" s="2" t="n">
        <v>57</v>
      </c>
      <c r="Q286" s="2" t="n">
        <v>0</v>
      </c>
      <c r="R286" s="2" t="n">
        <v>0</v>
      </c>
      <c r="S286" s="2" t="n">
        <v>1</v>
      </c>
      <c r="T286" s="2" t="n">
        <v>0</v>
      </c>
      <c r="U286" s="2" t="n">
        <v>0</v>
      </c>
      <c r="V286" s="2" t="n">
        <v>0</v>
      </c>
      <c r="W286" s="2" t="n">
        <v>1</v>
      </c>
      <c r="X286" s="2" t="n">
        <v>0</v>
      </c>
      <c r="Y286" s="2" t="n">
        <v>0</v>
      </c>
      <c r="Z286" s="2" t="n">
        <v>0</v>
      </c>
      <c r="AA286" s="2" t="n">
        <v>0</v>
      </c>
      <c r="AB286" s="2" t="n">
        <v>1</v>
      </c>
      <c r="AC286" s="2"/>
    </row>
    <row r="287" customFormat="false" ht="15" hidden="false" customHeight="false" outlineLevel="0" collapsed="false">
      <c r="A287" s="2" t="n">
        <v>19</v>
      </c>
      <c r="B287" s="2" t="s">
        <v>275</v>
      </c>
      <c r="C287" s="2" t="s">
        <v>280</v>
      </c>
      <c r="D287" s="2" t="s">
        <v>2185</v>
      </c>
      <c r="E287" s="2" t="s">
        <v>1154</v>
      </c>
      <c r="F287" s="2" t="s">
        <v>1155</v>
      </c>
      <c r="G287" s="2" t="s">
        <v>2186</v>
      </c>
      <c r="H287" s="2" t="s">
        <v>2187</v>
      </c>
      <c r="I287" s="2" t="s">
        <v>1133</v>
      </c>
      <c r="J287" s="2" t="s">
        <v>2188</v>
      </c>
      <c r="K287" s="2" t="n">
        <v>65</v>
      </c>
      <c r="L287" s="2" t="n">
        <v>12962</v>
      </c>
      <c r="M287" s="2" t="n">
        <v>436</v>
      </c>
      <c r="N287" s="2" t="n">
        <v>320</v>
      </c>
      <c r="O287" s="2" t="n">
        <v>615</v>
      </c>
      <c r="P287" s="2" t="n">
        <v>11911</v>
      </c>
      <c r="Q287" s="2" t="n">
        <v>0</v>
      </c>
      <c r="R287" s="2" t="n">
        <v>0</v>
      </c>
      <c r="S287" s="2" t="n">
        <v>40</v>
      </c>
      <c r="T287" s="2" t="n">
        <v>23</v>
      </c>
      <c r="U287" s="2" t="n">
        <v>3</v>
      </c>
      <c r="V287" s="2" t="n">
        <v>0</v>
      </c>
      <c r="W287" s="2" t="n">
        <v>14</v>
      </c>
      <c r="X287" s="2" t="n">
        <v>0</v>
      </c>
      <c r="Y287" s="2" t="n">
        <v>13</v>
      </c>
      <c r="Z287" s="2" t="n">
        <v>2</v>
      </c>
      <c r="AA287" s="2" t="n">
        <v>0</v>
      </c>
      <c r="AB287" s="2" t="n">
        <v>25</v>
      </c>
      <c r="AC287" s="2"/>
    </row>
    <row r="288" customFormat="false" ht="15" hidden="false" customHeight="false" outlineLevel="0" collapsed="false">
      <c r="A288" s="2" t="n">
        <v>19</v>
      </c>
      <c r="B288" s="2" t="s">
        <v>275</v>
      </c>
      <c r="C288" s="2" t="s">
        <v>280</v>
      </c>
      <c r="D288" s="2" t="s">
        <v>2189</v>
      </c>
      <c r="E288" s="2" t="s">
        <v>1154</v>
      </c>
      <c r="F288" s="2" t="s">
        <v>1155</v>
      </c>
      <c r="G288" s="2" t="s">
        <v>2190</v>
      </c>
      <c r="H288" s="2" t="s">
        <v>2191</v>
      </c>
      <c r="I288" s="2" t="s">
        <v>1133</v>
      </c>
      <c r="J288" s="2" t="s">
        <v>2192</v>
      </c>
      <c r="K288" s="2" t="n">
        <v>4</v>
      </c>
      <c r="L288" s="2" t="n">
        <v>1785</v>
      </c>
      <c r="M288" s="2" t="n">
        <v>781</v>
      </c>
      <c r="N288" s="2" t="n">
        <v>668</v>
      </c>
      <c r="O288" s="2" t="n">
        <v>1004</v>
      </c>
      <c r="P288" s="2" t="n">
        <v>0</v>
      </c>
      <c r="Q288" s="2" t="n">
        <v>0</v>
      </c>
      <c r="R288" s="2" t="n">
        <v>0</v>
      </c>
      <c r="S288" s="2" t="n">
        <v>10</v>
      </c>
      <c r="T288" s="2" t="n">
        <v>8</v>
      </c>
      <c r="U288" s="2" t="n">
        <v>0</v>
      </c>
      <c r="V288" s="2" t="n">
        <v>0</v>
      </c>
      <c r="W288" s="2" t="n">
        <v>2</v>
      </c>
      <c r="X288" s="2" t="n">
        <v>0</v>
      </c>
      <c r="Y288" s="2" t="n">
        <v>0</v>
      </c>
      <c r="Z288" s="2" t="n">
        <v>2</v>
      </c>
      <c r="AA288" s="2" t="n">
        <v>7</v>
      </c>
      <c r="AB288" s="2" t="n">
        <v>1</v>
      </c>
      <c r="AC288" s="2"/>
    </row>
    <row r="289" customFormat="false" ht="15" hidden="false" customHeight="false" outlineLevel="0" collapsed="false">
      <c r="A289" s="2" t="n">
        <v>19</v>
      </c>
      <c r="B289" s="2" t="s">
        <v>275</v>
      </c>
      <c r="C289" s="2" t="s">
        <v>280</v>
      </c>
      <c r="D289" s="2" t="s">
        <v>2193</v>
      </c>
      <c r="E289" s="2" t="s">
        <v>1154</v>
      </c>
      <c r="F289" s="2" t="s">
        <v>1155</v>
      </c>
      <c r="G289" s="2" t="s">
        <v>2194</v>
      </c>
      <c r="H289" s="2" t="s">
        <v>2195</v>
      </c>
      <c r="I289" s="2" t="s">
        <v>1133</v>
      </c>
      <c r="J289" s="2" t="s">
        <v>2196</v>
      </c>
      <c r="K289" s="2" t="n">
        <v>3</v>
      </c>
      <c r="L289" s="2" t="n">
        <v>1547</v>
      </c>
      <c r="M289" s="2" t="n">
        <v>1344</v>
      </c>
      <c r="N289" s="2" t="n">
        <v>1229</v>
      </c>
      <c r="O289" s="2" t="n">
        <v>203</v>
      </c>
      <c r="P289" s="2" t="n">
        <v>0</v>
      </c>
      <c r="Q289" s="2" t="n">
        <v>0</v>
      </c>
      <c r="R289" s="2" t="n">
        <v>0</v>
      </c>
      <c r="S289" s="2" t="n">
        <v>1</v>
      </c>
      <c r="T289" s="2" t="n">
        <v>0</v>
      </c>
      <c r="U289" s="2" t="n">
        <v>0</v>
      </c>
      <c r="V289" s="2" t="n">
        <v>0</v>
      </c>
      <c r="W289" s="2" t="n">
        <v>1</v>
      </c>
      <c r="X289" s="2" t="n">
        <v>0</v>
      </c>
      <c r="Y289" s="2" t="n">
        <v>0</v>
      </c>
      <c r="Z289" s="2" t="n">
        <v>0</v>
      </c>
      <c r="AA289" s="2" t="n">
        <v>0</v>
      </c>
      <c r="AB289" s="2" t="n">
        <v>1</v>
      </c>
      <c r="AC289" s="2"/>
    </row>
    <row r="290" customFormat="false" ht="15" hidden="false" customHeight="false" outlineLevel="0" collapsed="false">
      <c r="A290" s="2" t="n">
        <v>19</v>
      </c>
      <c r="B290" s="2" t="s">
        <v>275</v>
      </c>
      <c r="C290" s="2" t="s">
        <v>280</v>
      </c>
      <c r="D290" s="2" t="s">
        <v>2197</v>
      </c>
      <c r="E290" s="2" t="s">
        <v>1154</v>
      </c>
      <c r="F290" s="2" t="s">
        <v>1155</v>
      </c>
      <c r="G290" s="2" t="s">
        <v>2198</v>
      </c>
      <c r="H290" s="2" t="s">
        <v>2199</v>
      </c>
      <c r="I290" s="2" t="s">
        <v>1133</v>
      </c>
      <c r="J290" s="2" t="s">
        <v>2200</v>
      </c>
      <c r="K290" s="2" t="n">
        <v>4</v>
      </c>
      <c r="L290" s="2" t="n">
        <v>1970</v>
      </c>
      <c r="M290" s="2" t="n">
        <v>1559</v>
      </c>
      <c r="N290" s="2" t="n">
        <v>1445</v>
      </c>
      <c r="O290" s="2" t="n">
        <v>411</v>
      </c>
      <c r="P290" s="2" t="n">
        <v>0</v>
      </c>
      <c r="Q290" s="2" t="n">
        <v>0</v>
      </c>
      <c r="R290" s="2" t="n">
        <v>0</v>
      </c>
      <c r="S290" s="2" t="n">
        <v>1</v>
      </c>
      <c r="T290" s="2" t="n">
        <v>0</v>
      </c>
      <c r="U290" s="2" t="n">
        <v>0</v>
      </c>
      <c r="V290" s="2" t="n">
        <v>0</v>
      </c>
      <c r="W290" s="2" t="n">
        <v>1</v>
      </c>
      <c r="X290" s="2" t="n">
        <v>0</v>
      </c>
      <c r="Y290" s="2" t="n">
        <v>0</v>
      </c>
      <c r="Z290" s="2" t="n">
        <v>0</v>
      </c>
      <c r="AA290" s="2" t="n">
        <v>0</v>
      </c>
      <c r="AB290" s="2" t="n">
        <v>1</v>
      </c>
      <c r="AC290" s="2"/>
    </row>
    <row r="291" customFormat="false" ht="15" hidden="false" customHeight="false" outlineLevel="0" collapsed="false">
      <c r="A291" s="2" t="n">
        <v>19</v>
      </c>
      <c r="B291" s="2" t="s">
        <v>275</v>
      </c>
      <c r="C291" s="2" t="s">
        <v>280</v>
      </c>
      <c r="D291" s="2" t="s">
        <v>2201</v>
      </c>
      <c r="E291" s="2" t="s">
        <v>1154</v>
      </c>
      <c r="F291" s="2" t="s">
        <v>1155</v>
      </c>
      <c r="G291" s="2" t="s">
        <v>2202</v>
      </c>
      <c r="H291" s="2" t="s">
        <v>2203</v>
      </c>
      <c r="I291" s="2" t="s">
        <v>1133</v>
      </c>
      <c r="J291" s="2" t="s">
        <v>2204</v>
      </c>
      <c r="K291" s="2" t="n">
        <v>4</v>
      </c>
      <c r="L291" s="2" t="n">
        <v>1622</v>
      </c>
      <c r="M291" s="2" t="n">
        <v>1387</v>
      </c>
      <c r="N291" s="2" t="n">
        <v>1274</v>
      </c>
      <c r="O291" s="2" t="n">
        <v>235</v>
      </c>
      <c r="P291" s="2" t="n">
        <v>0</v>
      </c>
      <c r="Q291" s="2" t="n">
        <v>0</v>
      </c>
      <c r="R291" s="2" t="n">
        <v>0</v>
      </c>
      <c r="S291" s="2" t="n">
        <v>1</v>
      </c>
      <c r="T291" s="2" t="n">
        <v>0</v>
      </c>
      <c r="U291" s="2" t="n">
        <v>0</v>
      </c>
      <c r="V291" s="2" t="n">
        <v>0</v>
      </c>
      <c r="W291" s="2" t="n">
        <v>1</v>
      </c>
      <c r="X291" s="2" t="n">
        <v>0</v>
      </c>
      <c r="Y291" s="2" t="n">
        <v>0</v>
      </c>
      <c r="Z291" s="2" t="n">
        <v>0</v>
      </c>
      <c r="AA291" s="2" t="n">
        <v>0</v>
      </c>
      <c r="AB291" s="2" t="n">
        <v>1</v>
      </c>
      <c r="AC291" s="2"/>
    </row>
    <row r="292" customFormat="false" ht="15" hidden="false" customHeight="false" outlineLevel="0" collapsed="false">
      <c r="A292" s="2" t="n">
        <v>19</v>
      </c>
      <c r="B292" s="2" t="s">
        <v>275</v>
      </c>
      <c r="C292" s="2" t="s">
        <v>280</v>
      </c>
      <c r="D292" s="2" t="s">
        <v>2205</v>
      </c>
      <c r="E292" s="2" t="s">
        <v>1154</v>
      </c>
      <c r="F292" s="2" t="s">
        <v>1155</v>
      </c>
      <c r="G292" s="2" t="s">
        <v>2206</v>
      </c>
      <c r="H292" s="2" t="s">
        <v>2207</v>
      </c>
      <c r="I292" s="2" t="s">
        <v>1133</v>
      </c>
      <c r="J292" s="2" t="s">
        <v>2208</v>
      </c>
      <c r="K292" s="2" t="n">
        <v>3</v>
      </c>
      <c r="L292" s="2" t="n">
        <v>717</v>
      </c>
      <c r="M292" s="2" t="n">
        <v>409</v>
      </c>
      <c r="N292" s="2" t="n">
        <v>260</v>
      </c>
      <c r="O292" s="2" t="n">
        <v>109</v>
      </c>
      <c r="P292" s="2" t="n">
        <v>199</v>
      </c>
      <c r="Q292" s="2" t="n">
        <v>0</v>
      </c>
      <c r="R292" s="2" t="n">
        <v>0</v>
      </c>
      <c r="S292" s="2" t="n">
        <v>0</v>
      </c>
      <c r="T292" s="2" t="n">
        <v>0</v>
      </c>
      <c r="U292" s="2" t="n">
        <v>0</v>
      </c>
      <c r="V292" s="2" t="n">
        <v>0</v>
      </c>
      <c r="W292" s="2" t="n">
        <v>0</v>
      </c>
      <c r="X292" s="2" t="n">
        <v>0</v>
      </c>
      <c r="Y292" s="2" t="n">
        <v>0</v>
      </c>
      <c r="Z292" s="2" t="n">
        <v>0</v>
      </c>
      <c r="AA292" s="2" t="n">
        <v>0</v>
      </c>
      <c r="AB292" s="2" t="n">
        <v>0</v>
      </c>
      <c r="AC292" s="2"/>
    </row>
    <row r="293" customFormat="false" ht="15" hidden="false" customHeight="false" outlineLevel="0" collapsed="false">
      <c r="A293" s="2" t="n">
        <v>19</v>
      </c>
      <c r="B293" s="2" t="s">
        <v>275</v>
      </c>
      <c r="C293" s="2" t="s">
        <v>280</v>
      </c>
      <c r="D293" s="2" t="s">
        <v>2209</v>
      </c>
      <c r="E293" s="2" t="s">
        <v>1154</v>
      </c>
      <c r="F293" s="2" t="s">
        <v>1155</v>
      </c>
      <c r="G293" s="2" t="s">
        <v>2210</v>
      </c>
      <c r="H293" s="2" t="s">
        <v>2211</v>
      </c>
      <c r="I293" s="2" t="s">
        <v>1133</v>
      </c>
      <c r="J293" s="2" t="s">
        <v>2212</v>
      </c>
      <c r="K293" s="2" t="n">
        <v>92</v>
      </c>
      <c r="L293" s="2" t="n">
        <v>13988</v>
      </c>
      <c r="M293" s="2" t="n">
        <v>254</v>
      </c>
      <c r="N293" s="2" t="n">
        <v>143</v>
      </c>
      <c r="O293" s="2" t="n">
        <v>109</v>
      </c>
      <c r="P293" s="2" t="n">
        <v>13625</v>
      </c>
      <c r="Q293" s="2" t="n">
        <v>0</v>
      </c>
      <c r="R293" s="2" t="n">
        <v>0</v>
      </c>
      <c r="S293" s="2" t="n">
        <v>0</v>
      </c>
      <c r="T293" s="2" t="n">
        <v>0</v>
      </c>
      <c r="U293" s="2" t="n">
        <v>0</v>
      </c>
      <c r="V293" s="2" t="n">
        <v>0</v>
      </c>
      <c r="W293" s="2" t="n">
        <v>0</v>
      </c>
      <c r="X293" s="2" t="n">
        <v>0</v>
      </c>
      <c r="Y293" s="2" t="n">
        <v>0</v>
      </c>
      <c r="Z293" s="2" t="n">
        <v>0</v>
      </c>
      <c r="AA293" s="2" t="n">
        <v>0</v>
      </c>
      <c r="AB293" s="2" t="n">
        <v>0</v>
      </c>
      <c r="AC293" s="2"/>
    </row>
    <row r="294" customFormat="false" ht="15" hidden="false" customHeight="false" outlineLevel="0" collapsed="false">
      <c r="A294" s="2" t="n">
        <v>19</v>
      </c>
      <c r="B294" s="2" t="s">
        <v>275</v>
      </c>
      <c r="C294" s="2" t="s">
        <v>280</v>
      </c>
      <c r="D294" s="2" t="s">
        <v>2213</v>
      </c>
      <c r="E294" s="2" t="s">
        <v>1154</v>
      </c>
      <c r="F294" s="2" t="s">
        <v>1155</v>
      </c>
      <c r="G294" s="2" t="s">
        <v>2214</v>
      </c>
      <c r="H294" s="2" t="s">
        <v>2215</v>
      </c>
      <c r="I294" s="2" t="s">
        <v>1133</v>
      </c>
      <c r="J294" s="2" t="s">
        <v>2216</v>
      </c>
      <c r="K294" s="2" t="n">
        <v>135</v>
      </c>
      <c r="L294" s="2" t="n">
        <v>17396</v>
      </c>
      <c r="M294" s="2" t="n">
        <v>453</v>
      </c>
      <c r="N294" s="2" t="n">
        <v>319</v>
      </c>
      <c r="O294" s="2" t="n">
        <v>508</v>
      </c>
      <c r="P294" s="2" t="n">
        <v>16435</v>
      </c>
      <c r="Q294" s="2" t="n">
        <v>0</v>
      </c>
      <c r="R294" s="2" t="n">
        <v>0</v>
      </c>
      <c r="S294" s="2" t="n">
        <v>13</v>
      </c>
      <c r="T294" s="2" t="n">
        <v>9</v>
      </c>
      <c r="U294" s="2" t="n">
        <v>1</v>
      </c>
      <c r="V294" s="2" t="n">
        <v>0</v>
      </c>
      <c r="W294" s="2" t="n">
        <v>3</v>
      </c>
      <c r="X294" s="2" t="n">
        <v>0</v>
      </c>
      <c r="Y294" s="2" t="n">
        <v>3</v>
      </c>
      <c r="Z294" s="2" t="n">
        <v>3</v>
      </c>
      <c r="AA294" s="2" t="n">
        <v>0</v>
      </c>
      <c r="AB294" s="2" t="n">
        <v>7</v>
      </c>
      <c r="AC294" s="2"/>
    </row>
    <row r="295" customFormat="false" ht="15" hidden="false" customHeight="false" outlineLevel="0" collapsed="false">
      <c r="A295" s="2" t="n">
        <v>20</v>
      </c>
      <c r="B295" s="2" t="s">
        <v>286</v>
      </c>
      <c r="C295" s="2" t="s">
        <v>292</v>
      </c>
      <c r="D295" s="2" t="s">
        <v>2217</v>
      </c>
      <c r="E295" s="2" t="s">
        <v>1129</v>
      </c>
      <c r="F295" s="2" t="s">
        <v>1360</v>
      </c>
      <c r="G295" s="2" t="s">
        <v>2218</v>
      </c>
      <c r="H295" s="2" t="s">
        <v>2219</v>
      </c>
      <c r="I295" s="2" t="s">
        <v>1133</v>
      </c>
      <c r="J295" s="2" t="s">
        <v>2220</v>
      </c>
      <c r="K295" s="2" t="n">
        <v>18</v>
      </c>
      <c r="L295" s="2" t="n">
        <v>8197</v>
      </c>
      <c r="M295" s="2" t="n">
        <v>0</v>
      </c>
      <c r="N295" s="2" t="n">
        <v>0</v>
      </c>
      <c r="O295" s="2" t="n">
        <v>8197</v>
      </c>
      <c r="P295" s="2" t="n">
        <v>0</v>
      </c>
      <c r="Q295" s="2" t="n">
        <v>0</v>
      </c>
      <c r="R295" s="2" t="n">
        <v>0</v>
      </c>
      <c r="S295" s="2" t="n">
        <v>20</v>
      </c>
      <c r="T295" s="2" t="n">
        <v>12</v>
      </c>
      <c r="U295" s="2" t="n">
        <v>2</v>
      </c>
      <c r="V295" s="2" t="n">
        <v>0</v>
      </c>
      <c r="W295" s="2" t="n">
        <v>6</v>
      </c>
      <c r="X295" s="2" t="n">
        <v>0</v>
      </c>
      <c r="Y295" s="2" t="n">
        <v>6</v>
      </c>
      <c r="Z295" s="2" t="n">
        <v>5</v>
      </c>
      <c r="AA295" s="2" t="n">
        <v>5</v>
      </c>
      <c r="AB295" s="2" t="n">
        <v>4</v>
      </c>
      <c r="AC295" s="2" t="s">
        <v>1135</v>
      </c>
    </row>
    <row r="296" customFormat="false" ht="15" hidden="false" customHeight="false" outlineLevel="0" collapsed="false">
      <c r="A296" s="2" t="n">
        <v>20</v>
      </c>
      <c r="B296" s="2" t="s">
        <v>286</v>
      </c>
      <c r="C296" s="2" t="s">
        <v>292</v>
      </c>
      <c r="D296" s="2" t="s">
        <v>2221</v>
      </c>
      <c r="E296" s="2" t="s">
        <v>1154</v>
      </c>
      <c r="F296" s="2" t="s">
        <v>1178</v>
      </c>
      <c r="G296" s="2" t="s">
        <v>2222</v>
      </c>
      <c r="H296" s="2" t="s">
        <v>2223</v>
      </c>
      <c r="I296" s="2" t="s">
        <v>1406</v>
      </c>
      <c r="J296" s="2" t="s">
        <v>2224</v>
      </c>
      <c r="K296" s="2" t="n">
        <v>58</v>
      </c>
      <c r="L296" s="2" t="n">
        <v>36592</v>
      </c>
      <c r="M296" s="2" t="n">
        <v>20945</v>
      </c>
      <c r="N296" s="2" t="n">
        <v>0</v>
      </c>
      <c r="O296" s="2" t="n">
        <v>692</v>
      </c>
      <c r="P296" s="2" t="n">
        <v>14955</v>
      </c>
      <c r="Q296" s="2" t="n">
        <v>0</v>
      </c>
      <c r="R296" s="2" t="n">
        <v>0</v>
      </c>
      <c r="S296" s="2" t="n">
        <v>108</v>
      </c>
      <c r="T296" s="2" t="n">
        <v>75</v>
      </c>
      <c r="U296" s="2" t="n">
        <v>16</v>
      </c>
      <c r="V296" s="2" t="n">
        <v>6</v>
      </c>
      <c r="W296" s="2" t="n">
        <v>11</v>
      </c>
      <c r="X296" s="2" t="n">
        <v>0</v>
      </c>
      <c r="Y296" s="2" t="n">
        <v>39</v>
      </c>
      <c r="Z296" s="2" t="n">
        <v>7</v>
      </c>
      <c r="AA296" s="2" t="n">
        <v>19</v>
      </c>
      <c r="AB296" s="2" t="n">
        <v>43</v>
      </c>
      <c r="AC296" s="2"/>
    </row>
    <row r="297" customFormat="false" ht="15" hidden="false" customHeight="false" outlineLevel="0" collapsed="false">
      <c r="A297" s="2" t="n">
        <v>20</v>
      </c>
      <c r="B297" s="2" t="s">
        <v>286</v>
      </c>
      <c r="C297" s="2" t="s">
        <v>292</v>
      </c>
      <c r="D297" s="2" t="s">
        <v>2225</v>
      </c>
      <c r="E297" s="2" t="s">
        <v>1129</v>
      </c>
      <c r="F297" s="2" t="s">
        <v>1360</v>
      </c>
      <c r="G297" s="2" t="s">
        <v>2226</v>
      </c>
      <c r="H297" s="2" t="s">
        <v>2227</v>
      </c>
      <c r="I297" s="2" t="s">
        <v>1133</v>
      </c>
      <c r="J297" s="2" t="s">
        <v>2228</v>
      </c>
      <c r="K297" s="2" t="n">
        <v>19</v>
      </c>
      <c r="L297" s="2" t="n">
        <v>8979</v>
      </c>
      <c r="M297" s="2" t="n">
        <v>0</v>
      </c>
      <c r="N297" s="2" t="n">
        <v>0</v>
      </c>
      <c r="O297" s="2" t="n">
        <v>8979</v>
      </c>
      <c r="P297" s="2" t="n">
        <v>0</v>
      </c>
      <c r="Q297" s="2" t="n">
        <v>0</v>
      </c>
      <c r="R297" s="2" t="n">
        <v>0</v>
      </c>
      <c r="S297" s="2" t="n">
        <v>4</v>
      </c>
      <c r="T297" s="2" t="n">
        <v>3</v>
      </c>
      <c r="U297" s="2" t="n">
        <v>0</v>
      </c>
      <c r="V297" s="2" t="n">
        <v>0</v>
      </c>
      <c r="W297" s="2" t="n">
        <v>1</v>
      </c>
      <c r="X297" s="2" t="n">
        <v>0</v>
      </c>
      <c r="Y297" s="2" t="n">
        <v>0</v>
      </c>
      <c r="Z297" s="2" t="n">
        <v>1</v>
      </c>
      <c r="AA297" s="2" t="n">
        <v>1</v>
      </c>
      <c r="AB297" s="2" t="n">
        <v>2</v>
      </c>
      <c r="AC297" s="2" t="s">
        <v>1135</v>
      </c>
    </row>
    <row r="298" customFormat="false" ht="15" hidden="false" customHeight="false" outlineLevel="0" collapsed="false">
      <c r="A298" s="2" t="n">
        <v>20</v>
      </c>
      <c r="B298" s="2" t="s">
        <v>286</v>
      </c>
      <c r="C298" s="2" t="s">
        <v>292</v>
      </c>
      <c r="D298" s="2" t="s">
        <v>2229</v>
      </c>
      <c r="E298" s="2" t="s">
        <v>1154</v>
      </c>
      <c r="F298" s="2" t="s">
        <v>1178</v>
      </c>
      <c r="G298" s="2" t="s">
        <v>2230</v>
      </c>
      <c r="H298" s="2" t="s">
        <v>2231</v>
      </c>
      <c r="I298" s="2" t="s">
        <v>1133</v>
      </c>
      <c r="J298" s="2" t="s">
        <v>2232</v>
      </c>
      <c r="K298" s="2" t="n">
        <v>31</v>
      </c>
      <c r="L298" s="2" t="n">
        <v>16867</v>
      </c>
      <c r="M298" s="2" t="n">
        <v>3560</v>
      </c>
      <c r="N298" s="2" t="n">
        <v>3427</v>
      </c>
      <c r="O298" s="2" t="n">
        <v>379</v>
      </c>
      <c r="P298" s="2" t="n">
        <v>12928</v>
      </c>
      <c r="Q298" s="2" t="n">
        <v>0</v>
      </c>
      <c r="R298" s="2" t="n">
        <v>0</v>
      </c>
      <c r="S298" s="2" t="n">
        <v>217</v>
      </c>
      <c r="T298" s="2" t="n">
        <v>186</v>
      </c>
      <c r="U298" s="2" t="n">
        <v>11</v>
      </c>
      <c r="V298" s="2" t="n">
        <v>11</v>
      </c>
      <c r="W298" s="2" t="n">
        <v>0</v>
      </c>
      <c r="X298" s="2" t="n">
        <v>9</v>
      </c>
      <c r="Y298" s="2" t="n">
        <v>172</v>
      </c>
      <c r="Z298" s="2" t="n">
        <v>10</v>
      </c>
      <c r="AA298" s="2" t="n">
        <v>1</v>
      </c>
      <c r="AB298" s="2" t="n">
        <v>34</v>
      </c>
      <c r="AC298" s="2"/>
    </row>
    <row r="299" customFormat="false" ht="15" hidden="false" customHeight="false" outlineLevel="0" collapsed="false">
      <c r="A299" s="2" t="n">
        <v>20</v>
      </c>
      <c r="B299" s="2" t="s">
        <v>286</v>
      </c>
      <c r="C299" s="2" t="s">
        <v>292</v>
      </c>
      <c r="D299" s="2" t="s">
        <v>2233</v>
      </c>
      <c r="E299" s="2" t="s">
        <v>1154</v>
      </c>
      <c r="F299" s="2" t="s">
        <v>1178</v>
      </c>
      <c r="G299" s="2" t="s">
        <v>2230</v>
      </c>
      <c r="H299" s="2" t="s">
        <v>2234</v>
      </c>
      <c r="I299" s="2" t="s">
        <v>1133</v>
      </c>
      <c r="J299" s="2" t="s">
        <v>2235</v>
      </c>
      <c r="K299" s="2" t="n">
        <v>13</v>
      </c>
      <c r="L299" s="2" t="n">
        <v>5037</v>
      </c>
      <c r="M299" s="2" t="n">
        <v>1244</v>
      </c>
      <c r="N299" s="2" t="n">
        <v>1033</v>
      </c>
      <c r="O299" s="2" t="n">
        <v>143</v>
      </c>
      <c r="P299" s="2" t="n">
        <v>3650</v>
      </c>
      <c r="Q299" s="2" t="n">
        <v>0</v>
      </c>
      <c r="R299" s="2" t="n">
        <v>0</v>
      </c>
      <c r="S299" s="2" t="n">
        <v>55</v>
      </c>
      <c r="T299" s="2" t="n">
        <v>49</v>
      </c>
      <c r="U299" s="2" t="n">
        <v>3</v>
      </c>
      <c r="V299" s="2" t="n">
        <v>1</v>
      </c>
      <c r="W299" s="2" t="n">
        <v>0</v>
      </c>
      <c r="X299" s="2" t="n">
        <v>2</v>
      </c>
      <c r="Y299" s="2" t="n">
        <v>45</v>
      </c>
      <c r="Z299" s="2" t="n">
        <v>0</v>
      </c>
      <c r="AA299" s="2" t="n">
        <v>1</v>
      </c>
      <c r="AB299" s="2" t="n">
        <v>9</v>
      </c>
      <c r="AC299" s="2"/>
    </row>
    <row r="300" customFormat="false" ht="15" hidden="false" customHeight="false" outlineLevel="0" collapsed="false">
      <c r="A300" s="2" t="n">
        <v>20</v>
      </c>
      <c r="B300" s="2" t="s">
        <v>286</v>
      </c>
      <c r="C300" s="2" t="s">
        <v>292</v>
      </c>
      <c r="D300" s="2" t="s">
        <v>2236</v>
      </c>
      <c r="E300" s="2" t="s">
        <v>1154</v>
      </c>
      <c r="F300" s="2" t="s">
        <v>1178</v>
      </c>
      <c r="G300" s="2" t="s">
        <v>570</v>
      </c>
      <c r="H300" s="2" t="s">
        <v>2237</v>
      </c>
      <c r="I300" s="2" t="s">
        <v>1406</v>
      </c>
      <c r="J300" s="2" t="s">
        <v>2238</v>
      </c>
      <c r="K300" s="2" t="n">
        <v>68</v>
      </c>
      <c r="L300" s="2" t="n">
        <v>33884</v>
      </c>
      <c r="M300" s="2" t="n">
        <v>33459</v>
      </c>
      <c r="N300" s="2" t="n">
        <v>33327</v>
      </c>
      <c r="O300" s="2" t="n">
        <v>425</v>
      </c>
      <c r="P300" s="2" t="n">
        <v>0</v>
      </c>
      <c r="Q300" s="2" t="n">
        <v>0</v>
      </c>
      <c r="R300" s="2" t="n">
        <v>0</v>
      </c>
      <c r="S300" s="2" t="n">
        <v>5</v>
      </c>
      <c r="T300" s="2" t="n">
        <v>5</v>
      </c>
      <c r="U300" s="2" t="n">
        <v>0</v>
      </c>
      <c r="V300" s="2" t="n">
        <v>0</v>
      </c>
      <c r="W300" s="2" t="n">
        <v>0</v>
      </c>
      <c r="X300" s="2" t="n">
        <v>0</v>
      </c>
      <c r="Y300" s="2" t="n">
        <v>0</v>
      </c>
      <c r="Z300" s="2" t="n">
        <v>1</v>
      </c>
      <c r="AA300" s="2" t="n">
        <v>4</v>
      </c>
      <c r="AB300" s="2" t="n">
        <v>0</v>
      </c>
      <c r="AC300" s="2"/>
    </row>
    <row r="301" customFormat="false" ht="15" hidden="false" customHeight="false" outlineLevel="0" collapsed="false">
      <c r="A301" s="2" t="n">
        <v>20</v>
      </c>
      <c r="B301" s="2" t="s">
        <v>286</v>
      </c>
      <c r="C301" s="2" t="s">
        <v>292</v>
      </c>
      <c r="D301" s="2" t="s">
        <v>2239</v>
      </c>
      <c r="E301" s="2" t="s">
        <v>1154</v>
      </c>
      <c r="F301" s="2" t="s">
        <v>1178</v>
      </c>
      <c r="G301" s="2" t="s">
        <v>2240</v>
      </c>
      <c r="H301" s="2" t="s">
        <v>2241</v>
      </c>
      <c r="I301" s="2" t="s">
        <v>1406</v>
      </c>
      <c r="J301" s="2" t="s">
        <v>2242</v>
      </c>
      <c r="K301" s="2" t="n">
        <v>90</v>
      </c>
      <c r="L301" s="2" t="n">
        <v>54507</v>
      </c>
      <c r="M301" s="2" t="n">
        <v>27839</v>
      </c>
      <c r="N301" s="2" t="n">
        <v>27700</v>
      </c>
      <c r="O301" s="2" t="n">
        <v>649</v>
      </c>
      <c r="P301" s="2" t="n">
        <v>26019</v>
      </c>
      <c r="Q301" s="2" t="n">
        <v>0</v>
      </c>
      <c r="R301" s="2" t="n">
        <v>0</v>
      </c>
      <c r="S301" s="2" t="n">
        <v>279</v>
      </c>
      <c r="T301" s="2" t="n">
        <v>206</v>
      </c>
      <c r="U301" s="2" t="n">
        <v>27</v>
      </c>
      <c r="V301" s="2" t="n">
        <v>32</v>
      </c>
      <c r="W301" s="2" t="n">
        <v>12</v>
      </c>
      <c r="X301" s="2" t="n">
        <v>2</v>
      </c>
      <c r="Y301" s="2" t="n">
        <v>93</v>
      </c>
      <c r="Z301" s="2" t="n">
        <v>32</v>
      </c>
      <c r="AA301" s="2" t="n">
        <v>43</v>
      </c>
      <c r="AB301" s="2" t="n">
        <v>111</v>
      </c>
      <c r="AC301" s="2"/>
    </row>
    <row r="302" customFormat="false" ht="15" hidden="false" customHeight="false" outlineLevel="0" collapsed="false">
      <c r="A302" s="2" t="n">
        <v>20</v>
      </c>
      <c r="B302" s="2" t="s">
        <v>286</v>
      </c>
      <c r="C302" s="2" t="s">
        <v>292</v>
      </c>
      <c r="D302" s="2" t="s">
        <v>2243</v>
      </c>
      <c r="E302" s="2" t="s">
        <v>1154</v>
      </c>
      <c r="F302" s="2" t="s">
        <v>1178</v>
      </c>
      <c r="G302" s="2" t="s">
        <v>2244</v>
      </c>
      <c r="H302" s="2" t="s">
        <v>2245</v>
      </c>
      <c r="I302" s="2" t="s">
        <v>1133</v>
      </c>
      <c r="J302" s="2" t="s">
        <v>2246</v>
      </c>
      <c r="K302" s="2" t="n">
        <v>10</v>
      </c>
      <c r="L302" s="2" t="n">
        <v>4649</v>
      </c>
      <c r="M302" s="2" t="n">
        <v>600</v>
      </c>
      <c r="N302" s="2" t="n">
        <v>259</v>
      </c>
      <c r="O302" s="2" t="n">
        <v>110</v>
      </c>
      <c r="P302" s="2" t="n">
        <v>3939</v>
      </c>
      <c r="Q302" s="2" t="n">
        <v>0</v>
      </c>
      <c r="R302" s="2" t="n">
        <v>0</v>
      </c>
      <c r="S302" s="2" t="n">
        <v>60</v>
      </c>
      <c r="T302" s="2" t="n">
        <v>50</v>
      </c>
      <c r="U302" s="2" t="n">
        <v>4</v>
      </c>
      <c r="V302" s="2" t="n">
        <v>4</v>
      </c>
      <c r="W302" s="2" t="n">
        <v>0</v>
      </c>
      <c r="X302" s="2" t="n">
        <v>2</v>
      </c>
      <c r="Y302" s="2" t="n">
        <v>40</v>
      </c>
      <c r="Z302" s="2" t="n">
        <v>7</v>
      </c>
      <c r="AA302" s="2" t="n">
        <v>6</v>
      </c>
      <c r="AB302" s="2" t="n">
        <v>7</v>
      </c>
      <c r="AC302" s="2"/>
    </row>
    <row r="303" customFormat="false" ht="15" hidden="false" customHeight="false" outlineLevel="0" collapsed="false">
      <c r="A303" s="2" t="n">
        <v>20</v>
      </c>
      <c r="B303" s="2" t="s">
        <v>286</v>
      </c>
      <c r="C303" s="2" t="s">
        <v>292</v>
      </c>
      <c r="D303" s="2" t="s">
        <v>2247</v>
      </c>
      <c r="E303" s="2" t="s">
        <v>1154</v>
      </c>
      <c r="F303" s="2" t="s">
        <v>1178</v>
      </c>
      <c r="G303" s="2" t="s">
        <v>2248</v>
      </c>
      <c r="H303" s="2" t="s">
        <v>2249</v>
      </c>
      <c r="I303" s="2" t="s">
        <v>1133</v>
      </c>
      <c r="J303" s="2" t="s">
        <v>2250</v>
      </c>
      <c r="K303" s="2" t="n">
        <v>112</v>
      </c>
      <c r="L303" s="2" t="n">
        <v>56808</v>
      </c>
      <c r="M303" s="2" t="n">
        <v>23850</v>
      </c>
      <c r="N303" s="2" t="n">
        <v>23714</v>
      </c>
      <c r="O303" s="2" t="n">
        <v>507</v>
      </c>
      <c r="P303" s="2" t="n">
        <v>32451</v>
      </c>
      <c r="Q303" s="2" t="n">
        <v>0</v>
      </c>
      <c r="R303" s="2" t="n">
        <v>0</v>
      </c>
      <c r="S303" s="2" t="n">
        <v>192</v>
      </c>
      <c r="T303" s="2" t="n">
        <v>149</v>
      </c>
      <c r="U303" s="2" t="n">
        <v>15</v>
      </c>
      <c r="V303" s="2" t="n">
        <v>4</v>
      </c>
      <c r="W303" s="2" t="n">
        <v>24</v>
      </c>
      <c r="X303" s="2" t="n">
        <v>0</v>
      </c>
      <c r="Y303" s="2" t="n">
        <v>31</v>
      </c>
      <c r="Z303" s="2" t="n">
        <v>20</v>
      </c>
      <c r="AA303" s="2" t="n">
        <v>5</v>
      </c>
      <c r="AB303" s="2" t="n">
        <v>136</v>
      </c>
      <c r="AC303" s="2"/>
    </row>
    <row r="304" customFormat="false" ht="15" hidden="false" customHeight="false" outlineLevel="0" collapsed="false">
      <c r="A304" s="2" t="n">
        <v>20</v>
      </c>
      <c r="B304" s="2" t="s">
        <v>286</v>
      </c>
      <c r="C304" s="2" t="s">
        <v>292</v>
      </c>
      <c r="D304" s="2" t="s">
        <v>2251</v>
      </c>
      <c r="E304" s="2" t="s">
        <v>1154</v>
      </c>
      <c r="F304" s="2" t="s">
        <v>1178</v>
      </c>
      <c r="G304" s="2" t="s">
        <v>2252</v>
      </c>
      <c r="H304" s="2" t="s">
        <v>2253</v>
      </c>
      <c r="I304" s="2" t="s">
        <v>1406</v>
      </c>
      <c r="J304" s="2" t="s">
        <v>2254</v>
      </c>
      <c r="K304" s="2" t="n">
        <v>2</v>
      </c>
      <c r="L304" s="2" t="n">
        <v>698</v>
      </c>
      <c r="M304" s="2" t="n">
        <v>645</v>
      </c>
      <c r="N304" s="2" t="n">
        <v>506</v>
      </c>
      <c r="O304" s="2" t="n">
        <v>53</v>
      </c>
      <c r="P304" s="2" t="n">
        <v>0</v>
      </c>
      <c r="Q304" s="2" t="n">
        <v>0</v>
      </c>
      <c r="R304" s="2" t="n">
        <v>0</v>
      </c>
      <c r="S304" s="2" t="n">
        <v>0</v>
      </c>
      <c r="T304" s="2" t="n">
        <v>0</v>
      </c>
      <c r="U304" s="2" t="n">
        <v>0</v>
      </c>
      <c r="V304" s="2" t="n">
        <v>0</v>
      </c>
      <c r="W304" s="2" t="n">
        <v>0</v>
      </c>
      <c r="X304" s="2" t="n">
        <v>0</v>
      </c>
      <c r="Y304" s="2" t="n">
        <v>0</v>
      </c>
      <c r="Z304" s="2" t="n">
        <v>0</v>
      </c>
      <c r="AA304" s="2" t="n">
        <v>0</v>
      </c>
      <c r="AB304" s="2" t="n">
        <v>0</v>
      </c>
      <c r="AC304" s="2"/>
    </row>
    <row r="305" customFormat="false" ht="15" hidden="false" customHeight="false" outlineLevel="0" collapsed="false">
      <c r="A305" s="2" t="n">
        <v>20</v>
      </c>
      <c r="B305" s="2" t="s">
        <v>286</v>
      </c>
      <c r="C305" s="2" t="s">
        <v>292</v>
      </c>
      <c r="D305" s="2" t="s">
        <v>2255</v>
      </c>
      <c r="E305" s="2" t="s">
        <v>1154</v>
      </c>
      <c r="F305" s="2" t="s">
        <v>1178</v>
      </c>
      <c r="G305" s="2" t="s">
        <v>2256</v>
      </c>
      <c r="H305" s="2" t="s">
        <v>2257</v>
      </c>
      <c r="I305" s="2" t="s">
        <v>1406</v>
      </c>
      <c r="J305" s="2" t="s">
        <v>2258</v>
      </c>
      <c r="K305" s="2" t="n">
        <v>29</v>
      </c>
      <c r="L305" s="2" t="n">
        <v>13735</v>
      </c>
      <c r="M305" s="2" t="n">
        <v>13417</v>
      </c>
      <c r="N305" s="2" t="n">
        <v>13283</v>
      </c>
      <c r="O305" s="2" t="n">
        <v>318</v>
      </c>
      <c r="P305" s="2" t="n">
        <v>0</v>
      </c>
      <c r="Q305" s="2" t="n">
        <v>0</v>
      </c>
      <c r="R305" s="2" t="n">
        <v>0</v>
      </c>
      <c r="S305" s="2" t="n">
        <v>5</v>
      </c>
      <c r="T305" s="2" t="n">
        <v>5</v>
      </c>
      <c r="U305" s="2" t="n">
        <v>0</v>
      </c>
      <c r="V305" s="2" t="n">
        <v>0</v>
      </c>
      <c r="W305" s="2" t="n">
        <v>0</v>
      </c>
      <c r="X305" s="2" t="n">
        <v>0</v>
      </c>
      <c r="Y305" s="2" t="n">
        <v>0</v>
      </c>
      <c r="Z305" s="2" t="n">
        <v>1</v>
      </c>
      <c r="AA305" s="2" t="n">
        <v>4</v>
      </c>
      <c r="AB305" s="2" t="n">
        <v>0</v>
      </c>
      <c r="AC305" s="2"/>
    </row>
    <row r="306" customFormat="false" ht="15" hidden="false" customHeight="false" outlineLevel="0" collapsed="false">
      <c r="A306" s="2" t="n">
        <v>20</v>
      </c>
      <c r="B306" s="2" t="s">
        <v>286</v>
      </c>
      <c r="C306" s="2" t="s">
        <v>292</v>
      </c>
      <c r="D306" s="2" t="s">
        <v>2259</v>
      </c>
      <c r="E306" s="2" t="s">
        <v>1154</v>
      </c>
      <c r="F306" s="2" t="s">
        <v>1178</v>
      </c>
      <c r="G306" s="2" t="s">
        <v>529</v>
      </c>
      <c r="H306" s="2" t="s">
        <v>2260</v>
      </c>
      <c r="I306" s="2" t="s">
        <v>1406</v>
      </c>
      <c r="J306" s="2" t="s">
        <v>2261</v>
      </c>
      <c r="K306" s="2" t="n">
        <v>30</v>
      </c>
      <c r="L306" s="2" t="n">
        <v>16101</v>
      </c>
      <c r="M306" s="2" t="n">
        <v>16035</v>
      </c>
      <c r="N306" s="2" t="n">
        <v>15895</v>
      </c>
      <c r="O306" s="2" t="n">
        <v>66</v>
      </c>
      <c r="P306" s="2" t="n">
        <v>0</v>
      </c>
      <c r="Q306" s="2" t="n">
        <v>0</v>
      </c>
      <c r="R306" s="2" t="n">
        <v>0</v>
      </c>
      <c r="S306" s="2" t="n">
        <v>0</v>
      </c>
      <c r="T306" s="2" t="n">
        <v>0</v>
      </c>
      <c r="U306" s="2" t="n">
        <v>0</v>
      </c>
      <c r="V306" s="2" t="n">
        <v>0</v>
      </c>
      <c r="W306" s="2" t="n">
        <v>0</v>
      </c>
      <c r="X306" s="2" t="n">
        <v>0</v>
      </c>
      <c r="Y306" s="2" t="n">
        <v>0</v>
      </c>
      <c r="Z306" s="2" t="n">
        <v>0</v>
      </c>
      <c r="AA306" s="2" t="n">
        <v>0</v>
      </c>
      <c r="AB306" s="2" t="n">
        <v>0</v>
      </c>
      <c r="AC306" s="2"/>
    </row>
    <row r="307" customFormat="false" ht="15" hidden="false" customHeight="false" outlineLevel="0" collapsed="false">
      <c r="A307" s="2" t="n">
        <v>20</v>
      </c>
      <c r="B307" s="2" t="s">
        <v>286</v>
      </c>
      <c r="C307" s="2" t="s">
        <v>292</v>
      </c>
      <c r="D307" s="2" t="s">
        <v>2262</v>
      </c>
      <c r="E307" s="2" t="s">
        <v>1154</v>
      </c>
      <c r="F307" s="2" t="s">
        <v>1178</v>
      </c>
      <c r="G307" s="2" t="s">
        <v>2263</v>
      </c>
      <c r="H307" s="2" t="s">
        <v>2264</v>
      </c>
      <c r="I307" s="2" t="s">
        <v>1133</v>
      </c>
      <c r="J307" s="2" t="s">
        <v>2265</v>
      </c>
      <c r="K307" s="2" t="n">
        <v>49</v>
      </c>
      <c r="L307" s="2" t="n">
        <v>23624</v>
      </c>
      <c r="M307" s="2" t="n">
        <v>23250</v>
      </c>
      <c r="N307" s="2" t="n">
        <v>23117</v>
      </c>
      <c r="O307" s="2" t="n">
        <v>374</v>
      </c>
      <c r="P307" s="2" t="n">
        <v>0</v>
      </c>
      <c r="Q307" s="2" t="n">
        <v>0</v>
      </c>
      <c r="R307" s="2" t="n">
        <v>0</v>
      </c>
      <c r="S307" s="2" t="n">
        <v>6</v>
      </c>
      <c r="T307" s="2" t="n">
        <v>6</v>
      </c>
      <c r="U307" s="2" t="n">
        <v>0</v>
      </c>
      <c r="V307" s="2" t="n">
        <v>0</v>
      </c>
      <c r="W307" s="2" t="n">
        <v>0</v>
      </c>
      <c r="X307" s="2" t="n">
        <v>0</v>
      </c>
      <c r="Y307" s="2" t="n">
        <v>0</v>
      </c>
      <c r="Z307" s="2" t="n">
        <v>1</v>
      </c>
      <c r="AA307" s="2" t="n">
        <v>5</v>
      </c>
      <c r="AB307" s="2" t="n">
        <v>0</v>
      </c>
      <c r="AC307" s="2"/>
    </row>
    <row r="308" customFormat="false" ht="15" hidden="false" customHeight="false" outlineLevel="0" collapsed="false">
      <c r="A308" s="2" t="n">
        <v>21</v>
      </c>
      <c r="B308" s="2" t="s">
        <v>296</v>
      </c>
      <c r="C308" s="2" t="s">
        <v>300</v>
      </c>
      <c r="D308" s="2" t="s">
        <v>2266</v>
      </c>
      <c r="E308" s="2" t="s">
        <v>1154</v>
      </c>
      <c r="F308" s="2" t="s">
        <v>1178</v>
      </c>
      <c r="G308" s="2" t="s">
        <v>570</v>
      </c>
      <c r="H308" s="2" t="s">
        <v>2267</v>
      </c>
      <c r="I308" s="2" t="s">
        <v>1406</v>
      </c>
      <c r="J308" s="2" t="s">
        <v>2268</v>
      </c>
      <c r="K308" s="2" t="n">
        <v>39</v>
      </c>
      <c r="L308" s="2" t="n">
        <v>19346</v>
      </c>
      <c r="M308" s="2" t="n">
        <v>18974</v>
      </c>
      <c r="N308" s="2" t="n">
        <v>18826</v>
      </c>
      <c r="O308" s="2" t="n">
        <v>372</v>
      </c>
      <c r="P308" s="2" t="n">
        <v>0</v>
      </c>
      <c r="Q308" s="2" t="n">
        <v>0</v>
      </c>
      <c r="R308" s="2" t="n">
        <v>0</v>
      </c>
      <c r="S308" s="2" t="n">
        <v>5</v>
      </c>
      <c r="T308" s="2" t="n">
        <v>5</v>
      </c>
      <c r="U308" s="2" t="n">
        <v>0</v>
      </c>
      <c r="V308" s="2" t="n">
        <v>0</v>
      </c>
      <c r="W308" s="2" t="n">
        <v>0</v>
      </c>
      <c r="X308" s="2" t="n">
        <v>0</v>
      </c>
      <c r="Y308" s="2" t="n">
        <v>0</v>
      </c>
      <c r="Z308" s="2" t="n">
        <v>1</v>
      </c>
      <c r="AA308" s="2" t="n">
        <v>4</v>
      </c>
      <c r="AB308" s="2" t="n">
        <v>0</v>
      </c>
      <c r="AC308" s="2"/>
    </row>
    <row r="309" customFormat="false" ht="15" hidden="false" customHeight="false" outlineLevel="0" collapsed="false">
      <c r="A309" s="2" t="n">
        <v>21</v>
      </c>
      <c r="B309" s="2" t="s">
        <v>296</v>
      </c>
      <c r="C309" s="2" t="s">
        <v>300</v>
      </c>
      <c r="D309" s="2" t="s">
        <v>2269</v>
      </c>
      <c r="E309" s="2" t="s">
        <v>1154</v>
      </c>
      <c r="F309" s="2" t="s">
        <v>1178</v>
      </c>
      <c r="G309" s="2" t="s">
        <v>2252</v>
      </c>
      <c r="H309" s="2" t="s">
        <v>2270</v>
      </c>
      <c r="I309" s="2" t="s">
        <v>1406</v>
      </c>
      <c r="J309" s="2" t="s">
        <v>2271</v>
      </c>
      <c r="K309" s="2" t="n">
        <v>3</v>
      </c>
      <c r="L309" s="2" t="n">
        <v>1257</v>
      </c>
      <c r="M309" s="2" t="n">
        <v>1204</v>
      </c>
      <c r="N309" s="2" t="n">
        <v>1049</v>
      </c>
      <c r="O309" s="2" t="n">
        <v>53</v>
      </c>
      <c r="P309" s="2" t="n">
        <v>0</v>
      </c>
      <c r="Q309" s="2" t="n">
        <v>0</v>
      </c>
      <c r="R309" s="2" t="n">
        <v>0</v>
      </c>
      <c r="S309" s="2" t="n">
        <v>0</v>
      </c>
      <c r="T309" s="2" t="n">
        <v>0</v>
      </c>
      <c r="U309" s="2" t="n">
        <v>0</v>
      </c>
      <c r="V309" s="2" t="n">
        <v>0</v>
      </c>
      <c r="W309" s="2" t="n">
        <v>0</v>
      </c>
      <c r="X309" s="2" t="n">
        <v>0</v>
      </c>
      <c r="Y309" s="2" t="n">
        <v>0</v>
      </c>
      <c r="Z309" s="2" t="n">
        <v>0</v>
      </c>
      <c r="AA309" s="2" t="n">
        <v>0</v>
      </c>
      <c r="AB309" s="2" t="n">
        <v>0</v>
      </c>
      <c r="AC309" s="2"/>
    </row>
    <row r="310" customFormat="false" ht="15" hidden="false" customHeight="false" outlineLevel="0" collapsed="false">
      <c r="A310" s="2" t="n">
        <v>21</v>
      </c>
      <c r="B310" s="2" t="s">
        <v>296</v>
      </c>
      <c r="C310" s="2" t="s">
        <v>300</v>
      </c>
      <c r="D310" s="2" t="s">
        <v>2272</v>
      </c>
      <c r="E310" s="2" t="s">
        <v>1154</v>
      </c>
      <c r="F310" s="2" t="s">
        <v>1178</v>
      </c>
      <c r="G310" s="2" t="s">
        <v>529</v>
      </c>
      <c r="H310" s="2" t="s">
        <v>2273</v>
      </c>
      <c r="I310" s="2" t="s">
        <v>1406</v>
      </c>
      <c r="J310" s="2" t="s">
        <v>2274</v>
      </c>
      <c r="K310" s="2" t="n">
        <v>17</v>
      </c>
      <c r="L310" s="2" t="n">
        <v>9763</v>
      </c>
      <c r="M310" s="2" t="n">
        <v>9710</v>
      </c>
      <c r="N310" s="2" t="n">
        <v>9547</v>
      </c>
      <c r="O310" s="2" t="n">
        <v>53</v>
      </c>
      <c r="P310" s="2" t="n">
        <v>0</v>
      </c>
      <c r="Q310" s="2" t="n">
        <v>0</v>
      </c>
      <c r="R310" s="2" t="n">
        <v>0</v>
      </c>
      <c r="S310" s="2" t="n">
        <v>0</v>
      </c>
      <c r="T310" s="2" t="n">
        <v>0</v>
      </c>
      <c r="U310" s="2" t="n">
        <v>0</v>
      </c>
      <c r="V310" s="2" t="n">
        <v>0</v>
      </c>
      <c r="W310" s="2" t="n">
        <v>0</v>
      </c>
      <c r="X310" s="2" t="n">
        <v>0</v>
      </c>
      <c r="Y310" s="2" t="n">
        <v>0</v>
      </c>
      <c r="Z310" s="2" t="n">
        <v>0</v>
      </c>
      <c r="AA310" s="2" t="n">
        <v>0</v>
      </c>
      <c r="AB310" s="2" t="n">
        <v>0</v>
      </c>
      <c r="AC310" s="2"/>
    </row>
    <row r="311" customFormat="false" ht="15" hidden="false" customHeight="false" outlineLevel="0" collapsed="false">
      <c r="A311" s="2" t="n">
        <v>22</v>
      </c>
      <c r="B311" s="2" t="s">
        <v>304</v>
      </c>
      <c r="C311" s="2" t="s">
        <v>310</v>
      </c>
      <c r="D311" s="2" t="s">
        <v>2275</v>
      </c>
      <c r="E311" s="2" t="s">
        <v>1154</v>
      </c>
      <c r="F311" s="2" t="s">
        <v>1178</v>
      </c>
      <c r="G311" s="2" t="s">
        <v>2276</v>
      </c>
      <c r="H311" s="2" t="s">
        <v>2277</v>
      </c>
      <c r="I311" s="2" t="s">
        <v>1133</v>
      </c>
      <c r="J311" s="2" t="s">
        <v>2278</v>
      </c>
      <c r="K311" s="2" t="n">
        <v>7</v>
      </c>
      <c r="L311" s="2" t="n">
        <v>3216</v>
      </c>
      <c r="M311" s="2" t="n">
        <v>876</v>
      </c>
      <c r="N311" s="2" t="n">
        <v>744</v>
      </c>
      <c r="O311" s="2" t="n">
        <v>2340</v>
      </c>
      <c r="P311" s="2" t="n">
        <v>0</v>
      </c>
      <c r="Q311" s="2" t="n">
        <v>0</v>
      </c>
      <c r="R311" s="2" t="n">
        <v>0</v>
      </c>
      <c r="S311" s="2" t="n">
        <v>47</v>
      </c>
      <c r="T311" s="2" t="n">
        <v>42</v>
      </c>
      <c r="U311" s="2" t="n">
        <v>5</v>
      </c>
      <c r="V311" s="2" t="n">
        <v>0</v>
      </c>
      <c r="W311" s="2" t="n">
        <v>0</v>
      </c>
      <c r="X311" s="2" t="n">
        <v>0</v>
      </c>
      <c r="Y311" s="2" t="n">
        <v>0</v>
      </c>
      <c r="Z311" s="2" t="n">
        <v>30</v>
      </c>
      <c r="AA311" s="2" t="n">
        <v>5</v>
      </c>
      <c r="AB311" s="2" t="n">
        <v>12</v>
      </c>
      <c r="AC311" s="2"/>
    </row>
    <row r="312" customFormat="false" ht="15" hidden="false" customHeight="false" outlineLevel="0" collapsed="false">
      <c r="A312" s="2" t="n">
        <v>22</v>
      </c>
      <c r="B312" s="2" t="s">
        <v>304</v>
      </c>
      <c r="C312" s="2" t="s">
        <v>310</v>
      </c>
      <c r="D312" s="2" t="s">
        <v>2279</v>
      </c>
      <c r="E312" s="2" t="s">
        <v>1154</v>
      </c>
      <c r="F312" s="2" t="s">
        <v>1155</v>
      </c>
      <c r="G312" s="2" t="s">
        <v>2280</v>
      </c>
      <c r="H312" s="2" t="s">
        <v>2281</v>
      </c>
      <c r="I312" s="2" t="s">
        <v>1133</v>
      </c>
      <c r="J312" s="2" t="s">
        <v>2282</v>
      </c>
      <c r="K312" s="2" t="n">
        <v>3</v>
      </c>
      <c r="L312" s="2" t="n">
        <v>792</v>
      </c>
      <c r="M312" s="2" t="n">
        <v>388</v>
      </c>
      <c r="N312" s="2" t="n">
        <v>283</v>
      </c>
      <c r="O312" s="2" t="n">
        <v>380</v>
      </c>
      <c r="P312" s="2" t="n">
        <v>24</v>
      </c>
      <c r="Q312" s="2" t="n">
        <v>0</v>
      </c>
      <c r="R312" s="2" t="n">
        <v>0</v>
      </c>
      <c r="S312" s="2" t="n">
        <v>7</v>
      </c>
      <c r="T312" s="2" t="n">
        <v>5</v>
      </c>
      <c r="U312" s="2" t="n">
        <v>1</v>
      </c>
      <c r="V312" s="2" t="n">
        <v>1</v>
      </c>
      <c r="W312" s="2" t="n">
        <v>0</v>
      </c>
      <c r="X312" s="2" t="n">
        <v>0</v>
      </c>
      <c r="Y312" s="2" t="n">
        <v>0</v>
      </c>
      <c r="Z312" s="2" t="n">
        <v>0</v>
      </c>
      <c r="AA312" s="2" t="n">
        <v>0</v>
      </c>
      <c r="AB312" s="2" t="n">
        <v>7</v>
      </c>
      <c r="AC312" s="2"/>
    </row>
    <row r="313" customFormat="false" ht="15" hidden="false" customHeight="false" outlineLevel="0" collapsed="false">
      <c r="A313" s="2" t="n">
        <v>22</v>
      </c>
      <c r="B313" s="2" t="s">
        <v>304</v>
      </c>
      <c r="C313" s="2" t="s">
        <v>310</v>
      </c>
      <c r="D313" s="2" t="s">
        <v>2283</v>
      </c>
      <c r="E313" s="2" t="s">
        <v>1154</v>
      </c>
      <c r="F313" s="2" t="s">
        <v>1178</v>
      </c>
      <c r="G313" s="2" t="s">
        <v>2284</v>
      </c>
      <c r="H313" s="2" t="s">
        <v>2285</v>
      </c>
      <c r="I313" s="2" t="s">
        <v>1133</v>
      </c>
      <c r="J313" s="2" t="s">
        <v>2286</v>
      </c>
      <c r="K313" s="2" t="n">
        <v>11</v>
      </c>
      <c r="L313" s="2" t="n">
        <v>5317</v>
      </c>
      <c r="M313" s="2" t="n">
        <v>515</v>
      </c>
      <c r="N313" s="2" t="n">
        <v>384</v>
      </c>
      <c r="O313" s="2" t="n">
        <v>413</v>
      </c>
      <c r="P313" s="2" t="n">
        <v>4389</v>
      </c>
      <c r="Q313" s="2" t="n">
        <v>0</v>
      </c>
      <c r="R313" s="2" t="n">
        <v>0</v>
      </c>
      <c r="S313" s="2" t="n">
        <v>58</v>
      </c>
      <c r="T313" s="2" t="n">
        <v>54</v>
      </c>
      <c r="U313" s="2" t="n">
        <v>1</v>
      </c>
      <c r="V313" s="2" t="n">
        <v>1</v>
      </c>
      <c r="W313" s="2" t="n">
        <v>1</v>
      </c>
      <c r="X313" s="2" t="n">
        <v>1</v>
      </c>
      <c r="Y313" s="2" t="n">
        <v>1</v>
      </c>
      <c r="Z313" s="2" t="n">
        <v>16</v>
      </c>
      <c r="AA313" s="2" t="n">
        <v>7</v>
      </c>
      <c r="AB313" s="2" t="n">
        <v>34</v>
      </c>
      <c r="AC313" s="2"/>
    </row>
    <row r="314" customFormat="false" ht="15" hidden="false" customHeight="false" outlineLevel="0" collapsed="false">
      <c r="A314" s="2" t="n">
        <v>22</v>
      </c>
      <c r="B314" s="2" t="s">
        <v>304</v>
      </c>
      <c r="C314" s="2" t="s">
        <v>310</v>
      </c>
      <c r="D314" s="2" t="s">
        <v>2287</v>
      </c>
      <c r="E314" s="2" t="s">
        <v>1154</v>
      </c>
      <c r="F314" s="2" t="s">
        <v>1178</v>
      </c>
      <c r="G314" s="2" t="s">
        <v>2284</v>
      </c>
      <c r="H314" s="2" t="s">
        <v>2288</v>
      </c>
      <c r="I314" s="2" t="s">
        <v>1133</v>
      </c>
      <c r="J314" s="2" t="s">
        <v>2289</v>
      </c>
      <c r="K314" s="2" t="n">
        <v>5</v>
      </c>
      <c r="L314" s="2" t="n">
        <v>1885</v>
      </c>
      <c r="M314" s="2" t="n">
        <v>705</v>
      </c>
      <c r="N314" s="2" t="n">
        <v>558</v>
      </c>
      <c r="O314" s="2" t="n">
        <v>895</v>
      </c>
      <c r="P314" s="2" t="n">
        <v>285</v>
      </c>
      <c r="Q314" s="2" t="n">
        <v>0</v>
      </c>
      <c r="R314" s="2" t="n">
        <v>0</v>
      </c>
      <c r="S314" s="2" t="n">
        <v>10</v>
      </c>
      <c r="T314" s="2" t="n">
        <v>10</v>
      </c>
      <c r="U314" s="2" t="n">
        <v>0</v>
      </c>
      <c r="V314" s="2" t="n">
        <v>0</v>
      </c>
      <c r="W314" s="2" t="n">
        <v>0</v>
      </c>
      <c r="X314" s="2" t="n">
        <v>0</v>
      </c>
      <c r="Y314" s="2" t="n">
        <v>0</v>
      </c>
      <c r="Z314" s="2" t="n">
        <v>4</v>
      </c>
      <c r="AA314" s="2" t="n">
        <v>0</v>
      </c>
      <c r="AB314" s="2" t="n">
        <v>6</v>
      </c>
      <c r="AC314" s="2"/>
    </row>
    <row r="315" customFormat="false" ht="15" hidden="false" customHeight="false" outlineLevel="0" collapsed="false">
      <c r="A315" s="2" t="n">
        <v>22</v>
      </c>
      <c r="B315" s="2" t="s">
        <v>304</v>
      </c>
      <c r="C315" s="2" t="s">
        <v>310</v>
      </c>
      <c r="D315" s="2" t="s">
        <v>2290</v>
      </c>
      <c r="E315" s="2" t="s">
        <v>1154</v>
      </c>
      <c r="F315" s="2" t="s">
        <v>1155</v>
      </c>
      <c r="G315" s="2" t="s">
        <v>2284</v>
      </c>
      <c r="H315" s="2" t="s">
        <v>2291</v>
      </c>
      <c r="I315" s="2" t="s">
        <v>1133</v>
      </c>
      <c r="J315" s="2" t="s">
        <v>2292</v>
      </c>
      <c r="K315" s="2" t="n">
        <v>6</v>
      </c>
      <c r="L315" s="2" t="n">
        <v>2193</v>
      </c>
      <c r="M315" s="2" t="n">
        <v>504</v>
      </c>
      <c r="N315" s="2" t="n">
        <v>379</v>
      </c>
      <c r="O315" s="2" t="n">
        <v>1187</v>
      </c>
      <c r="P315" s="2" t="n">
        <v>502</v>
      </c>
      <c r="Q315" s="2" t="n">
        <v>0</v>
      </c>
      <c r="R315" s="2" t="n">
        <v>0</v>
      </c>
      <c r="S315" s="2" t="n">
        <v>30</v>
      </c>
      <c r="T315" s="2" t="n">
        <v>26</v>
      </c>
      <c r="U315" s="2" t="n">
        <v>2</v>
      </c>
      <c r="V315" s="2" t="n">
        <v>0</v>
      </c>
      <c r="W315" s="2" t="n">
        <v>1</v>
      </c>
      <c r="X315" s="2" t="n">
        <v>1</v>
      </c>
      <c r="Y315" s="2" t="n">
        <v>8</v>
      </c>
      <c r="Z315" s="2" t="n">
        <v>5</v>
      </c>
      <c r="AA315" s="2" t="n">
        <v>2</v>
      </c>
      <c r="AB315" s="2" t="n">
        <v>15</v>
      </c>
      <c r="AC315" s="2"/>
    </row>
    <row r="316" customFormat="false" ht="15" hidden="false" customHeight="false" outlineLevel="0" collapsed="false">
      <c r="A316" s="2" t="n">
        <v>22</v>
      </c>
      <c r="B316" s="2" t="s">
        <v>304</v>
      </c>
      <c r="C316" s="2" t="s">
        <v>310</v>
      </c>
      <c r="D316" s="2" t="s">
        <v>2293</v>
      </c>
      <c r="E316" s="2" t="s">
        <v>1154</v>
      </c>
      <c r="F316" s="2" t="s">
        <v>1155</v>
      </c>
      <c r="G316" s="2" t="s">
        <v>2284</v>
      </c>
      <c r="H316" s="2" t="s">
        <v>2294</v>
      </c>
      <c r="I316" s="2" t="s">
        <v>1133</v>
      </c>
      <c r="J316" s="2" t="s">
        <v>2295</v>
      </c>
      <c r="K316" s="2" t="n">
        <v>14</v>
      </c>
      <c r="L316" s="2" t="n">
        <v>5113</v>
      </c>
      <c r="M316" s="2" t="n">
        <v>735</v>
      </c>
      <c r="N316" s="2" t="n">
        <v>599</v>
      </c>
      <c r="O316" s="2" t="n">
        <v>313</v>
      </c>
      <c r="P316" s="2" t="n">
        <v>4065</v>
      </c>
      <c r="Q316" s="2" t="n">
        <v>0</v>
      </c>
      <c r="R316" s="2" t="n">
        <v>0</v>
      </c>
      <c r="S316" s="2" t="n">
        <v>34</v>
      </c>
      <c r="T316" s="2" t="n">
        <v>26</v>
      </c>
      <c r="U316" s="2" t="n">
        <v>0</v>
      </c>
      <c r="V316" s="2" t="n">
        <v>0</v>
      </c>
      <c r="W316" s="2" t="n">
        <v>8</v>
      </c>
      <c r="X316" s="2" t="n">
        <v>0</v>
      </c>
      <c r="Y316" s="2" t="n">
        <v>9</v>
      </c>
      <c r="Z316" s="2" t="n">
        <v>2</v>
      </c>
      <c r="AA316" s="2" t="n">
        <v>0</v>
      </c>
      <c r="AB316" s="2" t="n">
        <v>23</v>
      </c>
      <c r="AC316" s="2"/>
    </row>
    <row r="317" customFormat="false" ht="15" hidden="false" customHeight="false" outlineLevel="0" collapsed="false">
      <c r="A317" s="2" t="n">
        <v>22</v>
      </c>
      <c r="B317" s="2" t="s">
        <v>304</v>
      </c>
      <c r="C317" s="2" t="s">
        <v>310</v>
      </c>
      <c r="D317" s="2" t="s">
        <v>2296</v>
      </c>
      <c r="E317" s="2" t="s">
        <v>1154</v>
      </c>
      <c r="F317" s="2" t="s">
        <v>1178</v>
      </c>
      <c r="G317" s="2" t="s">
        <v>2297</v>
      </c>
      <c r="H317" s="2" t="s">
        <v>2298</v>
      </c>
      <c r="I317" s="2" t="s">
        <v>1133</v>
      </c>
      <c r="J317" s="2" t="s">
        <v>2299</v>
      </c>
      <c r="K317" s="2" t="n">
        <v>8</v>
      </c>
      <c r="L317" s="2" t="n">
        <v>1946</v>
      </c>
      <c r="M317" s="2" t="n">
        <v>583</v>
      </c>
      <c r="N317" s="2" t="n">
        <v>448</v>
      </c>
      <c r="O317" s="2" t="n">
        <v>395</v>
      </c>
      <c r="P317" s="2" t="n">
        <v>968</v>
      </c>
      <c r="Q317" s="2" t="n">
        <v>0</v>
      </c>
      <c r="R317" s="2" t="n">
        <v>0</v>
      </c>
      <c r="S317" s="2" t="n">
        <v>8</v>
      </c>
      <c r="T317" s="2" t="n">
        <v>7</v>
      </c>
      <c r="U317" s="2" t="n">
        <v>1</v>
      </c>
      <c r="V317" s="2" t="n">
        <v>0</v>
      </c>
      <c r="W317" s="2" t="n">
        <v>0</v>
      </c>
      <c r="X317" s="2" t="n">
        <v>0</v>
      </c>
      <c r="Y317" s="2" t="n">
        <v>1</v>
      </c>
      <c r="Z317" s="2" t="n">
        <v>1</v>
      </c>
      <c r="AA317" s="2" t="n">
        <v>1</v>
      </c>
      <c r="AB317" s="2" t="n">
        <v>5</v>
      </c>
      <c r="AC317" s="2"/>
    </row>
    <row r="318" customFormat="false" ht="15" hidden="false" customHeight="false" outlineLevel="0" collapsed="false">
      <c r="A318" s="2" t="n">
        <v>22</v>
      </c>
      <c r="B318" s="2" t="s">
        <v>304</v>
      </c>
      <c r="C318" s="2" t="s">
        <v>310</v>
      </c>
      <c r="D318" s="2" t="s">
        <v>2300</v>
      </c>
      <c r="E318" s="2" t="s">
        <v>1154</v>
      </c>
      <c r="F318" s="2" t="s">
        <v>1178</v>
      </c>
      <c r="G318" s="2" t="s">
        <v>2301</v>
      </c>
      <c r="H318" s="2" t="s">
        <v>2302</v>
      </c>
      <c r="I318" s="2" t="s">
        <v>1133</v>
      </c>
      <c r="J318" s="2" t="s">
        <v>2303</v>
      </c>
      <c r="K318" s="2" t="n">
        <v>3</v>
      </c>
      <c r="L318" s="2" t="n">
        <v>1295</v>
      </c>
      <c r="M318" s="2" t="n">
        <v>827</v>
      </c>
      <c r="N318" s="2" t="n">
        <v>686</v>
      </c>
      <c r="O318" s="2" t="n">
        <v>234</v>
      </c>
      <c r="P318" s="2" t="n">
        <v>234</v>
      </c>
      <c r="Q318" s="2" t="n">
        <v>0</v>
      </c>
      <c r="R318" s="2" t="n">
        <v>0</v>
      </c>
      <c r="S318" s="2" t="n">
        <v>1</v>
      </c>
      <c r="T318" s="2" t="n">
        <v>1</v>
      </c>
      <c r="U318" s="2" t="n">
        <v>0</v>
      </c>
      <c r="V318" s="2" t="n">
        <v>0</v>
      </c>
      <c r="W318" s="2" t="n">
        <v>0</v>
      </c>
      <c r="X318" s="2" t="n">
        <v>0</v>
      </c>
      <c r="Y318" s="2" t="n">
        <v>0</v>
      </c>
      <c r="Z318" s="2" t="n">
        <v>0</v>
      </c>
      <c r="AA318" s="2" t="n">
        <v>0</v>
      </c>
      <c r="AB318" s="2" t="n">
        <v>1</v>
      </c>
      <c r="AC318" s="2"/>
    </row>
    <row r="319" customFormat="false" ht="15" hidden="false" customHeight="false" outlineLevel="0" collapsed="false">
      <c r="A319" s="2" t="n">
        <v>22</v>
      </c>
      <c r="B319" s="2" t="s">
        <v>304</v>
      </c>
      <c r="C319" s="2" t="s">
        <v>310</v>
      </c>
      <c r="D319" s="2" t="s">
        <v>2304</v>
      </c>
      <c r="E319" s="2" t="s">
        <v>1154</v>
      </c>
      <c r="F319" s="2" t="s">
        <v>1155</v>
      </c>
      <c r="G319" s="2" t="s">
        <v>2305</v>
      </c>
      <c r="H319" s="2" t="s">
        <v>2306</v>
      </c>
      <c r="I319" s="2" t="s">
        <v>1133</v>
      </c>
      <c r="J319" s="2" t="s">
        <v>2307</v>
      </c>
      <c r="K319" s="2" t="n">
        <v>1</v>
      </c>
      <c r="L319" s="2" t="n">
        <v>301</v>
      </c>
      <c r="M319" s="2" t="n">
        <v>253</v>
      </c>
      <c r="N319" s="2" t="n">
        <v>106</v>
      </c>
      <c r="O319" s="2" t="n">
        <v>48</v>
      </c>
      <c r="P319" s="2" t="n">
        <v>0</v>
      </c>
      <c r="Q319" s="2" t="n">
        <v>0</v>
      </c>
      <c r="R319" s="2" t="n">
        <v>0</v>
      </c>
      <c r="S319" s="2" t="n">
        <v>0</v>
      </c>
      <c r="T319" s="2" t="n">
        <v>0</v>
      </c>
      <c r="U319" s="2" t="n">
        <v>0</v>
      </c>
      <c r="V319" s="2" t="n">
        <v>0</v>
      </c>
      <c r="W319" s="2" t="n">
        <v>0</v>
      </c>
      <c r="X319" s="2" t="n">
        <v>0</v>
      </c>
      <c r="Y319" s="2" t="n">
        <v>0</v>
      </c>
      <c r="Z319" s="2" t="n">
        <v>0</v>
      </c>
      <c r="AA319" s="2" t="n">
        <v>0</v>
      </c>
      <c r="AB319" s="2" t="n">
        <v>0</v>
      </c>
      <c r="AC319" s="2"/>
    </row>
    <row r="320" customFormat="false" ht="15" hidden="false" customHeight="false" outlineLevel="0" collapsed="false">
      <c r="A320" s="2" t="n">
        <v>22</v>
      </c>
      <c r="B320" s="2" t="s">
        <v>304</v>
      </c>
      <c r="C320" s="2" t="s">
        <v>310</v>
      </c>
      <c r="D320" s="2" t="s">
        <v>2308</v>
      </c>
      <c r="E320" s="2" t="s">
        <v>1154</v>
      </c>
      <c r="F320" s="2" t="s">
        <v>1155</v>
      </c>
      <c r="G320" s="2" t="s">
        <v>884</v>
      </c>
      <c r="H320" s="2" t="s">
        <v>2309</v>
      </c>
      <c r="I320" s="2" t="s">
        <v>1133</v>
      </c>
      <c r="J320" s="2" t="s">
        <v>2310</v>
      </c>
      <c r="K320" s="2" t="n">
        <v>10</v>
      </c>
      <c r="L320" s="2" t="n">
        <v>3567</v>
      </c>
      <c r="M320" s="2" t="n">
        <v>1190</v>
      </c>
      <c r="N320" s="2" t="n">
        <v>1068</v>
      </c>
      <c r="O320" s="2" t="n">
        <v>1294</v>
      </c>
      <c r="P320" s="2" t="n">
        <v>1083</v>
      </c>
      <c r="Q320" s="2" t="n">
        <v>0</v>
      </c>
      <c r="R320" s="2" t="n">
        <v>0</v>
      </c>
      <c r="S320" s="2" t="n">
        <v>40</v>
      </c>
      <c r="T320" s="2" t="n">
        <v>22</v>
      </c>
      <c r="U320" s="2" t="n">
        <v>0</v>
      </c>
      <c r="V320" s="2" t="n">
        <v>0</v>
      </c>
      <c r="W320" s="2" t="n">
        <v>12</v>
      </c>
      <c r="X320" s="2" t="n">
        <v>6</v>
      </c>
      <c r="Y320" s="2" t="n">
        <v>19</v>
      </c>
      <c r="Z320" s="2" t="n">
        <v>6</v>
      </c>
      <c r="AA320" s="2" t="n">
        <v>0</v>
      </c>
      <c r="AB320" s="2" t="n">
        <v>15</v>
      </c>
      <c r="AC320" s="2"/>
    </row>
    <row r="321" customFormat="false" ht="15" hidden="false" customHeight="false" outlineLevel="0" collapsed="false">
      <c r="A321" s="2" t="n">
        <v>22</v>
      </c>
      <c r="B321" s="2" t="s">
        <v>304</v>
      </c>
      <c r="C321" s="2" t="s">
        <v>310</v>
      </c>
      <c r="D321" s="2" t="s">
        <v>2311</v>
      </c>
      <c r="E321" s="2" t="s">
        <v>1154</v>
      </c>
      <c r="F321" s="2" t="s">
        <v>1155</v>
      </c>
      <c r="G321" s="2" t="s">
        <v>884</v>
      </c>
      <c r="H321" s="2" t="s">
        <v>2312</v>
      </c>
      <c r="I321" s="2" t="s">
        <v>1133</v>
      </c>
      <c r="J321" s="2" t="s">
        <v>2313</v>
      </c>
      <c r="K321" s="2" t="n">
        <v>14</v>
      </c>
      <c r="L321" s="2" t="n">
        <v>4345</v>
      </c>
      <c r="M321" s="2" t="n">
        <v>1742</v>
      </c>
      <c r="N321" s="2" t="n">
        <v>1624</v>
      </c>
      <c r="O321" s="2" t="n">
        <v>2068</v>
      </c>
      <c r="P321" s="2" t="n">
        <v>535</v>
      </c>
      <c r="Q321" s="2" t="n">
        <v>0</v>
      </c>
      <c r="R321" s="2" t="n">
        <v>0</v>
      </c>
      <c r="S321" s="2" t="n">
        <v>39</v>
      </c>
      <c r="T321" s="2" t="n">
        <v>25</v>
      </c>
      <c r="U321" s="2" t="n">
        <v>1</v>
      </c>
      <c r="V321" s="2" t="n">
        <v>1</v>
      </c>
      <c r="W321" s="2" t="n">
        <v>2</v>
      </c>
      <c r="X321" s="2" t="n">
        <v>10</v>
      </c>
      <c r="Y321" s="2" t="n">
        <v>21</v>
      </c>
      <c r="Z321" s="2" t="n">
        <v>0</v>
      </c>
      <c r="AA321" s="2" t="n">
        <v>0</v>
      </c>
      <c r="AB321" s="2" t="n">
        <v>18</v>
      </c>
      <c r="AC321" s="2"/>
    </row>
    <row r="322" customFormat="false" ht="15" hidden="false" customHeight="false" outlineLevel="0" collapsed="false">
      <c r="A322" s="2" t="n">
        <v>22</v>
      </c>
      <c r="B322" s="2" t="s">
        <v>304</v>
      </c>
      <c r="C322" s="2" t="s">
        <v>310</v>
      </c>
      <c r="D322" s="2" t="s">
        <v>2314</v>
      </c>
      <c r="E322" s="2" t="s">
        <v>1154</v>
      </c>
      <c r="F322" s="2" t="s">
        <v>1155</v>
      </c>
      <c r="G322" s="2" t="s">
        <v>884</v>
      </c>
      <c r="H322" s="2" t="s">
        <v>2315</v>
      </c>
      <c r="I322" s="2" t="s">
        <v>1133</v>
      </c>
      <c r="J322" s="2" t="s">
        <v>2316</v>
      </c>
      <c r="K322" s="2" t="n">
        <v>8</v>
      </c>
      <c r="L322" s="2" t="n">
        <v>2900</v>
      </c>
      <c r="M322" s="2" t="n">
        <v>726</v>
      </c>
      <c r="N322" s="2" t="n">
        <v>607</v>
      </c>
      <c r="O322" s="2" t="n">
        <v>1050</v>
      </c>
      <c r="P322" s="2" t="n">
        <v>1124</v>
      </c>
      <c r="Q322" s="2" t="n">
        <v>0</v>
      </c>
      <c r="R322" s="2" t="n">
        <v>0</v>
      </c>
      <c r="S322" s="2" t="n">
        <v>22</v>
      </c>
      <c r="T322" s="2" t="n">
        <v>19</v>
      </c>
      <c r="U322" s="2" t="n">
        <v>1</v>
      </c>
      <c r="V322" s="2" t="n">
        <v>0</v>
      </c>
      <c r="W322" s="2" t="n">
        <v>1</v>
      </c>
      <c r="X322" s="2" t="n">
        <v>1</v>
      </c>
      <c r="Y322" s="2" t="n">
        <v>1</v>
      </c>
      <c r="Z322" s="2" t="n">
        <v>8</v>
      </c>
      <c r="AA322" s="2" t="n">
        <v>7</v>
      </c>
      <c r="AB322" s="2" t="n">
        <v>6</v>
      </c>
      <c r="AC322" s="2"/>
    </row>
    <row r="323" customFormat="false" ht="15" hidden="false" customHeight="false" outlineLevel="0" collapsed="false">
      <c r="A323" s="2" t="n">
        <v>22</v>
      </c>
      <c r="B323" s="2" t="s">
        <v>304</v>
      </c>
      <c r="C323" s="2" t="s">
        <v>310</v>
      </c>
      <c r="D323" s="2" t="s">
        <v>2317</v>
      </c>
      <c r="E323" s="2" t="s">
        <v>1154</v>
      </c>
      <c r="F323" s="2" t="s">
        <v>1155</v>
      </c>
      <c r="G323" s="2" t="s">
        <v>884</v>
      </c>
      <c r="H323" s="2" t="s">
        <v>2318</v>
      </c>
      <c r="I323" s="2" t="s">
        <v>1133</v>
      </c>
      <c r="J323" s="2" t="s">
        <v>2319</v>
      </c>
      <c r="K323" s="2" t="n">
        <v>44</v>
      </c>
      <c r="L323" s="2" t="n">
        <v>17854</v>
      </c>
      <c r="M323" s="2" t="n">
        <v>2489</v>
      </c>
      <c r="N323" s="2" t="n">
        <v>2375</v>
      </c>
      <c r="O323" s="2" t="n">
        <v>5183</v>
      </c>
      <c r="P323" s="2" t="n">
        <v>10182</v>
      </c>
      <c r="Q323" s="2" t="n">
        <v>0</v>
      </c>
      <c r="R323" s="2" t="n">
        <v>0</v>
      </c>
      <c r="S323" s="2" t="n">
        <v>149</v>
      </c>
      <c r="T323" s="2" t="n">
        <v>138</v>
      </c>
      <c r="U323" s="2" t="n">
        <v>2</v>
      </c>
      <c r="V323" s="2" t="n">
        <v>0</v>
      </c>
      <c r="W323" s="2" t="n">
        <v>9</v>
      </c>
      <c r="X323" s="2" t="n">
        <v>0</v>
      </c>
      <c r="Y323" s="2" t="n">
        <v>22</v>
      </c>
      <c r="Z323" s="2" t="n">
        <v>69</v>
      </c>
      <c r="AA323" s="2" t="n">
        <v>0</v>
      </c>
      <c r="AB323" s="2" t="n">
        <v>58</v>
      </c>
      <c r="AC323" s="2"/>
    </row>
    <row r="324" customFormat="false" ht="15" hidden="false" customHeight="false" outlineLevel="0" collapsed="false">
      <c r="A324" s="2" t="n">
        <v>22</v>
      </c>
      <c r="B324" s="2" t="s">
        <v>304</v>
      </c>
      <c r="C324" s="2" t="s">
        <v>310</v>
      </c>
      <c r="D324" s="2" t="s">
        <v>2320</v>
      </c>
      <c r="E324" s="2" t="s">
        <v>1154</v>
      </c>
      <c r="F324" s="2" t="s">
        <v>1155</v>
      </c>
      <c r="G324" s="2" t="s">
        <v>884</v>
      </c>
      <c r="H324" s="2" t="s">
        <v>2321</v>
      </c>
      <c r="I324" s="2" t="s">
        <v>1133</v>
      </c>
      <c r="J324" s="2" t="s">
        <v>2322</v>
      </c>
      <c r="K324" s="2" t="n">
        <v>7</v>
      </c>
      <c r="L324" s="2" t="n">
        <v>2673</v>
      </c>
      <c r="M324" s="2" t="n">
        <v>1027</v>
      </c>
      <c r="N324" s="2" t="n">
        <v>907</v>
      </c>
      <c r="O324" s="2" t="n">
        <v>1612</v>
      </c>
      <c r="P324" s="2" t="n">
        <v>34</v>
      </c>
      <c r="Q324" s="2" t="n">
        <v>0</v>
      </c>
      <c r="R324" s="2" t="n">
        <v>0</v>
      </c>
      <c r="S324" s="2" t="n">
        <v>19</v>
      </c>
      <c r="T324" s="2" t="n">
        <v>8</v>
      </c>
      <c r="U324" s="2" t="n">
        <v>0</v>
      </c>
      <c r="V324" s="2" t="n">
        <v>0</v>
      </c>
      <c r="W324" s="2" t="n">
        <v>0</v>
      </c>
      <c r="X324" s="2" t="n">
        <v>11</v>
      </c>
      <c r="Y324" s="2" t="n">
        <v>13</v>
      </c>
      <c r="Z324" s="2" t="n">
        <v>0</v>
      </c>
      <c r="AA324" s="2" t="n">
        <v>0</v>
      </c>
      <c r="AB324" s="2" t="n">
        <v>6</v>
      </c>
      <c r="AC324" s="2"/>
    </row>
    <row r="325" customFormat="false" ht="15" hidden="false" customHeight="false" outlineLevel="0" collapsed="false">
      <c r="A325" s="2" t="n">
        <v>22</v>
      </c>
      <c r="B325" s="2" t="s">
        <v>304</v>
      </c>
      <c r="C325" s="2" t="s">
        <v>310</v>
      </c>
      <c r="D325" s="2" t="s">
        <v>2323</v>
      </c>
      <c r="E325" s="2" t="s">
        <v>1154</v>
      </c>
      <c r="F325" s="2" t="s">
        <v>1155</v>
      </c>
      <c r="G325" s="2" t="s">
        <v>2324</v>
      </c>
      <c r="H325" s="2" t="s">
        <v>2325</v>
      </c>
      <c r="I325" s="2" t="s">
        <v>1133</v>
      </c>
      <c r="J325" s="2" t="s">
        <v>2326</v>
      </c>
      <c r="K325" s="2" t="n">
        <v>6</v>
      </c>
      <c r="L325" s="2" t="n">
        <v>3078</v>
      </c>
      <c r="M325" s="2" t="n">
        <v>1621</v>
      </c>
      <c r="N325" s="2" t="n">
        <v>1507</v>
      </c>
      <c r="O325" s="2" t="n">
        <v>1457</v>
      </c>
      <c r="P325" s="2" t="n">
        <v>0</v>
      </c>
      <c r="Q325" s="2" t="n">
        <v>0</v>
      </c>
      <c r="R325" s="2" t="n">
        <v>0</v>
      </c>
      <c r="S325" s="2" t="n">
        <v>13</v>
      </c>
      <c r="T325" s="2" t="n">
        <v>10</v>
      </c>
      <c r="U325" s="2" t="n">
        <v>0</v>
      </c>
      <c r="V325" s="2" t="n">
        <v>0</v>
      </c>
      <c r="W325" s="2" t="n">
        <v>0</v>
      </c>
      <c r="X325" s="2" t="n">
        <v>3</v>
      </c>
      <c r="Y325" s="2" t="n">
        <v>10</v>
      </c>
      <c r="Z325" s="2" t="n">
        <v>1</v>
      </c>
      <c r="AA325" s="2" t="n">
        <v>0</v>
      </c>
      <c r="AB325" s="2" t="n">
        <v>2</v>
      </c>
      <c r="AC325" s="2"/>
    </row>
    <row r="326" customFormat="false" ht="15" hidden="false" customHeight="false" outlineLevel="0" collapsed="false">
      <c r="A326" s="2" t="n">
        <v>22</v>
      </c>
      <c r="B326" s="2" t="s">
        <v>304</v>
      </c>
      <c r="C326" s="2" t="s">
        <v>310</v>
      </c>
      <c r="D326" s="2" t="s">
        <v>2327</v>
      </c>
      <c r="E326" s="2" t="s">
        <v>1154</v>
      </c>
      <c r="F326" s="2" t="s">
        <v>1155</v>
      </c>
      <c r="G326" s="2" t="s">
        <v>2324</v>
      </c>
      <c r="H326" s="2" t="s">
        <v>2328</v>
      </c>
      <c r="I326" s="2" t="s">
        <v>1133</v>
      </c>
      <c r="J326" s="2" t="s">
        <v>2329</v>
      </c>
      <c r="K326" s="2" t="n">
        <v>10</v>
      </c>
      <c r="L326" s="2" t="n">
        <v>5018</v>
      </c>
      <c r="M326" s="2" t="n">
        <v>1556</v>
      </c>
      <c r="N326" s="2" t="n">
        <v>1439</v>
      </c>
      <c r="O326" s="2" t="n">
        <v>2303</v>
      </c>
      <c r="P326" s="2" t="n">
        <v>1159</v>
      </c>
      <c r="Q326" s="2" t="n">
        <v>0</v>
      </c>
      <c r="R326" s="2" t="n">
        <v>0</v>
      </c>
      <c r="S326" s="2" t="n">
        <v>31</v>
      </c>
      <c r="T326" s="2" t="n">
        <v>24</v>
      </c>
      <c r="U326" s="2" t="n">
        <v>3</v>
      </c>
      <c r="V326" s="2" t="n">
        <v>0</v>
      </c>
      <c r="W326" s="2" t="n">
        <v>0</v>
      </c>
      <c r="X326" s="2" t="n">
        <v>4</v>
      </c>
      <c r="Y326" s="2" t="n">
        <v>3</v>
      </c>
      <c r="Z326" s="2" t="n">
        <v>14</v>
      </c>
      <c r="AA326" s="2" t="n">
        <v>0</v>
      </c>
      <c r="AB326" s="2" t="n">
        <v>14</v>
      </c>
      <c r="AC326" s="2"/>
    </row>
    <row r="327" customFormat="false" ht="15" hidden="false" customHeight="false" outlineLevel="0" collapsed="false">
      <c r="A327" s="2" t="n">
        <v>22</v>
      </c>
      <c r="B327" s="2" t="s">
        <v>304</v>
      </c>
      <c r="C327" s="2" t="s">
        <v>310</v>
      </c>
      <c r="D327" s="2" t="s">
        <v>2330</v>
      </c>
      <c r="E327" s="2" t="s">
        <v>1154</v>
      </c>
      <c r="F327" s="2" t="s">
        <v>1155</v>
      </c>
      <c r="G327" s="2" t="s">
        <v>2324</v>
      </c>
      <c r="H327" s="2" t="s">
        <v>2331</v>
      </c>
      <c r="I327" s="2" t="s">
        <v>1133</v>
      </c>
      <c r="J327" s="2" t="s">
        <v>2332</v>
      </c>
      <c r="K327" s="2" t="n">
        <v>15</v>
      </c>
      <c r="L327" s="2" t="n">
        <v>6562</v>
      </c>
      <c r="M327" s="2" t="n">
        <v>1194</v>
      </c>
      <c r="N327" s="2" t="n">
        <v>1082</v>
      </c>
      <c r="O327" s="2" t="n">
        <v>2139</v>
      </c>
      <c r="P327" s="2" t="n">
        <v>3229</v>
      </c>
      <c r="Q327" s="2" t="n">
        <v>0</v>
      </c>
      <c r="R327" s="2" t="n">
        <v>0</v>
      </c>
      <c r="S327" s="2" t="n">
        <v>60</v>
      </c>
      <c r="T327" s="2" t="n">
        <v>55</v>
      </c>
      <c r="U327" s="2" t="n">
        <v>1</v>
      </c>
      <c r="V327" s="2" t="n">
        <v>0</v>
      </c>
      <c r="W327" s="2" t="n">
        <v>0</v>
      </c>
      <c r="X327" s="2" t="n">
        <v>4</v>
      </c>
      <c r="Y327" s="2" t="n">
        <v>33</v>
      </c>
      <c r="Z327" s="2" t="n">
        <v>16</v>
      </c>
      <c r="AA327" s="2" t="n">
        <v>0</v>
      </c>
      <c r="AB327" s="2" t="n">
        <v>11</v>
      </c>
      <c r="AC327" s="2"/>
    </row>
    <row r="328" customFormat="false" ht="15" hidden="false" customHeight="false" outlineLevel="0" collapsed="false">
      <c r="A328" s="2" t="n">
        <v>22</v>
      </c>
      <c r="B328" s="2" t="s">
        <v>304</v>
      </c>
      <c r="C328" s="2" t="s">
        <v>310</v>
      </c>
      <c r="D328" s="2" t="s">
        <v>2333</v>
      </c>
      <c r="E328" s="2" t="s">
        <v>1154</v>
      </c>
      <c r="F328" s="2" t="s">
        <v>1155</v>
      </c>
      <c r="G328" s="2" t="s">
        <v>2324</v>
      </c>
      <c r="H328" s="2" t="s">
        <v>2334</v>
      </c>
      <c r="I328" s="2" t="s">
        <v>1133</v>
      </c>
      <c r="J328" s="2" t="s">
        <v>2335</v>
      </c>
      <c r="K328" s="2" t="n">
        <v>5</v>
      </c>
      <c r="L328" s="2" t="n">
        <v>1589</v>
      </c>
      <c r="M328" s="2" t="n">
        <v>621</v>
      </c>
      <c r="N328" s="2" t="n">
        <v>492</v>
      </c>
      <c r="O328" s="2" t="n">
        <v>514</v>
      </c>
      <c r="P328" s="2" t="n">
        <v>454</v>
      </c>
      <c r="Q328" s="2" t="n">
        <v>0</v>
      </c>
      <c r="R328" s="2" t="n">
        <v>0</v>
      </c>
      <c r="S328" s="2" t="n">
        <v>3</v>
      </c>
      <c r="T328" s="2" t="n">
        <v>3</v>
      </c>
      <c r="U328" s="2" t="n">
        <v>0</v>
      </c>
      <c r="V328" s="2" t="n">
        <v>0</v>
      </c>
      <c r="W328" s="2" t="n">
        <v>0</v>
      </c>
      <c r="X328" s="2" t="n">
        <v>0</v>
      </c>
      <c r="Y328" s="2" t="n">
        <v>0</v>
      </c>
      <c r="Z328" s="2" t="n">
        <v>3</v>
      </c>
      <c r="AA328" s="2" t="n">
        <v>0</v>
      </c>
      <c r="AB328" s="2" t="n">
        <v>0</v>
      </c>
      <c r="AC328" s="2"/>
    </row>
    <row r="329" customFormat="false" ht="15" hidden="false" customHeight="false" outlineLevel="0" collapsed="false">
      <c r="A329" s="2" t="n">
        <v>22</v>
      </c>
      <c r="B329" s="2" t="s">
        <v>304</v>
      </c>
      <c r="C329" s="2" t="s">
        <v>310</v>
      </c>
      <c r="D329" s="2" t="s">
        <v>2336</v>
      </c>
      <c r="E329" s="2" t="s">
        <v>1154</v>
      </c>
      <c r="F329" s="2" t="s">
        <v>1155</v>
      </c>
      <c r="G329" s="2" t="s">
        <v>2337</v>
      </c>
      <c r="H329" s="2" t="s">
        <v>2338</v>
      </c>
      <c r="I329" s="2" t="s">
        <v>1133</v>
      </c>
      <c r="J329" s="2" t="s">
        <v>2339</v>
      </c>
      <c r="K329" s="2" t="n">
        <v>3</v>
      </c>
      <c r="L329" s="2" t="n">
        <v>1137</v>
      </c>
      <c r="M329" s="2" t="n">
        <v>531</v>
      </c>
      <c r="N329" s="2" t="n">
        <v>394</v>
      </c>
      <c r="O329" s="2" t="n">
        <v>76</v>
      </c>
      <c r="P329" s="2" t="n">
        <v>530</v>
      </c>
      <c r="Q329" s="2" t="n">
        <v>0</v>
      </c>
      <c r="R329" s="2" t="n">
        <v>0</v>
      </c>
      <c r="S329" s="2" t="n">
        <v>10</v>
      </c>
      <c r="T329" s="2" t="n">
        <v>10</v>
      </c>
      <c r="U329" s="2" t="n">
        <v>0</v>
      </c>
      <c r="V329" s="2" t="n">
        <v>0</v>
      </c>
      <c r="W329" s="2" t="n">
        <v>0</v>
      </c>
      <c r="X329" s="2" t="n">
        <v>0</v>
      </c>
      <c r="Y329" s="2" t="n">
        <v>2</v>
      </c>
      <c r="Z329" s="2" t="n">
        <v>1</v>
      </c>
      <c r="AA329" s="2" t="n">
        <v>0</v>
      </c>
      <c r="AB329" s="2" t="n">
        <v>7</v>
      </c>
      <c r="AC329" s="2"/>
    </row>
    <row r="330" customFormat="false" ht="15" hidden="false" customHeight="false" outlineLevel="0" collapsed="false">
      <c r="A330" s="2" t="n">
        <v>22</v>
      </c>
      <c r="B330" s="2" t="s">
        <v>304</v>
      </c>
      <c r="C330" s="2" t="s">
        <v>310</v>
      </c>
      <c r="D330" s="2" t="s">
        <v>2340</v>
      </c>
      <c r="E330" s="2" t="s">
        <v>1154</v>
      </c>
      <c r="F330" s="2" t="s">
        <v>1155</v>
      </c>
      <c r="G330" s="2" t="s">
        <v>2337</v>
      </c>
      <c r="H330" s="2" t="s">
        <v>2341</v>
      </c>
      <c r="I330" s="2" t="s">
        <v>1133</v>
      </c>
      <c r="J330" s="2" t="s">
        <v>2342</v>
      </c>
      <c r="K330" s="2" t="n">
        <v>3</v>
      </c>
      <c r="L330" s="2" t="n">
        <v>1090</v>
      </c>
      <c r="M330" s="2" t="n">
        <v>559</v>
      </c>
      <c r="N330" s="2" t="n">
        <v>427</v>
      </c>
      <c r="O330" s="2" t="n">
        <v>110</v>
      </c>
      <c r="P330" s="2" t="n">
        <v>421</v>
      </c>
      <c r="Q330" s="2" t="n">
        <v>0</v>
      </c>
      <c r="R330" s="2" t="n">
        <v>0</v>
      </c>
      <c r="S330" s="2" t="n">
        <v>9</v>
      </c>
      <c r="T330" s="2" t="n">
        <v>9</v>
      </c>
      <c r="U330" s="2" t="n">
        <v>0</v>
      </c>
      <c r="V330" s="2" t="n">
        <v>0</v>
      </c>
      <c r="W330" s="2" t="n">
        <v>0</v>
      </c>
      <c r="X330" s="2" t="n">
        <v>0</v>
      </c>
      <c r="Y330" s="2" t="n">
        <v>0</v>
      </c>
      <c r="Z330" s="2" t="n">
        <v>0</v>
      </c>
      <c r="AA330" s="2" t="n">
        <v>0</v>
      </c>
      <c r="AB330" s="2" t="n">
        <v>9</v>
      </c>
      <c r="AC330" s="2"/>
    </row>
    <row r="331" customFormat="false" ht="15" hidden="false" customHeight="false" outlineLevel="0" collapsed="false">
      <c r="A331" s="2" t="n">
        <v>22</v>
      </c>
      <c r="B331" s="2" t="s">
        <v>304</v>
      </c>
      <c r="C331" s="2" t="s">
        <v>310</v>
      </c>
      <c r="D331" s="2" t="s">
        <v>2343</v>
      </c>
      <c r="E331" s="2" t="s">
        <v>1154</v>
      </c>
      <c r="F331" s="2" t="s">
        <v>1155</v>
      </c>
      <c r="G331" s="2" t="s">
        <v>2337</v>
      </c>
      <c r="H331" s="2" t="s">
        <v>2344</v>
      </c>
      <c r="I331" s="2" t="s">
        <v>1133</v>
      </c>
      <c r="J331" s="2" t="s">
        <v>2345</v>
      </c>
      <c r="K331" s="2" t="n">
        <v>16</v>
      </c>
      <c r="L331" s="2" t="n">
        <v>5734</v>
      </c>
      <c r="M331" s="2" t="n">
        <v>1081</v>
      </c>
      <c r="N331" s="2" t="n">
        <v>939</v>
      </c>
      <c r="O331" s="2" t="n">
        <v>2426</v>
      </c>
      <c r="P331" s="2" t="n">
        <v>2227</v>
      </c>
      <c r="Q331" s="2" t="n">
        <v>0</v>
      </c>
      <c r="R331" s="2" t="n">
        <v>0</v>
      </c>
      <c r="S331" s="2" t="n">
        <v>70</v>
      </c>
      <c r="T331" s="2" t="n">
        <v>62</v>
      </c>
      <c r="U331" s="2" t="n">
        <v>6</v>
      </c>
      <c r="V331" s="2" t="n">
        <v>0</v>
      </c>
      <c r="W331" s="2" t="n">
        <v>0</v>
      </c>
      <c r="X331" s="2" t="n">
        <v>2</v>
      </c>
      <c r="Y331" s="2" t="n">
        <v>6</v>
      </c>
      <c r="Z331" s="2" t="n">
        <v>18</v>
      </c>
      <c r="AA331" s="2" t="n">
        <v>10</v>
      </c>
      <c r="AB331" s="2" t="n">
        <v>36</v>
      </c>
      <c r="AC331" s="2"/>
    </row>
    <row r="332" customFormat="false" ht="15" hidden="false" customHeight="false" outlineLevel="0" collapsed="false">
      <c r="A332" s="2" t="n">
        <v>22</v>
      </c>
      <c r="B332" s="2" t="s">
        <v>304</v>
      </c>
      <c r="C332" s="2" t="s">
        <v>310</v>
      </c>
      <c r="D332" s="2" t="s">
        <v>2346</v>
      </c>
      <c r="E332" s="2" t="s">
        <v>1154</v>
      </c>
      <c r="F332" s="2" t="s">
        <v>1155</v>
      </c>
      <c r="G332" s="2" t="s">
        <v>2337</v>
      </c>
      <c r="H332" s="2" t="s">
        <v>2347</v>
      </c>
      <c r="I332" s="2" t="s">
        <v>1133</v>
      </c>
      <c r="J332" s="2" t="s">
        <v>2348</v>
      </c>
      <c r="K332" s="2" t="n">
        <v>13</v>
      </c>
      <c r="L332" s="2" t="n">
        <v>5732</v>
      </c>
      <c r="M332" s="2" t="n">
        <v>2043</v>
      </c>
      <c r="N332" s="2" t="n">
        <v>1903</v>
      </c>
      <c r="O332" s="2" t="n">
        <v>3166</v>
      </c>
      <c r="P332" s="2" t="n">
        <v>523</v>
      </c>
      <c r="Q332" s="2" t="n">
        <v>0</v>
      </c>
      <c r="R332" s="2" t="n">
        <v>0</v>
      </c>
      <c r="S332" s="2" t="n">
        <v>54</v>
      </c>
      <c r="T332" s="2" t="n">
        <v>50</v>
      </c>
      <c r="U332" s="2" t="n">
        <v>1</v>
      </c>
      <c r="V332" s="2" t="n">
        <v>1</v>
      </c>
      <c r="W332" s="2" t="n">
        <v>0</v>
      </c>
      <c r="X332" s="2" t="n">
        <v>2</v>
      </c>
      <c r="Y332" s="2" t="n">
        <v>2</v>
      </c>
      <c r="Z332" s="2" t="n">
        <v>21</v>
      </c>
      <c r="AA332" s="2" t="n">
        <v>18</v>
      </c>
      <c r="AB332" s="2" t="n">
        <v>13</v>
      </c>
      <c r="AC332" s="2"/>
    </row>
    <row r="333" customFormat="false" ht="15" hidden="false" customHeight="false" outlineLevel="0" collapsed="false">
      <c r="A333" s="2" t="n">
        <v>22</v>
      </c>
      <c r="B333" s="2" t="s">
        <v>304</v>
      </c>
      <c r="C333" s="2" t="s">
        <v>310</v>
      </c>
      <c r="D333" s="2" t="s">
        <v>2349</v>
      </c>
      <c r="E333" s="2" t="s">
        <v>1154</v>
      </c>
      <c r="F333" s="2" t="s">
        <v>1155</v>
      </c>
      <c r="G333" s="2" t="s">
        <v>2337</v>
      </c>
      <c r="H333" s="2" t="s">
        <v>2350</v>
      </c>
      <c r="I333" s="2" t="s">
        <v>1133</v>
      </c>
      <c r="J333" s="2" t="s">
        <v>2351</v>
      </c>
      <c r="K333" s="2" t="n">
        <v>4</v>
      </c>
      <c r="L333" s="2" t="n">
        <v>1036</v>
      </c>
      <c r="M333" s="2" t="n">
        <v>355</v>
      </c>
      <c r="N333" s="2" t="n">
        <v>226</v>
      </c>
      <c r="O333" s="2" t="n">
        <v>148</v>
      </c>
      <c r="P333" s="2" t="n">
        <v>533</v>
      </c>
      <c r="Q333" s="2" t="n">
        <v>0</v>
      </c>
      <c r="R333" s="2" t="n">
        <v>0</v>
      </c>
      <c r="S333" s="2" t="n">
        <v>4</v>
      </c>
      <c r="T333" s="2" t="n">
        <v>3</v>
      </c>
      <c r="U333" s="2" t="n">
        <v>1</v>
      </c>
      <c r="V333" s="2" t="n">
        <v>0</v>
      </c>
      <c r="W333" s="2" t="n">
        <v>0</v>
      </c>
      <c r="X333" s="2" t="n">
        <v>0</v>
      </c>
      <c r="Y333" s="2" t="n">
        <v>0</v>
      </c>
      <c r="Z333" s="2" t="n">
        <v>2</v>
      </c>
      <c r="AA333" s="2" t="n">
        <v>0</v>
      </c>
      <c r="AB333" s="2" t="n">
        <v>2</v>
      </c>
      <c r="AC333" s="2"/>
    </row>
    <row r="334" customFormat="false" ht="15" hidden="false" customHeight="false" outlineLevel="0" collapsed="false">
      <c r="A334" s="2" t="n">
        <v>22</v>
      </c>
      <c r="B334" s="2" t="s">
        <v>304</v>
      </c>
      <c r="C334" s="2" t="s">
        <v>310</v>
      </c>
      <c r="D334" s="2" t="s">
        <v>2352</v>
      </c>
      <c r="E334" s="2" t="s">
        <v>1154</v>
      </c>
      <c r="F334" s="2" t="s">
        <v>1155</v>
      </c>
      <c r="G334" s="2" t="s">
        <v>2337</v>
      </c>
      <c r="H334" s="2" t="s">
        <v>2353</v>
      </c>
      <c r="I334" s="2" t="s">
        <v>1133</v>
      </c>
      <c r="J334" s="2" t="s">
        <v>2354</v>
      </c>
      <c r="K334" s="2" t="n">
        <v>6</v>
      </c>
      <c r="L334" s="2" t="n">
        <v>1958</v>
      </c>
      <c r="M334" s="2" t="n">
        <v>539</v>
      </c>
      <c r="N334" s="2" t="n">
        <v>417</v>
      </c>
      <c r="O334" s="2" t="n">
        <v>185</v>
      </c>
      <c r="P334" s="2" t="n">
        <v>1234</v>
      </c>
      <c r="Q334" s="2" t="n">
        <v>0</v>
      </c>
      <c r="R334" s="2" t="n">
        <v>0</v>
      </c>
      <c r="S334" s="2" t="n">
        <v>6</v>
      </c>
      <c r="T334" s="2" t="n">
        <v>4</v>
      </c>
      <c r="U334" s="2" t="n">
        <v>0</v>
      </c>
      <c r="V334" s="2" t="n">
        <v>0</v>
      </c>
      <c r="W334" s="2" t="n">
        <v>0</v>
      </c>
      <c r="X334" s="2" t="n">
        <v>2</v>
      </c>
      <c r="Y334" s="2" t="n">
        <v>1</v>
      </c>
      <c r="Z334" s="2" t="n">
        <v>4</v>
      </c>
      <c r="AA334" s="2" t="n">
        <v>0</v>
      </c>
      <c r="AB334" s="2" t="n">
        <v>1</v>
      </c>
      <c r="AC334" s="2"/>
    </row>
    <row r="335" customFormat="false" ht="15" hidden="false" customHeight="false" outlineLevel="0" collapsed="false">
      <c r="A335" s="2" t="n">
        <v>22</v>
      </c>
      <c r="B335" s="2" t="s">
        <v>304</v>
      </c>
      <c r="C335" s="2" t="s">
        <v>310</v>
      </c>
      <c r="D335" s="2" t="s">
        <v>2355</v>
      </c>
      <c r="E335" s="2" t="s">
        <v>1154</v>
      </c>
      <c r="F335" s="2" t="s">
        <v>1155</v>
      </c>
      <c r="G335" s="2" t="s">
        <v>2337</v>
      </c>
      <c r="H335" s="2" t="s">
        <v>2356</v>
      </c>
      <c r="I335" s="2" t="s">
        <v>1133</v>
      </c>
      <c r="J335" s="2" t="s">
        <v>2357</v>
      </c>
      <c r="K335" s="2" t="n">
        <v>4</v>
      </c>
      <c r="L335" s="2" t="n">
        <v>1354</v>
      </c>
      <c r="M335" s="2" t="n">
        <v>518</v>
      </c>
      <c r="N335" s="2" t="n">
        <v>391</v>
      </c>
      <c r="O335" s="2" t="n">
        <v>836</v>
      </c>
      <c r="P335" s="2" t="n">
        <v>0</v>
      </c>
      <c r="Q335" s="2" t="n">
        <v>0</v>
      </c>
      <c r="R335" s="2" t="n">
        <v>0</v>
      </c>
      <c r="S335" s="2" t="n">
        <v>6</v>
      </c>
      <c r="T335" s="2" t="n">
        <v>6</v>
      </c>
      <c r="U335" s="2" t="n">
        <v>0</v>
      </c>
      <c r="V335" s="2" t="n">
        <v>0</v>
      </c>
      <c r="W335" s="2" t="n">
        <v>0</v>
      </c>
      <c r="X335" s="2" t="n">
        <v>0</v>
      </c>
      <c r="Y335" s="2" t="n">
        <v>1</v>
      </c>
      <c r="Z335" s="2" t="n">
        <v>4</v>
      </c>
      <c r="AA335" s="2" t="n">
        <v>0</v>
      </c>
      <c r="AB335" s="2" t="n">
        <v>1</v>
      </c>
      <c r="AC335" s="2"/>
    </row>
    <row r="336" customFormat="false" ht="15" hidden="false" customHeight="false" outlineLevel="0" collapsed="false">
      <c r="A336" s="2" t="n">
        <v>22</v>
      </c>
      <c r="B336" s="2" t="s">
        <v>304</v>
      </c>
      <c r="C336" s="2" t="s">
        <v>310</v>
      </c>
      <c r="D336" s="2" t="s">
        <v>2358</v>
      </c>
      <c r="E336" s="2" t="s">
        <v>1154</v>
      </c>
      <c r="F336" s="2" t="s">
        <v>1155</v>
      </c>
      <c r="G336" s="2" t="s">
        <v>2359</v>
      </c>
      <c r="H336" s="2" t="s">
        <v>2360</v>
      </c>
      <c r="I336" s="2" t="s">
        <v>1133</v>
      </c>
      <c r="J336" s="2" t="s">
        <v>2361</v>
      </c>
      <c r="K336" s="2" t="n">
        <v>6</v>
      </c>
      <c r="L336" s="2" t="n">
        <v>2228</v>
      </c>
      <c r="M336" s="2" t="n">
        <v>530</v>
      </c>
      <c r="N336" s="2" t="n">
        <v>398</v>
      </c>
      <c r="O336" s="2" t="n">
        <v>68</v>
      </c>
      <c r="P336" s="2" t="n">
        <v>1630</v>
      </c>
      <c r="Q336" s="2" t="n">
        <v>0</v>
      </c>
      <c r="R336" s="2" t="n">
        <v>0</v>
      </c>
      <c r="S336" s="2" t="n">
        <v>28</v>
      </c>
      <c r="T336" s="2" t="n">
        <v>26</v>
      </c>
      <c r="U336" s="2" t="n">
        <v>1</v>
      </c>
      <c r="V336" s="2" t="n">
        <v>1</v>
      </c>
      <c r="W336" s="2" t="n">
        <v>0</v>
      </c>
      <c r="X336" s="2" t="n">
        <v>0</v>
      </c>
      <c r="Y336" s="2" t="n">
        <v>0</v>
      </c>
      <c r="Z336" s="2" t="n">
        <v>0</v>
      </c>
      <c r="AA336" s="2" t="n">
        <v>0</v>
      </c>
      <c r="AB336" s="2" t="n">
        <v>28</v>
      </c>
      <c r="AC336" s="2"/>
    </row>
    <row r="337" customFormat="false" ht="15" hidden="false" customHeight="false" outlineLevel="0" collapsed="false">
      <c r="A337" s="2" t="n">
        <v>22</v>
      </c>
      <c r="B337" s="2" t="s">
        <v>304</v>
      </c>
      <c r="C337" s="2" t="s">
        <v>310</v>
      </c>
      <c r="D337" s="2" t="s">
        <v>2362</v>
      </c>
      <c r="E337" s="2" t="s">
        <v>1154</v>
      </c>
      <c r="F337" s="2" t="s">
        <v>1155</v>
      </c>
      <c r="G337" s="2" t="s">
        <v>2359</v>
      </c>
      <c r="H337" s="2" t="s">
        <v>2363</v>
      </c>
      <c r="I337" s="2" t="s">
        <v>1133</v>
      </c>
      <c r="J337" s="2" t="s">
        <v>2364</v>
      </c>
      <c r="K337" s="2" t="n">
        <v>7</v>
      </c>
      <c r="L337" s="2" t="n">
        <v>2801</v>
      </c>
      <c r="M337" s="2" t="n">
        <v>534</v>
      </c>
      <c r="N337" s="2" t="n">
        <v>408</v>
      </c>
      <c r="O337" s="2" t="n">
        <v>78</v>
      </c>
      <c r="P337" s="2" t="n">
        <v>2189</v>
      </c>
      <c r="Q337" s="2" t="n">
        <v>0</v>
      </c>
      <c r="R337" s="2" t="n">
        <v>0</v>
      </c>
      <c r="S337" s="2" t="n">
        <v>42</v>
      </c>
      <c r="T337" s="2" t="n">
        <v>38</v>
      </c>
      <c r="U337" s="2" t="n">
        <v>3</v>
      </c>
      <c r="V337" s="2" t="n">
        <v>1</v>
      </c>
      <c r="W337" s="2" t="n">
        <v>0</v>
      </c>
      <c r="X337" s="2" t="n">
        <v>0</v>
      </c>
      <c r="Y337" s="2" t="n">
        <v>1</v>
      </c>
      <c r="Z337" s="2" t="n">
        <v>0</v>
      </c>
      <c r="AA337" s="2" t="n">
        <v>0</v>
      </c>
      <c r="AB337" s="2" t="n">
        <v>41</v>
      </c>
      <c r="AC337" s="2"/>
    </row>
    <row r="338" customFormat="false" ht="15" hidden="false" customHeight="false" outlineLevel="0" collapsed="false">
      <c r="A338" s="2" t="n">
        <v>22</v>
      </c>
      <c r="B338" s="2" t="s">
        <v>304</v>
      </c>
      <c r="C338" s="2" t="s">
        <v>310</v>
      </c>
      <c r="D338" s="2" t="s">
        <v>2365</v>
      </c>
      <c r="E338" s="2" t="s">
        <v>1154</v>
      </c>
      <c r="F338" s="2" t="s">
        <v>1155</v>
      </c>
      <c r="G338" s="2" t="s">
        <v>2359</v>
      </c>
      <c r="H338" s="2" t="s">
        <v>2366</v>
      </c>
      <c r="I338" s="2" t="s">
        <v>1133</v>
      </c>
      <c r="J338" s="2" t="s">
        <v>2367</v>
      </c>
      <c r="K338" s="2" t="n">
        <v>12</v>
      </c>
      <c r="L338" s="2" t="n">
        <v>4474</v>
      </c>
      <c r="M338" s="2" t="n">
        <v>547</v>
      </c>
      <c r="N338" s="2" t="n">
        <v>421</v>
      </c>
      <c r="O338" s="2" t="n">
        <v>112</v>
      </c>
      <c r="P338" s="2" t="n">
        <v>3815</v>
      </c>
      <c r="Q338" s="2" t="n">
        <v>0</v>
      </c>
      <c r="R338" s="2" t="n">
        <v>0</v>
      </c>
      <c r="S338" s="2" t="n">
        <v>64</v>
      </c>
      <c r="T338" s="2" t="n">
        <v>60</v>
      </c>
      <c r="U338" s="2" t="n">
        <v>0</v>
      </c>
      <c r="V338" s="2" t="n">
        <v>0</v>
      </c>
      <c r="W338" s="2" t="n">
        <v>4</v>
      </c>
      <c r="X338" s="2" t="n">
        <v>0</v>
      </c>
      <c r="Y338" s="2" t="n">
        <v>10</v>
      </c>
      <c r="Z338" s="2" t="n">
        <v>0</v>
      </c>
      <c r="AA338" s="2" t="n">
        <v>0</v>
      </c>
      <c r="AB338" s="2" t="n">
        <v>54</v>
      </c>
      <c r="AC338" s="2"/>
    </row>
    <row r="339" customFormat="false" ht="15" hidden="false" customHeight="false" outlineLevel="0" collapsed="false">
      <c r="A339" s="2" t="n">
        <v>22</v>
      </c>
      <c r="B339" s="2" t="s">
        <v>304</v>
      </c>
      <c r="C339" s="2" t="s">
        <v>310</v>
      </c>
      <c r="D339" s="2" t="s">
        <v>2368</v>
      </c>
      <c r="E339" s="2" t="s">
        <v>1154</v>
      </c>
      <c r="F339" s="2" t="s">
        <v>1155</v>
      </c>
      <c r="G339" s="2" t="s">
        <v>2359</v>
      </c>
      <c r="H339" s="2" t="s">
        <v>2369</v>
      </c>
      <c r="I339" s="2" t="s">
        <v>1133</v>
      </c>
      <c r="J339" s="2" t="s">
        <v>2370</v>
      </c>
      <c r="K339" s="2" t="n">
        <v>8</v>
      </c>
      <c r="L339" s="2" t="n">
        <v>2766</v>
      </c>
      <c r="M339" s="2" t="n">
        <v>568</v>
      </c>
      <c r="N339" s="2" t="n">
        <v>434</v>
      </c>
      <c r="O339" s="2" t="n">
        <v>124</v>
      </c>
      <c r="P339" s="2" t="n">
        <v>2074</v>
      </c>
      <c r="Q339" s="2" t="n">
        <v>0</v>
      </c>
      <c r="R339" s="2" t="n">
        <v>0</v>
      </c>
      <c r="S339" s="2" t="n">
        <v>24</v>
      </c>
      <c r="T339" s="2" t="n">
        <v>23</v>
      </c>
      <c r="U339" s="2" t="n">
        <v>0</v>
      </c>
      <c r="V339" s="2" t="n">
        <v>0</v>
      </c>
      <c r="W339" s="2" t="n">
        <v>0</v>
      </c>
      <c r="X339" s="2" t="n">
        <v>1</v>
      </c>
      <c r="Y339" s="2" t="n">
        <v>4</v>
      </c>
      <c r="Z339" s="2" t="n">
        <v>0</v>
      </c>
      <c r="AA339" s="2" t="n">
        <v>0</v>
      </c>
      <c r="AB339" s="2" t="n">
        <v>20</v>
      </c>
      <c r="AC339" s="2"/>
    </row>
    <row r="340" customFormat="false" ht="15" hidden="false" customHeight="false" outlineLevel="0" collapsed="false">
      <c r="A340" s="2" t="n">
        <v>22</v>
      </c>
      <c r="B340" s="2" t="s">
        <v>304</v>
      </c>
      <c r="C340" s="2" t="s">
        <v>310</v>
      </c>
      <c r="D340" s="2" t="s">
        <v>2371</v>
      </c>
      <c r="E340" s="2" t="s">
        <v>1154</v>
      </c>
      <c r="F340" s="2" t="s">
        <v>1155</v>
      </c>
      <c r="G340" s="2" t="s">
        <v>2359</v>
      </c>
      <c r="H340" s="2" t="s">
        <v>2372</v>
      </c>
      <c r="I340" s="2" t="s">
        <v>1133</v>
      </c>
      <c r="J340" s="2" t="s">
        <v>2373</v>
      </c>
      <c r="K340" s="2" t="n">
        <v>6</v>
      </c>
      <c r="L340" s="2" t="n">
        <v>1778</v>
      </c>
      <c r="M340" s="2" t="n">
        <v>523</v>
      </c>
      <c r="N340" s="2" t="n">
        <v>376</v>
      </c>
      <c r="O340" s="2" t="n">
        <v>109</v>
      </c>
      <c r="P340" s="2" t="n">
        <v>1146</v>
      </c>
      <c r="Q340" s="2" t="n">
        <v>0</v>
      </c>
      <c r="R340" s="2" t="n">
        <v>0</v>
      </c>
      <c r="S340" s="2" t="n">
        <v>18</v>
      </c>
      <c r="T340" s="2" t="n">
        <v>11</v>
      </c>
      <c r="U340" s="2" t="n">
        <v>7</v>
      </c>
      <c r="V340" s="2" t="n">
        <v>0</v>
      </c>
      <c r="W340" s="2" t="n">
        <v>0</v>
      </c>
      <c r="X340" s="2" t="n">
        <v>0</v>
      </c>
      <c r="Y340" s="2" t="n">
        <v>2</v>
      </c>
      <c r="Z340" s="2" t="n">
        <v>0</v>
      </c>
      <c r="AA340" s="2" t="n">
        <v>0</v>
      </c>
      <c r="AB340" s="2" t="n">
        <v>16</v>
      </c>
      <c r="AC340" s="2"/>
    </row>
    <row r="341" customFormat="false" ht="15" hidden="false" customHeight="false" outlineLevel="0" collapsed="false">
      <c r="A341" s="2" t="n">
        <v>22</v>
      </c>
      <c r="B341" s="2" t="s">
        <v>304</v>
      </c>
      <c r="C341" s="2" t="s">
        <v>310</v>
      </c>
      <c r="D341" s="2" t="s">
        <v>2374</v>
      </c>
      <c r="E341" s="2" t="s">
        <v>1154</v>
      </c>
      <c r="F341" s="2" t="s">
        <v>1155</v>
      </c>
      <c r="G341" s="2" t="s">
        <v>2359</v>
      </c>
      <c r="H341" s="2" t="s">
        <v>2375</v>
      </c>
      <c r="I341" s="2" t="s">
        <v>1133</v>
      </c>
      <c r="J341" s="2" t="s">
        <v>2376</v>
      </c>
      <c r="K341" s="2" t="n">
        <v>6</v>
      </c>
      <c r="L341" s="2" t="n">
        <v>2080</v>
      </c>
      <c r="M341" s="2" t="n">
        <v>545</v>
      </c>
      <c r="N341" s="2" t="n">
        <v>422</v>
      </c>
      <c r="O341" s="2" t="n">
        <v>78</v>
      </c>
      <c r="P341" s="2" t="n">
        <v>1457</v>
      </c>
      <c r="Q341" s="2" t="n">
        <v>0</v>
      </c>
      <c r="R341" s="2" t="n">
        <v>0</v>
      </c>
      <c r="S341" s="2" t="n">
        <v>25</v>
      </c>
      <c r="T341" s="2" t="n">
        <v>20</v>
      </c>
      <c r="U341" s="2" t="n">
        <v>3</v>
      </c>
      <c r="V341" s="2" t="n">
        <v>1</v>
      </c>
      <c r="W341" s="2" t="n">
        <v>0</v>
      </c>
      <c r="X341" s="2" t="n">
        <v>1</v>
      </c>
      <c r="Y341" s="2" t="n">
        <v>2</v>
      </c>
      <c r="Z341" s="2" t="n">
        <v>0</v>
      </c>
      <c r="AA341" s="2" t="n">
        <v>0</v>
      </c>
      <c r="AB341" s="2" t="n">
        <v>23</v>
      </c>
      <c r="AC341" s="2"/>
    </row>
    <row r="342" customFormat="false" ht="15" hidden="false" customHeight="false" outlineLevel="0" collapsed="false">
      <c r="A342" s="2" t="n">
        <v>22</v>
      </c>
      <c r="B342" s="2" t="s">
        <v>304</v>
      </c>
      <c r="C342" s="2" t="s">
        <v>310</v>
      </c>
      <c r="D342" s="2" t="s">
        <v>2377</v>
      </c>
      <c r="E342" s="2" t="s">
        <v>1154</v>
      </c>
      <c r="F342" s="2" t="s">
        <v>1178</v>
      </c>
      <c r="G342" s="2" t="s">
        <v>2378</v>
      </c>
      <c r="H342" s="2" t="s">
        <v>2379</v>
      </c>
      <c r="I342" s="2" t="s">
        <v>1133</v>
      </c>
      <c r="J342" s="2" t="s">
        <v>2380</v>
      </c>
      <c r="K342" s="2" t="n">
        <v>7</v>
      </c>
      <c r="L342" s="2" t="n">
        <v>3081</v>
      </c>
      <c r="M342" s="2" t="n">
        <v>603</v>
      </c>
      <c r="N342" s="2" t="n">
        <v>493</v>
      </c>
      <c r="O342" s="2" t="n">
        <v>55</v>
      </c>
      <c r="P342" s="2" t="n">
        <v>2423</v>
      </c>
      <c r="Q342" s="2" t="n">
        <v>0</v>
      </c>
      <c r="R342" s="2" t="n">
        <v>0</v>
      </c>
      <c r="S342" s="2" t="n">
        <v>10</v>
      </c>
      <c r="T342" s="2" t="n">
        <v>9</v>
      </c>
      <c r="U342" s="2" t="n">
        <v>0</v>
      </c>
      <c r="V342" s="2" t="n">
        <v>1</v>
      </c>
      <c r="W342" s="2" t="n">
        <v>0</v>
      </c>
      <c r="X342" s="2" t="n">
        <v>0</v>
      </c>
      <c r="Y342" s="2" t="n">
        <v>0</v>
      </c>
      <c r="Z342" s="2" t="n">
        <v>5</v>
      </c>
      <c r="AA342" s="2" t="n">
        <v>0</v>
      </c>
      <c r="AB342" s="2" t="n">
        <v>5</v>
      </c>
      <c r="AC342" s="2"/>
    </row>
    <row r="343" customFormat="false" ht="15" hidden="false" customHeight="false" outlineLevel="0" collapsed="false">
      <c r="A343" s="2" t="n">
        <v>22</v>
      </c>
      <c r="B343" s="2" t="s">
        <v>304</v>
      </c>
      <c r="C343" s="2" t="s">
        <v>310</v>
      </c>
      <c r="D343" s="2" t="s">
        <v>2381</v>
      </c>
      <c r="E343" s="2" t="s">
        <v>1154</v>
      </c>
      <c r="F343" s="2" t="s">
        <v>1155</v>
      </c>
      <c r="G343" s="2" t="s">
        <v>2378</v>
      </c>
      <c r="H343" s="2" t="s">
        <v>2382</v>
      </c>
      <c r="I343" s="2" t="s">
        <v>1133</v>
      </c>
      <c r="J343" s="2" t="s">
        <v>2383</v>
      </c>
      <c r="K343" s="2" t="n">
        <v>6</v>
      </c>
      <c r="L343" s="2" t="n">
        <v>1883</v>
      </c>
      <c r="M343" s="2" t="n">
        <v>883</v>
      </c>
      <c r="N343" s="2" t="n">
        <v>758</v>
      </c>
      <c r="O343" s="2" t="n">
        <v>915</v>
      </c>
      <c r="P343" s="2" t="n">
        <v>85</v>
      </c>
      <c r="Q343" s="2" t="n">
        <v>0</v>
      </c>
      <c r="R343" s="2" t="n">
        <v>0</v>
      </c>
      <c r="S343" s="2" t="n">
        <v>16</v>
      </c>
      <c r="T343" s="2" t="n">
        <v>15</v>
      </c>
      <c r="U343" s="2" t="n">
        <v>0</v>
      </c>
      <c r="V343" s="2" t="n">
        <v>0</v>
      </c>
      <c r="W343" s="2" t="n">
        <v>0</v>
      </c>
      <c r="X343" s="2" t="n">
        <v>1</v>
      </c>
      <c r="Y343" s="2" t="n">
        <v>10</v>
      </c>
      <c r="Z343" s="2" t="n">
        <v>0</v>
      </c>
      <c r="AA343" s="2" t="n">
        <v>0</v>
      </c>
      <c r="AB343" s="2" t="n">
        <v>6</v>
      </c>
      <c r="AC343" s="2"/>
    </row>
    <row r="344" customFormat="false" ht="15" hidden="false" customHeight="false" outlineLevel="0" collapsed="false">
      <c r="A344" s="2" t="n">
        <v>22</v>
      </c>
      <c r="B344" s="2" t="s">
        <v>304</v>
      </c>
      <c r="C344" s="2" t="s">
        <v>310</v>
      </c>
      <c r="D344" s="2" t="s">
        <v>2384</v>
      </c>
      <c r="E344" s="2" t="s">
        <v>1154</v>
      </c>
      <c r="F344" s="2" t="s">
        <v>1155</v>
      </c>
      <c r="G344" s="2" t="s">
        <v>2378</v>
      </c>
      <c r="H344" s="2" t="s">
        <v>2385</v>
      </c>
      <c r="I344" s="2" t="s">
        <v>1133</v>
      </c>
      <c r="J344" s="2" t="s">
        <v>2386</v>
      </c>
      <c r="K344" s="2" t="n">
        <v>17</v>
      </c>
      <c r="L344" s="2" t="n">
        <v>6923</v>
      </c>
      <c r="M344" s="2" t="n">
        <v>1685</v>
      </c>
      <c r="N344" s="2" t="n">
        <v>1548</v>
      </c>
      <c r="O344" s="2" t="n">
        <v>2348</v>
      </c>
      <c r="P344" s="2" t="n">
        <v>2890</v>
      </c>
      <c r="Q344" s="2" t="n">
        <v>0</v>
      </c>
      <c r="R344" s="2" t="n">
        <v>0</v>
      </c>
      <c r="S344" s="2" t="n">
        <v>43</v>
      </c>
      <c r="T344" s="2" t="n">
        <v>29</v>
      </c>
      <c r="U344" s="2" t="n">
        <v>0</v>
      </c>
      <c r="V344" s="2" t="n">
        <v>0</v>
      </c>
      <c r="W344" s="2" t="n">
        <v>0</v>
      </c>
      <c r="X344" s="2" t="n">
        <v>14</v>
      </c>
      <c r="Y344" s="2" t="n">
        <v>15</v>
      </c>
      <c r="Z344" s="2" t="n">
        <v>9</v>
      </c>
      <c r="AA344" s="2" t="n">
        <v>0</v>
      </c>
      <c r="AB344" s="2" t="n">
        <v>19</v>
      </c>
      <c r="AC344" s="2"/>
    </row>
    <row r="345" customFormat="false" ht="15" hidden="false" customHeight="false" outlineLevel="0" collapsed="false">
      <c r="A345" s="2" t="n">
        <v>22</v>
      </c>
      <c r="B345" s="2" t="s">
        <v>304</v>
      </c>
      <c r="C345" s="2" t="s">
        <v>310</v>
      </c>
      <c r="D345" s="2" t="s">
        <v>2387</v>
      </c>
      <c r="E345" s="2" t="s">
        <v>1154</v>
      </c>
      <c r="F345" s="2" t="s">
        <v>1155</v>
      </c>
      <c r="G345" s="2" t="s">
        <v>540</v>
      </c>
      <c r="H345" s="2" t="s">
        <v>2388</v>
      </c>
      <c r="I345" s="2" t="s">
        <v>1133</v>
      </c>
      <c r="J345" s="2" t="s">
        <v>2389</v>
      </c>
      <c r="K345" s="2" t="n">
        <v>3</v>
      </c>
      <c r="L345" s="2" t="n">
        <v>756</v>
      </c>
      <c r="M345" s="2" t="n">
        <v>560</v>
      </c>
      <c r="N345" s="2" t="n">
        <v>444</v>
      </c>
      <c r="O345" s="2" t="n">
        <v>73</v>
      </c>
      <c r="P345" s="2" t="n">
        <v>123</v>
      </c>
      <c r="Q345" s="2" t="n">
        <v>0</v>
      </c>
      <c r="R345" s="2" t="n">
        <v>0</v>
      </c>
      <c r="S345" s="2" t="n">
        <v>1</v>
      </c>
      <c r="T345" s="2" t="n">
        <v>1</v>
      </c>
      <c r="U345" s="2" t="n">
        <v>0</v>
      </c>
      <c r="V345" s="2" t="n">
        <v>0</v>
      </c>
      <c r="W345" s="2" t="n">
        <v>0</v>
      </c>
      <c r="X345" s="2" t="n">
        <v>0</v>
      </c>
      <c r="Y345" s="2" t="n">
        <v>0</v>
      </c>
      <c r="Z345" s="2" t="n">
        <v>0</v>
      </c>
      <c r="AA345" s="2" t="n">
        <v>0</v>
      </c>
      <c r="AB345" s="2" t="n">
        <v>1</v>
      </c>
      <c r="AC345" s="2"/>
    </row>
    <row r="346" customFormat="false" ht="15" hidden="false" customHeight="false" outlineLevel="0" collapsed="false">
      <c r="A346" s="2" t="n">
        <v>22</v>
      </c>
      <c r="B346" s="2" t="s">
        <v>304</v>
      </c>
      <c r="C346" s="2" t="s">
        <v>310</v>
      </c>
      <c r="D346" s="2" t="s">
        <v>2390</v>
      </c>
      <c r="E346" s="2" t="s">
        <v>1154</v>
      </c>
      <c r="F346" s="2" t="s">
        <v>1155</v>
      </c>
      <c r="G346" s="2" t="s">
        <v>540</v>
      </c>
      <c r="H346" s="2" t="s">
        <v>2391</v>
      </c>
      <c r="I346" s="2" t="s">
        <v>1133</v>
      </c>
      <c r="J346" s="2" t="s">
        <v>2392</v>
      </c>
      <c r="K346" s="2" t="n">
        <v>8</v>
      </c>
      <c r="L346" s="2" t="n">
        <v>3422</v>
      </c>
      <c r="M346" s="2" t="n">
        <v>1071</v>
      </c>
      <c r="N346" s="2" t="n">
        <v>953</v>
      </c>
      <c r="O346" s="2" t="n">
        <v>1193</v>
      </c>
      <c r="P346" s="2" t="n">
        <v>1158</v>
      </c>
      <c r="Q346" s="2" t="n">
        <v>0</v>
      </c>
      <c r="R346" s="2" t="n">
        <v>0</v>
      </c>
      <c r="S346" s="2" t="n">
        <v>14</v>
      </c>
      <c r="T346" s="2" t="n">
        <v>8</v>
      </c>
      <c r="U346" s="2" t="n">
        <v>0</v>
      </c>
      <c r="V346" s="2" t="n">
        <v>0</v>
      </c>
      <c r="W346" s="2" t="n">
        <v>2</v>
      </c>
      <c r="X346" s="2" t="n">
        <v>4</v>
      </c>
      <c r="Y346" s="2" t="n">
        <v>11</v>
      </c>
      <c r="Z346" s="2" t="n">
        <v>0</v>
      </c>
      <c r="AA346" s="2" t="n">
        <v>0</v>
      </c>
      <c r="AB346" s="2" t="n">
        <v>3</v>
      </c>
      <c r="AC346" s="2"/>
    </row>
    <row r="347" customFormat="false" ht="15" hidden="false" customHeight="false" outlineLevel="0" collapsed="false">
      <c r="A347" s="2" t="n">
        <v>22</v>
      </c>
      <c r="B347" s="2" t="s">
        <v>304</v>
      </c>
      <c r="C347" s="2" t="s">
        <v>310</v>
      </c>
      <c r="D347" s="2" t="s">
        <v>2393</v>
      </c>
      <c r="E347" s="2" t="s">
        <v>1154</v>
      </c>
      <c r="F347" s="2" t="s">
        <v>1155</v>
      </c>
      <c r="G347" s="2" t="s">
        <v>540</v>
      </c>
      <c r="H347" s="2" t="s">
        <v>2394</v>
      </c>
      <c r="I347" s="2" t="s">
        <v>1133</v>
      </c>
      <c r="J347" s="2" t="s">
        <v>2395</v>
      </c>
      <c r="K347" s="2" t="n">
        <v>7</v>
      </c>
      <c r="L347" s="2" t="n">
        <v>2695</v>
      </c>
      <c r="M347" s="2" t="n">
        <v>586</v>
      </c>
      <c r="N347" s="2" t="n">
        <v>470</v>
      </c>
      <c r="O347" s="2" t="n">
        <v>79</v>
      </c>
      <c r="P347" s="2" t="n">
        <v>2030</v>
      </c>
      <c r="Q347" s="2" t="n">
        <v>0</v>
      </c>
      <c r="R347" s="2" t="n">
        <v>0</v>
      </c>
      <c r="S347" s="2" t="n">
        <v>30</v>
      </c>
      <c r="T347" s="2" t="n">
        <v>26</v>
      </c>
      <c r="U347" s="2" t="n">
        <v>0</v>
      </c>
      <c r="V347" s="2" t="n">
        <v>0</v>
      </c>
      <c r="W347" s="2" t="n">
        <v>1</v>
      </c>
      <c r="X347" s="2" t="n">
        <v>3</v>
      </c>
      <c r="Y347" s="2" t="n">
        <v>14</v>
      </c>
      <c r="Z347" s="2" t="n">
        <v>0</v>
      </c>
      <c r="AA347" s="2" t="n">
        <v>0</v>
      </c>
      <c r="AB347" s="2" t="n">
        <v>16</v>
      </c>
      <c r="AC347" s="2"/>
    </row>
    <row r="348" customFormat="false" ht="15" hidden="false" customHeight="false" outlineLevel="0" collapsed="false">
      <c r="A348" s="2" t="n">
        <v>22</v>
      </c>
      <c r="B348" s="2" t="s">
        <v>304</v>
      </c>
      <c r="C348" s="2" t="s">
        <v>310</v>
      </c>
      <c r="D348" s="2" t="s">
        <v>2396</v>
      </c>
      <c r="E348" s="2" t="s">
        <v>1154</v>
      </c>
      <c r="F348" s="2" t="s">
        <v>1155</v>
      </c>
      <c r="G348" s="2" t="s">
        <v>540</v>
      </c>
      <c r="H348" s="2" t="s">
        <v>2397</v>
      </c>
      <c r="I348" s="2" t="s">
        <v>1133</v>
      </c>
      <c r="J348" s="2" t="s">
        <v>2398</v>
      </c>
      <c r="K348" s="2" t="n">
        <v>6</v>
      </c>
      <c r="L348" s="2" t="n">
        <v>2063</v>
      </c>
      <c r="M348" s="2" t="n">
        <v>730</v>
      </c>
      <c r="N348" s="2" t="n">
        <v>613</v>
      </c>
      <c r="O348" s="2" t="n">
        <v>209</v>
      </c>
      <c r="P348" s="2" t="n">
        <v>1124</v>
      </c>
      <c r="Q348" s="2" t="n">
        <v>0</v>
      </c>
      <c r="R348" s="2" t="n">
        <v>0</v>
      </c>
      <c r="S348" s="2" t="n">
        <v>21</v>
      </c>
      <c r="T348" s="2" t="n">
        <v>20</v>
      </c>
      <c r="U348" s="2" t="n">
        <v>0</v>
      </c>
      <c r="V348" s="2" t="n">
        <v>0</v>
      </c>
      <c r="W348" s="2" t="n">
        <v>0</v>
      </c>
      <c r="X348" s="2" t="n">
        <v>1</v>
      </c>
      <c r="Y348" s="2" t="n">
        <v>4</v>
      </c>
      <c r="Z348" s="2" t="n">
        <v>0</v>
      </c>
      <c r="AA348" s="2" t="n">
        <v>0</v>
      </c>
      <c r="AB348" s="2" t="n">
        <v>17</v>
      </c>
      <c r="AC348" s="2"/>
    </row>
    <row r="349" customFormat="false" ht="15" hidden="false" customHeight="false" outlineLevel="0" collapsed="false">
      <c r="A349" s="2" t="n">
        <v>22</v>
      </c>
      <c r="B349" s="2" t="s">
        <v>304</v>
      </c>
      <c r="C349" s="2" t="s">
        <v>310</v>
      </c>
      <c r="D349" s="2" t="s">
        <v>2399</v>
      </c>
      <c r="E349" s="2" t="s">
        <v>1154</v>
      </c>
      <c r="F349" s="2" t="s">
        <v>1155</v>
      </c>
      <c r="G349" s="2" t="s">
        <v>2400</v>
      </c>
      <c r="H349" s="2" t="s">
        <v>2401</v>
      </c>
      <c r="I349" s="2" t="s">
        <v>1133</v>
      </c>
      <c r="J349" s="2" t="s">
        <v>2402</v>
      </c>
      <c r="K349" s="2" t="n">
        <v>7</v>
      </c>
      <c r="L349" s="2" t="n">
        <v>2724</v>
      </c>
      <c r="M349" s="2" t="n">
        <v>1036</v>
      </c>
      <c r="N349" s="2" t="n">
        <v>899</v>
      </c>
      <c r="O349" s="2" t="n">
        <v>1105</v>
      </c>
      <c r="P349" s="2" t="n">
        <v>583</v>
      </c>
      <c r="Q349" s="2" t="n">
        <v>0</v>
      </c>
      <c r="R349" s="2" t="n">
        <v>0</v>
      </c>
      <c r="S349" s="2" t="n">
        <v>15</v>
      </c>
      <c r="T349" s="2" t="n">
        <v>15</v>
      </c>
      <c r="U349" s="2" t="n">
        <v>0</v>
      </c>
      <c r="V349" s="2" t="n">
        <v>0</v>
      </c>
      <c r="W349" s="2" t="n">
        <v>0</v>
      </c>
      <c r="X349" s="2" t="n">
        <v>0</v>
      </c>
      <c r="Y349" s="2" t="n">
        <v>0</v>
      </c>
      <c r="Z349" s="2" t="n">
        <v>6</v>
      </c>
      <c r="AA349" s="2" t="n">
        <v>0</v>
      </c>
      <c r="AB349" s="2" t="n">
        <v>9</v>
      </c>
      <c r="AC349" s="2"/>
    </row>
    <row r="350" customFormat="false" ht="15" hidden="false" customHeight="false" outlineLevel="0" collapsed="false">
      <c r="A350" s="2" t="n">
        <v>22</v>
      </c>
      <c r="B350" s="2" t="s">
        <v>304</v>
      </c>
      <c r="C350" s="2" t="s">
        <v>310</v>
      </c>
      <c r="D350" s="2" t="s">
        <v>2403</v>
      </c>
      <c r="E350" s="2" t="s">
        <v>1154</v>
      </c>
      <c r="F350" s="2" t="s">
        <v>1155</v>
      </c>
      <c r="G350" s="2" t="s">
        <v>2404</v>
      </c>
      <c r="H350" s="2" t="s">
        <v>2405</v>
      </c>
      <c r="I350" s="2" t="s">
        <v>1133</v>
      </c>
      <c r="J350" s="2" t="s">
        <v>2406</v>
      </c>
      <c r="K350" s="2" t="n">
        <v>6</v>
      </c>
      <c r="L350" s="2" t="n">
        <v>2243</v>
      </c>
      <c r="M350" s="2" t="n">
        <v>738</v>
      </c>
      <c r="N350" s="2" t="n">
        <v>600</v>
      </c>
      <c r="O350" s="2" t="n">
        <v>68</v>
      </c>
      <c r="P350" s="2" t="n">
        <v>1437</v>
      </c>
      <c r="Q350" s="2" t="n">
        <v>0</v>
      </c>
      <c r="R350" s="2" t="n">
        <v>0</v>
      </c>
      <c r="S350" s="2" t="n">
        <v>21</v>
      </c>
      <c r="T350" s="2" t="n">
        <v>18</v>
      </c>
      <c r="U350" s="2" t="n">
        <v>0</v>
      </c>
      <c r="V350" s="2" t="n">
        <v>0</v>
      </c>
      <c r="W350" s="2" t="n">
        <v>2</v>
      </c>
      <c r="X350" s="2" t="n">
        <v>1</v>
      </c>
      <c r="Y350" s="2" t="n">
        <v>6</v>
      </c>
      <c r="Z350" s="2" t="n">
        <v>0</v>
      </c>
      <c r="AA350" s="2" t="n">
        <v>0</v>
      </c>
      <c r="AB350" s="2" t="n">
        <v>15</v>
      </c>
      <c r="AC350" s="2"/>
    </row>
    <row r="351" customFormat="false" ht="15" hidden="false" customHeight="false" outlineLevel="0" collapsed="false">
      <c r="A351" s="2" t="n">
        <v>22</v>
      </c>
      <c r="B351" s="2" t="s">
        <v>304</v>
      </c>
      <c r="C351" s="2" t="s">
        <v>310</v>
      </c>
      <c r="D351" s="2" t="s">
        <v>2407</v>
      </c>
      <c r="E351" s="2" t="s">
        <v>1154</v>
      </c>
      <c r="F351" s="2" t="s">
        <v>1155</v>
      </c>
      <c r="G351" s="2" t="s">
        <v>2408</v>
      </c>
      <c r="H351" s="2" t="s">
        <v>2409</v>
      </c>
      <c r="I351" s="2" t="s">
        <v>1133</v>
      </c>
      <c r="J351" s="2" t="s">
        <v>2410</v>
      </c>
      <c r="K351" s="2" t="n">
        <v>6</v>
      </c>
      <c r="L351" s="2" t="n">
        <v>1259</v>
      </c>
      <c r="M351" s="2" t="n">
        <v>508</v>
      </c>
      <c r="N351" s="2" t="n">
        <v>410</v>
      </c>
      <c r="O351" s="2" t="n">
        <v>454</v>
      </c>
      <c r="P351" s="2" t="n">
        <v>297</v>
      </c>
      <c r="Q351" s="2" t="n">
        <v>0</v>
      </c>
      <c r="R351" s="2" t="n">
        <v>0</v>
      </c>
      <c r="S351" s="2" t="n">
        <v>7</v>
      </c>
      <c r="T351" s="2" t="n">
        <v>6</v>
      </c>
      <c r="U351" s="2" t="n">
        <v>0</v>
      </c>
      <c r="V351" s="2" t="n">
        <v>0</v>
      </c>
      <c r="W351" s="2" t="n">
        <v>0</v>
      </c>
      <c r="X351" s="2" t="n">
        <v>1</v>
      </c>
      <c r="Y351" s="2" t="n">
        <v>0</v>
      </c>
      <c r="Z351" s="2" t="n">
        <v>3</v>
      </c>
      <c r="AA351" s="2" t="n">
        <v>0</v>
      </c>
      <c r="AB351" s="2" t="n">
        <v>4</v>
      </c>
      <c r="AC351" s="2"/>
    </row>
    <row r="352" customFormat="false" ht="15" hidden="false" customHeight="false" outlineLevel="0" collapsed="false">
      <c r="A352" s="2" t="n">
        <v>22</v>
      </c>
      <c r="B352" s="2" t="s">
        <v>304</v>
      </c>
      <c r="C352" s="2" t="s">
        <v>310</v>
      </c>
      <c r="D352" s="2" t="s">
        <v>2411</v>
      </c>
      <c r="E352" s="2" t="s">
        <v>1154</v>
      </c>
      <c r="F352" s="2" t="s">
        <v>1155</v>
      </c>
      <c r="G352" s="2" t="s">
        <v>2408</v>
      </c>
      <c r="H352" s="2" t="s">
        <v>2412</v>
      </c>
      <c r="I352" s="2" t="s">
        <v>1133</v>
      </c>
      <c r="J352" s="2" t="s">
        <v>2413</v>
      </c>
      <c r="K352" s="2" t="n">
        <v>46</v>
      </c>
      <c r="L352" s="2" t="n">
        <v>15940</v>
      </c>
      <c r="M352" s="2" t="n">
        <v>1093</v>
      </c>
      <c r="N352" s="2" t="n">
        <v>985</v>
      </c>
      <c r="O352" s="2" t="n">
        <v>1870</v>
      </c>
      <c r="P352" s="2" t="n">
        <v>12977</v>
      </c>
      <c r="Q352" s="2" t="n">
        <v>0</v>
      </c>
      <c r="R352" s="2" t="n">
        <v>0</v>
      </c>
      <c r="S352" s="2" t="n">
        <v>243</v>
      </c>
      <c r="T352" s="2" t="n">
        <v>197</v>
      </c>
      <c r="U352" s="2" t="n">
        <v>19</v>
      </c>
      <c r="V352" s="2" t="n">
        <v>2</v>
      </c>
      <c r="W352" s="2" t="n">
        <v>14</v>
      </c>
      <c r="X352" s="2" t="n">
        <v>11</v>
      </c>
      <c r="Y352" s="2" t="n">
        <v>97</v>
      </c>
      <c r="Z352" s="2" t="n">
        <v>10</v>
      </c>
      <c r="AA352" s="2" t="n">
        <v>2</v>
      </c>
      <c r="AB352" s="2" t="n">
        <v>134</v>
      </c>
      <c r="AC352" s="2"/>
    </row>
    <row r="353" customFormat="false" ht="15" hidden="false" customHeight="false" outlineLevel="0" collapsed="false">
      <c r="A353" s="2" t="n">
        <v>22</v>
      </c>
      <c r="B353" s="2" t="s">
        <v>304</v>
      </c>
      <c r="C353" s="2" t="s">
        <v>310</v>
      </c>
      <c r="D353" s="2" t="s">
        <v>2414</v>
      </c>
      <c r="E353" s="2" t="s">
        <v>1154</v>
      </c>
      <c r="F353" s="2" t="s">
        <v>1155</v>
      </c>
      <c r="G353" s="2" t="s">
        <v>2408</v>
      </c>
      <c r="H353" s="2" t="s">
        <v>2415</v>
      </c>
      <c r="I353" s="2" t="s">
        <v>1133</v>
      </c>
      <c r="J353" s="2" t="s">
        <v>2416</v>
      </c>
      <c r="K353" s="2" t="n">
        <v>7</v>
      </c>
      <c r="L353" s="2" t="n">
        <v>2419</v>
      </c>
      <c r="M353" s="2" t="n">
        <v>445</v>
      </c>
      <c r="N353" s="2" t="n">
        <v>340</v>
      </c>
      <c r="O353" s="2" t="n">
        <v>597</v>
      </c>
      <c r="P353" s="2" t="n">
        <v>1377</v>
      </c>
      <c r="Q353" s="2" t="n">
        <v>0</v>
      </c>
      <c r="R353" s="2" t="n">
        <v>0</v>
      </c>
      <c r="S353" s="2" t="n">
        <v>25</v>
      </c>
      <c r="T353" s="2" t="n">
        <v>24</v>
      </c>
      <c r="U353" s="2" t="n">
        <v>0</v>
      </c>
      <c r="V353" s="2" t="n">
        <v>0</v>
      </c>
      <c r="W353" s="2" t="n">
        <v>0</v>
      </c>
      <c r="X353" s="2" t="n">
        <v>1</v>
      </c>
      <c r="Y353" s="2" t="n">
        <v>1</v>
      </c>
      <c r="Z353" s="2" t="n">
        <v>3</v>
      </c>
      <c r="AA353" s="2" t="n">
        <v>0</v>
      </c>
      <c r="AB353" s="2" t="n">
        <v>21</v>
      </c>
      <c r="AC353" s="2"/>
    </row>
    <row r="354" customFormat="false" ht="15" hidden="false" customHeight="false" outlineLevel="0" collapsed="false">
      <c r="A354" s="2" t="n">
        <v>23</v>
      </c>
      <c r="B354" s="2" t="s">
        <v>315</v>
      </c>
      <c r="C354" s="2" t="s">
        <v>320</v>
      </c>
      <c r="D354" s="2" t="s">
        <v>2417</v>
      </c>
      <c r="E354" s="2" t="s">
        <v>1160</v>
      </c>
      <c r="F354" s="2" t="s">
        <v>1161</v>
      </c>
      <c r="G354" s="2" t="s">
        <v>2418</v>
      </c>
      <c r="H354" s="2" t="s">
        <v>2419</v>
      </c>
      <c r="I354" s="2" t="s">
        <v>1133</v>
      </c>
      <c r="J354" s="2" t="s">
        <v>2420</v>
      </c>
      <c r="K354" s="2" t="n">
        <v>25</v>
      </c>
      <c r="L354" s="2" t="n">
        <v>7931</v>
      </c>
      <c r="M354" s="2" t="n">
        <v>1078</v>
      </c>
      <c r="N354" s="2" t="n">
        <v>931</v>
      </c>
      <c r="O354" s="2" t="n">
        <v>2633</v>
      </c>
      <c r="P354" s="2" t="n">
        <v>4220</v>
      </c>
      <c r="Q354" s="2" t="n">
        <v>0</v>
      </c>
      <c r="R354" s="2" t="n">
        <v>0</v>
      </c>
      <c r="S354" s="2" t="n">
        <v>29</v>
      </c>
      <c r="T354" s="2" t="n">
        <v>27</v>
      </c>
      <c r="U354" s="2" t="n">
        <v>2</v>
      </c>
      <c r="V354" s="2" t="n">
        <v>0</v>
      </c>
      <c r="W354" s="2" t="n">
        <v>0</v>
      </c>
      <c r="X354" s="2" t="n">
        <v>0</v>
      </c>
      <c r="Y354" s="2" t="n">
        <v>4</v>
      </c>
      <c r="Z354" s="2" t="n">
        <v>22</v>
      </c>
      <c r="AA354" s="2" t="n">
        <v>0</v>
      </c>
      <c r="AB354" s="2" t="n">
        <v>3</v>
      </c>
      <c r="AC354" s="2"/>
    </row>
    <row r="355" customFormat="false" ht="15" hidden="false" customHeight="false" outlineLevel="0" collapsed="false">
      <c r="A355" s="2" t="n">
        <v>23</v>
      </c>
      <c r="B355" s="2" t="s">
        <v>315</v>
      </c>
      <c r="C355" s="2" t="s">
        <v>320</v>
      </c>
      <c r="D355" s="2" t="s">
        <v>2421</v>
      </c>
      <c r="E355" s="2" t="s">
        <v>1160</v>
      </c>
      <c r="F355" s="2" t="s">
        <v>1161</v>
      </c>
      <c r="G355" s="2" t="s">
        <v>2422</v>
      </c>
      <c r="H355" s="2" t="s">
        <v>2423</v>
      </c>
      <c r="I355" s="2" t="s">
        <v>1133</v>
      </c>
      <c r="J355" s="2" t="s">
        <v>2424</v>
      </c>
      <c r="K355" s="2" t="n">
        <v>21</v>
      </c>
      <c r="L355" s="2" t="n">
        <v>10869</v>
      </c>
      <c r="M355" s="2" t="n">
        <v>3069</v>
      </c>
      <c r="N355" s="2" t="n">
        <v>2934</v>
      </c>
      <c r="O355" s="2" t="n">
        <v>7768</v>
      </c>
      <c r="P355" s="2" t="n">
        <v>32</v>
      </c>
      <c r="Q355" s="2" t="n">
        <v>0</v>
      </c>
      <c r="R355" s="2" t="n">
        <v>0</v>
      </c>
      <c r="S355" s="2" t="n">
        <v>131</v>
      </c>
      <c r="T355" s="2" t="n">
        <v>96</v>
      </c>
      <c r="U355" s="2" t="n">
        <v>6</v>
      </c>
      <c r="V355" s="2" t="n">
        <v>0</v>
      </c>
      <c r="W355" s="2" t="n">
        <v>0</v>
      </c>
      <c r="X355" s="2" t="n">
        <v>29</v>
      </c>
      <c r="Y355" s="2" t="n">
        <v>98</v>
      </c>
      <c r="Z355" s="2" t="n">
        <v>9</v>
      </c>
      <c r="AA355" s="2" t="n">
        <v>1</v>
      </c>
      <c r="AB355" s="2" t="n">
        <v>23</v>
      </c>
      <c r="AC355" s="2"/>
    </row>
    <row r="356" customFormat="false" ht="15" hidden="false" customHeight="false" outlineLevel="0" collapsed="false">
      <c r="A356" s="2" t="n">
        <v>23</v>
      </c>
      <c r="B356" s="2" t="s">
        <v>315</v>
      </c>
      <c r="C356" s="2" t="s">
        <v>320</v>
      </c>
      <c r="D356" s="2" t="s">
        <v>2425</v>
      </c>
      <c r="E356" s="2" t="s">
        <v>1154</v>
      </c>
      <c r="F356" s="2" t="s">
        <v>1155</v>
      </c>
      <c r="G356" s="2" t="s">
        <v>2426</v>
      </c>
      <c r="H356" s="2" t="s">
        <v>2427</v>
      </c>
      <c r="I356" s="2" t="s">
        <v>1133</v>
      </c>
      <c r="J356" s="2" t="s">
        <v>2428</v>
      </c>
      <c r="K356" s="2" t="n">
        <v>64</v>
      </c>
      <c r="L356" s="2" t="n">
        <v>21027</v>
      </c>
      <c r="M356" s="2" t="n">
        <v>516</v>
      </c>
      <c r="N356" s="2" t="n">
        <v>366</v>
      </c>
      <c r="O356" s="2" t="n">
        <v>497</v>
      </c>
      <c r="P356" s="2" t="n">
        <v>20014</v>
      </c>
      <c r="Q356" s="2" t="n">
        <v>0</v>
      </c>
      <c r="R356" s="2" t="n">
        <v>0</v>
      </c>
      <c r="S356" s="2" t="n">
        <v>154</v>
      </c>
      <c r="T356" s="2" t="n">
        <v>154</v>
      </c>
      <c r="U356" s="2" t="n">
        <v>0</v>
      </c>
      <c r="V356" s="2" t="n">
        <v>0</v>
      </c>
      <c r="W356" s="2" t="n">
        <v>0</v>
      </c>
      <c r="X356" s="2" t="n">
        <v>0</v>
      </c>
      <c r="Y356" s="2" t="n">
        <v>29</v>
      </c>
      <c r="Z356" s="2" t="n">
        <v>90</v>
      </c>
      <c r="AA356" s="2" t="n">
        <v>0</v>
      </c>
      <c r="AB356" s="2" t="n">
        <v>35</v>
      </c>
      <c r="AC356" s="2"/>
    </row>
    <row r="357" customFormat="false" ht="15" hidden="false" customHeight="false" outlineLevel="0" collapsed="false">
      <c r="A357" s="2" t="n">
        <v>23</v>
      </c>
      <c r="B357" s="2" t="s">
        <v>315</v>
      </c>
      <c r="C357" s="2" t="s">
        <v>320</v>
      </c>
      <c r="D357" s="2" t="s">
        <v>2429</v>
      </c>
      <c r="E357" s="2" t="s">
        <v>1160</v>
      </c>
      <c r="F357" s="2" t="s">
        <v>1161</v>
      </c>
      <c r="G357" s="2" t="s">
        <v>2426</v>
      </c>
      <c r="H357" s="2" t="s">
        <v>2430</v>
      </c>
      <c r="I357" s="2" t="s">
        <v>1133</v>
      </c>
      <c r="J357" s="2" t="s">
        <v>2431</v>
      </c>
      <c r="K357" s="2" t="n">
        <v>9</v>
      </c>
      <c r="L357" s="2" t="n">
        <v>4101</v>
      </c>
      <c r="M357" s="2" t="n">
        <v>584</v>
      </c>
      <c r="N357" s="2" t="n">
        <v>434</v>
      </c>
      <c r="O357" s="2" t="n">
        <v>3517</v>
      </c>
      <c r="P357" s="2" t="n">
        <v>0</v>
      </c>
      <c r="Q357" s="2" t="n">
        <v>0</v>
      </c>
      <c r="R357" s="2" t="n">
        <v>0</v>
      </c>
      <c r="S357" s="2" t="n">
        <v>97</v>
      </c>
      <c r="T357" s="2" t="n">
        <v>85</v>
      </c>
      <c r="U357" s="2" t="n">
        <v>5</v>
      </c>
      <c r="V357" s="2" t="n">
        <v>0</v>
      </c>
      <c r="W357" s="2" t="n">
        <v>0</v>
      </c>
      <c r="X357" s="2" t="n">
        <v>7</v>
      </c>
      <c r="Y357" s="2" t="n">
        <v>8</v>
      </c>
      <c r="Z357" s="2" t="n">
        <v>16</v>
      </c>
      <c r="AA357" s="2" t="n">
        <v>41</v>
      </c>
      <c r="AB357" s="2" t="n">
        <v>32</v>
      </c>
      <c r="AC357" s="2"/>
    </row>
    <row r="358" customFormat="false" ht="15" hidden="false" customHeight="false" outlineLevel="0" collapsed="false">
      <c r="A358" s="2" t="n">
        <v>23</v>
      </c>
      <c r="B358" s="2" t="s">
        <v>315</v>
      </c>
      <c r="C358" s="2" t="s">
        <v>320</v>
      </c>
      <c r="D358" s="2" t="s">
        <v>2432</v>
      </c>
      <c r="E358" s="2" t="s">
        <v>1160</v>
      </c>
      <c r="F358" s="2" t="s">
        <v>1161</v>
      </c>
      <c r="G358" s="2" t="s">
        <v>2433</v>
      </c>
      <c r="H358" s="2" t="s">
        <v>2434</v>
      </c>
      <c r="I358" s="2" t="s">
        <v>1133</v>
      </c>
      <c r="J358" s="2" t="s">
        <v>2435</v>
      </c>
      <c r="K358" s="2" t="n">
        <v>3</v>
      </c>
      <c r="L358" s="2" t="n">
        <v>1076</v>
      </c>
      <c r="M358" s="2" t="n">
        <v>535</v>
      </c>
      <c r="N358" s="2" t="n">
        <v>392</v>
      </c>
      <c r="O358" s="2" t="n">
        <v>541</v>
      </c>
      <c r="P358" s="2" t="n">
        <v>0</v>
      </c>
      <c r="Q358" s="2" t="n">
        <v>0</v>
      </c>
      <c r="R358" s="2" t="n">
        <v>0</v>
      </c>
      <c r="S358" s="2" t="n">
        <v>5</v>
      </c>
      <c r="T358" s="2" t="n">
        <v>4</v>
      </c>
      <c r="U358" s="2" t="n">
        <v>0</v>
      </c>
      <c r="V358" s="2" t="n">
        <v>0</v>
      </c>
      <c r="W358" s="2" t="n">
        <v>0</v>
      </c>
      <c r="X358" s="2" t="n">
        <v>1</v>
      </c>
      <c r="Y358" s="2" t="n">
        <v>1</v>
      </c>
      <c r="Z358" s="2" t="n">
        <v>0</v>
      </c>
      <c r="AA358" s="2" t="n">
        <v>0</v>
      </c>
      <c r="AB358" s="2" t="n">
        <v>4</v>
      </c>
      <c r="AC358" s="2"/>
    </row>
    <row r="359" customFormat="false" ht="15" hidden="false" customHeight="false" outlineLevel="0" collapsed="false">
      <c r="A359" s="2" t="n">
        <v>23</v>
      </c>
      <c r="B359" s="2" t="s">
        <v>315</v>
      </c>
      <c r="C359" s="2" t="s">
        <v>320</v>
      </c>
      <c r="D359" s="2" t="s">
        <v>2436</v>
      </c>
      <c r="E359" s="2" t="s">
        <v>1160</v>
      </c>
      <c r="F359" s="2" t="s">
        <v>1161</v>
      </c>
      <c r="G359" s="2" t="s">
        <v>2437</v>
      </c>
      <c r="H359" s="2" t="s">
        <v>2438</v>
      </c>
      <c r="I359" s="2" t="s">
        <v>1133</v>
      </c>
      <c r="J359" s="2" t="s">
        <v>2439</v>
      </c>
      <c r="K359" s="2" t="n">
        <v>30</v>
      </c>
      <c r="L359" s="2" t="n">
        <v>6656</v>
      </c>
      <c r="M359" s="2" t="n">
        <v>1046</v>
      </c>
      <c r="N359" s="2" t="n">
        <v>888</v>
      </c>
      <c r="O359" s="2" t="n">
        <v>3131</v>
      </c>
      <c r="P359" s="2" t="n">
        <v>2479</v>
      </c>
      <c r="Q359" s="2" t="n">
        <v>0</v>
      </c>
      <c r="R359" s="2" t="n">
        <v>0</v>
      </c>
      <c r="S359" s="2" t="n">
        <v>49</v>
      </c>
      <c r="T359" s="2" t="n">
        <v>47</v>
      </c>
      <c r="U359" s="2" t="n">
        <v>0</v>
      </c>
      <c r="V359" s="2" t="n">
        <v>0</v>
      </c>
      <c r="W359" s="2" t="n">
        <v>2</v>
      </c>
      <c r="X359" s="2" t="n">
        <v>0</v>
      </c>
      <c r="Y359" s="2" t="n">
        <v>11</v>
      </c>
      <c r="Z359" s="2" t="n">
        <v>30</v>
      </c>
      <c r="AA359" s="2" t="n">
        <v>3</v>
      </c>
      <c r="AB359" s="2" t="n">
        <v>5</v>
      </c>
      <c r="AC359" s="2"/>
    </row>
    <row r="360" customFormat="false" ht="15" hidden="false" customHeight="false" outlineLevel="0" collapsed="false">
      <c r="A360" s="2" t="n">
        <v>23</v>
      </c>
      <c r="B360" s="2" t="s">
        <v>315</v>
      </c>
      <c r="C360" s="2" t="s">
        <v>320</v>
      </c>
      <c r="D360" s="2" t="s">
        <v>2440</v>
      </c>
      <c r="E360" s="2" t="s">
        <v>1160</v>
      </c>
      <c r="F360" s="2" t="s">
        <v>1161</v>
      </c>
      <c r="G360" s="2" t="s">
        <v>2441</v>
      </c>
      <c r="H360" s="2" t="s">
        <v>2442</v>
      </c>
      <c r="I360" s="2" t="s">
        <v>1133</v>
      </c>
      <c r="J360" s="2" t="s">
        <v>2443</v>
      </c>
      <c r="K360" s="2" t="n">
        <v>4</v>
      </c>
      <c r="L360" s="2" t="n">
        <v>1870</v>
      </c>
      <c r="M360" s="2" t="n">
        <v>1119</v>
      </c>
      <c r="N360" s="2" t="n">
        <v>996</v>
      </c>
      <c r="O360" s="2" t="n">
        <v>751</v>
      </c>
      <c r="P360" s="2" t="n">
        <v>0</v>
      </c>
      <c r="Q360" s="2" t="n">
        <v>0</v>
      </c>
      <c r="R360" s="2" t="n">
        <v>0</v>
      </c>
      <c r="S360" s="2" t="n">
        <v>3</v>
      </c>
      <c r="T360" s="2" t="n">
        <v>2</v>
      </c>
      <c r="U360" s="2" t="n">
        <v>1</v>
      </c>
      <c r="V360" s="2" t="n">
        <v>0</v>
      </c>
      <c r="W360" s="2" t="n">
        <v>0</v>
      </c>
      <c r="X360" s="2" t="n">
        <v>0</v>
      </c>
      <c r="Y360" s="2" t="n">
        <v>3</v>
      </c>
      <c r="Z360" s="2" t="n">
        <v>0</v>
      </c>
      <c r="AA360" s="2" t="n">
        <v>0</v>
      </c>
      <c r="AB360" s="2" t="n">
        <v>0</v>
      </c>
      <c r="AC360" s="2"/>
    </row>
    <row r="361" customFormat="false" ht="15" hidden="false" customHeight="false" outlineLevel="0" collapsed="false">
      <c r="A361" s="2" t="n">
        <v>23</v>
      </c>
      <c r="B361" s="2" t="s">
        <v>315</v>
      </c>
      <c r="C361" s="2" t="s">
        <v>320</v>
      </c>
      <c r="D361" s="2" t="s">
        <v>2444</v>
      </c>
      <c r="E361" s="2" t="s">
        <v>1160</v>
      </c>
      <c r="F361" s="2" t="s">
        <v>1161</v>
      </c>
      <c r="G361" s="2" t="s">
        <v>2445</v>
      </c>
      <c r="H361" s="2" t="s">
        <v>2446</v>
      </c>
      <c r="I361" s="2" t="s">
        <v>1133</v>
      </c>
      <c r="J361" s="2" t="s">
        <v>2447</v>
      </c>
      <c r="K361" s="2" t="n">
        <v>2</v>
      </c>
      <c r="L361" s="2" t="n">
        <v>261</v>
      </c>
      <c r="M361" s="2" t="n">
        <v>213</v>
      </c>
      <c r="N361" s="2" t="n">
        <v>69</v>
      </c>
      <c r="O361" s="2" t="n">
        <v>48</v>
      </c>
      <c r="P361" s="2" t="n">
        <v>0</v>
      </c>
      <c r="Q361" s="2" t="n">
        <v>0</v>
      </c>
      <c r="R361" s="2" t="n">
        <v>0</v>
      </c>
      <c r="S361" s="2" t="n">
        <v>0</v>
      </c>
      <c r="T361" s="2" t="n">
        <v>0</v>
      </c>
      <c r="U361" s="2" t="n">
        <v>0</v>
      </c>
      <c r="V361" s="2" t="n">
        <v>0</v>
      </c>
      <c r="W361" s="2" t="n">
        <v>0</v>
      </c>
      <c r="X361" s="2" t="n">
        <v>0</v>
      </c>
      <c r="Y361" s="2" t="n">
        <v>0</v>
      </c>
      <c r="Z361" s="2" t="n">
        <v>0</v>
      </c>
      <c r="AA361" s="2" t="n">
        <v>0</v>
      </c>
      <c r="AB361" s="2" t="n">
        <v>0</v>
      </c>
      <c r="AC361" s="2"/>
    </row>
    <row r="362" customFormat="false" ht="15" hidden="false" customHeight="false" outlineLevel="0" collapsed="false">
      <c r="A362" s="2" t="n">
        <v>23</v>
      </c>
      <c r="B362" s="2" t="s">
        <v>315</v>
      </c>
      <c r="C362" s="2" t="s">
        <v>320</v>
      </c>
      <c r="D362" s="2" t="s">
        <v>2448</v>
      </c>
      <c r="E362" s="2" t="s">
        <v>1160</v>
      </c>
      <c r="F362" s="2" t="s">
        <v>1161</v>
      </c>
      <c r="G362" s="2" t="s">
        <v>2449</v>
      </c>
      <c r="H362" s="2" t="s">
        <v>2450</v>
      </c>
      <c r="I362" s="2" t="s">
        <v>1133</v>
      </c>
      <c r="J362" s="2" t="s">
        <v>2451</v>
      </c>
      <c r="K362" s="2" t="n">
        <v>2</v>
      </c>
      <c r="L362" s="2" t="n">
        <v>341</v>
      </c>
      <c r="M362" s="2" t="n">
        <v>202</v>
      </c>
      <c r="N362" s="2" t="n">
        <v>47</v>
      </c>
      <c r="O362" s="2" t="n">
        <v>60</v>
      </c>
      <c r="P362" s="2" t="n">
        <v>79</v>
      </c>
      <c r="Q362" s="2" t="n">
        <v>0</v>
      </c>
      <c r="R362" s="2" t="n">
        <v>0</v>
      </c>
      <c r="S362" s="2" t="n">
        <v>0</v>
      </c>
      <c r="T362" s="2" t="n">
        <v>0</v>
      </c>
      <c r="U362" s="2" t="n">
        <v>0</v>
      </c>
      <c r="V362" s="2" t="n">
        <v>0</v>
      </c>
      <c r="W362" s="2" t="n">
        <v>0</v>
      </c>
      <c r="X362" s="2" t="n">
        <v>0</v>
      </c>
      <c r="Y362" s="2" t="n">
        <v>0</v>
      </c>
      <c r="Z362" s="2" t="n">
        <v>0</v>
      </c>
      <c r="AA362" s="2" t="n">
        <v>0</v>
      </c>
      <c r="AB362" s="2" t="n">
        <v>0</v>
      </c>
      <c r="AC362" s="2"/>
    </row>
    <row r="363" customFormat="false" ht="15" hidden="false" customHeight="false" outlineLevel="0" collapsed="false">
      <c r="A363" s="2" t="n">
        <v>24</v>
      </c>
      <c r="B363" s="2" t="s">
        <v>325</v>
      </c>
      <c r="C363" s="2" t="s">
        <v>330</v>
      </c>
      <c r="D363" s="2" t="s">
        <v>2452</v>
      </c>
      <c r="E363" s="2" t="s">
        <v>1154</v>
      </c>
      <c r="F363" s="2" t="s">
        <v>1155</v>
      </c>
      <c r="G363" s="2" t="s">
        <v>2453</v>
      </c>
      <c r="H363" s="2" t="s">
        <v>2454</v>
      </c>
      <c r="I363" s="2" t="s">
        <v>1133</v>
      </c>
      <c r="J363" s="2" t="s">
        <v>2455</v>
      </c>
      <c r="K363" s="2" t="n">
        <v>4</v>
      </c>
      <c r="L363" s="2" t="n">
        <v>1711</v>
      </c>
      <c r="M363" s="2" t="n">
        <v>1148</v>
      </c>
      <c r="N363" s="2" t="n">
        <v>1021</v>
      </c>
      <c r="O363" s="2" t="n">
        <v>563</v>
      </c>
      <c r="P363" s="2" t="n">
        <v>0</v>
      </c>
      <c r="Q363" s="2" t="n">
        <v>0</v>
      </c>
      <c r="R363" s="2" t="n">
        <v>0</v>
      </c>
      <c r="S363" s="2" t="n">
        <v>10</v>
      </c>
      <c r="T363" s="2" t="n">
        <v>10</v>
      </c>
      <c r="U363" s="2" t="n">
        <v>0</v>
      </c>
      <c r="V363" s="2" t="n">
        <v>0</v>
      </c>
      <c r="W363" s="2" t="n">
        <v>0</v>
      </c>
      <c r="X363" s="2" t="n">
        <v>0</v>
      </c>
      <c r="Y363" s="2" t="n">
        <v>5</v>
      </c>
      <c r="Z363" s="2" t="n">
        <v>1</v>
      </c>
      <c r="AA363" s="2" t="n">
        <v>1</v>
      </c>
      <c r="AB363" s="2" t="n">
        <v>3</v>
      </c>
      <c r="AC363" s="2"/>
    </row>
    <row r="364" customFormat="false" ht="15" hidden="false" customHeight="false" outlineLevel="0" collapsed="false">
      <c r="A364" s="2" t="n">
        <v>29</v>
      </c>
      <c r="B364" s="2" t="s">
        <v>374</v>
      </c>
      <c r="C364" s="2" t="s">
        <v>380</v>
      </c>
      <c r="D364" s="2" t="s">
        <v>2456</v>
      </c>
      <c r="E364" s="2" t="s">
        <v>1154</v>
      </c>
      <c r="F364" s="2" t="s">
        <v>1155</v>
      </c>
      <c r="G364" s="2" t="s">
        <v>2457</v>
      </c>
      <c r="H364" s="2" t="s">
        <v>2458</v>
      </c>
      <c r="I364" s="2" t="s">
        <v>1133</v>
      </c>
      <c r="J364" s="2" t="s">
        <v>2459</v>
      </c>
      <c r="K364" s="2" t="n">
        <v>22</v>
      </c>
      <c r="L364" s="2" t="n">
        <v>7459</v>
      </c>
      <c r="M364" s="2" t="n">
        <v>546</v>
      </c>
      <c r="N364" s="2" t="n">
        <v>428</v>
      </c>
      <c r="O364" s="2" t="n">
        <v>94</v>
      </c>
      <c r="P364" s="2" t="n">
        <v>6819</v>
      </c>
      <c r="Q364" s="2" t="n">
        <v>0</v>
      </c>
      <c r="R364" s="2" t="n">
        <v>0</v>
      </c>
      <c r="S364" s="2" t="n">
        <v>124</v>
      </c>
      <c r="T364" s="2" t="n">
        <v>105</v>
      </c>
      <c r="U364" s="2" t="n">
        <v>3</v>
      </c>
      <c r="V364" s="2" t="n">
        <v>0</v>
      </c>
      <c r="W364" s="2" t="n">
        <v>13</v>
      </c>
      <c r="X364" s="2" t="n">
        <v>3</v>
      </c>
      <c r="Y364" s="2" t="n">
        <v>9</v>
      </c>
      <c r="Z364" s="2" t="n">
        <v>33</v>
      </c>
      <c r="AA364" s="2" t="n">
        <v>17</v>
      </c>
      <c r="AB364" s="2" t="n">
        <v>65</v>
      </c>
      <c r="AC364" s="2"/>
    </row>
    <row r="365" customFormat="false" ht="15" hidden="false" customHeight="false" outlineLevel="0" collapsed="false">
      <c r="A365" s="2" t="n">
        <v>29</v>
      </c>
      <c r="B365" s="2" t="s">
        <v>374</v>
      </c>
      <c r="C365" s="2" t="s">
        <v>380</v>
      </c>
      <c r="D365" s="2" t="s">
        <v>2460</v>
      </c>
      <c r="E365" s="2" t="s">
        <v>1154</v>
      </c>
      <c r="F365" s="2" t="s">
        <v>1155</v>
      </c>
      <c r="G365" s="2" t="s">
        <v>2461</v>
      </c>
      <c r="H365" s="2" t="s">
        <v>2462</v>
      </c>
      <c r="I365" s="2" t="s">
        <v>1133</v>
      </c>
      <c r="J365" s="2" t="s">
        <v>2463</v>
      </c>
      <c r="K365" s="2" t="n">
        <v>45</v>
      </c>
      <c r="L365" s="2" t="n">
        <v>14356</v>
      </c>
      <c r="M365" s="2" t="n">
        <v>664</v>
      </c>
      <c r="N365" s="2" t="n">
        <v>546</v>
      </c>
      <c r="O365" s="2" t="n">
        <v>104</v>
      </c>
      <c r="P365" s="2" t="n">
        <v>13588</v>
      </c>
      <c r="Q365" s="2" t="n">
        <v>0</v>
      </c>
      <c r="R365" s="2" t="n">
        <v>0</v>
      </c>
      <c r="S365" s="2" t="n">
        <v>168</v>
      </c>
      <c r="T365" s="2" t="n">
        <v>128</v>
      </c>
      <c r="U365" s="2" t="n">
        <v>3</v>
      </c>
      <c r="V365" s="2" t="n">
        <v>0</v>
      </c>
      <c r="W365" s="2" t="n">
        <v>34</v>
      </c>
      <c r="X365" s="2" t="n">
        <v>3</v>
      </c>
      <c r="Y365" s="2" t="n">
        <v>12</v>
      </c>
      <c r="Z365" s="2" t="n">
        <v>51</v>
      </c>
      <c r="AA365" s="2" t="n">
        <v>17</v>
      </c>
      <c r="AB365" s="2" t="n">
        <v>88</v>
      </c>
      <c r="AC365" s="2"/>
    </row>
    <row r="366" customFormat="false" ht="15" hidden="false" customHeight="false" outlineLevel="0" collapsed="false">
      <c r="A366" s="2" t="n">
        <v>31</v>
      </c>
      <c r="B366" s="2" t="s">
        <v>396</v>
      </c>
      <c r="C366" s="2" t="s">
        <v>401</v>
      </c>
      <c r="D366" s="2" t="s">
        <v>2464</v>
      </c>
      <c r="E366" s="2" t="s">
        <v>1154</v>
      </c>
      <c r="F366" s="2" t="s">
        <v>1178</v>
      </c>
      <c r="G366" s="2" t="s">
        <v>2465</v>
      </c>
      <c r="H366" s="2" t="s">
        <v>2466</v>
      </c>
      <c r="I366" s="2" t="s">
        <v>1133</v>
      </c>
      <c r="J366" s="2" t="s">
        <v>2467</v>
      </c>
      <c r="K366" s="2" t="n">
        <v>3</v>
      </c>
      <c r="L366" s="2" t="n">
        <v>1359</v>
      </c>
      <c r="M366" s="2" t="n">
        <v>989</v>
      </c>
      <c r="N366" s="2" t="n">
        <v>864</v>
      </c>
      <c r="O366" s="2" t="n">
        <v>370</v>
      </c>
      <c r="P366" s="2" t="n">
        <v>0</v>
      </c>
      <c r="Q366" s="2" t="n">
        <v>0</v>
      </c>
      <c r="R366" s="2" t="n">
        <v>0</v>
      </c>
      <c r="S366" s="2" t="n">
        <v>4</v>
      </c>
      <c r="T366" s="2" t="n">
        <v>4</v>
      </c>
      <c r="U366" s="2" t="n">
        <v>0</v>
      </c>
      <c r="V366" s="2" t="n">
        <v>0</v>
      </c>
      <c r="W366" s="2" t="n">
        <v>0</v>
      </c>
      <c r="X366" s="2" t="n">
        <v>0</v>
      </c>
      <c r="Y366" s="2" t="n">
        <v>0</v>
      </c>
      <c r="Z366" s="2" t="n">
        <v>2</v>
      </c>
      <c r="AA366" s="2" t="n">
        <v>0</v>
      </c>
      <c r="AB366" s="2" t="n">
        <v>2</v>
      </c>
      <c r="AC366" s="2"/>
    </row>
    <row r="367" customFormat="false" ht="15" hidden="false" customHeight="false" outlineLevel="0" collapsed="false">
      <c r="A367" s="2" t="n">
        <v>32</v>
      </c>
      <c r="B367" s="2" t="s">
        <v>405</v>
      </c>
      <c r="C367" s="2" t="s">
        <v>410</v>
      </c>
      <c r="D367" s="2" t="s">
        <v>1257</v>
      </c>
      <c r="E367" s="2" t="s">
        <v>1154</v>
      </c>
      <c r="F367" s="2" t="s">
        <v>1178</v>
      </c>
      <c r="G367" s="2" t="s">
        <v>1258</v>
      </c>
      <c r="H367" s="2" t="s">
        <v>1259</v>
      </c>
      <c r="I367" s="2" t="s">
        <v>1133</v>
      </c>
      <c r="J367" s="2" t="s">
        <v>1260</v>
      </c>
      <c r="K367" s="2" t="n">
        <v>9</v>
      </c>
      <c r="L367" s="2" t="n">
        <v>3854</v>
      </c>
      <c r="M367" s="2" t="n">
        <v>1167</v>
      </c>
      <c r="N367" s="2" t="n">
        <v>1027</v>
      </c>
      <c r="O367" s="2" t="n">
        <v>125</v>
      </c>
      <c r="P367" s="2" t="n">
        <v>2562</v>
      </c>
      <c r="Q367" s="2" t="n">
        <v>0</v>
      </c>
      <c r="R367" s="2" t="n">
        <v>0</v>
      </c>
      <c r="S367" s="2" t="n">
        <v>11</v>
      </c>
      <c r="T367" s="2" t="n">
        <v>9</v>
      </c>
      <c r="U367" s="2" t="n">
        <v>0</v>
      </c>
      <c r="V367" s="2" t="n">
        <v>0</v>
      </c>
      <c r="W367" s="2" t="n">
        <v>2</v>
      </c>
      <c r="X367" s="2" t="n">
        <v>0</v>
      </c>
      <c r="Y367" s="2" t="n">
        <v>1</v>
      </c>
      <c r="Z367" s="2" t="n">
        <v>2</v>
      </c>
      <c r="AA367" s="2" t="n">
        <v>0</v>
      </c>
      <c r="AB367" s="2" t="n">
        <v>8</v>
      </c>
      <c r="AC367" s="2"/>
    </row>
    <row r="368" customFormat="false" ht="15" hidden="false" customHeight="false" outlineLevel="0" collapsed="false">
      <c r="A368" s="2" t="n">
        <v>32</v>
      </c>
      <c r="B368" s="2" t="s">
        <v>405</v>
      </c>
      <c r="C368" s="2" t="s">
        <v>410</v>
      </c>
      <c r="D368" s="2" t="s">
        <v>2468</v>
      </c>
      <c r="E368" s="2" t="s">
        <v>1154</v>
      </c>
      <c r="F368" s="2" t="s">
        <v>1155</v>
      </c>
      <c r="G368" s="2" t="s">
        <v>2469</v>
      </c>
      <c r="H368" s="2" t="s">
        <v>2470</v>
      </c>
      <c r="I368" s="2" t="s">
        <v>1133</v>
      </c>
      <c r="J368" s="2" t="s">
        <v>2471</v>
      </c>
      <c r="K368" s="2" t="n">
        <v>7</v>
      </c>
      <c r="L368" s="2" t="n">
        <v>2802</v>
      </c>
      <c r="M368" s="2" t="n">
        <v>1524</v>
      </c>
      <c r="N368" s="2" t="n">
        <v>1417</v>
      </c>
      <c r="O368" s="2" t="n">
        <v>341</v>
      </c>
      <c r="P368" s="2" t="n">
        <v>937</v>
      </c>
      <c r="Q368" s="2" t="n">
        <v>0</v>
      </c>
      <c r="R368" s="2" t="n">
        <v>0</v>
      </c>
      <c r="S368" s="2" t="n">
        <v>34</v>
      </c>
      <c r="T368" s="2" t="n">
        <v>29</v>
      </c>
      <c r="U368" s="2" t="n">
        <v>4</v>
      </c>
      <c r="V368" s="2" t="n">
        <v>0</v>
      </c>
      <c r="W368" s="2" t="n">
        <v>1</v>
      </c>
      <c r="X368" s="2" t="n">
        <v>0</v>
      </c>
      <c r="Y368" s="2" t="n">
        <v>7</v>
      </c>
      <c r="Z368" s="2" t="n">
        <v>0</v>
      </c>
      <c r="AA368" s="2" t="n">
        <v>0</v>
      </c>
      <c r="AB368" s="2" t="n">
        <v>27</v>
      </c>
      <c r="AC368" s="2"/>
    </row>
    <row r="369" customFormat="false" ht="15" hidden="false" customHeight="false" outlineLevel="0" collapsed="false">
      <c r="A369" s="2" t="n">
        <v>32</v>
      </c>
      <c r="B369" s="2" t="s">
        <v>405</v>
      </c>
      <c r="C369" s="2" t="s">
        <v>410</v>
      </c>
      <c r="D369" s="2" t="s">
        <v>2472</v>
      </c>
      <c r="E369" s="2" t="s">
        <v>1154</v>
      </c>
      <c r="F369" s="2" t="s">
        <v>1155</v>
      </c>
      <c r="G369" s="2" t="s">
        <v>2473</v>
      </c>
      <c r="H369" s="2" t="s">
        <v>2474</v>
      </c>
      <c r="I369" s="2" t="s">
        <v>1133</v>
      </c>
      <c r="J369" s="2" t="s">
        <v>2475</v>
      </c>
      <c r="K369" s="2" t="n">
        <v>4</v>
      </c>
      <c r="L369" s="2" t="n">
        <v>2047</v>
      </c>
      <c r="M369" s="2" t="n">
        <v>1204</v>
      </c>
      <c r="N369" s="2" t="n">
        <v>1098</v>
      </c>
      <c r="O369" s="2" t="n">
        <v>484</v>
      </c>
      <c r="P369" s="2" t="n">
        <v>359</v>
      </c>
      <c r="Q369" s="2" t="n">
        <v>0</v>
      </c>
      <c r="R369" s="2" t="n">
        <v>0</v>
      </c>
      <c r="S369" s="2" t="n">
        <v>11</v>
      </c>
      <c r="T369" s="2" t="n">
        <v>7</v>
      </c>
      <c r="U369" s="2" t="n">
        <v>4</v>
      </c>
      <c r="V369" s="2" t="n">
        <v>0</v>
      </c>
      <c r="W369" s="2" t="n">
        <v>0</v>
      </c>
      <c r="X369" s="2" t="n">
        <v>0</v>
      </c>
      <c r="Y369" s="2" t="n">
        <v>2</v>
      </c>
      <c r="Z369" s="2" t="n">
        <v>0</v>
      </c>
      <c r="AA369" s="2" t="n">
        <v>0</v>
      </c>
      <c r="AB369" s="2" t="n">
        <v>9</v>
      </c>
      <c r="AC369" s="2"/>
    </row>
    <row r="370" customFormat="false" ht="15" hidden="false" customHeight="false" outlineLevel="0" collapsed="false">
      <c r="A370" s="2" t="n">
        <v>32</v>
      </c>
      <c r="B370" s="2" t="s">
        <v>405</v>
      </c>
      <c r="C370" s="2" t="s">
        <v>410</v>
      </c>
      <c r="D370" s="2" t="s">
        <v>2476</v>
      </c>
      <c r="E370" s="2" t="s">
        <v>1154</v>
      </c>
      <c r="F370" s="2" t="s">
        <v>1155</v>
      </c>
      <c r="G370" s="2" t="s">
        <v>1826</v>
      </c>
      <c r="H370" s="2" t="s">
        <v>2477</v>
      </c>
      <c r="I370" s="2" t="s">
        <v>1133</v>
      </c>
      <c r="J370" s="2" t="s">
        <v>2478</v>
      </c>
      <c r="K370" s="2" t="n">
        <v>5</v>
      </c>
      <c r="L370" s="2" t="n">
        <v>2430</v>
      </c>
      <c r="M370" s="2" t="n">
        <v>1457</v>
      </c>
      <c r="N370" s="2" t="n">
        <v>1349</v>
      </c>
      <c r="O370" s="2" t="n">
        <v>574</v>
      </c>
      <c r="P370" s="2" t="n">
        <v>399</v>
      </c>
      <c r="Q370" s="2" t="n">
        <v>0</v>
      </c>
      <c r="R370" s="2" t="n">
        <v>0</v>
      </c>
      <c r="S370" s="2" t="n">
        <v>12</v>
      </c>
      <c r="T370" s="2" t="n">
        <v>8</v>
      </c>
      <c r="U370" s="2" t="n">
        <v>4</v>
      </c>
      <c r="V370" s="2" t="n">
        <v>0</v>
      </c>
      <c r="W370" s="2" t="n">
        <v>0</v>
      </c>
      <c r="X370" s="2" t="n">
        <v>0</v>
      </c>
      <c r="Y370" s="2" t="n">
        <v>2</v>
      </c>
      <c r="Z370" s="2" t="n">
        <v>1</v>
      </c>
      <c r="AA370" s="2" t="n">
        <v>0</v>
      </c>
      <c r="AB370" s="2" t="n">
        <v>9</v>
      </c>
      <c r="AC370" s="2"/>
    </row>
    <row r="371" customFormat="false" ht="15" hidden="false" customHeight="false" outlineLevel="0" collapsed="false">
      <c r="A371" s="2" t="n">
        <v>32</v>
      </c>
      <c r="B371" s="2" t="s">
        <v>405</v>
      </c>
      <c r="C371" s="2" t="s">
        <v>410</v>
      </c>
      <c r="D371" s="2" t="s">
        <v>2479</v>
      </c>
      <c r="E371" s="2" t="s">
        <v>1129</v>
      </c>
      <c r="F371" s="2" t="s">
        <v>2480</v>
      </c>
      <c r="G371" s="2" t="s">
        <v>1859</v>
      </c>
      <c r="H371" s="2" t="s">
        <v>2481</v>
      </c>
      <c r="I371" s="2" t="s">
        <v>1133</v>
      </c>
      <c r="J371" s="2" t="s">
        <v>2482</v>
      </c>
      <c r="K371" s="2" t="n">
        <v>9</v>
      </c>
      <c r="L371" s="2" t="n">
        <v>4499</v>
      </c>
      <c r="M371" s="2" t="n">
        <v>4261</v>
      </c>
      <c r="N371" s="2" t="n">
        <v>4136</v>
      </c>
      <c r="O371" s="2" t="n">
        <v>222</v>
      </c>
      <c r="P371" s="2" t="n">
        <v>16</v>
      </c>
      <c r="Q371" s="2" t="n">
        <v>0</v>
      </c>
      <c r="R371" s="2" t="n">
        <v>0</v>
      </c>
      <c r="S371" s="2" t="n">
        <v>0</v>
      </c>
      <c r="T371" s="2" t="n">
        <v>0</v>
      </c>
      <c r="U371" s="2" t="n">
        <v>0</v>
      </c>
      <c r="V371" s="2" t="n">
        <v>0</v>
      </c>
      <c r="W371" s="2" t="n">
        <v>0</v>
      </c>
      <c r="X371" s="2" t="n">
        <v>0</v>
      </c>
      <c r="Y371" s="2" t="n">
        <v>0</v>
      </c>
      <c r="Z371" s="2" t="n">
        <v>0</v>
      </c>
      <c r="AA371" s="2" t="n">
        <v>0</v>
      </c>
      <c r="AB371" s="2" t="n">
        <v>0</v>
      </c>
      <c r="AC371" s="2" t="s">
        <v>1135</v>
      </c>
    </row>
    <row r="372" customFormat="false" ht="15" hidden="false" customHeight="false" outlineLevel="0" collapsed="false">
      <c r="A372" s="2" t="n">
        <v>32</v>
      </c>
      <c r="B372" s="2" t="s">
        <v>405</v>
      </c>
      <c r="C372" s="2" t="s">
        <v>410</v>
      </c>
      <c r="D372" s="2" t="s">
        <v>2483</v>
      </c>
      <c r="E372" s="2" t="s">
        <v>1160</v>
      </c>
      <c r="F372" s="2" t="s">
        <v>1161</v>
      </c>
      <c r="G372" s="2" t="s">
        <v>1859</v>
      </c>
      <c r="H372" s="2" t="s">
        <v>2484</v>
      </c>
      <c r="I372" s="2" t="s">
        <v>1133</v>
      </c>
      <c r="J372" s="2" t="s">
        <v>2485</v>
      </c>
      <c r="K372" s="2" t="n">
        <v>9</v>
      </c>
      <c r="L372" s="2" t="n">
        <v>4060</v>
      </c>
      <c r="M372" s="2" t="n">
        <v>2782</v>
      </c>
      <c r="N372" s="2" t="n">
        <v>2675</v>
      </c>
      <c r="O372" s="2" t="n">
        <v>1263</v>
      </c>
      <c r="P372" s="2" t="n">
        <v>15</v>
      </c>
      <c r="Q372" s="2" t="n">
        <v>0</v>
      </c>
      <c r="R372" s="2" t="n">
        <v>0</v>
      </c>
      <c r="S372" s="2" t="n">
        <v>6</v>
      </c>
      <c r="T372" s="2" t="n">
        <v>3</v>
      </c>
      <c r="U372" s="2" t="n">
        <v>1</v>
      </c>
      <c r="V372" s="2" t="n">
        <v>0</v>
      </c>
      <c r="W372" s="2" t="n">
        <v>2</v>
      </c>
      <c r="X372" s="2" t="n">
        <v>0</v>
      </c>
      <c r="Y372" s="2" t="n">
        <v>1</v>
      </c>
      <c r="Z372" s="2" t="n">
        <v>0</v>
      </c>
      <c r="AA372" s="2" t="n">
        <v>0</v>
      </c>
      <c r="AB372" s="2" t="n">
        <v>5</v>
      </c>
      <c r="AC372" s="2"/>
    </row>
    <row r="373" customFormat="false" ht="15" hidden="false" customHeight="false" outlineLevel="0" collapsed="false">
      <c r="A373" s="2" t="n">
        <v>32</v>
      </c>
      <c r="B373" s="2" t="s">
        <v>405</v>
      </c>
      <c r="C373" s="2" t="s">
        <v>410</v>
      </c>
      <c r="D373" s="2" t="s">
        <v>2486</v>
      </c>
      <c r="E373" s="2" t="s">
        <v>1129</v>
      </c>
      <c r="F373" s="2" t="s">
        <v>2480</v>
      </c>
      <c r="G373" s="2" t="s">
        <v>2487</v>
      </c>
      <c r="H373" s="2" t="s">
        <v>2488</v>
      </c>
      <c r="I373" s="2" t="s">
        <v>1133</v>
      </c>
      <c r="J373" s="2" t="s">
        <v>2489</v>
      </c>
      <c r="K373" s="2" t="n">
        <v>14</v>
      </c>
      <c r="L373" s="2" t="n">
        <v>5777</v>
      </c>
      <c r="M373" s="2" t="n">
        <v>0</v>
      </c>
      <c r="N373" s="2" t="n">
        <v>0</v>
      </c>
      <c r="O373" s="2" t="n">
        <v>4145</v>
      </c>
      <c r="P373" s="2" t="n">
        <v>1632</v>
      </c>
      <c r="Q373" s="2" t="n">
        <v>0</v>
      </c>
      <c r="R373" s="2" t="n">
        <v>0</v>
      </c>
      <c r="S373" s="2" t="n">
        <v>3</v>
      </c>
      <c r="T373" s="2" t="n">
        <v>1</v>
      </c>
      <c r="U373" s="2" t="n">
        <v>0</v>
      </c>
      <c r="V373" s="2" t="n">
        <v>0</v>
      </c>
      <c r="W373" s="2" t="n">
        <v>2</v>
      </c>
      <c r="X373" s="2" t="n">
        <v>0</v>
      </c>
      <c r="Y373" s="2" t="n">
        <v>0</v>
      </c>
      <c r="Z373" s="2" t="n">
        <v>1</v>
      </c>
      <c r="AA373" s="2" t="n">
        <v>0</v>
      </c>
      <c r="AB373" s="2" t="n">
        <v>2</v>
      </c>
      <c r="AC373" s="2" t="s">
        <v>1135</v>
      </c>
    </row>
    <row r="374" customFormat="false" ht="15" hidden="false" customHeight="false" outlineLevel="0" collapsed="false">
      <c r="A374" s="2" t="n">
        <v>32</v>
      </c>
      <c r="B374" s="2" t="s">
        <v>405</v>
      </c>
      <c r="C374" s="2" t="s">
        <v>410</v>
      </c>
      <c r="D374" s="2" t="s">
        <v>1300</v>
      </c>
      <c r="E374" s="2" t="s">
        <v>1154</v>
      </c>
      <c r="F374" s="2" t="s">
        <v>1178</v>
      </c>
      <c r="G374" s="2" t="s">
        <v>1297</v>
      </c>
      <c r="H374" s="2" t="s">
        <v>1301</v>
      </c>
      <c r="I374" s="2" t="s">
        <v>1133</v>
      </c>
      <c r="J374" s="2" t="s">
        <v>1302</v>
      </c>
      <c r="K374" s="2" t="n">
        <v>11</v>
      </c>
      <c r="L374" s="2" t="n">
        <v>5246</v>
      </c>
      <c r="M374" s="2" t="n">
        <v>2048</v>
      </c>
      <c r="N374" s="2" t="n">
        <v>1900</v>
      </c>
      <c r="O374" s="2" t="n">
        <v>384</v>
      </c>
      <c r="P374" s="2" t="n">
        <v>2814</v>
      </c>
      <c r="Q374" s="2" t="n">
        <v>0</v>
      </c>
      <c r="R374" s="2" t="n">
        <v>0</v>
      </c>
      <c r="S374" s="2" t="n">
        <v>25</v>
      </c>
      <c r="T374" s="2" t="n">
        <v>20</v>
      </c>
      <c r="U374" s="2" t="n">
        <v>3</v>
      </c>
      <c r="V374" s="2" t="n">
        <v>0</v>
      </c>
      <c r="W374" s="2" t="n">
        <v>1</v>
      </c>
      <c r="X374" s="2" t="n">
        <v>1</v>
      </c>
      <c r="Y374" s="2" t="n">
        <v>0</v>
      </c>
      <c r="Z374" s="2" t="n">
        <v>6</v>
      </c>
      <c r="AA374" s="2" t="n">
        <v>0</v>
      </c>
      <c r="AB374" s="2" t="n">
        <v>19</v>
      </c>
      <c r="AC374" s="2"/>
    </row>
    <row r="375" customFormat="false" ht="15" hidden="false" customHeight="false" outlineLevel="0" collapsed="false">
      <c r="A375" s="2" t="n">
        <v>32</v>
      </c>
      <c r="B375" s="2" t="s">
        <v>405</v>
      </c>
      <c r="C375" s="2" t="s">
        <v>410</v>
      </c>
      <c r="D375" s="2" t="s">
        <v>2490</v>
      </c>
      <c r="E375" s="2" t="s">
        <v>1154</v>
      </c>
      <c r="F375" s="2" t="s">
        <v>1178</v>
      </c>
      <c r="G375" s="2" t="s">
        <v>2491</v>
      </c>
      <c r="H375" s="2" t="s">
        <v>2492</v>
      </c>
      <c r="I375" s="2" t="s">
        <v>1133</v>
      </c>
      <c r="J375" s="2" t="s">
        <v>2493</v>
      </c>
      <c r="K375" s="2" t="n">
        <v>4</v>
      </c>
      <c r="L375" s="2" t="n">
        <v>942</v>
      </c>
      <c r="M375" s="2" t="n">
        <v>222</v>
      </c>
      <c r="N375" s="2" t="n">
        <v>128</v>
      </c>
      <c r="O375" s="2" t="n">
        <v>71</v>
      </c>
      <c r="P375" s="2" t="n">
        <v>649</v>
      </c>
      <c r="Q375" s="2" t="n">
        <v>0</v>
      </c>
      <c r="R375" s="2" t="n">
        <v>0</v>
      </c>
      <c r="S375" s="2" t="n">
        <v>6</v>
      </c>
      <c r="T375" s="2" t="n">
        <v>6</v>
      </c>
      <c r="U375" s="2" t="n">
        <v>0</v>
      </c>
      <c r="V375" s="2" t="n">
        <v>0</v>
      </c>
      <c r="W375" s="2" t="n">
        <v>0</v>
      </c>
      <c r="X375" s="2" t="n">
        <v>0</v>
      </c>
      <c r="Y375" s="2" t="n">
        <v>5</v>
      </c>
      <c r="Z375" s="2" t="n">
        <v>1</v>
      </c>
      <c r="AA375" s="2" t="n">
        <v>0</v>
      </c>
      <c r="AB375" s="2" t="n">
        <v>0</v>
      </c>
      <c r="AC375" s="2"/>
    </row>
    <row r="376" customFormat="false" ht="15" hidden="false" customHeight="false" outlineLevel="0" collapsed="false">
      <c r="A376" s="2" t="n">
        <v>32</v>
      </c>
      <c r="B376" s="2" t="s">
        <v>405</v>
      </c>
      <c r="C376" s="2" t="s">
        <v>410</v>
      </c>
      <c r="D376" s="2" t="s">
        <v>2494</v>
      </c>
      <c r="E376" s="2" t="s">
        <v>1160</v>
      </c>
      <c r="F376" s="2" t="s">
        <v>1161</v>
      </c>
      <c r="G376" s="2" t="s">
        <v>2495</v>
      </c>
      <c r="H376" s="2" t="s">
        <v>2496</v>
      </c>
      <c r="I376" s="2" t="s">
        <v>1133</v>
      </c>
      <c r="J376" s="2" t="s">
        <v>2497</v>
      </c>
      <c r="K376" s="2" t="n">
        <v>8</v>
      </c>
      <c r="L376" s="2" t="n">
        <v>4104</v>
      </c>
      <c r="M376" s="2" t="n">
        <v>3069</v>
      </c>
      <c r="N376" s="2" t="n">
        <v>2962</v>
      </c>
      <c r="O376" s="2" t="n">
        <v>1035</v>
      </c>
      <c r="P376" s="2" t="n">
        <v>0</v>
      </c>
      <c r="Q376" s="2" t="n">
        <v>0</v>
      </c>
      <c r="R376" s="2" t="n">
        <v>0</v>
      </c>
      <c r="S376" s="2" t="n">
        <v>17</v>
      </c>
      <c r="T376" s="2" t="n">
        <v>14</v>
      </c>
      <c r="U376" s="2" t="n">
        <v>0</v>
      </c>
      <c r="V376" s="2" t="n">
        <v>0</v>
      </c>
      <c r="W376" s="2" t="n">
        <v>0</v>
      </c>
      <c r="X376" s="2" t="n">
        <v>3</v>
      </c>
      <c r="Y376" s="2" t="n">
        <v>0</v>
      </c>
      <c r="Z376" s="2" t="n">
        <v>10</v>
      </c>
      <c r="AA376" s="2" t="n">
        <v>0</v>
      </c>
      <c r="AB376" s="2" t="n">
        <v>7</v>
      </c>
      <c r="AC376" s="2"/>
    </row>
    <row r="377" customFormat="false" ht="15" hidden="false" customHeight="false" outlineLevel="0" collapsed="false">
      <c r="A377" s="2" t="n">
        <v>32</v>
      </c>
      <c r="B377" s="2" t="s">
        <v>405</v>
      </c>
      <c r="C377" s="2" t="s">
        <v>410</v>
      </c>
      <c r="D377" s="2" t="s">
        <v>2498</v>
      </c>
      <c r="E377" s="2" t="s">
        <v>1154</v>
      </c>
      <c r="F377" s="2" t="s">
        <v>1155</v>
      </c>
      <c r="G377" s="2" t="s">
        <v>2499</v>
      </c>
      <c r="H377" s="2" t="s">
        <v>2500</v>
      </c>
      <c r="I377" s="2" t="s">
        <v>1133</v>
      </c>
      <c r="J377" s="2" t="s">
        <v>2501</v>
      </c>
      <c r="K377" s="2" t="n">
        <v>3</v>
      </c>
      <c r="L377" s="2" t="n">
        <v>1217</v>
      </c>
      <c r="M377" s="2" t="n">
        <v>503</v>
      </c>
      <c r="N377" s="2" t="n">
        <v>406</v>
      </c>
      <c r="O377" s="2" t="n">
        <v>269</v>
      </c>
      <c r="P377" s="2" t="n">
        <v>445</v>
      </c>
      <c r="Q377" s="2" t="n">
        <v>0</v>
      </c>
      <c r="R377" s="2" t="n">
        <v>0</v>
      </c>
      <c r="S377" s="2" t="n">
        <v>13</v>
      </c>
      <c r="T377" s="2" t="n">
        <v>9</v>
      </c>
      <c r="U377" s="2" t="n">
        <v>4</v>
      </c>
      <c r="V377" s="2" t="n">
        <v>0</v>
      </c>
      <c r="W377" s="2" t="n">
        <v>0</v>
      </c>
      <c r="X377" s="2" t="n">
        <v>0</v>
      </c>
      <c r="Y377" s="2" t="n">
        <v>1</v>
      </c>
      <c r="Z377" s="2" t="n">
        <v>2</v>
      </c>
      <c r="AA377" s="2" t="n">
        <v>0</v>
      </c>
      <c r="AB377" s="2" t="n">
        <v>10</v>
      </c>
      <c r="AC377" s="2"/>
    </row>
    <row r="378" customFormat="false" ht="15" hidden="false" customHeight="false" outlineLevel="0" collapsed="false">
      <c r="A378" s="2" t="n">
        <v>33</v>
      </c>
      <c r="B378" s="2" t="s">
        <v>414</v>
      </c>
      <c r="C378" s="2" t="s">
        <v>418</v>
      </c>
      <c r="D378" s="2" t="s">
        <v>2502</v>
      </c>
      <c r="E378" s="2" t="s">
        <v>1129</v>
      </c>
      <c r="F378" s="2" t="s">
        <v>1360</v>
      </c>
      <c r="G378" s="2" t="s">
        <v>2230</v>
      </c>
      <c r="H378" s="2" t="s">
        <v>2503</v>
      </c>
      <c r="I378" s="2" t="s">
        <v>1133</v>
      </c>
      <c r="J378" s="2" t="s">
        <v>2504</v>
      </c>
      <c r="K378" s="2" t="n">
        <v>27</v>
      </c>
      <c r="L378" s="2" t="n">
        <v>13061</v>
      </c>
      <c r="M378" s="2" t="n">
        <v>0</v>
      </c>
      <c r="N378" s="2" t="n">
        <v>0</v>
      </c>
      <c r="O378" s="2" t="n">
        <v>13061</v>
      </c>
      <c r="P378" s="2" t="n">
        <v>0</v>
      </c>
      <c r="Q378" s="2" t="n">
        <v>0</v>
      </c>
      <c r="R378" s="2" t="n">
        <v>0</v>
      </c>
      <c r="S378" s="2" t="n">
        <v>54</v>
      </c>
      <c r="T378" s="2" t="n">
        <v>31</v>
      </c>
      <c r="U378" s="2" t="n">
        <v>5</v>
      </c>
      <c r="V378" s="2" t="n">
        <v>1</v>
      </c>
      <c r="W378" s="2" t="n">
        <v>17</v>
      </c>
      <c r="X378" s="2" t="n">
        <v>0</v>
      </c>
      <c r="Y378" s="2" t="n">
        <v>26</v>
      </c>
      <c r="Z378" s="2" t="n">
        <v>9</v>
      </c>
      <c r="AA378" s="2" t="n">
        <v>0</v>
      </c>
      <c r="AB378" s="2" t="n">
        <v>19</v>
      </c>
      <c r="AC378" s="2" t="s">
        <v>1135</v>
      </c>
    </row>
    <row r="379" customFormat="false" ht="15" hidden="false" customHeight="false" outlineLevel="0" collapsed="false">
      <c r="A379" s="2" t="n">
        <v>35</v>
      </c>
      <c r="B379" s="2" t="s">
        <v>428</v>
      </c>
      <c r="C379" s="2" t="s">
        <v>433</v>
      </c>
      <c r="D379" s="2" t="s">
        <v>2233</v>
      </c>
      <c r="E379" s="2" t="s">
        <v>1154</v>
      </c>
      <c r="F379" s="2" t="s">
        <v>1178</v>
      </c>
      <c r="G379" s="2" t="s">
        <v>2230</v>
      </c>
      <c r="H379" s="2" t="s">
        <v>2234</v>
      </c>
      <c r="I379" s="2" t="s">
        <v>1133</v>
      </c>
      <c r="J379" s="2" t="s">
        <v>2235</v>
      </c>
      <c r="K379" s="2" t="n">
        <v>13</v>
      </c>
      <c r="L379" s="2" t="n">
        <v>5037</v>
      </c>
      <c r="M379" s="2" t="n">
        <v>1244</v>
      </c>
      <c r="N379" s="2" t="n">
        <v>1033</v>
      </c>
      <c r="O379" s="2" t="n">
        <v>143</v>
      </c>
      <c r="P379" s="2" t="n">
        <v>3650</v>
      </c>
      <c r="Q379" s="2" t="n">
        <v>0</v>
      </c>
      <c r="R379" s="2" t="n">
        <v>0</v>
      </c>
      <c r="S379" s="2" t="n">
        <v>55</v>
      </c>
      <c r="T379" s="2" t="n">
        <v>49</v>
      </c>
      <c r="U379" s="2" t="n">
        <v>3</v>
      </c>
      <c r="V379" s="2" t="n">
        <v>1</v>
      </c>
      <c r="W379" s="2" t="n">
        <v>0</v>
      </c>
      <c r="X379" s="2" t="n">
        <v>2</v>
      </c>
      <c r="Y379" s="2" t="n">
        <v>45</v>
      </c>
      <c r="Z379" s="2" t="n">
        <v>0</v>
      </c>
      <c r="AA379" s="2" t="n">
        <v>1</v>
      </c>
      <c r="AB379" s="2" t="n">
        <v>9</v>
      </c>
      <c r="AC379" s="2"/>
    </row>
    <row r="380" customFormat="false" ht="15" hidden="false" customHeight="false" outlineLevel="0" collapsed="false">
      <c r="A380" s="2" t="n">
        <v>35</v>
      </c>
      <c r="B380" s="2" t="s">
        <v>428</v>
      </c>
      <c r="C380" s="2" t="s">
        <v>433</v>
      </c>
      <c r="D380" s="2" t="s">
        <v>2243</v>
      </c>
      <c r="E380" s="2" t="s">
        <v>1154</v>
      </c>
      <c r="F380" s="2" t="s">
        <v>1178</v>
      </c>
      <c r="G380" s="2" t="s">
        <v>2244</v>
      </c>
      <c r="H380" s="2" t="s">
        <v>2245</v>
      </c>
      <c r="I380" s="2" t="s">
        <v>1133</v>
      </c>
      <c r="J380" s="2" t="s">
        <v>2246</v>
      </c>
      <c r="K380" s="2" t="n">
        <v>10</v>
      </c>
      <c r="L380" s="2" t="n">
        <v>4649</v>
      </c>
      <c r="M380" s="2" t="n">
        <v>600</v>
      </c>
      <c r="N380" s="2" t="n">
        <v>259</v>
      </c>
      <c r="O380" s="2" t="n">
        <v>110</v>
      </c>
      <c r="P380" s="2" t="n">
        <v>3939</v>
      </c>
      <c r="Q380" s="2" t="n">
        <v>0</v>
      </c>
      <c r="R380" s="2" t="n">
        <v>0</v>
      </c>
      <c r="S380" s="2" t="n">
        <v>60</v>
      </c>
      <c r="T380" s="2" t="n">
        <v>50</v>
      </c>
      <c r="U380" s="2" t="n">
        <v>4</v>
      </c>
      <c r="V380" s="2" t="n">
        <v>4</v>
      </c>
      <c r="W380" s="2" t="n">
        <v>0</v>
      </c>
      <c r="X380" s="2" t="n">
        <v>2</v>
      </c>
      <c r="Y380" s="2" t="n">
        <v>40</v>
      </c>
      <c r="Z380" s="2" t="n">
        <v>7</v>
      </c>
      <c r="AA380" s="2" t="n">
        <v>6</v>
      </c>
      <c r="AB380" s="2" t="n">
        <v>7</v>
      </c>
      <c r="AC380" s="2"/>
    </row>
    <row r="381" customFormat="false" ht="15" hidden="false" customHeight="false" outlineLevel="0" collapsed="false">
      <c r="A381" s="2" t="n">
        <v>36</v>
      </c>
      <c r="B381" s="2" t="s">
        <v>437</v>
      </c>
      <c r="C381" s="2" t="s">
        <v>441</v>
      </c>
      <c r="D381" s="2" t="s">
        <v>2505</v>
      </c>
      <c r="E381" s="2" t="s">
        <v>1129</v>
      </c>
      <c r="F381" s="2" t="s">
        <v>1169</v>
      </c>
      <c r="G381" s="2" t="s">
        <v>513</v>
      </c>
      <c r="H381" s="2" t="s">
        <v>2506</v>
      </c>
      <c r="I381" s="2" t="s">
        <v>1133</v>
      </c>
      <c r="J381" s="2" t="s">
        <v>2507</v>
      </c>
      <c r="K381" s="2" t="n">
        <v>13</v>
      </c>
      <c r="L381" s="2" t="n">
        <v>4530</v>
      </c>
      <c r="M381" s="2" t="n">
        <v>0</v>
      </c>
      <c r="N381" s="2" t="n">
        <v>0</v>
      </c>
      <c r="O381" s="2" t="n">
        <v>4530</v>
      </c>
      <c r="P381" s="2" t="n">
        <v>0</v>
      </c>
      <c r="Q381" s="2" t="n">
        <v>0</v>
      </c>
      <c r="R381" s="2" t="n">
        <v>0</v>
      </c>
      <c r="S381" s="2" t="n">
        <v>12</v>
      </c>
      <c r="T381" s="2" t="n">
        <v>9</v>
      </c>
      <c r="U381" s="2" t="n">
        <v>0</v>
      </c>
      <c r="V381" s="2" t="n">
        <v>0</v>
      </c>
      <c r="W381" s="2" t="n">
        <v>3</v>
      </c>
      <c r="X381" s="2" t="n">
        <v>0</v>
      </c>
      <c r="Y381" s="2" t="n">
        <v>2</v>
      </c>
      <c r="Z381" s="2" t="n">
        <v>3</v>
      </c>
      <c r="AA381" s="2" t="n">
        <v>1</v>
      </c>
      <c r="AB381" s="2" t="n">
        <v>6</v>
      </c>
      <c r="AC381" s="2" t="s">
        <v>1135</v>
      </c>
    </row>
    <row r="382" customFormat="false" ht="15" hidden="false" customHeight="false" outlineLevel="0" collapsed="false">
      <c r="A382" s="2" t="n">
        <v>36</v>
      </c>
      <c r="B382" s="2" t="s">
        <v>437</v>
      </c>
      <c r="C382" s="2" t="s">
        <v>441</v>
      </c>
      <c r="D382" s="2" t="s">
        <v>2508</v>
      </c>
      <c r="E382" s="2" t="s">
        <v>1154</v>
      </c>
      <c r="F382" s="2" t="s">
        <v>1155</v>
      </c>
      <c r="G382" s="2" t="s">
        <v>2509</v>
      </c>
      <c r="H382" s="2" t="s">
        <v>2510</v>
      </c>
      <c r="I382" s="2" t="s">
        <v>1133</v>
      </c>
      <c r="J382" s="2" t="s">
        <v>2511</v>
      </c>
      <c r="K382" s="2" t="n">
        <v>12</v>
      </c>
      <c r="L382" s="2" t="n">
        <v>5045</v>
      </c>
      <c r="M382" s="2" t="n">
        <v>1683</v>
      </c>
      <c r="N382" s="2" t="n">
        <v>1552</v>
      </c>
      <c r="O382" s="2" t="n">
        <v>2684</v>
      </c>
      <c r="P382" s="2" t="n">
        <v>678</v>
      </c>
      <c r="Q382" s="2" t="n">
        <v>0</v>
      </c>
      <c r="R382" s="2" t="n">
        <v>0</v>
      </c>
      <c r="S382" s="2" t="n">
        <v>58</v>
      </c>
      <c r="T382" s="2" t="n">
        <v>42</v>
      </c>
      <c r="U382" s="2" t="n">
        <v>1</v>
      </c>
      <c r="V382" s="2" t="n">
        <v>0</v>
      </c>
      <c r="W382" s="2" t="n">
        <v>5</v>
      </c>
      <c r="X382" s="2" t="n">
        <v>10</v>
      </c>
      <c r="Y382" s="2" t="n">
        <v>35</v>
      </c>
      <c r="Z382" s="2" t="n">
        <v>0</v>
      </c>
      <c r="AA382" s="2" t="n">
        <v>11</v>
      </c>
      <c r="AB382" s="2" t="n">
        <v>12</v>
      </c>
      <c r="AC382" s="2"/>
    </row>
    <row r="383" customFormat="false" ht="15" hidden="false" customHeight="false" outlineLevel="0" collapsed="false">
      <c r="A383" s="2" t="n">
        <v>36</v>
      </c>
      <c r="B383" s="2" t="s">
        <v>437</v>
      </c>
      <c r="C383" s="2" t="s">
        <v>441</v>
      </c>
      <c r="D383" s="2" t="s">
        <v>2512</v>
      </c>
      <c r="E383" s="2" t="s">
        <v>1129</v>
      </c>
      <c r="F383" s="2" t="s">
        <v>1169</v>
      </c>
      <c r="G383" s="2" t="s">
        <v>2513</v>
      </c>
      <c r="H383" s="2" t="s">
        <v>2514</v>
      </c>
      <c r="I383" s="2" t="s">
        <v>1133</v>
      </c>
      <c r="J383" s="2" t="s">
        <v>2515</v>
      </c>
      <c r="K383" s="2" t="n">
        <v>9</v>
      </c>
      <c r="L383" s="2" t="n">
        <v>3486</v>
      </c>
      <c r="M383" s="2" t="n">
        <v>0</v>
      </c>
      <c r="N383" s="2" t="n">
        <v>0</v>
      </c>
      <c r="O383" s="2" t="n">
        <v>3486</v>
      </c>
      <c r="P383" s="2" t="n">
        <v>0</v>
      </c>
      <c r="Q383" s="2" t="n">
        <v>0</v>
      </c>
      <c r="R383" s="2" t="n">
        <v>0</v>
      </c>
      <c r="S383" s="2" t="n">
        <v>2</v>
      </c>
      <c r="T383" s="2" t="n">
        <v>2</v>
      </c>
      <c r="U383" s="2" t="n">
        <v>0</v>
      </c>
      <c r="V383" s="2" t="n">
        <v>0</v>
      </c>
      <c r="W383" s="2" t="n">
        <v>0</v>
      </c>
      <c r="X383" s="2" t="n">
        <v>0</v>
      </c>
      <c r="Y383" s="2" t="n">
        <v>0</v>
      </c>
      <c r="Z383" s="2" t="n">
        <v>1</v>
      </c>
      <c r="AA383" s="2" t="n">
        <v>0</v>
      </c>
      <c r="AB383" s="2" t="n">
        <v>1</v>
      </c>
      <c r="AC383" s="2" t="s">
        <v>1135</v>
      </c>
    </row>
    <row r="384" customFormat="false" ht="15" hidden="false" customHeight="false" outlineLevel="0" collapsed="false">
      <c r="A384" s="2" t="n">
        <v>36</v>
      </c>
      <c r="B384" s="2" t="s">
        <v>437</v>
      </c>
      <c r="C384" s="2" t="s">
        <v>441</v>
      </c>
      <c r="D384" s="2" t="s">
        <v>2516</v>
      </c>
      <c r="E384" s="2" t="s">
        <v>1154</v>
      </c>
      <c r="F384" s="2" t="s">
        <v>1155</v>
      </c>
      <c r="G384" s="2" t="s">
        <v>2517</v>
      </c>
      <c r="H384" s="2" t="s">
        <v>2518</v>
      </c>
      <c r="I384" s="2" t="s">
        <v>1133</v>
      </c>
      <c r="J384" s="2" t="s">
        <v>2519</v>
      </c>
      <c r="K384" s="2" t="n">
        <v>21</v>
      </c>
      <c r="L384" s="2" t="n">
        <v>10164</v>
      </c>
      <c r="M384" s="2" t="n">
        <v>3089</v>
      </c>
      <c r="N384" s="2" t="n">
        <v>2957</v>
      </c>
      <c r="O384" s="2" t="n">
        <v>7075</v>
      </c>
      <c r="P384" s="2" t="n">
        <v>0</v>
      </c>
      <c r="Q384" s="2" t="n">
        <v>0</v>
      </c>
      <c r="R384" s="2" t="n">
        <v>0</v>
      </c>
      <c r="S384" s="2" t="n">
        <v>115</v>
      </c>
      <c r="T384" s="2" t="n">
        <v>81</v>
      </c>
      <c r="U384" s="2" t="n">
        <v>4</v>
      </c>
      <c r="V384" s="2" t="n">
        <v>0</v>
      </c>
      <c r="W384" s="2" t="n">
        <v>6</v>
      </c>
      <c r="X384" s="2" t="n">
        <v>24</v>
      </c>
      <c r="Y384" s="2" t="n">
        <v>15</v>
      </c>
      <c r="Z384" s="2" t="n">
        <v>26</v>
      </c>
      <c r="AA384" s="2" t="n">
        <v>37</v>
      </c>
      <c r="AB384" s="2" t="n">
        <v>37</v>
      </c>
      <c r="AC384" s="2"/>
    </row>
    <row r="385" customFormat="false" ht="15" hidden="false" customHeight="false" outlineLevel="0" collapsed="false">
      <c r="A385" s="2" t="n">
        <v>36</v>
      </c>
      <c r="B385" s="2" t="s">
        <v>437</v>
      </c>
      <c r="C385" s="2" t="s">
        <v>441</v>
      </c>
      <c r="D385" s="2" t="s">
        <v>2520</v>
      </c>
      <c r="E385" s="2" t="s">
        <v>1129</v>
      </c>
      <c r="F385" s="2" t="s">
        <v>1169</v>
      </c>
      <c r="G385" s="2" t="s">
        <v>2244</v>
      </c>
      <c r="H385" s="2" t="s">
        <v>2521</v>
      </c>
      <c r="I385" s="2" t="s">
        <v>1133</v>
      </c>
      <c r="J385" s="2" t="s">
        <v>2522</v>
      </c>
      <c r="K385" s="2" t="n">
        <v>12</v>
      </c>
      <c r="L385" s="2" t="n">
        <v>5003</v>
      </c>
      <c r="M385" s="2" t="n">
        <v>0</v>
      </c>
      <c r="N385" s="2" t="n">
        <v>0</v>
      </c>
      <c r="O385" s="2" t="n">
        <v>4723</v>
      </c>
      <c r="P385" s="2" t="n">
        <v>280</v>
      </c>
      <c r="Q385" s="2" t="n">
        <v>0</v>
      </c>
      <c r="R385" s="2" t="n">
        <v>0</v>
      </c>
      <c r="S385" s="2" t="n">
        <v>7</v>
      </c>
      <c r="T385" s="2" t="n">
        <v>5</v>
      </c>
      <c r="U385" s="2" t="n">
        <v>1</v>
      </c>
      <c r="V385" s="2" t="n">
        <v>0</v>
      </c>
      <c r="W385" s="2" t="n">
        <v>1</v>
      </c>
      <c r="X385" s="2" t="n">
        <v>0</v>
      </c>
      <c r="Y385" s="2" t="n">
        <v>0</v>
      </c>
      <c r="Z385" s="2" t="n">
        <v>1</v>
      </c>
      <c r="AA385" s="2" t="n">
        <v>1</v>
      </c>
      <c r="AB385" s="2" t="n">
        <v>5</v>
      </c>
      <c r="AC385" s="2" t="s">
        <v>1135</v>
      </c>
    </row>
    <row r="386" customFormat="false" ht="15" hidden="false" customHeight="false" outlineLevel="0" collapsed="false">
      <c r="A386" s="2" t="n">
        <v>36</v>
      </c>
      <c r="B386" s="2" t="s">
        <v>437</v>
      </c>
      <c r="C386" s="2" t="s">
        <v>441</v>
      </c>
      <c r="D386" s="2" t="s">
        <v>2523</v>
      </c>
      <c r="E386" s="2" t="s">
        <v>1129</v>
      </c>
      <c r="F386" s="2" t="s">
        <v>1169</v>
      </c>
      <c r="G386" s="2" t="s">
        <v>2524</v>
      </c>
      <c r="H386" s="2" t="s">
        <v>2525</v>
      </c>
      <c r="I386" s="2" t="s">
        <v>1133</v>
      </c>
      <c r="J386" s="2" t="s">
        <v>2526</v>
      </c>
      <c r="K386" s="2" t="n">
        <v>12</v>
      </c>
      <c r="L386" s="2" t="n">
        <v>4712</v>
      </c>
      <c r="M386" s="2" t="n">
        <v>0</v>
      </c>
      <c r="N386" s="2" t="n">
        <v>0</v>
      </c>
      <c r="O386" s="2" t="n">
        <v>4712</v>
      </c>
      <c r="P386" s="2" t="n">
        <v>0</v>
      </c>
      <c r="Q386" s="2" t="n">
        <v>0</v>
      </c>
      <c r="R386" s="2" t="n">
        <v>0</v>
      </c>
      <c r="S386" s="2" t="n">
        <v>8</v>
      </c>
      <c r="T386" s="2" t="n">
        <v>8</v>
      </c>
      <c r="U386" s="2" t="n">
        <v>0</v>
      </c>
      <c r="V386" s="2" t="n">
        <v>0</v>
      </c>
      <c r="W386" s="2" t="n">
        <v>0</v>
      </c>
      <c r="X386" s="2" t="n">
        <v>0</v>
      </c>
      <c r="Y386" s="2" t="n">
        <v>0</v>
      </c>
      <c r="Z386" s="2" t="n">
        <v>2</v>
      </c>
      <c r="AA386" s="2" t="n">
        <v>2</v>
      </c>
      <c r="AB386" s="2" t="n">
        <v>4</v>
      </c>
      <c r="AC386" s="2" t="s">
        <v>1135</v>
      </c>
    </row>
    <row r="387" customFormat="false" ht="15" hidden="false" customHeight="false" outlineLevel="0" collapsed="false">
      <c r="A387" s="2" t="n">
        <v>37</v>
      </c>
      <c r="B387" s="2" t="s">
        <v>447</v>
      </c>
      <c r="C387" s="2" t="s">
        <v>452</v>
      </c>
      <c r="D387" s="2" t="s">
        <v>2527</v>
      </c>
      <c r="E387" s="2" t="s">
        <v>1154</v>
      </c>
      <c r="F387" s="2" t="s">
        <v>1155</v>
      </c>
      <c r="G387" s="2" t="s">
        <v>2528</v>
      </c>
      <c r="H387" s="2" t="s">
        <v>2529</v>
      </c>
      <c r="I387" s="2" t="s">
        <v>1133</v>
      </c>
      <c r="J387" s="2" t="s">
        <v>2530</v>
      </c>
      <c r="K387" s="2" t="n">
        <v>45</v>
      </c>
      <c r="L387" s="2" t="n">
        <v>17862</v>
      </c>
      <c r="M387" s="2" t="n">
        <v>3422</v>
      </c>
      <c r="N387" s="2" t="n">
        <v>3296</v>
      </c>
      <c r="O387" s="2" t="n">
        <v>9611</v>
      </c>
      <c r="P387" s="2" t="n">
        <v>4829</v>
      </c>
      <c r="Q387" s="2" t="n">
        <v>0</v>
      </c>
      <c r="R387" s="2" t="n">
        <v>0</v>
      </c>
      <c r="S387" s="2" t="n">
        <v>270</v>
      </c>
      <c r="T387" s="2" t="n">
        <v>247</v>
      </c>
      <c r="U387" s="2" t="n">
        <v>14</v>
      </c>
      <c r="V387" s="2" t="n">
        <v>3</v>
      </c>
      <c r="W387" s="2" t="n">
        <v>2</v>
      </c>
      <c r="X387" s="2" t="n">
        <v>4</v>
      </c>
      <c r="Y387" s="2" t="n">
        <v>42</v>
      </c>
      <c r="Z387" s="2" t="n">
        <v>58</v>
      </c>
      <c r="AA387" s="2" t="n">
        <v>5</v>
      </c>
      <c r="AB387" s="2" t="n">
        <v>165</v>
      </c>
      <c r="AC387" s="2"/>
    </row>
    <row r="388" customFormat="false" ht="15" hidden="false" customHeight="false" outlineLevel="0" collapsed="false">
      <c r="A388" s="2" t="n">
        <v>37</v>
      </c>
      <c r="B388" s="2" t="s">
        <v>447</v>
      </c>
      <c r="C388" s="2" t="s">
        <v>452</v>
      </c>
      <c r="D388" s="2" t="s">
        <v>2531</v>
      </c>
      <c r="E388" s="2" t="s">
        <v>1154</v>
      </c>
      <c r="F388" s="2" t="s">
        <v>1155</v>
      </c>
      <c r="G388" s="2" t="s">
        <v>2532</v>
      </c>
      <c r="H388" s="2" t="s">
        <v>2533</v>
      </c>
      <c r="I388" s="2" t="s">
        <v>1133</v>
      </c>
      <c r="J388" s="2" t="s">
        <v>2534</v>
      </c>
      <c r="K388" s="2" t="n">
        <v>6</v>
      </c>
      <c r="L388" s="2" t="n">
        <v>1671</v>
      </c>
      <c r="M388" s="2" t="n">
        <v>903</v>
      </c>
      <c r="N388" s="2" t="n">
        <v>766</v>
      </c>
      <c r="O388" s="2" t="n">
        <v>490</v>
      </c>
      <c r="P388" s="2" t="n">
        <v>278</v>
      </c>
      <c r="Q388" s="2" t="n">
        <v>0</v>
      </c>
      <c r="R388" s="2" t="n">
        <v>0</v>
      </c>
      <c r="S388" s="2" t="n">
        <v>11</v>
      </c>
      <c r="T388" s="2" t="n">
        <v>11</v>
      </c>
      <c r="U388" s="2" t="n">
        <v>0</v>
      </c>
      <c r="V388" s="2" t="n">
        <v>0</v>
      </c>
      <c r="W388" s="2" t="n">
        <v>0</v>
      </c>
      <c r="X388" s="2" t="n">
        <v>0</v>
      </c>
      <c r="Y388" s="2" t="n">
        <v>0</v>
      </c>
      <c r="Z388" s="2" t="n">
        <v>0</v>
      </c>
      <c r="AA388" s="2" t="n">
        <v>5</v>
      </c>
      <c r="AB388" s="2" t="n">
        <v>6</v>
      </c>
      <c r="AC388" s="2"/>
    </row>
    <row r="389" customFormat="false" ht="15" hidden="false" customHeight="false" outlineLevel="0" collapsed="false">
      <c r="A389" s="2" t="n">
        <v>37</v>
      </c>
      <c r="B389" s="2" t="s">
        <v>447</v>
      </c>
      <c r="C389" s="2" t="s">
        <v>452</v>
      </c>
      <c r="D389" s="2" t="s">
        <v>2535</v>
      </c>
      <c r="E389" s="2" t="s">
        <v>1154</v>
      </c>
      <c r="F389" s="2" t="s">
        <v>1155</v>
      </c>
      <c r="G389" s="2" t="s">
        <v>2532</v>
      </c>
      <c r="H389" s="2" t="s">
        <v>2536</v>
      </c>
      <c r="I389" s="2" t="s">
        <v>1133</v>
      </c>
      <c r="J389" s="2" t="s">
        <v>2537</v>
      </c>
      <c r="K389" s="2" t="n">
        <v>7</v>
      </c>
      <c r="L389" s="2" t="n">
        <v>2758</v>
      </c>
      <c r="M389" s="2" t="n">
        <v>1209</v>
      </c>
      <c r="N389" s="2" t="n">
        <v>1098</v>
      </c>
      <c r="O389" s="2" t="n">
        <v>1181</v>
      </c>
      <c r="P389" s="2" t="n">
        <v>368</v>
      </c>
      <c r="Q389" s="2" t="n">
        <v>0</v>
      </c>
      <c r="R389" s="2" t="n">
        <v>0</v>
      </c>
      <c r="S389" s="2" t="n">
        <v>7</v>
      </c>
      <c r="T389" s="2" t="n">
        <v>5</v>
      </c>
      <c r="U389" s="2" t="n">
        <v>1</v>
      </c>
      <c r="V389" s="2" t="n">
        <v>0</v>
      </c>
      <c r="W389" s="2" t="n">
        <v>1</v>
      </c>
      <c r="X389" s="2" t="n">
        <v>0</v>
      </c>
      <c r="Y389" s="2" t="n">
        <v>3</v>
      </c>
      <c r="Z389" s="2" t="n">
        <v>0</v>
      </c>
      <c r="AA389" s="2" t="n">
        <v>0</v>
      </c>
      <c r="AB389" s="2" t="n">
        <v>4</v>
      </c>
      <c r="AC389" s="2"/>
    </row>
    <row r="390" customFormat="false" ht="15" hidden="false" customHeight="false" outlineLevel="0" collapsed="false">
      <c r="A390" s="2" t="n">
        <v>37</v>
      </c>
      <c r="B390" s="2" t="s">
        <v>447</v>
      </c>
      <c r="C390" s="2" t="s">
        <v>452</v>
      </c>
      <c r="D390" s="2" t="s">
        <v>2538</v>
      </c>
      <c r="E390" s="2" t="s">
        <v>1154</v>
      </c>
      <c r="F390" s="2" t="s">
        <v>1155</v>
      </c>
      <c r="G390" s="2" t="s">
        <v>2054</v>
      </c>
      <c r="H390" s="2" t="s">
        <v>2539</v>
      </c>
      <c r="I390" s="2" t="s">
        <v>1133</v>
      </c>
      <c r="J390" s="2" t="s">
        <v>2540</v>
      </c>
      <c r="K390" s="2" t="n">
        <v>13</v>
      </c>
      <c r="L390" s="2" t="n">
        <v>5101</v>
      </c>
      <c r="M390" s="2" t="n">
        <v>1641</v>
      </c>
      <c r="N390" s="2" t="n">
        <v>1528</v>
      </c>
      <c r="O390" s="2" t="n">
        <v>603</v>
      </c>
      <c r="P390" s="2" t="n">
        <v>2857</v>
      </c>
      <c r="Q390" s="2" t="n">
        <v>0</v>
      </c>
      <c r="R390" s="2" t="n">
        <v>0</v>
      </c>
      <c r="S390" s="2" t="n">
        <v>37</v>
      </c>
      <c r="T390" s="2" t="n">
        <v>35</v>
      </c>
      <c r="U390" s="2" t="n">
        <v>2</v>
      </c>
      <c r="V390" s="2" t="n">
        <v>0</v>
      </c>
      <c r="W390" s="2" t="n">
        <v>0</v>
      </c>
      <c r="X390" s="2" t="n">
        <v>0</v>
      </c>
      <c r="Y390" s="2" t="n">
        <v>7</v>
      </c>
      <c r="Z390" s="2" t="n">
        <v>0</v>
      </c>
      <c r="AA390" s="2" t="n">
        <v>1</v>
      </c>
      <c r="AB390" s="2" t="n">
        <v>29</v>
      </c>
      <c r="AC390" s="2"/>
    </row>
    <row r="391" customFormat="false" ht="15" hidden="false" customHeight="false" outlineLevel="0" collapsed="false">
      <c r="A391" s="2" t="n">
        <v>37</v>
      </c>
      <c r="B391" s="2" t="s">
        <v>447</v>
      </c>
      <c r="C391" s="2" t="s">
        <v>452</v>
      </c>
      <c r="D391" s="2" t="s">
        <v>2541</v>
      </c>
      <c r="E391" s="2" t="s">
        <v>1154</v>
      </c>
      <c r="F391" s="2" t="s">
        <v>1155</v>
      </c>
      <c r="G391" s="2" t="s">
        <v>2542</v>
      </c>
      <c r="H391" s="2" t="s">
        <v>2543</v>
      </c>
      <c r="I391" s="2" t="s">
        <v>1133</v>
      </c>
      <c r="J391" s="2" t="s">
        <v>2544</v>
      </c>
      <c r="K391" s="2" t="n">
        <v>9</v>
      </c>
      <c r="L391" s="2" t="n">
        <v>3699</v>
      </c>
      <c r="M391" s="2" t="n">
        <v>998</v>
      </c>
      <c r="N391" s="2" t="n">
        <v>874</v>
      </c>
      <c r="O391" s="2" t="n">
        <v>1833</v>
      </c>
      <c r="P391" s="2" t="n">
        <v>868</v>
      </c>
      <c r="Q391" s="2" t="n">
        <v>0</v>
      </c>
      <c r="R391" s="2" t="n">
        <v>0</v>
      </c>
      <c r="S391" s="2" t="n">
        <v>58</v>
      </c>
      <c r="T391" s="2" t="n">
        <v>53</v>
      </c>
      <c r="U391" s="2" t="n">
        <v>2</v>
      </c>
      <c r="V391" s="2" t="n">
        <v>0</v>
      </c>
      <c r="W391" s="2" t="n">
        <v>1</v>
      </c>
      <c r="X391" s="2" t="n">
        <v>2</v>
      </c>
      <c r="Y391" s="2" t="n">
        <v>1</v>
      </c>
      <c r="Z391" s="2" t="n">
        <v>9</v>
      </c>
      <c r="AA391" s="2" t="n">
        <v>15</v>
      </c>
      <c r="AB391" s="2" t="n">
        <v>33</v>
      </c>
      <c r="AC391" s="2"/>
    </row>
    <row r="392" customFormat="false" ht="15" hidden="false" customHeight="false" outlineLevel="0" collapsed="false">
      <c r="A392" s="2" t="n">
        <v>38</v>
      </c>
      <c r="B392" s="2" t="s">
        <v>456</v>
      </c>
      <c r="C392" s="2" t="s">
        <v>460</v>
      </c>
      <c r="D392" s="2" t="s">
        <v>2545</v>
      </c>
      <c r="E392" s="2" t="s">
        <v>1129</v>
      </c>
      <c r="F392" s="2" t="s">
        <v>1360</v>
      </c>
      <c r="G392" s="2" t="s">
        <v>2546</v>
      </c>
      <c r="H392" s="2" t="s">
        <v>2547</v>
      </c>
      <c r="I392" s="2" t="s">
        <v>1133</v>
      </c>
      <c r="J392" s="2" t="s">
        <v>2548</v>
      </c>
      <c r="K392" s="2" t="n">
        <v>22</v>
      </c>
      <c r="L392" s="2" t="n">
        <v>11235</v>
      </c>
      <c r="M392" s="2" t="n">
        <v>0</v>
      </c>
      <c r="N392" s="2" t="n">
        <v>0</v>
      </c>
      <c r="O392" s="2" t="n">
        <v>11235</v>
      </c>
      <c r="P392" s="2" t="n">
        <v>0</v>
      </c>
      <c r="Q392" s="2" t="n">
        <v>0</v>
      </c>
      <c r="R392" s="2" t="n">
        <v>0</v>
      </c>
      <c r="S392" s="2" t="n">
        <v>35</v>
      </c>
      <c r="T392" s="2" t="n">
        <v>26</v>
      </c>
      <c r="U392" s="2" t="n">
        <v>5</v>
      </c>
      <c r="V392" s="2" t="n">
        <v>1</v>
      </c>
      <c r="W392" s="2" t="n">
        <v>3</v>
      </c>
      <c r="X392" s="2" t="n">
        <v>0</v>
      </c>
      <c r="Y392" s="2" t="n">
        <v>11</v>
      </c>
      <c r="Z392" s="2" t="n">
        <v>8</v>
      </c>
      <c r="AA392" s="2" t="n">
        <v>4</v>
      </c>
      <c r="AB392" s="2" t="n">
        <v>12</v>
      </c>
      <c r="AC392" s="2" t="s">
        <v>1135</v>
      </c>
    </row>
    <row r="393" customFormat="false" ht="15" hidden="false" customHeight="false" outlineLevel="0" collapsed="false">
      <c r="A393" s="2" t="n">
        <v>39</v>
      </c>
      <c r="B393" s="2" t="s">
        <v>463</v>
      </c>
      <c r="C393" s="2" t="s">
        <v>468</v>
      </c>
      <c r="D393" s="2" t="s">
        <v>2549</v>
      </c>
      <c r="E393" s="2" t="s">
        <v>1129</v>
      </c>
      <c r="F393" s="2" t="s">
        <v>1169</v>
      </c>
      <c r="G393" s="2" t="s">
        <v>2550</v>
      </c>
      <c r="H393" s="2" t="s">
        <v>2551</v>
      </c>
      <c r="I393" s="2" t="s">
        <v>1133</v>
      </c>
      <c r="J393" s="2" t="s">
        <v>2552</v>
      </c>
      <c r="K393" s="2" t="n">
        <v>5</v>
      </c>
      <c r="L393" s="2" t="n">
        <v>2484</v>
      </c>
      <c r="M393" s="2" t="n">
        <v>0</v>
      </c>
      <c r="N393" s="2" t="n">
        <v>0</v>
      </c>
      <c r="O393" s="2" t="n">
        <v>665</v>
      </c>
      <c r="P393" s="2" t="n">
        <v>1819</v>
      </c>
      <c r="Q393" s="2" t="n">
        <v>0</v>
      </c>
      <c r="R393" s="2" t="n">
        <v>0</v>
      </c>
      <c r="S393" s="2" t="n">
        <v>3</v>
      </c>
      <c r="T393" s="2" t="n">
        <v>2</v>
      </c>
      <c r="U393" s="2" t="n">
        <v>0</v>
      </c>
      <c r="V393" s="2" t="n">
        <v>0</v>
      </c>
      <c r="W393" s="2" t="n">
        <v>1</v>
      </c>
      <c r="X393" s="2" t="n">
        <v>0</v>
      </c>
      <c r="Y393" s="2" t="n">
        <v>0</v>
      </c>
      <c r="Z393" s="2" t="n">
        <v>0</v>
      </c>
      <c r="AA393" s="2" t="n">
        <v>2</v>
      </c>
      <c r="AB393" s="2" t="n">
        <v>1</v>
      </c>
      <c r="AC393" s="2" t="s">
        <v>1135</v>
      </c>
    </row>
    <row r="394" customFormat="false" ht="15" hidden="false" customHeight="false" outlineLevel="0" collapsed="false">
      <c r="A394" s="2" t="n">
        <v>39</v>
      </c>
      <c r="B394" s="2" t="s">
        <v>463</v>
      </c>
      <c r="C394" s="2" t="s">
        <v>468</v>
      </c>
      <c r="D394" s="2" t="s">
        <v>2553</v>
      </c>
      <c r="E394" s="2" t="s">
        <v>1160</v>
      </c>
      <c r="F394" s="2" t="s">
        <v>1161</v>
      </c>
      <c r="G394" s="2" t="s">
        <v>471</v>
      </c>
      <c r="H394" s="2" t="s">
        <v>2554</v>
      </c>
      <c r="I394" s="2" t="s">
        <v>1133</v>
      </c>
      <c r="J394" s="2" t="s">
        <v>2555</v>
      </c>
      <c r="K394" s="2" t="n">
        <v>3</v>
      </c>
      <c r="L394" s="2" t="n">
        <v>928</v>
      </c>
      <c r="M394" s="2" t="n">
        <v>366</v>
      </c>
      <c r="N394" s="2" t="n">
        <v>259</v>
      </c>
      <c r="O394" s="2" t="n">
        <v>562</v>
      </c>
      <c r="P394" s="2" t="n">
        <v>0</v>
      </c>
      <c r="Q394" s="2" t="n">
        <v>0</v>
      </c>
      <c r="R394" s="2" t="n">
        <v>0</v>
      </c>
      <c r="S394" s="2" t="n">
        <v>1</v>
      </c>
      <c r="T394" s="2" t="n">
        <v>1</v>
      </c>
      <c r="U394" s="2" t="n">
        <v>0</v>
      </c>
      <c r="V394" s="2" t="n">
        <v>0</v>
      </c>
      <c r="W394" s="2" t="n">
        <v>0</v>
      </c>
      <c r="X394" s="2" t="n">
        <v>0</v>
      </c>
      <c r="Y394" s="2" t="n">
        <v>0</v>
      </c>
      <c r="Z394" s="2" t="n">
        <v>0</v>
      </c>
      <c r="AA394" s="2" t="n">
        <v>0</v>
      </c>
      <c r="AB394" s="2" t="n">
        <v>1</v>
      </c>
      <c r="AC394" s="2"/>
    </row>
    <row r="395" customFormat="false" ht="15" hidden="false" customHeight="false" outlineLevel="0" collapsed="false">
      <c r="A395" s="2" t="n">
        <v>39</v>
      </c>
      <c r="B395" s="2" t="s">
        <v>463</v>
      </c>
      <c r="C395" s="2" t="s">
        <v>468</v>
      </c>
      <c r="D395" s="2" t="s">
        <v>2556</v>
      </c>
      <c r="E395" s="2" t="s">
        <v>1160</v>
      </c>
      <c r="F395" s="2" t="s">
        <v>1161</v>
      </c>
      <c r="G395" s="2" t="s">
        <v>472</v>
      </c>
      <c r="H395" s="2" t="s">
        <v>2557</v>
      </c>
      <c r="I395" s="2" t="s">
        <v>1133</v>
      </c>
      <c r="J395" s="2" t="s">
        <v>2558</v>
      </c>
      <c r="K395" s="2" t="n">
        <v>6</v>
      </c>
      <c r="L395" s="2" t="n">
        <v>1908</v>
      </c>
      <c r="M395" s="2" t="n">
        <v>632</v>
      </c>
      <c r="N395" s="2" t="n">
        <v>525</v>
      </c>
      <c r="O395" s="2" t="n">
        <v>60</v>
      </c>
      <c r="P395" s="2" t="n">
        <v>1216</v>
      </c>
      <c r="Q395" s="2" t="n">
        <v>0</v>
      </c>
      <c r="R395" s="2" t="n">
        <v>0</v>
      </c>
      <c r="S395" s="2" t="n">
        <v>0</v>
      </c>
      <c r="T395" s="2" t="n">
        <v>0</v>
      </c>
      <c r="U395" s="2" t="n">
        <v>0</v>
      </c>
      <c r="V395" s="2" t="n">
        <v>0</v>
      </c>
      <c r="W395" s="2" t="n">
        <v>0</v>
      </c>
      <c r="X395" s="2" t="n">
        <v>0</v>
      </c>
      <c r="Y395" s="2" t="n">
        <v>0</v>
      </c>
      <c r="Z395" s="2" t="n">
        <v>0</v>
      </c>
      <c r="AA395" s="2" t="n">
        <v>0</v>
      </c>
      <c r="AB395" s="2" t="n">
        <v>0</v>
      </c>
      <c r="AC395" s="2"/>
    </row>
    <row r="396" customFormat="false" ht="15" hidden="false" customHeight="false" outlineLevel="0" collapsed="false">
      <c r="A396" s="2" t="n">
        <v>41</v>
      </c>
      <c r="B396" s="2" t="s">
        <v>481</v>
      </c>
      <c r="C396" s="2" t="s">
        <v>486</v>
      </c>
      <c r="D396" s="2" t="s">
        <v>2559</v>
      </c>
      <c r="E396" s="2" t="s">
        <v>1129</v>
      </c>
      <c r="F396" s="2" t="s">
        <v>1169</v>
      </c>
      <c r="G396" s="2" t="s">
        <v>2560</v>
      </c>
      <c r="H396" s="2" t="s">
        <v>2561</v>
      </c>
      <c r="I396" s="2" t="s">
        <v>1133</v>
      </c>
      <c r="J396" s="2" t="s">
        <v>2562</v>
      </c>
      <c r="K396" s="2" t="n">
        <v>15</v>
      </c>
      <c r="L396" s="2" t="n">
        <v>9011</v>
      </c>
      <c r="M396" s="2" t="n">
        <v>0</v>
      </c>
      <c r="N396" s="2" t="n">
        <v>0</v>
      </c>
      <c r="O396" s="2" t="n">
        <v>9011</v>
      </c>
      <c r="P396" s="2" t="n">
        <v>0</v>
      </c>
      <c r="Q396" s="2" t="n">
        <v>0</v>
      </c>
      <c r="R396" s="2" t="n">
        <v>0</v>
      </c>
      <c r="S396" s="2" t="n">
        <v>43</v>
      </c>
      <c r="T396" s="2" t="n">
        <v>33</v>
      </c>
      <c r="U396" s="2" t="n">
        <v>4</v>
      </c>
      <c r="V396" s="2" t="n">
        <v>1</v>
      </c>
      <c r="W396" s="2" t="n">
        <v>5</v>
      </c>
      <c r="X396" s="2" t="n">
        <v>0</v>
      </c>
      <c r="Y396" s="2" t="n">
        <v>25</v>
      </c>
      <c r="Z396" s="2" t="n">
        <v>6</v>
      </c>
      <c r="AA396" s="2" t="n">
        <v>1</v>
      </c>
      <c r="AB396" s="2" t="n">
        <v>11</v>
      </c>
      <c r="AC396" s="2" t="s">
        <v>1135</v>
      </c>
    </row>
    <row r="397" customFormat="false" ht="15" hidden="false" customHeight="false" outlineLevel="0" collapsed="false">
      <c r="A397" s="2" t="n">
        <v>41</v>
      </c>
      <c r="B397" s="2" t="s">
        <v>481</v>
      </c>
      <c r="C397" s="2" t="s">
        <v>486</v>
      </c>
      <c r="D397" s="2" t="s">
        <v>2563</v>
      </c>
      <c r="E397" s="2" t="s">
        <v>1154</v>
      </c>
      <c r="F397" s="2" t="s">
        <v>1155</v>
      </c>
      <c r="G397" s="2" t="s">
        <v>2564</v>
      </c>
      <c r="H397" s="2" t="s">
        <v>2565</v>
      </c>
      <c r="I397" s="2" t="s">
        <v>1133</v>
      </c>
      <c r="J397" s="2" t="s">
        <v>2566</v>
      </c>
      <c r="K397" s="2" t="n">
        <v>2</v>
      </c>
      <c r="L397" s="2" t="n">
        <v>912</v>
      </c>
      <c r="M397" s="2" t="n">
        <v>393</v>
      </c>
      <c r="N397" s="2" t="n">
        <v>270</v>
      </c>
      <c r="O397" s="2" t="n">
        <v>519</v>
      </c>
      <c r="P397" s="2" t="n">
        <v>0</v>
      </c>
      <c r="Q397" s="2" t="n">
        <v>0</v>
      </c>
      <c r="R397" s="2" t="n">
        <v>0</v>
      </c>
      <c r="S397" s="2" t="n">
        <v>4</v>
      </c>
      <c r="T397" s="2" t="n">
        <v>4</v>
      </c>
      <c r="U397" s="2" t="n">
        <v>0</v>
      </c>
      <c r="V397" s="2" t="n">
        <v>0</v>
      </c>
      <c r="W397" s="2" t="n">
        <v>0</v>
      </c>
      <c r="X397" s="2" t="n">
        <v>0</v>
      </c>
      <c r="Y397" s="2" t="n">
        <v>0</v>
      </c>
      <c r="Z397" s="2" t="n">
        <v>0</v>
      </c>
      <c r="AA397" s="2" t="n">
        <v>0</v>
      </c>
      <c r="AB397" s="2" t="n">
        <v>4</v>
      </c>
      <c r="AC397" s="2"/>
    </row>
    <row r="398" customFormat="false" ht="15" hidden="false" customHeight="false" outlineLevel="0" collapsed="false">
      <c r="A398" s="2" t="n">
        <v>41</v>
      </c>
      <c r="B398" s="2" t="s">
        <v>481</v>
      </c>
      <c r="C398" s="2" t="s">
        <v>486</v>
      </c>
      <c r="D398" s="2" t="s">
        <v>2567</v>
      </c>
      <c r="E398" s="2" t="s">
        <v>1154</v>
      </c>
      <c r="F398" s="2" t="s">
        <v>1155</v>
      </c>
      <c r="G398" s="2" t="s">
        <v>2568</v>
      </c>
      <c r="H398" s="2" t="s">
        <v>2569</v>
      </c>
      <c r="I398" s="2" t="s">
        <v>1133</v>
      </c>
      <c r="J398" s="2" t="s">
        <v>2570</v>
      </c>
      <c r="K398" s="2" t="n">
        <v>10</v>
      </c>
      <c r="L398" s="2" t="n">
        <v>2936</v>
      </c>
      <c r="M398" s="2" t="n">
        <v>687</v>
      </c>
      <c r="N398" s="2" t="n">
        <v>563</v>
      </c>
      <c r="O398" s="2" t="n">
        <v>1184</v>
      </c>
      <c r="P398" s="2" t="n">
        <v>1065</v>
      </c>
      <c r="Q398" s="2" t="n">
        <v>0</v>
      </c>
      <c r="R398" s="2" t="n">
        <v>0</v>
      </c>
      <c r="S398" s="2" t="n">
        <v>33</v>
      </c>
      <c r="T398" s="2" t="n">
        <v>24</v>
      </c>
      <c r="U398" s="2" t="n">
        <v>1</v>
      </c>
      <c r="V398" s="2" t="n">
        <v>2</v>
      </c>
      <c r="W398" s="2" t="n">
        <v>5</v>
      </c>
      <c r="X398" s="2" t="n">
        <v>1</v>
      </c>
      <c r="Y398" s="2" t="n">
        <v>4</v>
      </c>
      <c r="Z398" s="2" t="n">
        <v>10</v>
      </c>
      <c r="AA398" s="2" t="n">
        <v>3</v>
      </c>
      <c r="AB398" s="2" t="n">
        <v>16</v>
      </c>
      <c r="AC398" s="2"/>
    </row>
    <row r="399" customFormat="false" ht="15" hidden="false" customHeight="false" outlineLevel="0" collapsed="false">
      <c r="A399" s="2" t="n">
        <v>41</v>
      </c>
      <c r="B399" s="2" t="s">
        <v>481</v>
      </c>
      <c r="C399" s="2" t="s">
        <v>486</v>
      </c>
      <c r="D399" s="2" t="s">
        <v>2571</v>
      </c>
      <c r="E399" s="2" t="s">
        <v>1154</v>
      </c>
      <c r="F399" s="2" t="s">
        <v>1155</v>
      </c>
      <c r="G399" s="2" t="s">
        <v>2572</v>
      </c>
      <c r="H399" s="2" t="s">
        <v>2573</v>
      </c>
      <c r="I399" s="2" t="s">
        <v>1133</v>
      </c>
      <c r="J399" s="2" t="s">
        <v>2574</v>
      </c>
      <c r="K399" s="2" t="n">
        <v>2</v>
      </c>
      <c r="L399" s="2" t="n">
        <v>717</v>
      </c>
      <c r="M399" s="2" t="n">
        <v>398</v>
      </c>
      <c r="N399" s="2" t="n">
        <v>273</v>
      </c>
      <c r="O399" s="2" t="n">
        <v>319</v>
      </c>
      <c r="P399" s="2" t="n">
        <v>0</v>
      </c>
      <c r="Q399" s="2" t="n">
        <v>0</v>
      </c>
      <c r="R399" s="2" t="n">
        <v>0</v>
      </c>
      <c r="S399" s="2" t="n">
        <v>6</v>
      </c>
      <c r="T399" s="2" t="n">
        <v>6</v>
      </c>
      <c r="U399" s="2" t="n">
        <v>0</v>
      </c>
      <c r="V399" s="2" t="n">
        <v>0</v>
      </c>
      <c r="W399" s="2" t="n">
        <v>0</v>
      </c>
      <c r="X399" s="2" t="n">
        <v>0</v>
      </c>
      <c r="Y399" s="2" t="n">
        <v>0</v>
      </c>
      <c r="Z399" s="2" t="n">
        <v>1</v>
      </c>
      <c r="AA399" s="2" t="n">
        <v>5</v>
      </c>
      <c r="AB399" s="2" t="n">
        <v>0</v>
      </c>
      <c r="AC399" s="2"/>
    </row>
    <row r="400" customFormat="false" ht="15" hidden="false" customHeight="false" outlineLevel="0" collapsed="false">
      <c r="A400" s="2" t="n">
        <v>41</v>
      </c>
      <c r="B400" s="2" t="s">
        <v>481</v>
      </c>
      <c r="C400" s="2" t="s">
        <v>486</v>
      </c>
      <c r="D400" s="2" t="s">
        <v>2575</v>
      </c>
      <c r="E400" s="2" t="s">
        <v>1154</v>
      </c>
      <c r="F400" s="2" t="s">
        <v>1178</v>
      </c>
      <c r="G400" s="2" t="s">
        <v>2576</v>
      </c>
      <c r="H400" s="2" t="s">
        <v>2577</v>
      </c>
      <c r="I400" s="2" t="s">
        <v>1133</v>
      </c>
      <c r="J400" s="2" t="s">
        <v>2578</v>
      </c>
      <c r="K400" s="2" t="n">
        <v>2</v>
      </c>
      <c r="L400" s="2" t="n">
        <v>377</v>
      </c>
      <c r="M400" s="2" t="n">
        <v>241</v>
      </c>
      <c r="N400" s="2" t="n">
        <v>128</v>
      </c>
      <c r="O400" s="2" t="n">
        <v>136</v>
      </c>
      <c r="P400" s="2" t="n">
        <v>0</v>
      </c>
      <c r="Q400" s="2" t="n">
        <v>0</v>
      </c>
      <c r="R400" s="2" t="n">
        <v>0</v>
      </c>
      <c r="S400" s="2" t="n">
        <v>1</v>
      </c>
      <c r="T400" s="2" t="n">
        <v>1</v>
      </c>
      <c r="U400" s="2" t="n">
        <v>0</v>
      </c>
      <c r="V400" s="2" t="n">
        <v>0</v>
      </c>
      <c r="W400" s="2" t="n">
        <v>0</v>
      </c>
      <c r="X400" s="2" t="n">
        <v>0</v>
      </c>
      <c r="Y400" s="2" t="n">
        <v>0</v>
      </c>
      <c r="Z400" s="2" t="n">
        <v>0</v>
      </c>
      <c r="AA400" s="2" t="n">
        <v>0</v>
      </c>
      <c r="AB400" s="2" t="n">
        <v>1</v>
      </c>
      <c r="AC400" s="2"/>
    </row>
    <row r="401" customFormat="false" ht="15" hidden="false" customHeight="false" outlineLevel="0" collapsed="false">
      <c r="A401" s="2" t="n">
        <v>41</v>
      </c>
      <c r="B401" s="2" t="s">
        <v>481</v>
      </c>
      <c r="C401" s="2" t="s">
        <v>486</v>
      </c>
      <c r="D401" s="2" t="s">
        <v>2243</v>
      </c>
      <c r="E401" s="2" t="s">
        <v>1154</v>
      </c>
      <c r="F401" s="2" t="s">
        <v>1178</v>
      </c>
      <c r="G401" s="2" t="s">
        <v>2244</v>
      </c>
      <c r="H401" s="2" t="s">
        <v>2245</v>
      </c>
      <c r="I401" s="2" t="s">
        <v>1133</v>
      </c>
      <c r="J401" s="2" t="s">
        <v>2246</v>
      </c>
      <c r="K401" s="2" t="n">
        <v>10</v>
      </c>
      <c r="L401" s="2" t="n">
        <v>4649</v>
      </c>
      <c r="M401" s="2" t="n">
        <v>600</v>
      </c>
      <c r="N401" s="2" t="n">
        <v>259</v>
      </c>
      <c r="O401" s="2" t="n">
        <v>110</v>
      </c>
      <c r="P401" s="2" t="n">
        <v>3939</v>
      </c>
      <c r="Q401" s="2" t="n">
        <v>0</v>
      </c>
      <c r="R401" s="2" t="n">
        <v>0</v>
      </c>
      <c r="S401" s="2" t="n">
        <v>60</v>
      </c>
      <c r="T401" s="2" t="n">
        <v>50</v>
      </c>
      <c r="U401" s="2" t="n">
        <v>4</v>
      </c>
      <c r="V401" s="2" t="n">
        <v>4</v>
      </c>
      <c r="W401" s="2" t="n">
        <v>0</v>
      </c>
      <c r="X401" s="2" t="n">
        <v>2</v>
      </c>
      <c r="Y401" s="2" t="n">
        <v>40</v>
      </c>
      <c r="Z401" s="2" t="n">
        <v>7</v>
      </c>
      <c r="AA401" s="2" t="n">
        <v>6</v>
      </c>
      <c r="AB401" s="2" t="n">
        <v>7</v>
      </c>
      <c r="AC401" s="2"/>
    </row>
    <row r="402" customFormat="false" ht="15" hidden="false" customHeight="false" outlineLevel="0" collapsed="false">
      <c r="A402" s="2" t="n">
        <v>41</v>
      </c>
      <c r="B402" s="2" t="s">
        <v>481</v>
      </c>
      <c r="C402" s="2" t="s">
        <v>486</v>
      </c>
      <c r="D402" s="2" t="s">
        <v>2579</v>
      </c>
      <c r="E402" s="2" t="s">
        <v>1154</v>
      </c>
      <c r="F402" s="2" t="s">
        <v>1155</v>
      </c>
      <c r="G402" s="2" t="s">
        <v>2580</v>
      </c>
      <c r="H402" s="2" t="s">
        <v>2581</v>
      </c>
      <c r="I402" s="2" t="s">
        <v>1133</v>
      </c>
      <c r="J402" s="2" t="s">
        <v>2582</v>
      </c>
      <c r="K402" s="2" t="n">
        <v>4</v>
      </c>
      <c r="L402" s="2" t="n">
        <v>1274</v>
      </c>
      <c r="M402" s="2" t="n">
        <v>633</v>
      </c>
      <c r="N402" s="2" t="n">
        <v>486</v>
      </c>
      <c r="O402" s="2" t="n">
        <v>447</v>
      </c>
      <c r="P402" s="2" t="n">
        <v>194</v>
      </c>
      <c r="Q402" s="2" t="n">
        <v>0</v>
      </c>
      <c r="R402" s="2" t="n">
        <v>0</v>
      </c>
      <c r="S402" s="2" t="n">
        <v>10</v>
      </c>
      <c r="T402" s="2" t="n">
        <v>8</v>
      </c>
      <c r="U402" s="2" t="n">
        <v>1</v>
      </c>
      <c r="V402" s="2" t="n">
        <v>0</v>
      </c>
      <c r="W402" s="2" t="n">
        <v>0</v>
      </c>
      <c r="X402" s="2" t="n">
        <v>1</v>
      </c>
      <c r="Y402" s="2" t="n">
        <v>2</v>
      </c>
      <c r="Z402" s="2" t="n">
        <v>2</v>
      </c>
      <c r="AA402" s="2" t="n">
        <v>1</v>
      </c>
      <c r="AB402" s="2" t="n">
        <v>5</v>
      </c>
      <c r="AC402" s="2"/>
    </row>
    <row r="403" customFormat="false" ht="15" hidden="false" customHeight="false" outlineLevel="0" collapsed="false">
      <c r="A403" s="2" t="n">
        <v>41</v>
      </c>
      <c r="B403" s="2" t="s">
        <v>481</v>
      </c>
      <c r="C403" s="2" t="s">
        <v>486</v>
      </c>
      <c r="D403" s="2" t="s">
        <v>2583</v>
      </c>
      <c r="E403" s="2" t="s">
        <v>1154</v>
      </c>
      <c r="F403" s="2" t="s">
        <v>1178</v>
      </c>
      <c r="G403" s="2" t="s">
        <v>1321</v>
      </c>
      <c r="H403" s="2" t="s">
        <v>2584</v>
      </c>
      <c r="I403" s="2" t="s">
        <v>1133</v>
      </c>
      <c r="J403" s="2" t="s">
        <v>2585</v>
      </c>
      <c r="K403" s="2" t="n">
        <v>2</v>
      </c>
      <c r="L403" s="2" t="n">
        <v>365</v>
      </c>
      <c r="M403" s="2" t="n">
        <v>262</v>
      </c>
      <c r="N403" s="2" t="n">
        <v>145</v>
      </c>
      <c r="O403" s="2" t="n">
        <v>103</v>
      </c>
      <c r="P403" s="2" t="n">
        <v>0</v>
      </c>
      <c r="Q403" s="2" t="n">
        <v>0</v>
      </c>
      <c r="R403" s="2" t="n">
        <v>0</v>
      </c>
      <c r="S403" s="2" t="n">
        <v>1</v>
      </c>
      <c r="T403" s="2" t="n">
        <v>1</v>
      </c>
      <c r="U403" s="2" t="n">
        <v>0</v>
      </c>
      <c r="V403" s="2" t="n">
        <v>0</v>
      </c>
      <c r="W403" s="2" t="n">
        <v>0</v>
      </c>
      <c r="X403" s="2" t="n">
        <v>0</v>
      </c>
      <c r="Y403" s="2" t="n">
        <v>0</v>
      </c>
      <c r="Z403" s="2" t="n">
        <v>0</v>
      </c>
      <c r="AA403" s="2" t="n">
        <v>0</v>
      </c>
      <c r="AB403" s="2" t="n">
        <v>1</v>
      </c>
      <c r="AC403" s="2"/>
    </row>
    <row r="404" customFormat="false" ht="15" hidden="false" customHeight="false" outlineLevel="0" collapsed="false">
      <c r="A404" s="2" t="n">
        <v>41</v>
      </c>
      <c r="B404" s="2" t="s">
        <v>481</v>
      </c>
      <c r="C404" s="2" t="s">
        <v>486</v>
      </c>
      <c r="D404" s="2" t="s">
        <v>2586</v>
      </c>
      <c r="E404" s="2" t="s">
        <v>1154</v>
      </c>
      <c r="F404" s="2" t="s">
        <v>1155</v>
      </c>
      <c r="G404" s="2" t="s">
        <v>2587</v>
      </c>
      <c r="H404" s="2" t="s">
        <v>2588</v>
      </c>
      <c r="I404" s="2" t="s">
        <v>1133</v>
      </c>
      <c r="J404" s="2" t="s">
        <v>2589</v>
      </c>
      <c r="K404" s="2" t="n">
        <v>2</v>
      </c>
      <c r="L404" s="2" t="n">
        <v>681</v>
      </c>
      <c r="M404" s="2" t="n">
        <v>422</v>
      </c>
      <c r="N404" s="2" t="n">
        <v>293</v>
      </c>
      <c r="O404" s="2" t="n">
        <v>259</v>
      </c>
      <c r="P404" s="2" t="n">
        <v>0</v>
      </c>
      <c r="Q404" s="2" t="n">
        <v>0</v>
      </c>
      <c r="R404" s="2" t="n">
        <v>0</v>
      </c>
      <c r="S404" s="2" t="n">
        <v>0</v>
      </c>
      <c r="T404" s="2" t="n">
        <v>0</v>
      </c>
      <c r="U404" s="2" t="n">
        <v>0</v>
      </c>
      <c r="V404" s="2" t="n">
        <v>0</v>
      </c>
      <c r="W404" s="2" t="n">
        <v>0</v>
      </c>
      <c r="X404" s="2" t="n">
        <v>0</v>
      </c>
      <c r="Y404" s="2" t="n">
        <v>0</v>
      </c>
      <c r="Z404" s="2" t="n">
        <v>0</v>
      </c>
      <c r="AA404" s="2" t="n">
        <v>0</v>
      </c>
      <c r="AB404" s="2" t="n">
        <v>0</v>
      </c>
      <c r="AC404" s="2"/>
    </row>
    <row r="405" customFormat="false" ht="15" hidden="false" customHeight="false" outlineLevel="0" collapsed="false">
      <c r="A405" s="2" t="n">
        <v>41</v>
      </c>
      <c r="B405" s="2" t="s">
        <v>481</v>
      </c>
      <c r="C405" s="2" t="s">
        <v>486</v>
      </c>
      <c r="D405" s="2" t="s">
        <v>2590</v>
      </c>
      <c r="E405" s="2" t="s">
        <v>1154</v>
      </c>
      <c r="F405" s="2" t="s">
        <v>1178</v>
      </c>
      <c r="G405" s="2" t="s">
        <v>2591</v>
      </c>
      <c r="H405" s="2" t="s">
        <v>2592</v>
      </c>
      <c r="I405" s="2" t="s">
        <v>1133</v>
      </c>
      <c r="J405" s="2" t="s">
        <v>2593</v>
      </c>
      <c r="K405" s="2" t="n">
        <v>2</v>
      </c>
      <c r="L405" s="2" t="n">
        <v>425</v>
      </c>
      <c r="M405" s="2" t="n">
        <v>316</v>
      </c>
      <c r="N405" s="2" t="n">
        <v>203</v>
      </c>
      <c r="O405" s="2" t="n">
        <v>109</v>
      </c>
      <c r="P405" s="2" t="n">
        <v>0</v>
      </c>
      <c r="Q405" s="2" t="n">
        <v>0</v>
      </c>
      <c r="R405" s="2" t="n">
        <v>0</v>
      </c>
      <c r="S405" s="2" t="n">
        <v>1</v>
      </c>
      <c r="T405" s="2" t="n">
        <v>1</v>
      </c>
      <c r="U405" s="2" t="n">
        <v>0</v>
      </c>
      <c r="V405" s="2" t="n">
        <v>0</v>
      </c>
      <c r="W405" s="2" t="n">
        <v>0</v>
      </c>
      <c r="X405" s="2" t="n">
        <v>0</v>
      </c>
      <c r="Y405" s="2" t="n">
        <v>0</v>
      </c>
      <c r="Z405" s="2" t="n">
        <v>0</v>
      </c>
      <c r="AA405" s="2" t="n">
        <v>0</v>
      </c>
      <c r="AB405" s="2" t="n">
        <v>1</v>
      </c>
      <c r="AC405" s="2"/>
    </row>
    <row r="406" customFormat="false" ht="15" hidden="false" customHeight="false" outlineLevel="0" collapsed="false">
      <c r="A406" s="2" t="n">
        <v>41</v>
      </c>
      <c r="B406" s="2" t="s">
        <v>481</v>
      </c>
      <c r="C406" s="2" t="s">
        <v>486</v>
      </c>
      <c r="D406" s="2" t="s">
        <v>2594</v>
      </c>
      <c r="E406" s="2" t="s">
        <v>1154</v>
      </c>
      <c r="F406" s="2" t="s">
        <v>1178</v>
      </c>
      <c r="G406" s="2" t="s">
        <v>2595</v>
      </c>
      <c r="H406" s="2" t="s">
        <v>2596</v>
      </c>
      <c r="I406" s="2" t="s">
        <v>1133</v>
      </c>
      <c r="J406" s="2" t="s">
        <v>2597</v>
      </c>
      <c r="K406" s="2" t="n">
        <v>2</v>
      </c>
      <c r="L406" s="2" t="n">
        <v>479</v>
      </c>
      <c r="M406" s="2" t="n">
        <v>367</v>
      </c>
      <c r="N406" s="2" t="n">
        <v>255</v>
      </c>
      <c r="O406" s="2" t="n">
        <v>112</v>
      </c>
      <c r="P406" s="2" t="n">
        <v>0</v>
      </c>
      <c r="Q406" s="2" t="n">
        <v>0</v>
      </c>
      <c r="R406" s="2" t="n">
        <v>0</v>
      </c>
      <c r="S406" s="2" t="n">
        <v>1</v>
      </c>
      <c r="T406" s="2" t="n">
        <v>1</v>
      </c>
      <c r="U406" s="2" t="n">
        <v>0</v>
      </c>
      <c r="V406" s="2" t="n">
        <v>0</v>
      </c>
      <c r="W406" s="2" t="n">
        <v>0</v>
      </c>
      <c r="X406" s="2" t="n">
        <v>0</v>
      </c>
      <c r="Y406" s="2" t="n">
        <v>0</v>
      </c>
      <c r="Z406" s="2" t="n">
        <v>0</v>
      </c>
      <c r="AA406" s="2" t="n">
        <v>0</v>
      </c>
      <c r="AB406" s="2" t="n">
        <v>1</v>
      </c>
      <c r="AC406" s="2"/>
    </row>
    <row r="407" customFormat="false" ht="15" hidden="false" customHeight="false" outlineLevel="0" collapsed="false">
      <c r="A407" s="2" t="n">
        <v>42</v>
      </c>
      <c r="B407" s="2" t="s">
        <v>492</v>
      </c>
      <c r="C407" s="2" t="s">
        <v>497</v>
      </c>
      <c r="D407" s="2" t="s">
        <v>2598</v>
      </c>
      <c r="E407" s="2" t="s">
        <v>1154</v>
      </c>
      <c r="F407" s="2" t="s">
        <v>1155</v>
      </c>
      <c r="G407" s="2" t="s">
        <v>2599</v>
      </c>
      <c r="H407" s="2" t="s">
        <v>2600</v>
      </c>
      <c r="I407" s="2" t="s">
        <v>1133</v>
      </c>
      <c r="J407" s="2" t="s">
        <v>2601</v>
      </c>
      <c r="K407" s="2" t="n">
        <v>11</v>
      </c>
      <c r="L407" s="2" t="n">
        <v>5054</v>
      </c>
      <c r="M407" s="2" t="n">
        <v>550</v>
      </c>
      <c r="N407" s="2" t="n">
        <v>427</v>
      </c>
      <c r="O407" s="2" t="n">
        <v>103</v>
      </c>
      <c r="P407" s="2" t="n">
        <v>4401</v>
      </c>
      <c r="Q407" s="2" t="n">
        <v>0</v>
      </c>
      <c r="R407" s="2" t="n">
        <v>0</v>
      </c>
      <c r="S407" s="2" t="n">
        <v>59</v>
      </c>
      <c r="T407" s="2" t="n">
        <v>53</v>
      </c>
      <c r="U407" s="2" t="n">
        <v>0</v>
      </c>
      <c r="V407" s="2" t="n">
        <v>0</v>
      </c>
      <c r="W407" s="2" t="n">
        <v>0</v>
      </c>
      <c r="X407" s="2" t="n">
        <v>6</v>
      </c>
      <c r="Y407" s="2" t="n">
        <v>3</v>
      </c>
      <c r="Z407" s="2" t="n">
        <v>15</v>
      </c>
      <c r="AA407" s="2" t="n">
        <v>12</v>
      </c>
      <c r="AB407" s="2" t="n">
        <v>29</v>
      </c>
      <c r="AC407" s="2"/>
    </row>
    <row r="408" customFormat="false" ht="15" hidden="false" customHeight="false" outlineLevel="0" collapsed="false">
      <c r="A408" s="2" t="n">
        <v>43</v>
      </c>
      <c r="B408" s="2" t="s">
        <v>501</v>
      </c>
      <c r="C408" s="2" t="s">
        <v>506</v>
      </c>
      <c r="D408" s="2" t="s">
        <v>2602</v>
      </c>
      <c r="E408" s="2" t="s">
        <v>1154</v>
      </c>
      <c r="F408" s="2" t="s">
        <v>1155</v>
      </c>
      <c r="G408" s="2" t="s">
        <v>2603</v>
      </c>
      <c r="H408" s="2" t="s">
        <v>2604</v>
      </c>
      <c r="I408" s="2" t="s">
        <v>1133</v>
      </c>
      <c r="J408" s="2" t="s">
        <v>2605</v>
      </c>
      <c r="K408" s="2" t="n">
        <v>33</v>
      </c>
      <c r="L408" s="2" t="n">
        <v>11607</v>
      </c>
      <c r="M408" s="2" t="n">
        <v>1002</v>
      </c>
      <c r="N408" s="2" t="n">
        <v>907</v>
      </c>
      <c r="O408" s="2" t="n">
        <v>948</v>
      </c>
      <c r="P408" s="2" t="n">
        <v>9657</v>
      </c>
      <c r="Q408" s="2" t="n">
        <v>0</v>
      </c>
      <c r="R408" s="2" t="n">
        <v>0</v>
      </c>
      <c r="S408" s="2" t="n">
        <v>59</v>
      </c>
      <c r="T408" s="2" t="n">
        <v>43</v>
      </c>
      <c r="U408" s="2" t="n">
        <v>1</v>
      </c>
      <c r="V408" s="2" t="n">
        <v>0</v>
      </c>
      <c r="W408" s="2" t="n">
        <v>13</v>
      </c>
      <c r="X408" s="2" t="n">
        <v>2</v>
      </c>
      <c r="Y408" s="2" t="n">
        <v>1</v>
      </c>
      <c r="Z408" s="2" t="n">
        <v>14</v>
      </c>
      <c r="AA408" s="2" t="n">
        <v>0</v>
      </c>
      <c r="AB408" s="2" t="n">
        <v>44</v>
      </c>
      <c r="AC408" s="2"/>
    </row>
    <row r="409" customFormat="false" ht="15" hidden="false" customHeight="false" outlineLevel="0" collapsed="false">
      <c r="A409" s="2" t="n">
        <v>44</v>
      </c>
      <c r="B409" s="2" t="s">
        <v>509</v>
      </c>
      <c r="C409" s="2" t="s">
        <v>514</v>
      </c>
      <c r="D409" s="2" t="s">
        <v>2606</v>
      </c>
      <c r="E409" s="2" t="s">
        <v>1129</v>
      </c>
      <c r="F409" s="2" t="s">
        <v>1169</v>
      </c>
      <c r="G409" s="2" t="s">
        <v>2607</v>
      </c>
      <c r="H409" s="2" t="s">
        <v>2608</v>
      </c>
      <c r="I409" s="2" t="s">
        <v>1133</v>
      </c>
      <c r="J409" s="2" t="s">
        <v>2609</v>
      </c>
      <c r="K409" s="2" t="n">
        <v>26</v>
      </c>
      <c r="L409" s="2" t="n">
        <v>14844</v>
      </c>
      <c r="M409" s="2" t="n">
        <v>0</v>
      </c>
      <c r="N409" s="2" t="n">
        <v>0</v>
      </c>
      <c r="O409" s="2" t="n">
        <v>13059</v>
      </c>
      <c r="P409" s="2" t="n">
        <v>1785</v>
      </c>
      <c r="Q409" s="2" t="n">
        <v>0</v>
      </c>
      <c r="R409" s="2" t="n">
        <v>0</v>
      </c>
      <c r="S409" s="2" t="n">
        <v>42</v>
      </c>
      <c r="T409" s="2" t="n">
        <v>33</v>
      </c>
      <c r="U409" s="2" t="n">
        <v>1</v>
      </c>
      <c r="V409" s="2" t="n">
        <v>0</v>
      </c>
      <c r="W409" s="2" t="n">
        <v>8</v>
      </c>
      <c r="X409" s="2" t="n">
        <v>0</v>
      </c>
      <c r="Y409" s="2" t="n">
        <v>28</v>
      </c>
      <c r="Z409" s="2" t="n">
        <v>0</v>
      </c>
      <c r="AA409" s="2" t="n">
        <v>0</v>
      </c>
      <c r="AB409" s="2" t="n">
        <v>14</v>
      </c>
      <c r="AC409" s="2" t="s">
        <v>1135</v>
      </c>
    </row>
    <row r="410" customFormat="false" ht="15" hidden="false" customHeight="false" outlineLevel="0" collapsed="false">
      <c r="A410" s="2" t="n">
        <v>45</v>
      </c>
      <c r="B410" s="2" t="s">
        <v>518</v>
      </c>
      <c r="C410" s="2" t="s">
        <v>525</v>
      </c>
      <c r="D410" s="2" t="s">
        <v>2610</v>
      </c>
      <c r="E410" s="2" t="s">
        <v>1154</v>
      </c>
      <c r="F410" s="2" t="s">
        <v>1178</v>
      </c>
      <c r="G410" s="2" t="s">
        <v>2611</v>
      </c>
      <c r="H410" s="2" t="s">
        <v>2612</v>
      </c>
      <c r="I410" s="2" t="s">
        <v>1133</v>
      </c>
      <c r="J410" s="2" t="s">
        <v>2613</v>
      </c>
      <c r="K410" s="2" t="n">
        <v>15</v>
      </c>
      <c r="L410" s="2" t="n">
        <v>3368</v>
      </c>
      <c r="M410" s="2" t="n">
        <v>356</v>
      </c>
      <c r="N410" s="2" t="n">
        <v>244</v>
      </c>
      <c r="O410" s="2" t="n">
        <v>76</v>
      </c>
      <c r="P410" s="2" t="n">
        <v>2936</v>
      </c>
      <c r="Q410" s="2" t="n">
        <v>0</v>
      </c>
      <c r="R410" s="2" t="n">
        <v>0</v>
      </c>
      <c r="S410" s="2" t="n">
        <v>0</v>
      </c>
      <c r="T410" s="2" t="n">
        <v>0</v>
      </c>
      <c r="U410" s="2" t="n">
        <v>0</v>
      </c>
      <c r="V410" s="2" t="n">
        <v>0</v>
      </c>
      <c r="W410" s="2" t="n">
        <v>0</v>
      </c>
      <c r="X410" s="2" t="n">
        <v>0</v>
      </c>
      <c r="Y410" s="2" t="n">
        <v>0</v>
      </c>
      <c r="Z410" s="2" t="n">
        <v>0</v>
      </c>
      <c r="AA410" s="2" t="n">
        <v>0</v>
      </c>
      <c r="AB410" s="2" t="n">
        <v>0</v>
      </c>
      <c r="AC410" s="2"/>
    </row>
    <row r="411" customFormat="false" ht="15" hidden="false" customHeight="false" outlineLevel="0" collapsed="false">
      <c r="A411" s="2" t="n">
        <v>46</v>
      </c>
      <c r="B411" s="2" t="s">
        <v>531</v>
      </c>
      <c r="C411" s="2" t="s">
        <v>536</v>
      </c>
      <c r="D411" s="2" t="s">
        <v>2614</v>
      </c>
      <c r="E411" s="2" t="s">
        <v>1154</v>
      </c>
      <c r="F411" s="2" t="s">
        <v>1178</v>
      </c>
      <c r="G411" s="2" t="s">
        <v>2615</v>
      </c>
      <c r="H411" s="2" t="s">
        <v>2616</v>
      </c>
      <c r="I411" s="2" t="s">
        <v>1133</v>
      </c>
      <c r="J411" s="2" t="s">
        <v>2617</v>
      </c>
      <c r="K411" s="2" t="n">
        <v>4</v>
      </c>
      <c r="L411" s="2" t="n">
        <v>1108</v>
      </c>
      <c r="M411" s="2" t="n">
        <v>170</v>
      </c>
      <c r="N411" s="2" t="n">
        <v>87</v>
      </c>
      <c r="O411" s="2" t="n">
        <v>309</v>
      </c>
      <c r="P411" s="2" t="n">
        <v>629</v>
      </c>
      <c r="Q411" s="2" t="n">
        <v>0</v>
      </c>
      <c r="R411" s="2" t="n">
        <v>0</v>
      </c>
      <c r="S411" s="2" t="n">
        <v>31</v>
      </c>
      <c r="T411" s="2" t="n">
        <v>28</v>
      </c>
      <c r="U411" s="2" t="n">
        <v>3</v>
      </c>
      <c r="V411" s="2" t="n">
        <v>0</v>
      </c>
      <c r="W411" s="2" t="n">
        <v>0</v>
      </c>
      <c r="X411" s="2" t="n">
        <v>0</v>
      </c>
      <c r="Y411" s="2" t="n">
        <v>5</v>
      </c>
      <c r="Z411" s="2" t="n">
        <v>2</v>
      </c>
      <c r="AA411" s="2" t="n">
        <v>4</v>
      </c>
      <c r="AB411" s="2" t="n">
        <v>20</v>
      </c>
      <c r="AC411" s="2"/>
    </row>
    <row r="412" customFormat="false" ht="15" hidden="false" customHeight="false" outlineLevel="0" collapsed="false">
      <c r="A412" s="2" t="n">
        <v>46</v>
      </c>
      <c r="B412" s="2" t="s">
        <v>531</v>
      </c>
      <c r="C412" s="2" t="s">
        <v>536</v>
      </c>
      <c r="D412" s="2" t="s">
        <v>2618</v>
      </c>
      <c r="E412" s="2" t="s">
        <v>1160</v>
      </c>
      <c r="F412" s="2" t="s">
        <v>1161</v>
      </c>
      <c r="G412" s="2" t="s">
        <v>2615</v>
      </c>
      <c r="H412" s="2" t="s">
        <v>2619</v>
      </c>
      <c r="I412" s="2" t="s">
        <v>1133</v>
      </c>
      <c r="J412" s="2" t="s">
        <v>2620</v>
      </c>
      <c r="K412" s="2" t="n">
        <v>49</v>
      </c>
      <c r="L412" s="2" t="n">
        <v>28982</v>
      </c>
      <c r="M412" s="2" t="n">
        <v>374</v>
      </c>
      <c r="N412" s="2" t="n">
        <v>276</v>
      </c>
      <c r="O412" s="2" t="n">
        <v>68</v>
      </c>
      <c r="P412" s="2" t="n">
        <v>28540</v>
      </c>
      <c r="Q412" s="2" t="n">
        <v>0</v>
      </c>
      <c r="R412" s="2" t="n">
        <v>0</v>
      </c>
      <c r="S412" s="2" t="n">
        <v>181</v>
      </c>
      <c r="T412" s="2" t="n">
        <v>159</v>
      </c>
      <c r="U412" s="2" t="n">
        <v>17</v>
      </c>
      <c r="V412" s="2" t="n">
        <v>1</v>
      </c>
      <c r="W412" s="2" t="n">
        <v>2</v>
      </c>
      <c r="X412" s="2" t="n">
        <v>2</v>
      </c>
      <c r="Y412" s="2" t="n">
        <v>55</v>
      </c>
      <c r="Z412" s="2" t="n">
        <v>3</v>
      </c>
      <c r="AA412" s="2" t="n">
        <v>8</v>
      </c>
      <c r="AB412" s="2" t="n">
        <v>115</v>
      </c>
      <c r="AC412" s="2"/>
    </row>
    <row r="413" customFormat="false" ht="15" hidden="false" customHeight="false" outlineLevel="0" collapsed="false">
      <c r="A413" s="2" t="n">
        <v>46</v>
      </c>
      <c r="B413" s="2" t="s">
        <v>531</v>
      </c>
      <c r="C413" s="2" t="s">
        <v>536</v>
      </c>
      <c r="D413" s="2" t="s">
        <v>2621</v>
      </c>
      <c r="E413" s="2" t="s">
        <v>1160</v>
      </c>
      <c r="F413" s="2" t="s">
        <v>1161</v>
      </c>
      <c r="G413" s="2" t="s">
        <v>2622</v>
      </c>
      <c r="H413" s="2" t="s">
        <v>2623</v>
      </c>
      <c r="I413" s="2" t="s">
        <v>1133</v>
      </c>
      <c r="J413" s="2" t="s">
        <v>2624</v>
      </c>
      <c r="K413" s="2" t="n">
        <v>25</v>
      </c>
      <c r="L413" s="2" t="n">
        <v>9954</v>
      </c>
      <c r="M413" s="2" t="n">
        <v>372</v>
      </c>
      <c r="N413" s="2" t="n">
        <v>272</v>
      </c>
      <c r="O413" s="2" t="n">
        <v>103</v>
      </c>
      <c r="P413" s="2" t="n">
        <v>9479</v>
      </c>
      <c r="Q413" s="2" t="n">
        <v>0</v>
      </c>
      <c r="R413" s="2" t="n">
        <v>0</v>
      </c>
      <c r="S413" s="2" t="n">
        <v>78</v>
      </c>
      <c r="T413" s="2" t="n">
        <v>75</v>
      </c>
      <c r="U413" s="2" t="n">
        <v>1</v>
      </c>
      <c r="V413" s="2" t="n">
        <v>0</v>
      </c>
      <c r="W413" s="2" t="n">
        <v>2</v>
      </c>
      <c r="X413" s="2" t="n">
        <v>0</v>
      </c>
      <c r="Y413" s="2" t="n">
        <v>8</v>
      </c>
      <c r="Z413" s="2" t="n">
        <v>1</v>
      </c>
      <c r="AA413" s="2" t="n">
        <v>7</v>
      </c>
      <c r="AB413" s="2" t="n">
        <v>62</v>
      </c>
      <c r="AC413" s="2"/>
    </row>
    <row r="414" customFormat="false" ht="15" hidden="false" customHeight="false" outlineLevel="0" collapsed="false">
      <c r="A414" s="2" t="n">
        <v>46</v>
      </c>
      <c r="B414" s="2" t="s">
        <v>531</v>
      </c>
      <c r="C414" s="2" t="s">
        <v>536</v>
      </c>
      <c r="D414" s="2" t="s">
        <v>2625</v>
      </c>
      <c r="E414" s="2" t="s">
        <v>1129</v>
      </c>
      <c r="F414" s="2" t="s">
        <v>1169</v>
      </c>
      <c r="G414" s="2" t="s">
        <v>605</v>
      </c>
      <c r="H414" s="2" t="s">
        <v>2626</v>
      </c>
      <c r="I414" s="2" t="s">
        <v>1133</v>
      </c>
      <c r="J414" s="2" t="s">
        <v>2627</v>
      </c>
      <c r="K414" s="2" t="n">
        <v>117</v>
      </c>
      <c r="L414" s="2" t="n">
        <v>48971</v>
      </c>
      <c r="M414" s="2" t="n">
        <v>0</v>
      </c>
      <c r="N414" s="2" t="n">
        <v>0</v>
      </c>
      <c r="O414" s="2" t="n">
        <v>36261</v>
      </c>
      <c r="P414" s="2" t="n">
        <v>12710</v>
      </c>
      <c r="Q414" s="2" t="n">
        <v>0</v>
      </c>
      <c r="R414" s="2" t="n">
        <v>0</v>
      </c>
      <c r="S414" s="2" t="n">
        <v>129</v>
      </c>
      <c r="T414" s="2" t="n">
        <v>83</v>
      </c>
      <c r="U414" s="2" t="n">
        <v>2</v>
      </c>
      <c r="V414" s="2" t="n">
        <v>0</v>
      </c>
      <c r="W414" s="2" t="n">
        <v>44</v>
      </c>
      <c r="X414" s="2" t="n">
        <v>0</v>
      </c>
      <c r="Y414" s="2" t="n">
        <v>28</v>
      </c>
      <c r="Z414" s="2" t="n">
        <v>13</v>
      </c>
      <c r="AA414" s="2" t="n">
        <v>9</v>
      </c>
      <c r="AB414" s="2" t="n">
        <v>79</v>
      </c>
      <c r="AC414" s="2" t="s">
        <v>1135</v>
      </c>
    </row>
    <row r="415" customFormat="false" ht="15" hidden="false" customHeight="false" outlineLevel="0" collapsed="false">
      <c r="A415" s="2" t="n">
        <v>46</v>
      </c>
      <c r="B415" s="2" t="s">
        <v>531</v>
      </c>
      <c r="C415" s="2" t="s">
        <v>536</v>
      </c>
      <c r="D415" s="2" t="s">
        <v>2628</v>
      </c>
      <c r="E415" s="2" t="s">
        <v>1129</v>
      </c>
      <c r="F415" s="2" t="s">
        <v>1169</v>
      </c>
      <c r="G415" s="2" t="s">
        <v>2629</v>
      </c>
      <c r="H415" s="2" t="s">
        <v>2630</v>
      </c>
      <c r="I415" s="2" t="s">
        <v>1133</v>
      </c>
      <c r="J415" s="2" t="s">
        <v>2631</v>
      </c>
      <c r="K415" s="2" t="n">
        <v>92</v>
      </c>
      <c r="L415" s="2" t="n">
        <v>36945</v>
      </c>
      <c r="M415" s="2" t="n">
        <v>0</v>
      </c>
      <c r="N415" s="2" t="n">
        <v>0</v>
      </c>
      <c r="O415" s="2" t="n">
        <v>693</v>
      </c>
      <c r="P415" s="2" t="n">
        <v>36252</v>
      </c>
      <c r="Q415" s="2" t="n">
        <v>0</v>
      </c>
      <c r="R415" s="2" t="n">
        <v>0</v>
      </c>
      <c r="S415" s="2" t="n">
        <v>53</v>
      </c>
      <c r="T415" s="2" t="n">
        <v>33</v>
      </c>
      <c r="U415" s="2" t="n">
        <v>4</v>
      </c>
      <c r="V415" s="2" t="n">
        <v>0</v>
      </c>
      <c r="W415" s="2" t="n">
        <v>15</v>
      </c>
      <c r="X415" s="2" t="n">
        <v>1</v>
      </c>
      <c r="Y415" s="2" t="n">
        <v>7</v>
      </c>
      <c r="Z415" s="2" t="n">
        <v>12</v>
      </c>
      <c r="AA415" s="2" t="n">
        <v>0</v>
      </c>
      <c r="AB415" s="2" t="n">
        <v>34</v>
      </c>
      <c r="AC415" s="2" t="s">
        <v>1135</v>
      </c>
    </row>
    <row r="416" customFormat="false" ht="15" hidden="false" customHeight="false" outlineLevel="0" collapsed="false">
      <c r="A416" s="2" t="n">
        <v>46</v>
      </c>
      <c r="B416" s="2" t="s">
        <v>531</v>
      </c>
      <c r="C416" s="2" t="s">
        <v>536</v>
      </c>
      <c r="D416" s="2" t="s">
        <v>2632</v>
      </c>
      <c r="E416" s="2" t="s">
        <v>1154</v>
      </c>
      <c r="F416" s="2" t="s">
        <v>1178</v>
      </c>
      <c r="G416" s="2" t="s">
        <v>160</v>
      </c>
      <c r="H416" s="2" t="s">
        <v>2633</v>
      </c>
      <c r="I416" s="2" t="s">
        <v>1133</v>
      </c>
      <c r="J416" s="2" t="s">
        <v>2634</v>
      </c>
      <c r="K416" s="2" t="n">
        <v>1</v>
      </c>
      <c r="L416" s="2" t="n">
        <v>320</v>
      </c>
      <c r="M416" s="2" t="n">
        <v>158</v>
      </c>
      <c r="N416" s="2" t="n">
        <v>68</v>
      </c>
      <c r="O416" s="2" t="n">
        <v>162</v>
      </c>
      <c r="P416" s="2" t="n">
        <v>0</v>
      </c>
      <c r="Q416" s="2" t="n">
        <v>0</v>
      </c>
      <c r="R416" s="2" t="n">
        <v>0</v>
      </c>
      <c r="S416" s="2" t="n">
        <v>2</v>
      </c>
      <c r="T416" s="2" t="n">
        <v>2</v>
      </c>
      <c r="U416" s="2" t="n">
        <v>0</v>
      </c>
      <c r="V416" s="2" t="n">
        <v>0</v>
      </c>
      <c r="W416" s="2" t="n">
        <v>0</v>
      </c>
      <c r="X416" s="2" t="n">
        <v>0</v>
      </c>
      <c r="Y416" s="2" t="n">
        <v>0</v>
      </c>
      <c r="Z416" s="2" t="n">
        <v>0</v>
      </c>
      <c r="AA416" s="2" t="n">
        <v>0</v>
      </c>
      <c r="AB416" s="2" t="n">
        <v>2</v>
      </c>
      <c r="AC416" s="2"/>
    </row>
    <row r="417" customFormat="false" ht="15" hidden="false" customHeight="false" outlineLevel="0" collapsed="false">
      <c r="A417" s="2" t="n">
        <v>46</v>
      </c>
      <c r="B417" s="2" t="s">
        <v>531</v>
      </c>
      <c r="C417" s="2" t="s">
        <v>536</v>
      </c>
      <c r="D417" s="2" t="s">
        <v>2635</v>
      </c>
      <c r="E417" s="2" t="s">
        <v>1160</v>
      </c>
      <c r="F417" s="2" t="s">
        <v>1161</v>
      </c>
      <c r="G417" s="2" t="s">
        <v>2636</v>
      </c>
      <c r="H417" s="2" t="s">
        <v>2637</v>
      </c>
      <c r="I417" s="2" t="s">
        <v>1133</v>
      </c>
      <c r="J417" s="2" t="s">
        <v>2638</v>
      </c>
      <c r="K417" s="2" t="n">
        <v>5</v>
      </c>
      <c r="L417" s="2" t="n">
        <v>2618</v>
      </c>
      <c r="M417" s="2" t="n">
        <v>1255</v>
      </c>
      <c r="N417" s="2" t="n">
        <v>1154</v>
      </c>
      <c r="O417" s="2" t="n">
        <v>60</v>
      </c>
      <c r="P417" s="2" t="n">
        <v>1303</v>
      </c>
      <c r="Q417" s="2" t="n">
        <v>0</v>
      </c>
      <c r="R417" s="2" t="n">
        <v>0</v>
      </c>
      <c r="S417" s="2" t="n">
        <v>8</v>
      </c>
      <c r="T417" s="2" t="n">
        <v>6</v>
      </c>
      <c r="U417" s="2" t="n">
        <v>1</v>
      </c>
      <c r="V417" s="2" t="n">
        <v>0</v>
      </c>
      <c r="W417" s="2" t="n">
        <v>0</v>
      </c>
      <c r="X417" s="2" t="n">
        <v>1</v>
      </c>
      <c r="Y417" s="2" t="n">
        <v>2</v>
      </c>
      <c r="Z417" s="2" t="n">
        <v>0</v>
      </c>
      <c r="AA417" s="2" t="n">
        <v>1</v>
      </c>
      <c r="AB417" s="2" t="n">
        <v>5</v>
      </c>
      <c r="AC417" s="2"/>
    </row>
    <row r="418" customFormat="false" ht="15" hidden="false" customHeight="false" outlineLevel="0" collapsed="false">
      <c r="A418" s="2" t="n">
        <v>47</v>
      </c>
      <c r="B418" s="2" t="s">
        <v>542</v>
      </c>
      <c r="C418" s="2" t="s">
        <v>546</v>
      </c>
      <c r="D418" s="2" t="s">
        <v>2639</v>
      </c>
      <c r="E418" s="2" t="s">
        <v>1154</v>
      </c>
      <c r="F418" s="2" t="s">
        <v>1155</v>
      </c>
      <c r="G418" s="2" t="s">
        <v>2640</v>
      </c>
      <c r="H418" s="2" t="s">
        <v>2641</v>
      </c>
      <c r="I418" s="2" t="s">
        <v>1133</v>
      </c>
      <c r="J418" s="2" t="s">
        <v>2642</v>
      </c>
      <c r="K418" s="2" t="n">
        <v>11</v>
      </c>
      <c r="L418" s="2" t="n">
        <v>3031</v>
      </c>
      <c r="M418" s="2" t="n">
        <v>333</v>
      </c>
      <c r="N418" s="2" t="n">
        <v>225</v>
      </c>
      <c r="O418" s="2" t="n">
        <v>65</v>
      </c>
      <c r="P418" s="2" t="n">
        <v>2633</v>
      </c>
      <c r="Q418" s="2" t="n">
        <v>0</v>
      </c>
      <c r="R418" s="2" t="n">
        <v>0</v>
      </c>
      <c r="S418" s="2" t="n">
        <v>12</v>
      </c>
      <c r="T418" s="2" t="n">
        <v>8</v>
      </c>
      <c r="U418" s="2" t="n">
        <v>3</v>
      </c>
      <c r="V418" s="2" t="n">
        <v>0</v>
      </c>
      <c r="W418" s="2" t="n">
        <v>1</v>
      </c>
      <c r="X418" s="2" t="n">
        <v>0</v>
      </c>
      <c r="Y418" s="2" t="n">
        <v>2</v>
      </c>
      <c r="Z418" s="2" t="n">
        <v>0</v>
      </c>
      <c r="AA418" s="2" t="n">
        <v>0</v>
      </c>
      <c r="AB418" s="2" t="n">
        <v>10</v>
      </c>
      <c r="AC418" s="2"/>
    </row>
    <row r="419" customFormat="false" ht="15" hidden="false" customHeight="false" outlineLevel="0" collapsed="false">
      <c r="A419" s="2" t="n">
        <v>47</v>
      </c>
      <c r="B419" s="2" t="s">
        <v>542</v>
      </c>
      <c r="C419" s="2" t="s">
        <v>546</v>
      </c>
      <c r="D419" s="2" t="s">
        <v>2628</v>
      </c>
      <c r="E419" s="2" t="s">
        <v>1129</v>
      </c>
      <c r="F419" s="2" t="s">
        <v>1169</v>
      </c>
      <c r="G419" s="2" t="s">
        <v>2629</v>
      </c>
      <c r="H419" s="2" t="s">
        <v>2630</v>
      </c>
      <c r="I419" s="2" t="s">
        <v>1133</v>
      </c>
      <c r="J419" s="2" t="s">
        <v>2631</v>
      </c>
      <c r="K419" s="2" t="n">
        <v>92</v>
      </c>
      <c r="L419" s="2" t="n">
        <v>36945</v>
      </c>
      <c r="M419" s="2" t="n">
        <v>0</v>
      </c>
      <c r="N419" s="2" t="n">
        <v>0</v>
      </c>
      <c r="O419" s="2" t="n">
        <v>693</v>
      </c>
      <c r="P419" s="2" t="n">
        <v>36252</v>
      </c>
      <c r="Q419" s="2" t="n">
        <v>0</v>
      </c>
      <c r="R419" s="2" t="n">
        <v>0</v>
      </c>
      <c r="S419" s="2" t="n">
        <v>53</v>
      </c>
      <c r="T419" s="2" t="n">
        <v>33</v>
      </c>
      <c r="U419" s="2" t="n">
        <v>4</v>
      </c>
      <c r="V419" s="2" t="n">
        <v>0</v>
      </c>
      <c r="W419" s="2" t="n">
        <v>15</v>
      </c>
      <c r="X419" s="2" t="n">
        <v>1</v>
      </c>
      <c r="Y419" s="2" t="n">
        <v>7</v>
      </c>
      <c r="Z419" s="2" t="n">
        <v>12</v>
      </c>
      <c r="AA419" s="2" t="n">
        <v>0</v>
      </c>
      <c r="AB419" s="2" t="n">
        <v>34</v>
      </c>
      <c r="AC419" s="2" t="s">
        <v>1135</v>
      </c>
    </row>
    <row r="420" customFormat="false" ht="15" hidden="false" customHeight="false" outlineLevel="0" collapsed="false">
      <c r="A420" s="2" t="n">
        <v>47</v>
      </c>
      <c r="B420" s="2" t="s">
        <v>542</v>
      </c>
      <c r="C420" s="2" t="s">
        <v>546</v>
      </c>
      <c r="D420" s="2" t="s">
        <v>2643</v>
      </c>
      <c r="E420" s="2" t="s">
        <v>1160</v>
      </c>
      <c r="F420" s="2" t="s">
        <v>1161</v>
      </c>
      <c r="G420" s="2" t="s">
        <v>2644</v>
      </c>
      <c r="H420" s="2" t="s">
        <v>2645</v>
      </c>
      <c r="I420" s="2" t="s">
        <v>1133</v>
      </c>
      <c r="J420" s="2" t="s">
        <v>2646</v>
      </c>
      <c r="K420" s="2" t="n">
        <v>8</v>
      </c>
      <c r="L420" s="2" t="n">
        <v>3622</v>
      </c>
      <c r="M420" s="2" t="n">
        <v>1703</v>
      </c>
      <c r="N420" s="2" t="n">
        <v>1585</v>
      </c>
      <c r="O420" s="2" t="n">
        <v>1919</v>
      </c>
      <c r="P420" s="2" t="n">
        <v>0</v>
      </c>
      <c r="Q420" s="2" t="n">
        <v>0</v>
      </c>
      <c r="R420" s="2" t="n">
        <v>0</v>
      </c>
      <c r="S420" s="2" t="n">
        <v>36</v>
      </c>
      <c r="T420" s="2" t="n">
        <v>34</v>
      </c>
      <c r="U420" s="2" t="n">
        <v>2</v>
      </c>
      <c r="V420" s="2" t="n">
        <v>0</v>
      </c>
      <c r="W420" s="2" t="n">
        <v>0</v>
      </c>
      <c r="X420" s="2" t="n">
        <v>0</v>
      </c>
      <c r="Y420" s="2" t="n">
        <v>0</v>
      </c>
      <c r="Z420" s="2" t="n">
        <v>2</v>
      </c>
      <c r="AA420" s="2" t="n">
        <v>17</v>
      </c>
      <c r="AB420" s="2" t="n">
        <v>17</v>
      </c>
      <c r="AC420" s="2"/>
    </row>
    <row r="421" customFormat="false" ht="15" hidden="false" customHeight="false" outlineLevel="0" collapsed="false">
      <c r="A421" s="2" t="n">
        <v>47</v>
      </c>
      <c r="B421" s="2" t="s">
        <v>542</v>
      </c>
      <c r="C421" s="2" t="s">
        <v>546</v>
      </c>
      <c r="D421" s="2" t="s">
        <v>2647</v>
      </c>
      <c r="E421" s="2" t="s">
        <v>1160</v>
      </c>
      <c r="F421" s="2" t="s">
        <v>1161</v>
      </c>
      <c r="G421" s="2" t="s">
        <v>2648</v>
      </c>
      <c r="H421" s="2" t="s">
        <v>2649</v>
      </c>
      <c r="I421" s="2" t="s">
        <v>1133</v>
      </c>
      <c r="J421" s="2" t="s">
        <v>2650</v>
      </c>
      <c r="K421" s="2" t="n">
        <v>2</v>
      </c>
      <c r="L421" s="2" t="n">
        <v>550</v>
      </c>
      <c r="M421" s="2" t="n">
        <v>398</v>
      </c>
      <c r="N421" s="2" t="n">
        <v>283</v>
      </c>
      <c r="O421" s="2" t="n">
        <v>152</v>
      </c>
      <c r="P421" s="2" t="n">
        <v>0</v>
      </c>
      <c r="Q421" s="2" t="n">
        <v>0</v>
      </c>
      <c r="R421" s="2" t="n">
        <v>0</v>
      </c>
      <c r="S421" s="2" t="n">
        <v>1</v>
      </c>
      <c r="T421" s="2" t="n">
        <v>1</v>
      </c>
      <c r="U421" s="2" t="n">
        <v>0</v>
      </c>
      <c r="V421" s="2" t="n">
        <v>0</v>
      </c>
      <c r="W421" s="2" t="n">
        <v>0</v>
      </c>
      <c r="X421" s="2" t="n">
        <v>0</v>
      </c>
      <c r="Y421" s="2" t="n">
        <v>0</v>
      </c>
      <c r="Z421" s="2" t="n">
        <v>0</v>
      </c>
      <c r="AA421" s="2" t="n">
        <v>0</v>
      </c>
      <c r="AB421" s="2" t="n">
        <v>1</v>
      </c>
      <c r="AC421" s="2"/>
    </row>
    <row r="422" customFormat="false" ht="15" hidden="false" customHeight="false" outlineLevel="0" collapsed="false">
      <c r="A422" s="2" t="n">
        <v>47</v>
      </c>
      <c r="B422" s="2" t="s">
        <v>542</v>
      </c>
      <c r="C422" s="2" t="s">
        <v>546</v>
      </c>
      <c r="D422" s="2" t="s">
        <v>2651</v>
      </c>
      <c r="E422" s="2" t="s">
        <v>1160</v>
      </c>
      <c r="F422" s="2" t="s">
        <v>1161</v>
      </c>
      <c r="G422" s="2" t="s">
        <v>2652</v>
      </c>
      <c r="H422" s="2" t="s">
        <v>2653</v>
      </c>
      <c r="I422" s="2" t="s">
        <v>1133</v>
      </c>
      <c r="J422" s="2" t="s">
        <v>2654</v>
      </c>
      <c r="K422" s="2" t="n">
        <v>2</v>
      </c>
      <c r="L422" s="2" t="n">
        <v>704</v>
      </c>
      <c r="M422" s="2" t="n">
        <v>514</v>
      </c>
      <c r="N422" s="2" t="n">
        <v>389</v>
      </c>
      <c r="O422" s="2" t="n">
        <v>190</v>
      </c>
      <c r="P422" s="2" t="n">
        <v>0</v>
      </c>
      <c r="Q422" s="2" t="n">
        <v>0</v>
      </c>
      <c r="R422" s="2" t="n">
        <v>0</v>
      </c>
      <c r="S422" s="2" t="n">
        <v>1</v>
      </c>
      <c r="T422" s="2" t="n">
        <v>1</v>
      </c>
      <c r="U422" s="2" t="n">
        <v>0</v>
      </c>
      <c r="V422" s="2" t="n">
        <v>0</v>
      </c>
      <c r="W422" s="2" t="n">
        <v>0</v>
      </c>
      <c r="X422" s="2" t="n">
        <v>0</v>
      </c>
      <c r="Y422" s="2" t="n">
        <v>0</v>
      </c>
      <c r="Z422" s="2" t="n">
        <v>0</v>
      </c>
      <c r="AA422" s="2" t="n">
        <v>0</v>
      </c>
      <c r="AB422" s="2" t="n">
        <v>1</v>
      </c>
      <c r="AC422" s="2"/>
    </row>
    <row r="423" customFormat="false" ht="15" hidden="false" customHeight="false" outlineLevel="0" collapsed="false">
      <c r="A423" s="2" t="n">
        <v>47</v>
      </c>
      <c r="B423" s="2" t="s">
        <v>542</v>
      </c>
      <c r="C423" s="2" t="s">
        <v>546</v>
      </c>
      <c r="D423" s="2" t="s">
        <v>2655</v>
      </c>
      <c r="E423" s="2" t="s">
        <v>1160</v>
      </c>
      <c r="F423" s="2" t="s">
        <v>1161</v>
      </c>
      <c r="G423" s="2" t="s">
        <v>2499</v>
      </c>
      <c r="H423" s="2" t="s">
        <v>2656</v>
      </c>
      <c r="I423" s="2" t="s">
        <v>1133</v>
      </c>
      <c r="J423" s="2" t="s">
        <v>2657</v>
      </c>
      <c r="K423" s="2" t="n">
        <v>3</v>
      </c>
      <c r="L423" s="2" t="n">
        <v>784</v>
      </c>
      <c r="M423" s="2" t="n">
        <v>523</v>
      </c>
      <c r="N423" s="2" t="n">
        <v>402</v>
      </c>
      <c r="O423" s="2" t="n">
        <v>261</v>
      </c>
      <c r="P423" s="2" t="n">
        <v>0</v>
      </c>
      <c r="Q423" s="2" t="n">
        <v>0</v>
      </c>
      <c r="R423" s="2" t="n">
        <v>0</v>
      </c>
      <c r="S423" s="2" t="n">
        <v>1</v>
      </c>
      <c r="T423" s="2" t="n">
        <v>1</v>
      </c>
      <c r="U423" s="2" t="n">
        <v>0</v>
      </c>
      <c r="V423" s="2" t="n">
        <v>0</v>
      </c>
      <c r="W423" s="2" t="n">
        <v>0</v>
      </c>
      <c r="X423" s="2" t="n">
        <v>0</v>
      </c>
      <c r="Y423" s="2" t="n">
        <v>0</v>
      </c>
      <c r="Z423" s="2" t="n">
        <v>0</v>
      </c>
      <c r="AA423" s="2" t="n">
        <v>0</v>
      </c>
      <c r="AB423" s="2" t="n">
        <v>1</v>
      </c>
      <c r="AC423" s="2"/>
    </row>
    <row r="424" customFormat="false" ht="15" hidden="false" customHeight="false" outlineLevel="0" collapsed="false">
      <c r="A424" s="2" t="n">
        <v>47</v>
      </c>
      <c r="B424" s="2" t="s">
        <v>542</v>
      </c>
      <c r="C424" s="2" t="s">
        <v>546</v>
      </c>
      <c r="D424" s="2" t="s">
        <v>2658</v>
      </c>
      <c r="E424" s="2" t="s">
        <v>1160</v>
      </c>
      <c r="F424" s="2" t="s">
        <v>1161</v>
      </c>
      <c r="G424" s="2" t="s">
        <v>2337</v>
      </c>
      <c r="H424" s="2" t="s">
        <v>2659</v>
      </c>
      <c r="I424" s="2" t="s">
        <v>1133</v>
      </c>
      <c r="J424" s="2" t="s">
        <v>2660</v>
      </c>
      <c r="K424" s="2" t="n">
        <v>3</v>
      </c>
      <c r="L424" s="2" t="n">
        <v>899</v>
      </c>
      <c r="M424" s="2" t="n">
        <v>520</v>
      </c>
      <c r="N424" s="2" t="n">
        <v>412</v>
      </c>
      <c r="O424" s="2" t="n">
        <v>379</v>
      </c>
      <c r="P424" s="2" t="n">
        <v>0</v>
      </c>
      <c r="Q424" s="2" t="n">
        <v>0</v>
      </c>
      <c r="R424" s="2" t="n">
        <v>0</v>
      </c>
      <c r="S424" s="2" t="n">
        <v>1</v>
      </c>
      <c r="T424" s="2" t="n">
        <v>1</v>
      </c>
      <c r="U424" s="2" t="n">
        <v>0</v>
      </c>
      <c r="V424" s="2" t="n">
        <v>0</v>
      </c>
      <c r="W424" s="2" t="n">
        <v>0</v>
      </c>
      <c r="X424" s="2" t="n">
        <v>0</v>
      </c>
      <c r="Y424" s="2" t="n">
        <v>0</v>
      </c>
      <c r="Z424" s="2" t="n">
        <v>0</v>
      </c>
      <c r="AA424" s="2" t="n">
        <v>0</v>
      </c>
      <c r="AB424" s="2" t="n">
        <v>1</v>
      </c>
      <c r="AC424" s="2"/>
    </row>
    <row r="425" customFormat="false" ht="15" hidden="false" customHeight="false" outlineLevel="0" collapsed="false">
      <c r="A425" s="2" t="n">
        <v>47</v>
      </c>
      <c r="B425" s="2" t="s">
        <v>542</v>
      </c>
      <c r="C425" s="2" t="s">
        <v>546</v>
      </c>
      <c r="D425" s="2" t="s">
        <v>2661</v>
      </c>
      <c r="E425" s="2" t="s">
        <v>1160</v>
      </c>
      <c r="F425" s="2" t="s">
        <v>1161</v>
      </c>
      <c r="G425" s="2" t="s">
        <v>2595</v>
      </c>
      <c r="H425" s="2" t="s">
        <v>2662</v>
      </c>
      <c r="I425" s="2" t="s">
        <v>1133</v>
      </c>
      <c r="J425" s="2" t="s">
        <v>2663</v>
      </c>
      <c r="K425" s="2" t="n">
        <v>3</v>
      </c>
      <c r="L425" s="2" t="n">
        <v>983</v>
      </c>
      <c r="M425" s="2" t="n">
        <v>574</v>
      </c>
      <c r="N425" s="2" t="n">
        <v>465</v>
      </c>
      <c r="O425" s="2" t="n">
        <v>409</v>
      </c>
      <c r="P425" s="2" t="n">
        <v>0</v>
      </c>
      <c r="Q425" s="2" t="n">
        <v>0</v>
      </c>
      <c r="R425" s="2" t="n">
        <v>0</v>
      </c>
      <c r="S425" s="2" t="n">
        <v>1</v>
      </c>
      <c r="T425" s="2" t="n">
        <v>1</v>
      </c>
      <c r="U425" s="2" t="n">
        <v>0</v>
      </c>
      <c r="V425" s="2" t="n">
        <v>0</v>
      </c>
      <c r="W425" s="2" t="n">
        <v>0</v>
      </c>
      <c r="X425" s="2" t="n">
        <v>0</v>
      </c>
      <c r="Y425" s="2" t="n">
        <v>0</v>
      </c>
      <c r="Z425" s="2" t="n">
        <v>0</v>
      </c>
      <c r="AA425" s="2" t="n">
        <v>0</v>
      </c>
      <c r="AB425" s="2" t="n">
        <v>1</v>
      </c>
      <c r="AC425" s="2"/>
    </row>
    <row r="426" customFormat="false" ht="15" hidden="false" customHeight="false" outlineLevel="0" collapsed="false">
      <c r="A426" s="2" t="n">
        <v>49</v>
      </c>
      <c r="B426" s="2" t="s">
        <v>558</v>
      </c>
      <c r="C426" s="2" t="s">
        <v>561</v>
      </c>
      <c r="D426" s="2" t="s">
        <v>2664</v>
      </c>
      <c r="E426" s="2" t="s">
        <v>1160</v>
      </c>
      <c r="F426" s="2" t="s">
        <v>1161</v>
      </c>
      <c r="G426" s="2" t="s">
        <v>495</v>
      </c>
      <c r="H426" s="2" t="s">
        <v>2665</v>
      </c>
      <c r="I426" s="2" t="s">
        <v>1133</v>
      </c>
      <c r="J426" s="2" t="s">
        <v>2666</v>
      </c>
      <c r="K426" s="2" t="n">
        <v>5</v>
      </c>
      <c r="L426" s="2" t="n">
        <v>1884</v>
      </c>
      <c r="M426" s="2" t="n">
        <v>341</v>
      </c>
      <c r="N426" s="2" t="n">
        <v>198</v>
      </c>
      <c r="O426" s="2" t="n">
        <v>447</v>
      </c>
      <c r="P426" s="2" t="n">
        <v>1096</v>
      </c>
      <c r="Q426" s="2" t="n">
        <v>0</v>
      </c>
      <c r="R426" s="2" t="n">
        <v>0</v>
      </c>
      <c r="S426" s="2" t="n">
        <v>7</v>
      </c>
      <c r="T426" s="2" t="n">
        <v>7</v>
      </c>
      <c r="U426" s="2" t="n">
        <v>0</v>
      </c>
      <c r="V426" s="2" t="n">
        <v>0</v>
      </c>
      <c r="W426" s="2" t="n">
        <v>0</v>
      </c>
      <c r="X426" s="2" t="n">
        <v>0</v>
      </c>
      <c r="Y426" s="2" t="n">
        <v>1</v>
      </c>
      <c r="Z426" s="2" t="n">
        <v>0</v>
      </c>
      <c r="AA426" s="2" t="n">
        <v>2</v>
      </c>
      <c r="AB426" s="2" t="n">
        <v>4</v>
      </c>
      <c r="AC426" s="2"/>
    </row>
    <row r="427" customFormat="false" ht="15" hidden="false" customHeight="false" outlineLevel="0" collapsed="false">
      <c r="A427" s="2" t="n">
        <v>52</v>
      </c>
      <c r="B427" s="2" t="s">
        <v>582</v>
      </c>
      <c r="C427" s="2" t="s">
        <v>588</v>
      </c>
      <c r="D427" s="2" t="s">
        <v>2667</v>
      </c>
      <c r="E427" s="2" t="s">
        <v>1129</v>
      </c>
      <c r="F427" s="2" t="s">
        <v>1169</v>
      </c>
      <c r="G427" s="2" t="s">
        <v>586</v>
      </c>
      <c r="H427" s="2" t="s">
        <v>2668</v>
      </c>
      <c r="I427" s="2" t="s">
        <v>1133</v>
      </c>
      <c r="J427" s="2" t="s">
        <v>2669</v>
      </c>
      <c r="K427" s="2" t="n">
        <v>30</v>
      </c>
      <c r="L427" s="2" t="n">
        <v>16315</v>
      </c>
      <c r="M427" s="2" t="n">
        <v>0</v>
      </c>
      <c r="N427" s="2" t="n">
        <v>0</v>
      </c>
      <c r="O427" s="2" t="n">
        <v>6799</v>
      </c>
      <c r="P427" s="2" t="n">
        <v>9516</v>
      </c>
      <c r="Q427" s="2" t="n">
        <v>0</v>
      </c>
      <c r="R427" s="2" t="n">
        <v>0</v>
      </c>
      <c r="S427" s="2" t="n">
        <v>22</v>
      </c>
      <c r="T427" s="2" t="n">
        <v>9</v>
      </c>
      <c r="U427" s="2" t="n">
        <v>0</v>
      </c>
      <c r="V427" s="2" t="n">
        <v>0</v>
      </c>
      <c r="W427" s="2" t="n">
        <v>13</v>
      </c>
      <c r="X427" s="2" t="n">
        <v>0</v>
      </c>
      <c r="Y427" s="2" t="n">
        <v>4</v>
      </c>
      <c r="Z427" s="2" t="n">
        <v>7</v>
      </c>
      <c r="AA427" s="2" t="n">
        <v>0</v>
      </c>
      <c r="AB427" s="2" t="n">
        <v>11</v>
      </c>
      <c r="AC427" s="2" t="s">
        <v>1135</v>
      </c>
    </row>
    <row r="428" customFormat="false" ht="15" hidden="false" customHeight="false" outlineLevel="0" collapsed="false">
      <c r="A428" s="2" t="n">
        <v>52</v>
      </c>
      <c r="B428" s="2" t="s">
        <v>582</v>
      </c>
      <c r="C428" s="2" t="s">
        <v>588</v>
      </c>
      <c r="D428" s="2" t="s">
        <v>2670</v>
      </c>
      <c r="E428" s="2" t="s">
        <v>1154</v>
      </c>
      <c r="F428" s="2" t="s">
        <v>1178</v>
      </c>
      <c r="G428" s="2" t="s">
        <v>2671</v>
      </c>
      <c r="H428" s="2" t="s">
        <v>2672</v>
      </c>
      <c r="I428" s="2" t="s">
        <v>1133</v>
      </c>
      <c r="J428" s="2" t="s">
        <v>2673</v>
      </c>
      <c r="K428" s="2" t="n">
        <v>11</v>
      </c>
      <c r="L428" s="2" t="n">
        <v>4554</v>
      </c>
      <c r="M428" s="2" t="n">
        <v>2396</v>
      </c>
      <c r="N428" s="2" t="n">
        <v>2261</v>
      </c>
      <c r="O428" s="2" t="n">
        <v>1069</v>
      </c>
      <c r="P428" s="2" t="n">
        <v>1089</v>
      </c>
      <c r="Q428" s="2" t="n">
        <v>0</v>
      </c>
      <c r="R428" s="2" t="n">
        <v>0</v>
      </c>
      <c r="S428" s="2" t="n">
        <v>28</v>
      </c>
      <c r="T428" s="2" t="n">
        <v>27</v>
      </c>
      <c r="U428" s="2" t="n">
        <v>1</v>
      </c>
      <c r="V428" s="2" t="n">
        <v>0</v>
      </c>
      <c r="W428" s="2" t="n">
        <v>0</v>
      </c>
      <c r="X428" s="2" t="n">
        <v>0</v>
      </c>
      <c r="Y428" s="2" t="n">
        <v>3</v>
      </c>
      <c r="Z428" s="2" t="n">
        <v>0</v>
      </c>
      <c r="AA428" s="2" t="n">
        <v>5</v>
      </c>
      <c r="AB428" s="2" t="n">
        <v>20</v>
      </c>
      <c r="AC428" s="2"/>
    </row>
    <row r="429" customFormat="false" ht="15" hidden="false" customHeight="false" outlineLevel="0" collapsed="false">
      <c r="A429" s="2" t="n">
        <v>52</v>
      </c>
      <c r="B429" s="2" t="s">
        <v>582</v>
      </c>
      <c r="C429" s="2" t="s">
        <v>588</v>
      </c>
      <c r="D429" s="2" t="s">
        <v>2628</v>
      </c>
      <c r="E429" s="2" t="s">
        <v>1129</v>
      </c>
      <c r="F429" s="2" t="s">
        <v>1169</v>
      </c>
      <c r="G429" s="2" t="s">
        <v>2629</v>
      </c>
      <c r="H429" s="2" t="s">
        <v>2630</v>
      </c>
      <c r="I429" s="2" t="s">
        <v>1133</v>
      </c>
      <c r="J429" s="2" t="s">
        <v>2631</v>
      </c>
      <c r="K429" s="2" t="n">
        <v>92</v>
      </c>
      <c r="L429" s="2" t="n">
        <v>36945</v>
      </c>
      <c r="M429" s="2" t="n">
        <v>0</v>
      </c>
      <c r="N429" s="2" t="n">
        <v>0</v>
      </c>
      <c r="O429" s="2" t="n">
        <v>693</v>
      </c>
      <c r="P429" s="2" t="n">
        <v>36252</v>
      </c>
      <c r="Q429" s="2" t="n">
        <v>0</v>
      </c>
      <c r="R429" s="2" t="n">
        <v>0</v>
      </c>
      <c r="S429" s="2" t="n">
        <v>53</v>
      </c>
      <c r="T429" s="2" t="n">
        <v>33</v>
      </c>
      <c r="U429" s="2" t="n">
        <v>4</v>
      </c>
      <c r="V429" s="2" t="n">
        <v>0</v>
      </c>
      <c r="W429" s="2" t="n">
        <v>15</v>
      </c>
      <c r="X429" s="2" t="n">
        <v>1</v>
      </c>
      <c r="Y429" s="2" t="n">
        <v>7</v>
      </c>
      <c r="Z429" s="2" t="n">
        <v>12</v>
      </c>
      <c r="AA429" s="2" t="n">
        <v>0</v>
      </c>
      <c r="AB429" s="2" t="n">
        <v>34</v>
      </c>
      <c r="AC429" s="2" t="s">
        <v>1135</v>
      </c>
    </row>
    <row r="430" customFormat="false" ht="15" hidden="false" customHeight="false" outlineLevel="0" collapsed="false">
      <c r="A430" s="2" t="n">
        <v>52</v>
      </c>
      <c r="B430" s="2" t="s">
        <v>582</v>
      </c>
      <c r="C430" s="2" t="s">
        <v>588</v>
      </c>
      <c r="D430" s="2" t="s">
        <v>2674</v>
      </c>
      <c r="E430" s="2" t="s">
        <v>1160</v>
      </c>
      <c r="F430" s="2" t="s">
        <v>1161</v>
      </c>
      <c r="G430" s="2" t="s">
        <v>1293</v>
      </c>
      <c r="H430" s="2" t="s">
        <v>2675</v>
      </c>
      <c r="I430" s="2" t="s">
        <v>1133</v>
      </c>
      <c r="J430" s="2" t="s">
        <v>2676</v>
      </c>
      <c r="K430" s="2" t="n">
        <v>4</v>
      </c>
      <c r="L430" s="2" t="n">
        <v>1260</v>
      </c>
      <c r="M430" s="2" t="n">
        <v>675</v>
      </c>
      <c r="N430" s="2" t="n">
        <v>573</v>
      </c>
      <c r="O430" s="2" t="n">
        <v>308</v>
      </c>
      <c r="P430" s="2" t="n">
        <v>277</v>
      </c>
      <c r="Q430" s="2" t="n">
        <v>0</v>
      </c>
      <c r="R430" s="2" t="n">
        <v>0</v>
      </c>
      <c r="S430" s="2" t="n">
        <v>11</v>
      </c>
      <c r="T430" s="2" t="n">
        <v>10</v>
      </c>
      <c r="U430" s="2" t="n">
        <v>0</v>
      </c>
      <c r="V430" s="2" t="n">
        <v>1</v>
      </c>
      <c r="W430" s="2" t="n">
        <v>0</v>
      </c>
      <c r="X430" s="2" t="n">
        <v>0</v>
      </c>
      <c r="Y430" s="2" t="n">
        <v>2</v>
      </c>
      <c r="Z430" s="2" t="n">
        <v>0</v>
      </c>
      <c r="AA430" s="2" t="n">
        <v>4</v>
      </c>
      <c r="AB430" s="2" t="n">
        <v>5</v>
      </c>
      <c r="AC430" s="2"/>
    </row>
    <row r="431" customFormat="false" ht="15" hidden="false" customHeight="false" outlineLevel="0" collapsed="false">
      <c r="A431" s="2" t="n">
        <v>52</v>
      </c>
      <c r="B431" s="2" t="s">
        <v>582</v>
      </c>
      <c r="C431" s="2" t="s">
        <v>588</v>
      </c>
      <c r="D431" s="2" t="s">
        <v>2677</v>
      </c>
      <c r="E431" s="2" t="s">
        <v>1160</v>
      </c>
      <c r="F431" s="2" t="s">
        <v>1161</v>
      </c>
      <c r="G431" s="2" t="s">
        <v>1293</v>
      </c>
      <c r="H431" s="2" t="s">
        <v>2678</v>
      </c>
      <c r="I431" s="2" t="s">
        <v>1133</v>
      </c>
      <c r="J431" s="2" t="s">
        <v>2679</v>
      </c>
      <c r="K431" s="2" t="n">
        <v>9</v>
      </c>
      <c r="L431" s="2" t="n">
        <v>4423</v>
      </c>
      <c r="M431" s="2" t="n">
        <v>982</v>
      </c>
      <c r="N431" s="2" t="n">
        <v>870</v>
      </c>
      <c r="O431" s="2" t="n">
        <v>485</v>
      </c>
      <c r="P431" s="2" t="n">
        <v>2956</v>
      </c>
      <c r="Q431" s="2" t="n">
        <v>0</v>
      </c>
      <c r="R431" s="2" t="n">
        <v>0</v>
      </c>
      <c r="S431" s="2" t="n">
        <v>72</v>
      </c>
      <c r="T431" s="2" t="n">
        <v>60</v>
      </c>
      <c r="U431" s="2" t="n">
        <v>12</v>
      </c>
      <c r="V431" s="2" t="n">
        <v>0</v>
      </c>
      <c r="W431" s="2" t="n">
        <v>0</v>
      </c>
      <c r="X431" s="2" t="n">
        <v>0</v>
      </c>
      <c r="Y431" s="2" t="n">
        <v>5</v>
      </c>
      <c r="Z431" s="2" t="n">
        <v>12</v>
      </c>
      <c r="AA431" s="2" t="n">
        <v>0</v>
      </c>
      <c r="AB431" s="2" t="n">
        <v>55</v>
      </c>
      <c r="AC431" s="2"/>
    </row>
    <row r="432" customFormat="false" ht="15" hidden="false" customHeight="false" outlineLevel="0" collapsed="false">
      <c r="A432" s="2" t="n">
        <v>52</v>
      </c>
      <c r="B432" s="2" t="s">
        <v>582</v>
      </c>
      <c r="C432" s="2" t="s">
        <v>588</v>
      </c>
      <c r="D432" s="2" t="s">
        <v>2680</v>
      </c>
      <c r="E432" s="2" t="s">
        <v>1129</v>
      </c>
      <c r="F432" s="2" t="s">
        <v>1169</v>
      </c>
      <c r="G432" s="2" t="s">
        <v>2681</v>
      </c>
      <c r="H432" s="2" t="s">
        <v>2682</v>
      </c>
      <c r="I432" s="2" t="s">
        <v>1133</v>
      </c>
      <c r="J432" s="2" t="s">
        <v>2683</v>
      </c>
      <c r="K432" s="2" t="n">
        <v>33</v>
      </c>
      <c r="L432" s="2" t="n">
        <v>16535</v>
      </c>
      <c r="M432" s="2" t="n">
        <v>0</v>
      </c>
      <c r="N432" s="2" t="n">
        <v>0</v>
      </c>
      <c r="O432" s="2" t="n">
        <v>6978</v>
      </c>
      <c r="P432" s="2" t="n">
        <v>9557</v>
      </c>
      <c r="Q432" s="2" t="n">
        <v>0</v>
      </c>
      <c r="R432" s="2" t="n">
        <v>0</v>
      </c>
      <c r="S432" s="2" t="n">
        <v>23</v>
      </c>
      <c r="T432" s="2" t="n">
        <v>10</v>
      </c>
      <c r="U432" s="2" t="n">
        <v>0</v>
      </c>
      <c r="V432" s="2" t="n">
        <v>0</v>
      </c>
      <c r="W432" s="2" t="n">
        <v>13</v>
      </c>
      <c r="X432" s="2" t="n">
        <v>0</v>
      </c>
      <c r="Y432" s="2" t="n">
        <v>4</v>
      </c>
      <c r="Z432" s="2" t="n">
        <v>7</v>
      </c>
      <c r="AA432" s="2" t="n">
        <v>0</v>
      </c>
      <c r="AB432" s="2" t="n">
        <v>12</v>
      </c>
      <c r="AC432" s="2" t="s">
        <v>1135</v>
      </c>
    </row>
    <row r="433" customFormat="false" ht="15" hidden="false" customHeight="false" outlineLevel="0" collapsed="false">
      <c r="A433" s="2" t="n">
        <v>52</v>
      </c>
      <c r="B433" s="2" t="s">
        <v>582</v>
      </c>
      <c r="C433" s="2" t="s">
        <v>588</v>
      </c>
      <c r="D433" s="2" t="s">
        <v>2684</v>
      </c>
      <c r="E433" s="2" t="s">
        <v>1129</v>
      </c>
      <c r="F433" s="2" t="s">
        <v>1169</v>
      </c>
      <c r="G433" s="2" t="s">
        <v>2685</v>
      </c>
      <c r="H433" s="2" t="s">
        <v>2686</v>
      </c>
      <c r="I433" s="2" t="s">
        <v>1133</v>
      </c>
      <c r="J433" s="2" t="s">
        <v>2687</v>
      </c>
      <c r="K433" s="2" t="n">
        <v>10</v>
      </c>
      <c r="L433" s="2" t="n">
        <v>6650</v>
      </c>
      <c r="M433" s="2" t="n">
        <v>0</v>
      </c>
      <c r="N433" s="2" t="n">
        <v>0</v>
      </c>
      <c r="O433" s="2" t="n">
        <v>6650</v>
      </c>
      <c r="P433" s="2" t="n">
        <v>0</v>
      </c>
      <c r="Q433" s="2" t="n">
        <v>0</v>
      </c>
      <c r="R433" s="2" t="n">
        <v>0</v>
      </c>
      <c r="S433" s="2" t="n">
        <v>40</v>
      </c>
      <c r="T433" s="2" t="n">
        <v>33</v>
      </c>
      <c r="U433" s="2" t="n">
        <v>0</v>
      </c>
      <c r="V433" s="2" t="n">
        <v>0</v>
      </c>
      <c r="W433" s="2" t="n">
        <v>7</v>
      </c>
      <c r="X433" s="2" t="n">
        <v>0</v>
      </c>
      <c r="Y433" s="2" t="n">
        <v>3</v>
      </c>
      <c r="Z433" s="2" t="n">
        <v>26</v>
      </c>
      <c r="AA433" s="2" t="n">
        <v>2</v>
      </c>
      <c r="AB433" s="2" t="n">
        <v>9</v>
      </c>
      <c r="AC433" s="2" t="s">
        <v>1135</v>
      </c>
    </row>
    <row r="434" customFormat="false" ht="15" hidden="false" customHeight="false" outlineLevel="0" collapsed="false">
      <c r="A434" s="2" t="n">
        <v>53</v>
      </c>
      <c r="B434" s="2" t="s">
        <v>593</v>
      </c>
      <c r="C434" s="2" t="s">
        <v>598</v>
      </c>
      <c r="D434" s="2" t="s">
        <v>2688</v>
      </c>
      <c r="E434" s="2" t="s">
        <v>1154</v>
      </c>
      <c r="F434" s="2" t="s">
        <v>1155</v>
      </c>
      <c r="G434" s="2" t="s">
        <v>2689</v>
      </c>
      <c r="H434" s="2" t="s">
        <v>2690</v>
      </c>
      <c r="I434" s="2" t="s">
        <v>1133</v>
      </c>
      <c r="J434" s="2" t="s">
        <v>2691</v>
      </c>
      <c r="K434" s="2" t="n">
        <v>16</v>
      </c>
      <c r="L434" s="2" t="n">
        <v>3544</v>
      </c>
      <c r="M434" s="2" t="n">
        <v>268</v>
      </c>
      <c r="N434" s="2" t="n">
        <v>96</v>
      </c>
      <c r="O434" s="2" t="n">
        <v>104</v>
      </c>
      <c r="P434" s="2" t="n">
        <v>3172</v>
      </c>
      <c r="Q434" s="2" t="n">
        <v>0</v>
      </c>
      <c r="R434" s="2" t="n">
        <v>0</v>
      </c>
      <c r="S434" s="2" t="n">
        <v>1</v>
      </c>
      <c r="T434" s="2" t="n">
        <v>1</v>
      </c>
      <c r="U434" s="2" t="n">
        <v>0</v>
      </c>
      <c r="V434" s="2" t="n">
        <v>0</v>
      </c>
      <c r="W434" s="2" t="n">
        <v>0</v>
      </c>
      <c r="X434" s="2" t="n">
        <v>0</v>
      </c>
      <c r="Y434" s="2" t="n">
        <v>1</v>
      </c>
      <c r="Z434" s="2" t="n">
        <v>0</v>
      </c>
      <c r="AA434" s="2" t="n">
        <v>0</v>
      </c>
      <c r="AB434" s="2" t="n">
        <v>0</v>
      </c>
      <c r="AC434" s="2"/>
    </row>
    <row r="435" customFormat="false" ht="15" hidden="false" customHeight="false" outlineLevel="0" collapsed="false">
      <c r="A435" s="2" t="n">
        <v>56</v>
      </c>
      <c r="B435" s="2" t="s">
        <v>623</v>
      </c>
      <c r="C435" s="2" t="s">
        <v>628</v>
      </c>
      <c r="D435" s="2" t="s">
        <v>2692</v>
      </c>
      <c r="E435" s="2" t="s">
        <v>1160</v>
      </c>
      <c r="F435" s="2" t="s">
        <v>1161</v>
      </c>
      <c r="G435" s="2" t="s">
        <v>2693</v>
      </c>
      <c r="H435" s="2" t="s">
        <v>2694</v>
      </c>
      <c r="I435" s="2" t="s">
        <v>1133</v>
      </c>
      <c r="J435" s="2" t="s">
        <v>2695</v>
      </c>
      <c r="K435" s="2" t="n">
        <v>5</v>
      </c>
      <c r="L435" s="2" t="n">
        <v>2037</v>
      </c>
      <c r="M435" s="2" t="n">
        <v>606</v>
      </c>
      <c r="N435" s="2" t="n">
        <v>476</v>
      </c>
      <c r="O435" s="2" t="n">
        <v>1431</v>
      </c>
      <c r="P435" s="2" t="n">
        <v>0</v>
      </c>
      <c r="Q435" s="2" t="n">
        <v>0</v>
      </c>
      <c r="R435" s="2" t="n">
        <v>0</v>
      </c>
      <c r="S435" s="2" t="n">
        <v>21</v>
      </c>
      <c r="T435" s="2" t="n">
        <v>20</v>
      </c>
      <c r="U435" s="2" t="n">
        <v>1</v>
      </c>
      <c r="V435" s="2" t="n">
        <v>0</v>
      </c>
      <c r="W435" s="2" t="n">
        <v>0</v>
      </c>
      <c r="X435" s="2" t="n">
        <v>0</v>
      </c>
      <c r="Y435" s="2" t="n">
        <v>8</v>
      </c>
      <c r="Z435" s="2" t="n">
        <v>0</v>
      </c>
      <c r="AA435" s="2" t="n">
        <v>9</v>
      </c>
      <c r="AB435" s="2" t="n">
        <v>4</v>
      </c>
      <c r="AC435" s="2"/>
    </row>
    <row r="436" customFormat="false" ht="15" hidden="false" customHeight="false" outlineLevel="0" collapsed="false">
      <c r="A436" s="2" t="n">
        <v>56</v>
      </c>
      <c r="B436" s="2" t="s">
        <v>623</v>
      </c>
      <c r="C436" s="2" t="s">
        <v>628</v>
      </c>
      <c r="D436" s="2" t="s">
        <v>2696</v>
      </c>
      <c r="E436" s="2" t="s">
        <v>1160</v>
      </c>
      <c r="F436" s="2" t="s">
        <v>1161</v>
      </c>
      <c r="G436" s="2" t="s">
        <v>2693</v>
      </c>
      <c r="H436" s="2" t="s">
        <v>2697</v>
      </c>
      <c r="I436" s="2" t="s">
        <v>1133</v>
      </c>
      <c r="J436" s="2" t="s">
        <v>2698</v>
      </c>
      <c r="K436" s="2" t="n">
        <v>6</v>
      </c>
      <c r="L436" s="2" t="n">
        <v>2999</v>
      </c>
      <c r="M436" s="2" t="n">
        <v>906</v>
      </c>
      <c r="N436" s="2" t="n">
        <v>763</v>
      </c>
      <c r="O436" s="2" t="n">
        <v>2093</v>
      </c>
      <c r="P436" s="2" t="n">
        <v>0</v>
      </c>
      <c r="Q436" s="2" t="n">
        <v>0</v>
      </c>
      <c r="R436" s="2" t="n">
        <v>0</v>
      </c>
      <c r="S436" s="2" t="n">
        <v>47</v>
      </c>
      <c r="T436" s="2" t="n">
        <v>37</v>
      </c>
      <c r="U436" s="2" t="n">
        <v>9</v>
      </c>
      <c r="V436" s="2" t="n">
        <v>0</v>
      </c>
      <c r="W436" s="2" t="n">
        <v>0</v>
      </c>
      <c r="X436" s="2" t="n">
        <v>1</v>
      </c>
      <c r="Y436" s="2" t="n">
        <v>8</v>
      </c>
      <c r="Z436" s="2" t="n">
        <v>0</v>
      </c>
      <c r="AA436" s="2" t="n">
        <v>23</v>
      </c>
      <c r="AB436" s="2" t="n">
        <v>16</v>
      </c>
      <c r="AC436" s="2"/>
    </row>
    <row r="437" customFormat="false" ht="15" hidden="false" customHeight="false" outlineLevel="0" collapsed="false">
      <c r="A437" s="2" t="n">
        <v>56</v>
      </c>
      <c r="B437" s="2" t="s">
        <v>623</v>
      </c>
      <c r="C437" s="2" t="s">
        <v>628</v>
      </c>
      <c r="D437" s="2" t="s">
        <v>2699</v>
      </c>
      <c r="E437" s="2" t="s">
        <v>1160</v>
      </c>
      <c r="F437" s="2" t="s">
        <v>1161</v>
      </c>
      <c r="G437" s="2" t="s">
        <v>2693</v>
      </c>
      <c r="H437" s="2" t="s">
        <v>2700</v>
      </c>
      <c r="I437" s="2" t="s">
        <v>1133</v>
      </c>
      <c r="J437" s="2" t="s">
        <v>2701</v>
      </c>
      <c r="K437" s="2" t="n">
        <v>7</v>
      </c>
      <c r="L437" s="2" t="n">
        <v>3170</v>
      </c>
      <c r="M437" s="2" t="n">
        <v>1583</v>
      </c>
      <c r="N437" s="2" t="n">
        <v>1462</v>
      </c>
      <c r="O437" s="2" t="n">
        <v>1587</v>
      </c>
      <c r="P437" s="2" t="n">
        <v>0</v>
      </c>
      <c r="Q437" s="2" t="n">
        <v>0</v>
      </c>
      <c r="R437" s="2" t="n">
        <v>0</v>
      </c>
      <c r="S437" s="2" t="n">
        <v>17</v>
      </c>
      <c r="T437" s="2" t="n">
        <v>17</v>
      </c>
      <c r="U437" s="2" t="n">
        <v>0</v>
      </c>
      <c r="V437" s="2" t="n">
        <v>0</v>
      </c>
      <c r="W437" s="2" t="n">
        <v>0</v>
      </c>
      <c r="X437" s="2" t="n">
        <v>0</v>
      </c>
      <c r="Y437" s="2" t="n">
        <v>0</v>
      </c>
      <c r="Z437" s="2" t="n">
        <v>0</v>
      </c>
      <c r="AA437" s="2" t="n">
        <v>17</v>
      </c>
      <c r="AB437" s="2" t="n">
        <v>0</v>
      </c>
      <c r="AC437" s="2"/>
    </row>
    <row r="438" customFormat="false" ht="15" hidden="false" customHeight="false" outlineLevel="0" collapsed="false">
      <c r="A438" s="2" t="n">
        <v>56</v>
      </c>
      <c r="B438" s="2" t="s">
        <v>623</v>
      </c>
      <c r="C438" s="2" t="s">
        <v>628</v>
      </c>
      <c r="D438" s="2" t="s">
        <v>2702</v>
      </c>
      <c r="E438" s="2" t="s">
        <v>1160</v>
      </c>
      <c r="F438" s="2" t="s">
        <v>1161</v>
      </c>
      <c r="G438" s="2" t="s">
        <v>2693</v>
      </c>
      <c r="H438" s="2" t="s">
        <v>2703</v>
      </c>
      <c r="I438" s="2" t="s">
        <v>1133</v>
      </c>
      <c r="J438" s="2" t="s">
        <v>2704</v>
      </c>
      <c r="K438" s="2" t="n">
        <v>9</v>
      </c>
      <c r="L438" s="2" t="n">
        <v>4335</v>
      </c>
      <c r="M438" s="2" t="n">
        <v>385</v>
      </c>
      <c r="N438" s="2" t="n">
        <v>240</v>
      </c>
      <c r="O438" s="2" t="n">
        <v>3950</v>
      </c>
      <c r="P438" s="2" t="n">
        <v>0</v>
      </c>
      <c r="Q438" s="2" t="n">
        <v>0</v>
      </c>
      <c r="R438" s="2" t="n">
        <v>0</v>
      </c>
      <c r="S438" s="2" t="n">
        <v>3</v>
      </c>
      <c r="T438" s="2" t="n">
        <v>3</v>
      </c>
      <c r="U438" s="2" t="n">
        <v>0</v>
      </c>
      <c r="V438" s="2" t="n">
        <v>0</v>
      </c>
      <c r="W438" s="2" t="n">
        <v>0</v>
      </c>
      <c r="X438" s="2" t="n">
        <v>0</v>
      </c>
      <c r="Y438" s="2" t="n">
        <v>0</v>
      </c>
      <c r="Z438" s="2" t="n">
        <v>1</v>
      </c>
      <c r="AA438" s="2" t="n">
        <v>2</v>
      </c>
      <c r="AB438" s="2" t="n">
        <v>0</v>
      </c>
      <c r="AC438" s="2"/>
    </row>
    <row r="439" customFormat="false" ht="15" hidden="false" customHeight="false" outlineLevel="0" collapsed="false">
      <c r="A439" s="2" t="n">
        <v>56</v>
      </c>
      <c r="B439" s="2" t="s">
        <v>623</v>
      </c>
      <c r="C439" s="2" t="s">
        <v>628</v>
      </c>
      <c r="D439" s="2" t="s">
        <v>2705</v>
      </c>
      <c r="E439" s="2" t="s">
        <v>1154</v>
      </c>
      <c r="F439" s="2" t="s">
        <v>1155</v>
      </c>
      <c r="G439" s="2" t="s">
        <v>2706</v>
      </c>
      <c r="H439" s="2" t="s">
        <v>2707</v>
      </c>
      <c r="I439" s="2" t="s">
        <v>1133</v>
      </c>
      <c r="J439" s="2" t="s">
        <v>2708</v>
      </c>
      <c r="K439" s="2" t="n">
        <v>12</v>
      </c>
      <c r="L439" s="2" t="n">
        <v>3823</v>
      </c>
      <c r="M439" s="2" t="n">
        <v>691</v>
      </c>
      <c r="N439" s="2" t="n">
        <v>551</v>
      </c>
      <c r="O439" s="2" t="n">
        <v>1317</v>
      </c>
      <c r="P439" s="2" t="n">
        <v>1815</v>
      </c>
      <c r="Q439" s="2" t="n">
        <v>0</v>
      </c>
      <c r="R439" s="2" t="n">
        <v>0</v>
      </c>
      <c r="S439" s="2" t="n">
        <v>43</v>
      </c>
      <c r="T439" s="2" t="n">
        <v>37</v>
      </c>
      <c r="U439" s="2" t="n">
        <v>1</v>
      </c>
      <c r="V439" s="2" t="n">
        <v>0</v>
      </c>
      <c r="W439" s="2" t="n">
        <v>0</v>
      </c>
      <c r="X439" s="2" t="n">
        <v>5</v>
      </c>
      <c r="Y439" s="2" t="n">
        <v>0</v>
      </c>
      <c r="Z439" s="2" t="n">
        <v>5</v>
      </c>
      <c r="AA439" s="2" t="n">
        <v>14</v>
      </c>
      <c r="AB439" s="2" t="n">
        <v>24</v>
      </c>
      <c r="AC439" s="2"/>
    </row>
    <row r="440" customFormat="false" ht="15" hidden="false" customHeight="false" outlineLevel="0" collapsed="false">
      <c r="A440" s="2" t="n">
        <v>56</v>
      </c>
      <c r="B440" s="2" t="s">
        <v>623</v>
      </c>
      <c r="C440" s="2" t="s">
        <v>628</v>
      </c>
      <c r="D440" s="2" t="s">
        <v>2709</v>
      </c>
      <c r="E440" s="2" t="s">
        <v>1154</v>
      </c>
      <c r="F440" s="2" t="s">
        <v>1155</v>
      </c>
      <c r="G440" s="2" t="s">
        <v>2706</v>
      </c>
      <c r="H440" s="2" t="s">
        <v>2710</v>
      </c>
      <c r="I440" s="2" t="s">
        <v>1133</v>
      </c>
      <c r="J440" s="2" t="s">
        <v>2711</v>
      </c>
      <c r="K440" s="2" t="n">
        <v>18</v>
      </c>
      <c r="L440" s="2" t="n">
        <v>6049</v>
      </c>
      <c r="M440" s="2" t="n">
        <v>983</v>
      </c>
      <c r="N440" s="2" t="n">
        <v>847</v>
      </c>
      <c r="O440" s="2" t="n">
        <v>2395</v>
      </c>
      <c r="P440" s="2" t="n">
        <v>2671</v>
      </c>
      <c r="Q440" s="2" t="n">
        <v>0</v>
      </c>
      <c r="R440" s="2" t="n">
        <v>0</v>
      </c>
      <c r="S440" s="2" t="n">
        <v>65</v>
      </c>
      <c r="T440" s="2" t="n">
        <v>56</v>
      </c>
      <c r="U440" s="2" t="n">
        <v>2</v>
      </c>
      <c r="V440" s="2" t="n">
        <v>0</v>
      </c>
      <c r="W440" s="2" t="n">
        <v>2</v>
      </c>
      <c r="X440" s="2" t="n">
        <v>5</v>
      </c>
      <c r="Y440" s="2" t="n">
        <v>0</v>
      </c>
      <c r="Z440" s="2" t="n">
        <v>51</v>
      </c>
      <c r="AA440" s="2" t="n">
        <v>2</v>
      </c>
      <c r="AB440" s="2" t="n">
        <v>12</v>
      </c>
      <c r="AC440" s="2"/>
    </row>
    <row r="441" customFormat="false" ht="15" hidden="false" customHeight="false" outlineLevel="0" collapsed="false">
      <c r="A441" s="2" t="n">
        <v>56</v>
      </c>
      <c r="B441" s="2" t="s">
        <v>623</v>
      </c>
      <c r="C441" s="2" t="s">
        <v>628</v>
      </c>
      <c r="D441" s="2" t="s">
        <v>2712</v>
      </c>
      <c r="E441" s="2" t="s">
        <v>1160</v>
      </c>
      <c r="F441" s="2" t="s">
        <v>1161</v>
      </c>
      <c r="G441" s="2" t="s">
        <v>2713</v>
      </c>
      <c r="H441" s="2" t="s">
        <v>2714</v>
      </c>
      <c r="I441" s="2" t="s">
        <v>1133</v>
      </c>
      <c r="J441" s="2" t="s">
        <v>2715</v>
      </c>
      <c r="K441" s="2" t="n">
        <v>5</v>
      </c>
      <c r="L441" s="2" t="n">
        <v>1605</v>
      </c>
      <c r="M441" s="2" t="n">
        <v>475</v>
      </c>
      <c r="N441" s="2" t="n">
        <v>343</v>
      </c>
      <c r="O441" s="2" t="n">
        <v>143</v>
      </c>
      <c r="P441" s="2" t="n">
        <v>987</v>
      </c>
      <c r="Q441" s="2" t="n">
        <v>0</v>
      </c>
      <c r="R441" s="2" t="n">
        <v>0</v>
      </c>
      <c r="S441" s="2" t="n">
        <v>11</v>
      </c>
      <c r="T441" s="2" t="n">
        <v>8</v>
      </c>
      <c r="U441" s="2" t="n">
        <v>3</v>
      </c>
      <c r="V441" s="2" t="n">
        <v>0</v>
      </c>
      <c r="W441" s="2" t="n">
        <v>0</v>
      </c>
      <c r="X441" s="2" t="n">
        <v>0</v>
      </c>
      <c r="Y441" s="2" t="n">
        <v>2</v>
      </c>
      <c r="Z441" s="2" t="n">
        <v>3</v>
      </c>
      <c r="AA441" s="2" t="n">
        <v>0</v>
      </c>
      <c r="AB441" s="2" t="n">
        <v>6</v>
      </c>
      <c r="AC441" s="2"/>
    </row>
    <row r="442" customFormat="false" ht="15" hidden="false" customHeight="false" outlineLevel="0" collapsed="false">
      <c r="A442" s="2" t="n">
        <v>56</v>
      </c>
      <c r="B442" s="2" t="s">
        <v>623</v>
      </c>
      <c r="C442" s="2" t="s">
        <v>628</v>
      </c>
      <c r="D442" s="2" t="s">
        <v>2716</v>
      </c>
      <c r="E442" s="2" t="s">
        <v>1160</v>
      </c>
      <c r="F442" s="2" t="s">
        <v>1161</v>
      </c>
      <c r="G442" s="2" t="s">
        <v>2717</v>
      </c>
      <c r="H442" s="2" t="s">
        <v>2718</v>
      </c>
      <c r="I442" s="2" t="s">
        <v>1133</v>
      </c>
      <c r="J442" s="2" t="s">
        <v>2719</v>
      </c>
      <c r="K442" s="2" t="n">
        <v>10</v>
      </c>
      <c r="L442" s="2" t="n">
        <v>2720</v>
      </c>
      <c r="M442" s="2" t="n">
        <v>771</v>
      </c>
      <c r="N442" s="2" t="n">
        <v>639</v>
      </c>
      <c r="O442" s="2" t="n">
        <v>1597</v>
      </c>
      <c r="P442" s="2" t="n">
        <v>352</v>
      </c>
      <c r="Q442" s="2" t="n">
        <v>0</v>
      </c>
      <c r="R442" s="2" t="n">
        <v>0</v>
      </c>
      <c r="S442" s="2" t="n">
        <v>22</v>
      </c>
      <c r="T442" s="2" t="n">
        <v>20</v>
      </c>
      <c r="U442" s="2" t="n">
        <v>1</v>
      </c>
      <c r="V442" s="2" t="n">
        <v>0</v>
      </c>
      <c r="W442" s="2" t="n">
        <v>0</v>
      </c>
      <c r="X442" s="2" t="n">
        <v>1</v>
      </c>
      <c r="Y442" s="2" t="n">
        <v>21</v>
      </c>
      <c r="Z442" s="2" t="n">
        <v>0</v>
      </c>
      <c r="AA442" s="2" t="n">
        <v>0</v>
      </c>
      <c r="AB442" s="2" t="n">
        <v>1</v>
      </c>
      <c r="AC442" s="2"/>
    </row>
    <row r="443" customFormat="false" ht="15" hidden="false" customHeight="false" outlineLevel="0" collapsed="false">
      <c r="A443" s="2" t="n">
        <v>56</v>
      </c>
      <c r="B443" s="2" t="s">
        <v>623</v>
      </c>
      <c r="C443" s="2" t="s">
        <v>628</v>
      </c>
      <c r="D443" s="2" t="s">
        <v>2720</v>
      </c>
      <c r="E443" s="2" t="s">
        <v>1160</v>
      </c>
      <c r="F443" s="2" t="s">
        <v>1161</v>
      </c>
      <c r="G443" s="2" t="s">
        <v>2721</v>
      </c>
      <c r="H443" s="2" t="s">
        <v>2722</v>
      </c>
      <c r="I443" s="2" t="s">
        <v>1133</v>
      </c>
      <c r="J443" s="2" t="s">
        <v>2723</v>
      </c>
      <c r="K443" s="2" t="n">
        <v>9</v>
      </c>
      <c r="L443" s="2" t="n">
        <v>3041</v>
      </c>
      <c r="M443" s="2" t="n">
        <v>1230</v>
      </c>
      <c r="N443" s="2" t="n">
        <v>1098</v>
      </c>
      <c r="O443" s="2" t="n">
        <v>1469</v>
      </c>
      <c r="P443" s="2" t="n">
        <v>342</v>
      </c>
      <c r="Q443" s="2" t="n">
        <v>0</v>
      </c>
      <c r="R443" s="2" t="n">
        <v>0</v>
      </c>
      <c r="S443" s="2" t="n">
        <v>41</v>
      </c>
      <c r="T443" s="2" t="n">
        <v>34</v>
      </c>
      <c r="U443" s="2" t="n">
        <v>2</v>
      </c>
      <c r="V443" s="2" t="n">
        <v>0</v>
      </c>
      <c r="W443" s="2" t="n">
        <v>0</v>
      </c>
      <c r="X443" s="2" t="n">
        <v>5</v>
      </c>
      <c r="Y443" s="2" t="n">
        <v>35</v>
      </c>
      <c r="Z443" s="2" t="n">
        <v>0</v>
      </c>
      <c r="AA443" s="2" t="n">
        <v>0</v>
      </c>
      <c r="AB443" s="2" t="n">
        <v>6</v>
      </c>
      <c r="AC443" s="2"/>
    </row>
    <row r="444" customFormat="false" ht="15" hidden="false" customHeight="false" outlineLevel="0" collapsed="false">
      <c r="A444" s="2" t="n">
        <v>56</v>
      </c>
      <c r="B444" s="2" t="s">
        <v>623</v>
      </c>
      <c r="C444" s="2" t="s">
        <v>628</v>
      </c>
      <c r="D444" s="2" t="s">
        <v>2724</v>
      </c>
      <c r="E444" s="2" t="s">
        <v>1160</v>
      </c>
      <c r="F444" s="2" t="s">
        <v>1161</v>
      </c>
      <c r="G444" s="2" t="s">
        <v>2725</v>
      </c>
      <c r="H444" s="2" t="s">
        <v>2726</v>
      </c>
      <c r="I444" s="2" t="s">
        <v>1133</v>
      </c>
      <c r="J444" s="2" t="s">
        <v>2727</v>
      </c>
      <c r="K444" s="2" t="n">
        <v>9</v>
      </c>
      <c r="L444" s="2" t="n">
        <v>3886</v>
      </c>
      <c r="M444" s="2" t="n">
        <v>1009</v>
      </c>
      <c r="N444" s="2" t="n">
        <v>885</v>
      </c>
      <c r="O444" s="2" t="n">
        <v>2877</v>
      </c>
      <c r="P444" s="2" t="n">
        <v>0</v>
      </c>
      <c r="Q444" s="2" t="n">
        <v>0</v>
      </c>
      <c r="R444" s="2" t="n">
        <v>0</v>
      </c>
      <c r="S444" s="2" t="n">
        <v>6</v>
      </c>
      <c r="T444" s="2" t="n">
        <v>6</v>
      </c>
      <c r="U444" s="2" t="n">
        <v>0</v>
      </c>
      <c r="V444" s="2" t="n">
        <v>0</v>
      </c>
      <c r="W444" s="2" t="n">
        <v>0</v>
      </c>
      <c r="X444" s="2" t="n">
        <v>0</v>
      </c>
      <c r="Y444" s="2" t="n">
        <v>0</v>
      </c>
      <c r="Z444" s="2" t="n">
        <v>6</v>
      </c>
      <c r="AA444" s="2" t="n">
        <v>0</v>
      </c>
      <c r="AB444" s="2" t="n">
        <v>0</v>
      </c>
      <c r="AC444" s="2"/>
    </row>
    <row r="445" customFormat="false" ht="15" hidden="false" customHeight="false" outlineLevel="0" collapsed="false">
      <c r="A445" s="2" t="n">
        <v>56</v>
      </c>
      <c r="B445" s="2" t="s">
        <v>623</v>
      </c>
      <c r="C445" s="2" t="s">
        <v>628</v>
      </c>
      <c r="D445" s="2" t="s">
        <v>2728</v>
      </c>
      <c r="E445" s="2" t="s">
        <v>1160</v>
      </c>
      <c r="F445" s="2" t="s">
        <v>1161</v>
      </c>
      <c r="G445" s="2" t="s">
        <v>1389</v>
      </c>
      <c r="H445" s="2" t="s">
        <v>2729</v>
      </c>
      <c r="I445" s="2" t="s">
        <v>1133</v>
      </c>
      <c r="J445" s="2" t="s">
        <v>2730</v>
      </c>
      <c r="K445" s="2" t="n">
        <v>5</v>
      </c>
      <c r="L445" s="2" t="n">
        <v>2428</v>
      </c>
      <c r="M445" s="2" t="n">
        <v>1071</v>
      </c>
      <c r="N445" s="2" t="n">
        <v>943</v>
      </c>
      <c r="O445" s="2" t="n">
        <v>1357</v>
      </c>
      <c r="P445" s="2" t="n">
        <v>0</v>
      </c>
      <c r="Q445" s="2" t="n">
        <v>0</v>
      </c>
      <c r="R445" s="2" t="n">
        <v>0</v>
      </c>
      <c r="S445" s="2" t="n">
        <v>24</v>
      </c>
      <c r="T445" s="2" t="n">
        <v>21</v>
      </c>
      <c r="U445" s="2" t="n">
        <v>3</v>
      </c>
      <c r="V445" s="2" t="n">
        <v>0</v>
      </c>
      <c r="W445" s="2" t="n">
        <v>0</v>
      </c>
      <c r="X445" s="2" t="n">
        <v>0</v>
      </c>
      <c r="Y445" s="2" t="n">
        <v>7</v>
      </c>
      <c r="Z445" s="2" t="n">
        <v>11</v>
      </c>
      <c r="AA445" s="2" t="n">
        <v>0</v>
      </c>
      <c r="AB445" s="2" t="n">
        <v>6</v>
      </c>
      <c r="AC445" s="2"/>
    </row>
    <row r="446" customFormat="false" ht="15" hidden="false" customHeight="false" outlineLevel="0" collapsed="false">
      <c r="A446" s="2" t="n">
        <v>56</v>
      </c>
      <c r="B446" s="2" t="s">
        <v>623</v>
      </c>
      <c r="C446" s="2" t="s">
        <v>628</v>
      </c>
      <c r="D446" s="2" t="s">
        <v>2731</v>
      </c>
      <c r="E446" s="2" t="s">
        <v>1160</v>
      </c>
      <c r="F446" s="2" t="s">
        <v>1161</v>
      </c>
      <c r="G446" s="2" t="s">
        <v>1389</v>
      </c>
      <c r="H446" s="2" t="s">
        <v>2732</v>
      </c>
      <c r="I446" s="2" t="s">
        <v>1133</v>
      </c>
      <c r="J446" s="2" t="s">
        <v>2733</v>
      </c>
      <c r="K446" s="2" t="n">
        <v>7</v>
      </c>
      <c r="L446" s="2" t="n">
        <v>3776</v>
      </c>
      <c r="M446" s="2" t="n">
        <v>1184</v>
      </c>
      <c r="N446" s="2" t="n">
        <v>1056</v>
      </c>
      <c r="O446" s="2" t="n">
        <v>2592</v>
      </c>
      <c r="P446" s="2" t="n">
        <v>0</v>
      </c>
      <c r="Q446" s="2" t="n">
        <v>0</v>
      </c>
      <c r="R446" s="2" t="n">
        <v>0</v>
      </c>
      <c r="S446" s="2" t="n">
        <v>41</v>
      </c>
      <c r="T446" s="2" t="n">
        <v>40</v>
      </c>
      <c r="U446" s="2" t="n">
        <v>1</v>
      </c>
      <c r="V446" s="2" t="n">
        <v>0</v>
      </c>
      <c r="W446" s="2" t="n">
        <v>0</v>
      </c>
      <c r="X446" s="2" t="n">
        <v>0</v>
      </c>
      <c r="Y446" s="2" t="n">
        <v>0</v>
      </c>
      <c r="Z446" s="2" t="n">
        <v>3</v>
      </c>
      <c r="AA446" s="2" t="n">
        <v>25</v>
      </c>
      <c r="AB446" s="2" t="n">
        <v>13</v>
      </c>
      <c r="AC446" s="2"/>
    </row>
    <row r="447" customFormat="false" ht="15" hidden="false" customHeight="false" outlineLevel="0" collapsed="false">
      <c r="A447" s="2" t="n">
        <v>56</v>
      </c>
      <c r="B447" s="2" t="s">
        <v>623</v>
      </c>
      <c r="C447" s="2" t="s">
        <v>628</v>
      </c>
      <c r="D447" s="2" t="s">
        <v>2734</v>
      </c>
      <c r="E447" s="2" t="s">
        <v>1160</v>
      </c>
      <c r="F447" s="2" t="s">
        <v>1161</v>
      </c>
      <c r="G447" s="2" t="s">
        <v>1389</v>
      </c>
      <c r="H447" s="2" t="s">
        <v>2735</v>
      </c>
      <c r="I447" s="2" t="s">
        <v>1133</v>
      </c>
      <c r="J447" s="2" t="s">
        <v>2736</v>
      </c>
      <c r="K447" s="2" t="n">
        <v>5</v>
      </c>
      <c r="L447" s="2" t="n">
        <v>2491</v>
      </c>
      <c r="M447" s="2" t="n">
        <v>1375</v>
      </c>
      <c r="N447" s="2" t="n">
        <v>1219</v>
      </c>
      <c r="O447" s="2" t="n">
        <v>1116</v>
      </c>
      <c r="P447" s="2" t="n">
        <v>0</v>
      </c>
      <c r="Q447" s="2" t="n">
        <v>0</v>
      </c>
      <c r="R447" s="2" t="n">
        <v>0</v>
      </c>
      <c r="S447" s="2" t="n">
        <v>14</v>
      </c>
      <c r="T447" s="2" t="n">
        <v>12</v>
      </c>
      <c r="U447" s="2" t="n">
        <v>1</v>
      </c>
      <c r="V447" s="2" t="n">
        <v>1</v>
      </c>
      <c r="W447" s="2" t="n">
        <v>0</v>
      </c>
      <c r="X447" s="2" t="n">
        <v>0</v>
      </c>
      <c r="Y447" s="2" t="n">
        <v>8</v>
      </c>
      <c r="Z447" s="2" t="n">
        <v>0</v>
      </c>
      <c r="AA447" s="2" t="n">
        <v>0</v>
      </c>
      <c r="AB447" s="2" t="n">
        <v>6</v>
      </c>
      <c r="AC447" s="2"/>
    </row>
    <row r="448" customFormat="false" ht="15" hidden="false" customHeight="false" outlineLevel="0" collapsed="false">
      <c r="A448" s="2" t="n">
        <v>56</v>
      </c>
      <c r="B448" s="2" t="s">
        <v>623</v>
      </c>
      <c r="C448" s="2" t="s">
        <v>628</v>
      </c>
      <c r="D448" s="2" t="s">
        <v>2737</v>
      </c>
      <c r="E448" s="2" t="s">
        <v>1160</v>
      </c>
      <c r="F448" s="2" t="s">
        <v>1161</v>
      </c>
      <c r="G448" s="2" t="s">
        <v>1389</v>
      </c>
      <c r="H448" s="2" t="s">
        <v>2738</v>
      </c>
      <c r="I448" s="2" t="s">
        <v>1133</v>
      </c>
      <c r="J448" s="2" t="s">
        <v>2739</v>
      </c>
      <c r="K448" s="2" t="n">
        <v>6</v>
      </c>
      <c r="L448" s="2" t="n">
        <v>2144</v>
      </c>
      <c r="M448" s="2" t="n">
        <v>618</v>
      </c>
      <c r="N448" s="2" t="n">
        <v>488</v>
      </c>
      <c r="O448" s="2" t="n">
        <v>1137</v>
      </c>
      <c r="P448" s="2" t="n">
        <v>389</v>
      </c>
      <c r="Q448" s="2" t="n">
        <v>0</v>
      </c>
      <c r="R448" s="2" t="n">
        <v>0</v>
      </c>
      <c r="S448" s="2" t="n">
        <v>22</v>
      </c>
      <c r="T448" s="2" t="n">
        <v>19</v>
      </c>
      <c r="U448" s="2" t="n">
        <v>0</v>
      </c>
      <c r="V448" s="2" t="n">
        <v>0</v>
      </c>
      <c r="W448" s="2" t="n">
        <v>0</v>
      </c>
      <c r="X448" s="2" t="n">
        <v>3</v>
      </c>
      <c r="Y448" s="2" t="n">
        <v>19</v>
      </c>
      <c r="Z448" s="2" t="n">
        <v>0</v>
      </c>
      <c r="AA448" s="2" t="n">
        <v>0</v>
      </c>
      <c r="AB448" s="2" t="n">
        <v>3</v>
      </c>
      <c r="AC448" s="2"/>
    </row>
    <row r="449" customFormat="false" ht="15" hidden="false" customHeight="false" outlineLevel="0" collapsed="false">
      <c r="A449" s="2" t="n">
        <v>56</v>
      </c>
      <c r="B449" s="2" t="s">
        <v>623</v>
      </c>
      <c r="C449" s="2" t="s">
        <v>628</v>
      </c>
      <c r="D449" s="2" t="s">
        <v>2740</v>
      </c>
      <c r="E449" s="2" t="s">
        <v>1160</v>
      </c>
      <c r="F449" s="2" t="s">
        <v>1161</v>
      </c>
      <c r="G449" s="2" t="s">
        <v>1389</v>
      </c>
      <c r="H449" s="2" t="s">
        <v>2741</v>
      </c>
      <c r="I449" s="2" t="s">
        <v>1133</v>
      </c>
      <c r="J449" s="2" t="s">
        <v>2742</v>
      </c>
      <c r="K449" s="2" t="n">
        <v>11</v>
      </c>
      <c r="L449" s="2" t="n">
        <v>5354</v>
      </c>
      <c r="M449" s="2" t="n">
        <v>1223</v>
      </c>
      <c r="N449" s="2" t="n">
        <v>1087</v>
      </c>
      <c r="O449" s="2" t="n">
        <v>4131</v>
      </c>
      <c r="P449" s="2" t="n">
        <v>0</v>
      </c>
      <c r="Q449" s="2" t="n">
        <v>0</v>
      </c>
      <c r="R449" s="2" t="n">
        <v>0</v>
      </c>
      <c r="S449" s="2" t="n">
        <v>16</v>
      </c>
      <c r="T449" s="2" t="n">
        <v>15</v>
      </c>
      <c r="U449" s="2" t="n">
        <v>0</v>
      </c>
      <c r="V449" s="2" t="n">
        <v>1</v>
      </c>
      <c r="W449" s="2" t="n">
        <v>0</v>
      </c>
      <c r="X449" s="2" t="n">
        <v>0</v>
      </c>
      <c r="Y449" s="2" t="n">
        <v>15</v>
      </c>
      <c r="Z449" s="2" t="n">
        <v>0</v>
      </c>
      <c r="AA449" s="2" t="n">
        <v>0</v>
      </c>
      <c r="AB449" s="2" t="n">
        <v>1</v>
      </c>
      <c r="AC449" s="2"/>
    </row>
    <row r="450" customFormat="false" ht="15" hidden="false" customHeight="false" outlineLevel="0" collapsed="false">
      <c r="A450" s="2" t="n">
        <v>56</v>
      </c>
      <c r="B450" s="2" t="s">
        <v>623</v>
      </c>
      <c r="C450" s="2" t="s">
        <v>628</v>
      </c>
      <c r="D450" s="2" t="s">
        <v>2743</v>
      </c>
      <c r="E450" s="2" t="s">
        <v>1154</v>
      </c>
      <c r="F450" s="2" t="s">
        <v>1155</v>
      </c>
      <c r="G450" s="2" t="s">
        <v>1389</v>
      </c>
      <c r="H450" s="2" t="s">
        <v>2744</v>
      </c>
      <c r="I450" s="2" t="s">
        <v>1133</v>
      </c>
      <c r="J450" s="2" t="s">
        <v>2745</v>
      </c>
      <c r="K450" s="2" t="n">
        <v>6</v>
      </c>
      <c r="L450" s="2" t="n">
        <v>1486</v>
      </c>
      <c r="M450" s="2" t="n">
        <v>556</v>
      </c>
      <c r="N450" s="2" t="n">
        <v>416</v>
      </c>
      <c r="O450" s="2" t="n">
        <v>267</v>
      </c>
      <c r="P450" s="2" t="n">
        <v>663</v>
      </c>
      <c r="Q450" s="2" t="n">
        <v>0</v>
      </c>
      <c r="R450" s="2" t="n">
        <v>0</v>
      </c>
      <c r="S450" s="2" t="n">
        <v>9</v>
      </c>
      <c r="T450" s="2" t="n">
        <v>9</v>
      </c>
      <c r="U450" s="2" t="n">
        <v>0</v>
      </c>
      <c r="V450" s="2" t="n">
        <v>0</v>
      </c>
      <c r="W450" s="2" t="n">
        <v>0</v>
      </c>
      <c r="X450" s="2" t="n">
        <v>0</v>
      </c>
      <c r="Y450" s="2" t="n">
        <v>4</v>
      </c>
      <c r="Z450" s="2" t="n">
        <v>4</v>
      </c>
      <c r="AA450" s="2" t="n">
        <v>0</v>
      </c>
      <c r="AB450" s="2" t="n">
        <v>1</v>
      </c>
      <c r="AC450" s="2"/>
    </row>
    <row r="451" customFormat="false" ht="15" hidden="false" customHeight="false" outlineLevel="0" collapsed="false">
      <c r="A451" s="2" t="n">
        <v>56</v>
      </c>
      <c r="B451" s="2" t="s">
        <v>623</v>
      </c>
      <c r="C451" s="2" t="s">
        <v>628</v>
      </c>
      <c r="D451" s="2" t="s">
        <v>2746</v>
      </c>
      <c r="E451" s="2" t="s">
        <v>1160</v>
      </c>
      <c r="F451" s="2" t="s">
        <v>1161</v>
      </c>
      <c r="G451" s="2" t="s">
        <v>1389</v>
      </c>
      <c r="H451" s="2" t="s">
        <v>2747</v>
      </c>
      <c r="I451" s="2" t="s">
        <v>1133</v>
      </c>
      <c r="J451" s="2" t="s">
        <v>2748</v>
      </c>
      <c r="K451" s="2" t="n">
        <v>17</v>
      </c>
      <c r="L451" s="2" t="n">
        <v>8864</v>
      </c>
      <c r="M451" s="2" t="n">
        <v>1748</v>
      </c>
      <c r="N451" s="2" t="n">
        <v>1616</v>
      </c>
      <c r="O451" s="2" t="n">
        <v>7116</v>
      </c>
      <c r="P451" s="2" t="n">
        <v>0</v>
      </c>
      <c r="Q451" s="2" t="n">
        <v>0</v>
      </c>
      <c r="R451" s="2" t="n">
        <v>0</v>
      </c>
      <c r="S451" s="2" t="n">
        <v>27</v>
      </c>
      <c r="T451" s="2" t="n">
        <v>25</v>
      </c>
      <c r="U451" s="2" t="n">
        <v>1</v>
      </c>
      <c r="V451" s="2" t="n">
        <v>1</v>
      </c>
      <c r="W451" s="2" t="n">
        <v>0</v>
      </c>
      <c r="X451" s="2" t="n">
        <v>0</v>
      </c>
      <c r="Y451" s="2" t="n">
        <v>24</v>
      </c>
      <c r="Z451" s="2" t="n">
        <v>0</v>
      </c>
      <c r="AA451" s="2" t="n">
        <v>0</v>
      </c>
      <c r="AB451" s="2" t="n">
        <v>3</v>
      </c>
      <c r="AC451" s="2"/>
    </row>
    <row r="452" customFormat="false" ht="15" hidden="false" customHeight="false" outlineLevel="0" collapsed="false">
      <c r="A452" s="2" t="n">
        <v>56</v>
      </c>
      <c r="B452" s="2" t="s">
        <v>623</v>
      </c>
      <c r="C452" s="2" t="s">
        <v>628</v>
      </c>
      <c r="D452" s="2" t="s">
        <v>2749</v>
      </c>
      <c r="E452" s="2" t="s">
        <v>1154</v>
      </c>
      <c r="F452" s="2" t="s">
        <v>1155</v>
      </c>
      <c r="G452" s="2" t="s">
        <v>1389</v>
      </c>
      <c r="H452" s="2" t="s">
        <v>2750</v>
      </c>
      <c r="I452" s="2" t="s">
        <v>1133</v>
      </c>
      <c r="J452" s="2" t="s">
        <v>2751</v>
      </c>
      <c r="K452" s="2" t="n">
        <v>7</v>
      </c>
      <c r="L452" s="2" t="n">
        <v>1865</v>
      </c>
      <c r="M452" s="2" t="n">
        <v>530</v>
      </c>
      <c r="N452" s="2" t="n">
        <v>387</v>
      </c>
      <c r="O452" s="2" t="n">
        <v>393</v>
      </c>
      <c r="P452" s="2" t="n">
        <v>942</v>
      </c>
      <c r="Q452" s="2" t="n">
        <v>0</v>
      </c>
      <c r="R452" s="2" t="n">
        <v>0</v>
      </c>
      <c r="S452" s="2" t="n">
        <v>12</v>
      </c>
      <c r="T452" s="2" t="n">
        <v>12</v>
      </c>
      <c r="U452" s="2" t="n">
        <v>0</v>
      </c>
      <c r="V452" s="2" t="n">
        <v>0</v>
      </c>
      <c r="W452" s="2" t="n">
        <v>0</v>
      </c>
      <c r="X452" s="2" t="n">
        <v>0</v>
      </c>
      <c r="Y452" s="2" t="n">
        <v>5</v>
      </c>
      <c r="Z452" s="2" t="n">
        <v>5</v>
      </c>
      <c r="AA452" s="2" t="n">
        <v>0</v>
      </c>
      <c r="AB452" s="2" t="n">
        <v>2</v>
      </c>
      <c r="AC452" s="2"/>
    </row>
    <row r="453" customFormat="false" ht="15" hidden="false" customHeight="false" outlineLevel="0" collapsed="false">
      <c r="A453" s="2" t="n">
        <v>56</v>
      </c>
      <c r="B453" s="2" t="s">
        <v>623</v>
      </c>
      <c r="C453" s="2" t="s">
        <v>628</v>
      </c>
      <c r="D453" s="2" t="s">
        <v>2752</v>
      </c>
      <c r="E453" s="2" t="s">
        <v>1154</v>
      </c>
      <c r="F453" s="2" t="s">
        <v>1155</v>
      </c>
      <c r="G453" s="2" t="s">
        <v>2753</v>
      </c>
      <c r="H453" s="2" t="s">
        <v>2754</v>
      </c>
      <c r="I453" s="2" t="s">
        <v>1133</v>
      </c>
      <c r="J453" s="2" t="s">
        <v>2755</v>
      </c>
      <c r="K453" s="2" t="n">
        <v>6</v>
      </c>
      <c r="L453" s="2" t="n">
        <v>2757</v>
      </c>
      <c r="M453" s="2" t="n">
        <v>1260</v>
      </c>
      <c r="N453" s="2" t="n">
        <v>1119</v>
      </c>
      <c r="O453" s="2" t="n">
        <v>1497</v>
      </c>
      <c r="P453" s="2" t="n">
        <v>0</v>
      </c>
      <c r="Q453" s="2" t="n">
        <v>0</v>
      </c>
      <c r="R453" s="2" t="n">
        <v>0</v>
      </c>
      <c r="S453" s="2" t="n">
        <v>18</v>
      </c>
      <c r="T453" s="2" t="n">
        <v>13</v>
      </c>
      <c r="U453" s="2" t="n">
        <v>1</v>
      </c>
      <c r="V453" s="2" t="n">
        <v>0</v>
      </c>
      <c r="W453" s="2" t="n">
        <v>0</v>
      </c>
      <c r="X453" s="2" t="n">
        <v>4</v>
      </c>
      <c r="Y453" s="2" t="n">
        <v>10</v>
      </c>
      <c r="Z453" s="2" t="n">
        <v>2</v>
      </c>
      <c r="AA453" s="2" t="n">
        <v>0</v>
      </c>
      <c r="AB453" s="2" t="n">
        <v>6</v>
      </c>
      <c r="AC453" s="2"/>
    </row>
    <row r="454" customFormat="false" ht="15" hidden="false" customHeight="false" outlineLevel="0" collapsed="false">
      <c r="A454" s="2" t="n">
        <v>56</v>
      </c>
      <c r="B454" s="2" t="s">
        <v>623</v>
      </c>
      <c r="C454" s="2" t="s">
        <v>628</v>
      </c>
      <c r="D454" s="2" t="s">
        <v>2756</v>
      </c>
      <c r="E454" s="2" t="s">
        <v>1154</v>
      </c>
      <c r="F454" s="2" t="s">
        <v>1155</v>
      </c>
      <c r="G454" s="2" t="s">
        <v>865</v>
      </c>
      <c r="H454" s="2" t="s">
        <v>2757</v>
      </c>
      <c r="I454" s="2" t="s">
        <v>1133</v>
      </c>
      <c r="J454" s="2" t="s">
        <v>2758</v>
      </c>
      <c r="K454" s="2" t="n">
        <v>39</v>
      </c>
      <c r="L454" s="2" t="n">
        <v>13336</v>
      </c>
      <c r="M454" s="2" t="n">
        <v>1805</v>
      </c>
      <c r="N454" s="2" t="n">
        <v>1661</v>
      </c>
      <c r="O454" s="2" t="n">
        <v>975</v>
      </c>
      <c r="P454" s="2" t="n">
        <v>10556</v>
      </c>
      <c r="Q454" s="2" t="n">
        <v>0</v>
      </c>
      <c r="R454" s="2" t="n">
        <v>0</v>
      </c>
      <c r="S454" s="2" t="n">
        <v>124</v>
      </c>
      <c r="T454" s="2" t="n">
        <v>117</v>
      </c>
      <c r="U454" s="2" t="n">
        <v>5</v>
      </c>
      <c r="V454" s="2" t="n">
        <v>0</v>
      </c>
      <c r="W454" s="2" t="n">
        <v>2</v>
      </c>
      <c r="X454" s="2" t="n">
        <v>0</v>
      </c>
      <c r="Y454" s="2" t="n">
        <v>50</v>
      </c>
      <c r="Z454" s="2" t="n">
        <v>1</v>
      </c>
      <c r="AA454" s="2" t="n">
        <v>3</v>
      </c>
      <c r="AB454" s="2" t="n">
        <v>70</v>
      </c>
      <c r="AC454" s="2"/>
    </row>
    <row r="455" customFormat="false" ht="15" hidden="false" customHeight="false" outlineLevel="0" collapsed="false">
      <c r="A455" s="2" t="n">
        <v>56</v>
      </c>
      <c r="B455" s="2" t="s">
        <v>623</v>
      </c>
      <c r="C455" s="2" t="s">
        <v>628</v>
      </c>
      <c r="D455" s="2" t="s">
        <v>2759</v>
      </c>
      <c r="E455" s="2" t="s">
        <v>1160</v>
      </c>
      <c r="F455" s="2" t="s">
        <v>1161</v>
      </c>
      <c r="G455" s="2" t="s">
        <v>884</v>
      </c>
      <c r="H455" s="2" t="s">
        <v>2760</v>
      </c>
      <c r="I455" s="2" t="s">
        <v>1133</v>
      </c>
      <c r="J455" s="2" t="s">
        <v>2761</v>
      </c>
      <c r="K455" s="2" t="n">
        <v>13</v>
      </c>
      <c r="L455" s="2" t="n">
        <v>4251</v>
      </c>
      <c r="M455" s="2" t="n">
        <v>865</v>
      </c>
      <c r="N455" s="2" t="n">
        <v>730</v>
      </c>
      <c r="O455" s="2" t="n">
        <v>706</v>
      </c>
      <c r="P455" s="2" t="n">
        <v>2680</v>
      </c>
      <c r="Q455" s="2" t="n">
        <v>0</v>
      </c>
      <c r="R455" s="2" t="n">
        <v>0</v>
      </c>
      <c r="S455" s="2" t="n">
        <v>41</v>
      </c>
      <c r="T455" s="2" t="n">
        <v>40</v>
      </c>
      <c r="U455" s="2" t="n">
        <v>0</v>
      </c>
      <c r="V455" s="2" t="n">
        <v>0</v>
      </c>
      <c r="W455" s="2" t="n">
        <v>1</v>
      </c>
      <c r="X455" s="2" t="n">
        <v>0</v>
      </c>
      <c r="Y455" s="2" t="n">
        <v>22</v>
      </c>
      <c r="Z455" s="2" t="n">
        <v>0</v>
      </c>
      <c r="AA455" s="2" t="n">
        <v>0</v>
      </c>
      <c r="AB455" s="2" t="n">
        <v>19</v>
      </c>
      <c r="AC455" s="2"/>
    </row>
    <row r="456" customFormat="false" ht="15" hidden="false" customHeight="false" outlineLevel="0" collapsed="false">
      <c r="A456" s="2" t="n">
        <v>56</v>
      </c>
      <c r="B456" s="2" t="s">
        <v>623</v>
      </c>
      <c r="C456" s="2" t="s">
        <v>628</v>
      </c>
      <c r="D456" s="2" t="s">
        <v>2762</v>
      </c>
      <c r="E456" s="2" t="s">
        <v>1154</v>
      </c>
      <c r="F456" s="2" t="s">
        <v>1155</v>
      </c>
      <c r="G456" s="2" t="s">
        <v>2763</v>
      </c>
      <c r="H456" s="2" t="s">
        <v>2764</v>
      </c>
      <c r="I456" s="2" t="s">
        <v>1133</v>
      </c>
      <c r="J456" s="2" t="s">
        <v>2765</v>
      </c>
      <c r="K456" s="2" t="n">
        <v>49</v>
      </c>
      <c r="L456" s="2" t="n">
        <v>15227</v>
      </c>
      <c r="M456" s="2" t="n">
        <v>848</v>
      </c>
      <c r="N456" s="2" t="n">
        <v>707</v>
      </c>
      <c r="O456" s="2" t="n">
        <v>375</v>
      </c>
      <c r="P456" s="2" t="n">
        <v>14004</v>
      </c>
      <c r="Q456" s="2" t="n">
        <v>0</v>
      </c>
      <c r="R456" s="2" t="n">
        <v>0</v>
      </c>
      <c r="S456" s="2" t="n">
        <v>48</v>
      </c>
      <c r="T456" s="2" t="n">
        <v>31</v>
      </c>
      <c r="U456" s="2" t="n">
        <v>6</v>
      </c>
      <c r="V456" s="2" t="n">
        <v>0</v>
      </c>
      <c r="W456" s="2" t="n">
        <v>11</v>
      </c>
      <c r="X456" s="2" t="n">
        <v>0</v>
      </c>
      <c r="Y456" s="2" t="n">
        <v>11</v>
      </c>
      <c r="Z456" s="2" t="n">
        <v>11</v>
      </c>
      <c r="AA456" s="2" t="n">
        <v>0</v>
      </c>
      <c r="AB456" s="2" t="n">
        <v>26</v>
      </c>
      <c r="AC456" s="2"/>
    </row>
    <row r="457" customFormat="false" ht="15" hidden="false" customHeight="false" outlineLevel="0" collapsed="false">
      <c r="A457" s="2" t="n">
        <v>56</v>
      </c>
      <c r="B457" s="2" t="s">
        <v>623</v>
      </c>
      <c r="C457" s="2" t="s">
        <v>628</v>
      </c>
      <c r="D457" s="2" t="s">
        <v>2766</v>
      </c>
      <c r="E457" s="2" t="s">
        <v>1160</v>
      </c>
      <c r="F457" s="2" t="s">
        <v>1161</v>
      </c>
      <c r="G457" s="2" t="s">
        <v>2763</v>
      </c>
      <c r="H457" s="2" t="s">
        <v>2767</v>
      </c>
      <c r="I457" s="2" t="s">
        <v>1133</v>
      </c>
      <c r="J457" s="2" t="s">
        <v>2768</v>
      </c>
      <c r="K457" s="2" t="n">
        <v>22</v>
      </c>
      <c r="L457" s="2" t="n">
        <v>8128</v>
      </c>
      <c r="M457" s="2" t="n">
        <v>1216</v>
      </c>
      <c r="N457" s="2" t="n">
        <v>1081</v>
      </c>
      <c r="O457" s="2" t="n">
        <v>2292</v>
      </c>
      <c r="P457" s="2" t="n">
        <v>4620</v>
      </c>
      <c r="Q457" s="2" t="n">
        <v>0</v>
      </c>
      <c r="R457" s="2" t="n">
        <v>0</v>
      </c>
      <c r="S457" s="2" t="n">
        <v>113</v>
      </c>
      <c r="T457" s="2" t="n">
        <v>108</v>
      </c>
      <c r="U457" s="2" t="n">
        <v>2</v>
      </c>
      <c r="V457" s="2" t="n">
        <v>1</v>
      </c>
      <c r="W457" s="2" t="n">
        <v>1</v>
      </c>
      <c r="X457" s="2" t="n">
        <v>1</v>
      </c>
      <c r="Y457" s="2" t="n">
        <v>60</v>
      </c>
      <c r="Z457" s="2" t="n">
        <v>1</v>
      </c>
      <c r="AA457" s="2" t="n">
        <v>1</v>
      </c>
      <c r="AB457" s="2" t="n">
        <v>51</v>
      </c>
      <c r="AC457" s="2"/>
    </row>
    <row r="458" customFormat="false" ht="15" hidden="false" customHeight="false" outlineLevel="0" collapsed="false">
      <c r="A458" s="2" t="n">
        <v>56</v>
      </c>
      <c r="B458" s="2" t="s">
        <v>623</v>
      </c>
      <c r="C458" s="2" t="s">
        <v>628</v>
      </c>
      <c r="D458" s="2" t="s">
        <v>2769</v>
      </c>
      <c r="E458" s="2" t="s">
        <v>1160</v>
      </c>
      <c r="F458" s="2" t="s">
        <v>1161</v>
      </c>
      <c r="G458" s="2" t="s">
        <v>2770</v>
      </c>
      <c r="H458" s="2" t="s">
        <v>2771</v>
      </c>
      <c r="I458" s="2" t="s">
        <v>1133</v>
      </c>
      <c r="J458" s="2" t="s">
        <v>2772</v>
      </c>
      <c r="K458" s="2" t="n">
        <v>8</v>
      </c>
      <c r="L458" s="2" t="n">
        <v>3666</v>
      </c>
      <c r="M458" s="2" t="n">
        <v>1119</v>
      </c>
      <c r="N458" s="2" t="n">
        <v>981</v>
      </c>
      <c r="O458" s="2" t="n">
        <v>2547</v>
      </c>
      <c r="P458" s="2" t="n">
        <v>0</v>
      </c>
      <c r="Q458" s="2" t="n">
        <v>0</v>
      </c>
      <c r="R458" s="2" t="n">
        <v>0</v>
      </c>
      <c r="S458" s="2" t="n">
        <v>53</v>
      </c>
      <c r="T458" s="2" t="n">
        <v>45</v>
      </c>
      <c r="U458" s="2" t="n">
        <v>0</v>
      </c>
      <c r="V458" s="2" t="n">
        <v>0</v>
      </c>
      <c r="W458" s="2" t="n">
        <v>0</v>
      </c>
      <c r="X458" s="2" t="n">
        <v>8</v>
      </c>
      <c r="Y458" s="2" t="n">
        <v>27</v>
      </c>
      <c r="Z458" s="2" t="n">
        <v>6</v>
      </c>
      <c r="AA458" s="2" t="n">
        <v>1</v>
      </c>
      <c r="AB458" s="2" t="n">
        <v>19</v>
      </c>
      <c r="AC458" s="2"/>
    </row>
    <row r="459" customFormat="false" ht="15" hidden="false" customHeight="false" outlineLevel="0" collapsed="false">
      <c r="A459" s="2" t="n">
        <v>56</v>
      </c>
      <c r="B459" s="2" t="s">
        <v>623</v>
      </c>
      <c r="C459" s="2" t="s">
        <v>628</v>
      </c>
      <c r="D459" s="2" t="s">
        <v>2773</v>
      </c>
      <c r="E459" s="2" t="s">
        <v>1160</v>
      </c>
      <c r="F459" s="2" t="s">
        <v>1161</v>
      </c>
      <c r="G459" s="2" t="s">
        <v>2774</v>
      </c>
      <c r="H459" s="2" t="s">
        <v>2775</v>
      </c>
      <c r="I459" s="2" t="s">
        <v>1133</v>
      </c>
      <c r="J459" s="2" t="s">
        <v>2776</v>
      </c>
      <c r="K459" s="2" t="n">
        <v>8</v>
      </c>
      <c r="L459" s="2" t="n">
        <v>3448</v>
      </c>
      <c r="M459" s="2" t="n">
        <v>1057</v>
      </c>
      <c r="N459" s="2" t="n">
        <v>921</v>
      </c>
      <c r="O459" s="2" t="n">
        <v>2391</v>
      </c>
      <c r="P459" s="2" t="n">
        <v>0</v>
      </c>
      <c r="Q459" s="2" t="n">
        <v>0</v>
      </c>
      <c r="R459" s="2" t="n">
        <v>0</v>
      </c>
      <c r="S459" s="2" t="n">
        <v>11</v>
      </c>
      <c r="T459" s="2" t="n">
        <v>6</v>
      </c>
      <c r="U459" s="2" t="n">
        <v>0</v>
      </c>
      <c r="V459" s="2" t="n">
        <v>0</v>
      </c>
      <c r="W459" s="2" t="n">
        <v>1</v>
      </c>
      <c r="X459" s="2" t="n">
        <v>4</v>
      </c>
      <c r="Y459" s="2" t="n">
        <v>11</v>
      </c>
      <c r="Z459" s="2" t="n">
        <v>0</v>
      </c>
      <c r="AA459" s="2" t="n">
        <v>0</v>
      </c>
      <c r="AB459" s="2" t="n">
        <v>0</v>
      </c>
      <c r="AC459" s="2"/>
    </row>
    <row r="460" customFormat="false" ht="15" hidden="false" customHeight="false" outlineLevel="0" collapsed="false">
      <c r="A460" s="2" t="n">
        <v>56</v>
      </c>
      <c r="B460" s="2" t="s">
        <v>623</v>
      </c>
      <c r="C460" s="2" t="s">
        <v>628</v>
      </c>
      <c r="D460" s="2" t="s">
        <v>2777</v>
      </c>
      <c r="E460" s="2" t="s">
        <v>1160</v>
      </c>
      <c r="F460" s="2" t="s">
        <v>1161</v>
      </c>
      <c r="G460" s="2" t="s">
        <v>2774</v>
      </c>
      <c r="H460" s="2" t="s">
        <v>2778</v>
      </c>
      <c r="I460" s="2" t="s">
        <v>1133</v>
      </c>
      <c r="J460" s="2" t="s">
        <v>2779</v>
      </c>
      <c r="K460" s="2" t="n">
        <v>3</v>
      </c>
      <c r="L460" s="2" t="n">
        <v>989</v>
      </c>
      <c r="M460" s="2" t="n">
        <v>495</v>
      </c>
      <c r="N460" s="2" t="n">
        <v>355</v>
      </c>
      <c r="O460" s="2" t="n">
        <v>494</v>
      </c>
      <c r="P460" s="2" t="n">
        <v>0</v>
      </c>
      <c r="Q460" s="2" t="n">
        <v>0</v>
      </c>
      <c r="R460" s="2" t="n">
        <v>0</v>
      </c>
      <c r="S460" s="2" t="n">
        <v>11</v>
      </c>
      <c r="T460" s="2" t="n">
        <v>10</v>
      </c>
      <c r="U460" s="2" t="n">
        <v>0</v>
      </c>
      <c r="V460" s="2" t="n">
        <v>0</v>
      </c>
      <c r="W460" s="2" t="n">
        <v>0</v>
      </c>
      <c r="X460" s="2" t="n">
        <v>1</v>
      </c>
      <c r="Y460" s="2" t="n">
        <v>4</v>
      </c>
      <c r="Z460" s="2" t="n">
        <v>4</v>
      </c>
      <c r="AA460" s="2" t="n">
        <v>0</v>
      </c>
      <c r="AB460" s="2" t="n">
        <v>3</v>
      </c>
      <c r="AC460" s="2"/>
    </row>
    <row r="461" customFormat="false" ht="15" hidden="false" customHeight="false" outlineLevel="0" collapsed="false">
      <c r="A461" s="2" t="n">
        <v>56</v>
      </c>
      <c r="B461" s="2" t="s">
        <v>623</v>
      </c>
      <c r="C461" s="2" t="s">
        <v>628</v>
      </c>
      <c r="D461" s="2" t="s">
        <v>2780</v>
      </c>
      <c r="E461" s="2" t="s">
        <v>1160</v>
      </c>
      <c r="F461" s="2" t="s">
        <v>1161</v>
      </c>
      <c r="G461" s="2" t="s">
        <v>2774</v>
      </c>
      <c r="H461" s="2" t="s">
        <v>2781</v>
      </c>
      <c r="I461" s="2" t="s">
        <v>1133</v>
      </c>
      <c r="J461" s="2" t="s">
        <v>2782</v>
      </c>
      <c r="K461" s="2" t="n">
        <v>7</v>
      </c>
      <c r="L461" s="2" t="n">
        <v>2251</v>
      </c>
      <c r="M461" s="2" t="n">
        <v>764</v>
      </c>
      <c r="N461" s="2" t="n">
        <v>626</v>
      </c>
      <c r="O461" s="2" t="n">
        <v>423</v>
      </c>
      <c r="P461" s="2" t="n">
        <v>1064</v>
      </c>
      <c r="Q461" s="2" t="n">
        <v>0</v>
      </c>
      <c r="R461" s="2" t="n">
        <v>0</v>
      </c>
      <c r="S461" s="2" t="n">
        <v>12</v>
      </c>
      <c r="T461" s="2" t="n">
        <v>11</v>
      </c>
      <c r="U461" s="2" t="n">
        <v>0</v>
      </c>
      <c r="V461" s="2" t="n">
        <v>0</v>
      </c>
      <c r="W461" s="2" t="n">
        <v>0</v>
      </c>
      <c r="X461" s="2" t="n">
        <v>1</v>
      </c>
      <c r="Y461" s="2" t="n">
        <v>7</v>
      </c>
      <c r="Z461" s="2" t="n">
        <v>0</v>
      </c>
      <c r="AA461" s="2" t="n">
        <v>0</v>
      </c>
      <c r="AB461" s="2" t="n">
        <v>5</v>
      </c>
      <c r="AC461" s="2"/>
    </row>
    <row r="462" customFormat="false" ht="15" hidden="false" customHeight="false" outlineLevel="0" collapsed="false">
      <c r="A462" s="2" t="n">
        <v>56</v>
      </c>
      <c r="B462" s="2" t="s">
        <v>623</v>
      </c>
      <c r="C462" s="2" t="s">
        <v>628</v>
      </c>
      <c r="D462" s="2" t="s">
        <v>2783</v>
      </c>
      <c r="E462" s="2" t="s">
        <v>1160</v>
      </c>
      <c r="F462" s="2" t="s">
        <v>1161</v>
      </c>
      <c r="G462" s="2" t="s">
        <v>1328</v>
      </c>
      <c r="H462" s="2" t="s">
        <v>2784</v>
      </c>
      <c r="I462" s="2" t="s">
        <v>1133</v>
      </c>
      <c r="J462" s="2" t="s">
        <v>2785</v>
      </c>
      <c r="K462" s="2" t="n">
        <v>12</v>
      </c>
      <c r="L462" s="2" t="n">
        <v>5258</v>
      </c>
      <c r="M462" s="2" t="n">
        <v>1410</v>
      </c>
      <c r="N462" s="2" t="n">
        <v>1252</v>
      </c>
      <c r="O462" s="2" t="n">
        <v>2172</v>
      </c>
      <c r="P462" s="2" t="n">
        <v>1676</v>
      </c>
      <c r="Q462" s="2" t="n">
        <v>0</v>
      </c>
      <c r="R462" s="2" t="n">
        <v>0</v>
      </c>
      <c r="S462" s="2" t="n">
        <v>29</v>
      </c>
      <c r="T462" s="2" t="n">
        <v>25</v>
      </c>
      <c r="U462" s="2" t="n">
        <v>1</v>
      </c>
      <c r="V462" s="2" t="n">
        <v>0</v>
      </c>
      <c r="W462" s="2" t="n">
        <v>3</v>
      </c>
      <c r="X462" s="2" t="n">
        <v>0</v>
      </c>
      <c r="Y462" s="2" t="n">
        <v>10</v>
      </c>
      <c r="Z462" s="2" t="n">
        <v>1</v>
      </c>
      <c r="AA462" s="2" t="n">
        <v>0</v>
      </c>
      <c r="AB462" s="2" t="n">
        <v>18</v>
      </c>
      <c r="AC462" s="2"/>
    </row>
    <row r="463" customFormat="false" ht="15" hidden="false" customHeight="false" outlineLevel="0" collapsed="false">
      <c r="A463" s="2" t="n">
        <v>56</v>
      </c>
      <c r="B463" s="2" t="s">
        <v>623</v>
      </c>
      <c r="C463" s="2" t="s">
        <v>628</v>
      </c>
      <c r="D463" s="2" t="s">
        <v>2786</v>
      </c>
      <c r="E463" s="2" t="s">
        <v>1160</v>
      </c>
      <c r="F463" s="2" t="s">
        <v>1161</v>
      </c>
      <c r="G463" s="2" t="s">
        <v>2532</v>
      </c>
      <c r="H463" s="2" t="s">
        <v>2787</v>
      </c>
      <c r="I463" s="2" t="s">
        <v>1133</v>
      </c>
      <c r="J463" s="2" t="s">
        <v>2788</v>
      </c>
      <c r="K463" s="2" t="n">
        <v>17</v>
      </c>
      <c r="L463" s="2" t="n">
        <v>9038</v>
      </c>
      <c r="M463" s="2" t="n">
        <v>2419</v>
      </c>
      <c r="N463" s="2" t="n">
        <v>2276</v>
      </c>
      <c r="O463" s="2" t="n">
        <v>6619</v>
      </c>
      <c r="P463" s="2" t="n">
        <v>0</v>
      </c>
      <c r="Q463" s="2" t="n">
        <v>0</v>
      </c>
      <c r="R463" s="2" t="n">
        <v>0</v>
      </c>
      <c r="S463" s="2" t="n">
        <v>39</v>
      </c>
      <c r="T463" s="2" t="n">
        <v>36</v>
      </c>
      <c r="U463" s="2" t="n">
        <v>1</v>
      </c>
      <c r="V463" s="2" t="n">
        <v>2</v>
      </c>
      <c r="W463" s="2" t="n">
        <v>0</v>
      </c>
      <c r="X463" s="2" t="n">
        <v>0</v>
      </c>
      <c r="Y463" s="2" t="n">
        <v>16</v>
      </c>
      <c r="Z463" s="2" t="n">
        <v>1</v>
      </c>
      <c r="AA463" s="2" t="n">
        <v>1</v>
      </c>
      <c r="AB463" s="2" t="n">
        <v>21</v>
      </c>
      <c r="AC463" s="2"/>
    </row>
    <row r="464" customFormat="false" ht="15" hidden="false" customHeight="false" outlineLevel="0" collapsed="false">
      <c r="A464" s="2" t="n">
        <v>56</v>
      </c>
      <c r="B464" s="2" t="s">
        <v>623</v>
      </c>
      <c r="C464" s="2" t="s">
        <v>628</v>
      </c>
      <c r="D464" s="2" t="s">
        <v>2789</v>
      </c>
      <c r="E464" s="2" t="s">
        <v>1160</v>
      </c>
      <c r="F464" s="2" t="s">
        <v>1161</v>
      </c>
      <c r="G464" s="2" t="s">
        <v>2532</v>
      </c>
      <c r="H464" s="2" t="s">
        <v>2790</v>
      </c>
      <c r="I464" s="2" t="s">
        <v>1133</v>
      </c>
      <c r="J464" s="2" t="s">
        <v>2791</v>
      </c>
      <c r="K464" s="2" t="n">
        <v>17</v>
      </c>
      <c r="L464" s="2" t="n">
        <v>9023</v>
      </c>
      <c r="M464" s="2" t="n">
        <v>2418</v>
      </c>
      <c r="N464" s="2" t="n">
        <v>2277</v>
      </c>
      <c r="O464" s="2" t="n">
        <v>6605</v>
      </c>
      <c r="P464" s="2" t="n">
        <v>0</v>
      </c>
      <c r="Q464" s="2" t="n">
        <v>0</v>
      </c>
      <c r="R464" s="2" t="n">
        <v>0</v>
      </c>
      <c r="S464" s="2" t="n">
        <v>39</v>
      </c>
      <c r="T464" s="2" t="n">
        <v>36</v>
      </c>
      <c r="U464" s="2" t="n">
        <v>1</v>
      </c>
      <c r="V464" s="2" t="n">
        <v>2</v>
      </c>
      <c r="W464" s="2" t="n">
        <v>0</v>
      </c>
      <c r="X464" s="2" t="n">
        <v>0</v>
      </c>
      <c r="Y464" s="2" t="n">
        <v>16</v>
      </c>
      <c r="Z464" s="2" t="n">
        <v>1</v>
      </c>
      <c r="AA464" s="2" t="n">
        <v>1</v>
      </c>
      <c r="AB464" s="2" t="n">
        <v>21</v>
      </c>
      <c r="AC464" s="2"/>
    </row>
    <row r="465" customFormat="false" ht="15" hidden="false" customHeight="false" outlineLevel="0" collapsed="false">
      <c r="A465" s="2" t="n">
        <v>56</v>
      </c>
      <c r="B465" s="2" t="s">
        <v>623</v>
      </c>
      <c r="C465" s="2" t="s">
        <v>628</v>
      </c>
      <c r="D465" s="2" t="s">
        <v>2792</v>
      </c>
      <c r="E465" s="2" t="s">
        <v>1160</v>
      </c>
      <c r="F465" s="2" t="s">
        <v>1161</v>
      </c>
      <c r="G465" s="2" t="s">
        <v>2793</v>
      </c>
      <c r="H465" s="2" t="s">
        <v>2794</v>
      </c>
      <c r="I465" s="2" t="s">
        <v>1133</v>
      </c>
      <c r="J465" s="2" t="s">
        <v>2795</v>
      </c>
      <c r="K465" s="2" t="n">
        <v>36</v>
      </c>
      <c r="L465" s="2" t="n">
        <v>14082</v>
      </c>
      <c r="M465" s="2" t="n">
        <v>2253</v>
      </c>
      <c r="N465" s="2" t="n">
        <v>2123</v>
      </c>
      <c r="O465" s="2" t="n">
        <v>2943</v>
      </c>
      <c r="P465" s="2" t="n">
        <v>8886</v>
      </c>
      <c r="Q465" s="2" t="n">
        <v>0</v>
      </c>
      <c r="R465" s="2" t="n">
        <v>0</v>
      </c>
      <c r="S465" s="2" t="n">
        <v>173</v>
      </c>
      <c r="T465" s="2" t="n">
        <v>166</v>
      </c>
      <c r="U465" s="2" t="n">
        <v>2</v>
      </c>
      <c r="V465" s="2" t="n">
        <v>2</v>
      </c>
      <c r="W465" s="2" t="n">
        <v>1</v>
      </c>
      <c r="X465" s="2" t="n">
        <v>2</v>
      </c>
      <c r="Y465" s="2" t="n">
        <v>87</v>
      </c>
      <c r="Z465" s="2" t="n">
        <v>3</v>
      </c>
      <c r="AA465" s="2" t="n">
        <v>2</v>
      </c>
      <c r="AB465" s="2" t="n">
        <v>81</v>
      </c>
      <c r="AC465" s="2"/>
    </row>
    <row r="466" customFormat="false" ht="15" hidden="false" customHeight="false" outlineLevel="0" collapsed="false">
      <c r="A466" s="2" t="n">
        <v>56</v>
      </c>
      <c r="B466" s="2" t="s">
        <v>623</v>
      </c>
      <c r="C466" s="2" t="s">
        <v>628</v>
      </c>
      <c r="D466" s="2" t="s">
        <v>2796</v>
      </c>
      <c r="E466" s="2" t="s">
        <v>1160</v>
      </c>
      <c r="F466" s="2" t="s">
        <v>1161</v>
      </c>
      <c r="G466" s="2" t="s">
        <v>2793</v>
      </c>
      <c r="H466" s="2" t="s">
        <v>2797</v>
      </c>
      <c r="I466" s="2" t="s">
        <v>1133</v>
      </c>
      <c r="J466" s="2" t="s">
        <v>2798</v>
      </c>
      <c r="K466" s="2" t="n">
        <v>10</v>
      </c>
      <c r="L466" s="2" t="n">
        <v>4963</v>
      </c>
      <c r="M466" s="2" t="n">
        <v>2056</v>
      </c>
      <c r="N466" s="2" t="n">
        <v>1925</v>
      </c>
      <c r="O466" s="2" t="n">
        <v>2907</v>
      </c>
      <c r="P466" s="2" t="n">
        <v>0</v>
      </c>
      <c r="Q466" s="2" t="n">
        <v>0</v>
      </c>
      <c r="R466" s="2" t="n">
        <v>0</v>
      </c>
      <c r="S466" s="2" t="n">
        <v>39</v>
      </c>
      <c r="T466" s="2" t="n">
        <v>32</v>
      </c>
      <c r="U466" s="2" t="n">
        <v>0</v>
      </c>
      <c r="V466" s="2" t="n">
        <v>0</v>
      </c>
      <c r="W466" s="2" t="n">
        <v>0</v>
      </c>
      <c r="X466" s="2" t="n">
        <v>7</v>
      </c>
      <c r="Y466" s="2" t="n">
        <v>16</v>
      </c>
      <c r="Z466" s="2" t="n">
        <v>0</v>
      </c>
      <c r="AA466" s="2" t="n">
        <v>1</v>
      </c>
      <c r="AB466" s="2" t="n">
        <v>22</v>
      </c>
      <c r="AC466" s="2"/>
    </row>
    <row r="467" customFormat="false" ht="15" hidden="false" customHeight="false" outlineLevel="0" collapsed="false">
      <c r="A467" s="2" t="n">
        <v>56</v>
      </c>
      <c r="B467" s="2" t="s">
        <v>623</v>
      </c>
      <c r="C467" s="2" t="s">
        <v>628</v>
      </c>
      <c r="D467" s="2" t="s">
        <v>2799</v>
      </c>
      <c r="E467" s="2" t="s">
        <v>1160</v>
      </c>
      <c r="F467" s="2" t="s">
        <v>1161</v>
      </c>
      <c r="G467" s="2" t="s">
        <v>2793</v>
      </c>
      <c r="H467" s="2" t="s">
        <v>2800</v>
      </c>
      <c r="I467" s="2" t="s">
        <v>1133</v>
      </c>
      <c r="J467" s="2" t="s">
        <v>2801</v>
      </c>
      <c r="K467" s="2" t="n">
        <v>10</v>
      </c>
      <c r="L467" s="2" t="n">
        <v>4813</v>
      </c>
      <c r="M467" s="2" t="n">
        <v>1621</v>
      </c>
      <c r="N467" s="2" t="n">
        <v>1476</v>
      </c>
      <c r="O467" s="2" t="n">
        <v>3192</v>
      </c>
      <c r="P467" s="2" t="n">
        <v>0</v>
      </c>
      <c r="Q467" s="2" t="n">
        <v>0</v>
      </c>
      <c r="R467" s="2" t="n">
        <v>0</v>
      </c>
      <c r="S467" s="2" t="n">
        <v>36</v>
      </c>
      <c r="T467" s="2" t="n">
        <v>29</v>
      </c>
      <c r="U467" s="2" t="n">
        <v>1</v>
      </c>
      <c r="V467" s="2" t="n">
        <v>0</v>
      </c>
      <c r="W467" s="2" t="n">
        <v>0</v>
      </c>
      <c r="X467" s="2" t="n">
        <v>6</v>
      </c>
      <c r="Y467" s="2" t="n">
        <v>22</v>
      </c>
      <c r="Z467" s="2" t="n">
        <v>0</v>
      </c>
      <c r="AA467" s="2" t="n">
        <v>0</v>
      </c>
      <c r="AB467" s="2" t="n">
        <v>14</v>
      </c>
      <c r="AC467" s="2"/>
    </row>
    <row r="468" customFormat="false" ht="15" hidden="false" customHeight="false" outlineLevel="0" collapsed="false">
      <c r="A468" s="2" t="n">
        <v>56</v>
      </c>
      <c r="B468" s="2" t="s">
        <v>623</v>
      </c>
      <c r="C468" s="2" t="s">
        <v>628</v>
      </c>
      <c r="D468" s="2" t="s">
        <v>2802</v>
      </c>
      <c r="E468" s="2" t="s">
        <v>1160</v>
      </c>
      <c r="F468" s="2" t="s">
        <v>1161</v>
      </c>
      <c r="G468" s="2" t="s">
        <v>2803</v>
      </c>
      <c r="H468" s="2" t="s">
        <v>2804</v>
      </c>
      <c r="I468" s="2" t="s">
        <v>1133</v>
      </c>
      <c r="J468" s="2" t="s">
        <v>2805</v>
      </c>
      <c r="K468" s="2" t="n">
        <v>13</v>
      </c>
      <c r="L468" s="2" t="n">
        <v>6009</v>
      </c>
      <c r="M468" s="2" t="n">
        <v>1924</v>
      </c>
      <c r="N468" s="2" t="n">
        <v>1764</v>
      </c>
      <c r="O468" s="2" t="n">
        <v>2342</v>
      </c>
      <c r="P468" s="2" t="n">
        <v>1743</v>
      </c>
      <c r="Q468" s="2" t="n">
        <v>0</v>
      </c>
      <c r="R468" s="2" t="n">
        <v>0</v>
      </c>
      <c r="S468" s="2" t="n">
        <v>40</v>
      </c>
      <c r="T468" s="2" t="n">
        <v>35</v>
      </c>
      <c r="U468" s="2" t="n">
        <v>0</v>
      </c>
      <c r="V468" s="2" t="n">
        <v>0</v>
      </c>
      <c r="W468" s="2" t="n">
        <v>1</v>
      </c>
      <c r="X468" s="2" t="n">
        <v>4</v>
      </c>
      <c r="Y468" s="2" t="n">
        <v>23</v>
      </c>
      <c r="Z468" s="2" t="n">
        <v>8</v>
      </c>
      <c r="AA468" s="2" t="n">
        <v>0</v>
      </c>
      <c r="AB468" s="2" t="n">
        <v>9</v>
      </c>
      <c r="AC468" s="2"/>
    </row>
    <row r="469" customFormat="false" ht="15" hidden="false" customHeight="false" outlineLevel="0" collapsed="false">
      <c r="A469" s="2" t="n">
        <v>56</v>
      </c>
      <c r="B469" s="2" t="s">
        <v>623</v>
      </c>
      <c r="C469" s="2" t="s">
        <v>628</v>
      </c>
      <c r="D469" s="2" t="s">
        <v>2806</v>
      </c>
      <c r="E469" s="2" t="s">
        <v>1160</v>
      </c>
      <c r="F469" s="2" t="s">
        <v>1161</v>
      </c>
      <c r="G469" s="2" t="s">
        <v>2807</v>
      </c>
      <c r="H469" s="2" t="s">
        <v>2808</v>
      </c>
      <c r="I469" s="2" t="s">
        <v>1133</v>
      </c>
      <c r="J469" s="2" t="s">
        <v>2809</v>
      </c>
      <c r="K469" s="2" t="n">
        <v>14</v>
      </c>
      <c r="L469" s="2" t="n">
        <v>7329</v>
      </c>
      <c r="M469" s="2" t="n">
        <v>1363</v>
      </c>
      <c r="N469" s="2" t="n">
        <v>1225</v>
      </c>
      <c r="O469" s="2" t="n">
        <v>5966</v>
      </c>
      <c r="P469" s="2" t="n">
        <v>0</v>
      </c>
      <c r="Q469" s="2" t="n">
        <v>0</v>
      </c>
      <c r="R469" s="2" t="n">
        <v>0</v>
      </c>
      <c r="S469" s="2" t="n">
        <v>35</v>
      </c>
      <c r="T469" s="2" t="n">
        <v>35</v>
      </c>
      <c r="U469" s="2" t="n">
        <v>0</v>
      </c>
      <c r="V469" s="2" t="n">
        <v>0</v>
      </c>
      <c r="W469" s="2" t="n">
        <v>0</v>
      </c>
      <c r="X469" s="2" t="n">
        <v>0</v>
      </c>
      <c r="Y469" s="2" t="n">
        <v>9</v>
      </c>
      <c r="Z469" s="2" t="n">
        <v>0</v>
      </c>
      <c r="AA469" s="2" t="n">
        <v>1</v>
      </c>
      <c r="AB469" s="2" t="n">
        <v>25</v>
      </c>
      <c r="AC469" s="2"/>
    </row>
    <row r="470" customFormat="false" ht="15" hidden="false" customHeight="false" outlineLevel="0" collapsed="false">
      <c r="A470" s="2" t="n">
        <v>56</v>
      </c>
      <c r="B470" s="2" t="s">
        <v>623</v>
      </c>
      <c r="C470" s="2" t="s">
        <v>628</v>
      </c>
      <c r="D470" s="2" t="s">
        <v>2810</v>
      </c>
      <c r="E470" s="2" t="s">
        <v>1154</v>
      </c>
      <c r="F470" s="2" t="s">
        <v>1155</v>
      </c>
      <c r="G470" s="2" t="s">
        <v>2807</v>
      </c>
      <c r="H470" s="2" t="s">
        <v>2811</v>
      </c>
      <c r="I470" s="2" t="s">
        <v>1133</v>
      </c>
      <c r="J470" s="2" t="s">
        <v>2812</v>
      </c>
      <c r="K470" s="2" t="n">
        <v>15</v>
      </c>
      <c r="L470" s="2" t="n">
        <v>5218</v>
      </c>
      <c r="M470" s="2" t="n">
        <v>557</v>
      </c>
      <c r="N470" s="2" t="n">
        <v>402</v>
      </c>
      <c r="O470" s="2" t="n">
        <v>539</v>
      </c>
      <c r="P470" s="2" t="n">
        <v>4122</v>
      </c>
      <c r="Q470" s="2" t="n">
        <v>0</v>
      </c>
      <c r="R470" s="2" t="n">
        <v>0</v>
      </c>
      <c r="S470" s="2" t="n">
        <v>13</v>
      </c>
      <c r="T470" s="2" t="n">
        <v>13</v>
      </c>
      <c r="U470" s="2" t="n">
        <v>0</v>
      </c>
      <c r="V470" s="2" t="n">
        <v>0</v>
      </c>
      <c r="W470" s="2" t="n">
        <v>0</v>
      </c>
      <c r="X470" s="2" t="n">
        <v>0</v>
      </c>
      <c r="Y470" s="2" t="n">
        <v>2</v>
      </c>
      <c r="Z470" s="2" t="n">
        <v>9</v>
      </c>
      <c r="AA470" s="2" t="n">
        <v>1</v>
      </c>
      <c r="AB470" s="2" t="n">
        <v>1</v>
      </c>
      <c r="AC470" s="2"/>
    </row>
    <row r="471" customFormat="false" ht="15" hidden="false" customHeight="false" outlineLevel="0" collapsed="false">
      <c r="A471" s="2" t="n">
        <v>56</v>
      </c>
      <c r="B471" s="2" t="s">
        <v>623</v>
      </c>
      <c r="C471" s="2" t="s">
        <v>628</v>
      </c>
      <c r="D471" s="2" t="s">
        <v>2813</v>
      </c>
      <c r="E471" s="2" t="s">
        <v>1160</v>
      </c>
      <c r="F471" s="2" t="s">
        <v>1161</v>
      </c>
      <c r="G471" s="2" t="s">
        <v>2814</v>
      </c>
      <c r="H471" s="2" t="s">
        <v>2815</v>
      </c>
      <c r="I471" s="2" t="s">
        <v>1133</v>
      </c>
      <c r="J471" s="2" t="s">
        <v>2816</v>
      </c>
      <c r="K471" s="2" t="n">
        <v>5</v>
      </c>
      <c r="L471" s="2" t="n">
        <v>1925</v>
      </c>
      <c r="M471" s="2" t="n">
        <v>720</v>
      </c>
      <c r="N471" s="2" t="n">
        <v>584</v>
      </c>
      <c r="O471" s="2" t="n">
        <v>1205</v>
      </c>
      <c r="P471" s="2" t="n">
        <v>0</v>
      </c>
      <c r="Q471" s="2" t="n">
        <v>0</v>
      </c>
      <c r="R471" s="2" t="n">
        <v>0</v>
      </c>
      <c r="S471" s="2" t="n">
        <v>25</v>
      </c>
      <c r="T471" s="2" t="n">
        <v>24</v>
      </c>
      <c r="U471" s="2" t="n">
        <v>0</v>
      </c>
      <c r="V471" s="2" t="n">
        <v>0</v>
      </c>
      <c r="W471" s="2" t="n">
        <v>0</v>
      </c>
      <c r="X471" s="2" t="n">
        <v>1</v>
      </c>
      <c r="Y471" s="2" t="n">
        <v>13</v>
      </c>
      <c r="Z471" s="2" t="n">
        <v>0</v>
      </c>
      <c r="AA471" s="2" t="n">
        <v>0</v>
      </c>
      <c r="AB471" s="2" t="n">
        <v>12</v>
      </c>
      <c r="AC471" s="2"/>
    </row>
    <row r="472" customFormat="false" ht="15" hidden="false" customHeight="false" outlineLevel="0" collapsed="false">
      <c r="A472" s="2" t="n">
        <v>57</v>
      </c>
      <c r="B472" s="2" t="s">
        <v>633</v>
      </c>
      <c r="C472" s="2" t="s">
        <v>637</v>
      </c>
      <c r="D472" s="2" t="s">
        <v>2817</v>
      </c>
      <c r="E472" s="2" t="s">
        <v>1160</v>
      </c>
      <c r="F472" s="2" t="s">
        <v>1161</v>
      </c>
      <c r="G472" s="2" t="s">
        <v>2693</v>
      </c>
      <c r="H472" s="2" t="s">
        <v>2818</v>
      </c>
      <c r="I472" s="2" t="s">
        <v>1133</v>
      </c>
      <c r="J472" s="2" t="s">
        <v>2819</v>
      </c>
      <c r="K472" s="2" t="n">
        <v>6</v>
      </c>
      <c r="L472" s="2" t="n">
        <v>3061</v>
      </c>
      <c r="M472" s="2" t="n">
        <v>984</v>
      </c>
      <c r="N472" s="2" t="n">
        <v>853</v>
      </c>
      <c r="O472" s="2" t="n">
        <v>2077</v>
      </c>
      <c r="P472" s="2" t="n">
        <v>0</v>
      </c>
      <c r="Q472" s="2" t="n">
        <v>0</v>
      </c>
      <c r="R472" s="2" t="n">
        <v>0</v>
      </c>
      <c r="S472" s="2" t="n">
        <v>13</v>
      </c>
      <c r="T472" s="2" t="n">
        <v>13</v>
      </c>
      <c r="U472" s="2" t="n">
        <v>0</v>
      </c>
      <c r="V472" s="2" t="n">
        <v>0</v>
      </c>
      <c r="W472" s="2" t="n">
        <v>0</v>
      </c>
      <c r="X472" s="2" t="n">
        <v>0</v>
      </c>
      <c r="Y472" s="2" t="n">
        <v>0</v>
      </c>
      <c r="Z472" s="2" t="n">
        <v>0</v>
      </c>
      <c r="AA472" s="2" t="n">
        <v>1</v>
      </c>
      <c r="AB472" s="2" t="n">
        <v>12</v>
      </c>
      <c r="AC472" s="2"/>
    </row>
    <row r="473" customFormat="false" ht="15" hidden="false" customHeight="false" outlineLevel="0" collapsed="false">
      <c r="A473" s="2" t="n">
        <v>57</v>
      </c>
      <c r="B473" s="2" t="s">
        <v>633</v>
      </c>
      <c r="C473" s="2" t="s">
        <v>637</v>
      </c>
      <c r="D473" s="2" t="s">
        <v>2820</v>
      </c>
      <c r="E473" s="2" t="s">
        <v>1160</v>
      </c>
      <c r="F473" s="2" t="s">
        <v>1161</v>
      </c>
      <c r="G473" s="2" t="s">
        <v>2693</v>
      </c>
      <c r="H473" s="2" t="s">
        <v>2821</v>
      </c>
      <c r="I473" s="2" t="s">
        <v>1133</v>
      </c>
      <c r="J473" s="2" t="s">
        <v>2822</v>
      </c>
      <c r="K473" s="2" t="n">
        <v>4</v>
      </c>
      <c r="L473" s="2" t="n">
        <v>2064</v>
      </c>
      <c r="M473" s="2" t="n">
        <v>798</v>
      </c>
      <c r="N473" s="2" t="n">
        <v>652</v>
      </c>
      <c r="O473" s="2" t="n">
        <v>1266</v>
      </c>
      <c r="P473" s="2" t="n">
        <v>0</v>
      </c>
      <c r="Q473" s="2" t="n">
        <v>0</v>
      </c>
      <c r="R473" s="2" t="n">
        <v>0</v>
      </c>
      <c r="S473" s="2" t="n">
        <v>26</v>
      </c>
      <c r="T473" s="2" t="n">
        <v>24</v>
      </c>
      <c r="U473" s="2" t="n">
        <v>2</v>
      </c>
      <c r="V473" s="2" t="n">
        <v>0</v>
      </c>
      <c r="W473" s="2" t="n">
        <v>0</v>
      </c>
      <c r="X473" s="2" t="n">
        <v>0</v>
      </c>
      <c r="Y473" s="2" t="n">
        <v>16</v>
      </c>
      <c r="Z473" s="2" t="n">
        <v>0</v>
      </c>
      <c r="AA473" s="2" t="n">
        <v>3</v>
      </c>
      <c r="AB473" s="2" t="n">
        <v>7</v>
      </c>
      <c r="AC473" s="2"/>
    </row>
    <row r="474" customFormat="false" ht="15" hidden="false" customHeight="false" outlineLevel="0" collapsed="false">
      <c r="A474" s="2" t="n">
        <v>57</v>
      </c>
      <c r="B474" s="2" t="s">
        <v>633</v>
      </c>
      <c r="C474" s="2" t="s">
        <v>637</v>
      </c>
      <c r="D474" s="2" t="s">
        <v>2823</v>
      </c>
      <c r="E474" s="2" t="s">
        <v>1160</v>
      </c>
      <c r="F474" s="2" t="s">
        <v>1161</v>
      </c>
      <c r="G474" s="2" t="s">
        <v>323</v>
      </c>
      <c r="H474" s="2" t="s">
        <v>2824</v>
      </c>
      <c r="I474" s="2" t="s">
        <v>1133</v>
      </c>
      <c r="J474" s="2" t="s">
        <v>2825</v>
      </c>
      <c r="K474" s="2" t="n">
        <v>9</v>
      </c>
      <c r="L474" s="2" t="n">
        <v>4285</v>
      </c>
      <c r="M474" s="2" t="n">
        <v>1680</v>
      </c>
      <c r="N474" s="2" t="n">
        <v>1533</v>
      </c>
      <c r="O474" s="2" t="n">
        <v>2605</v>
      </c>
      <c r="P474" s="2" t="n">
        <v>0</v>
      </c>
      <c r="Q474" s="2" t="n">
        <v>0</v>
      </c>
      <c r="R474" s="2" t="n">
        <v>0</v>
      </c>
      <c r="S474" s="2" t="n">
        <v>26</v>
      </c>
      <c r="T474" s="2" t="n">
        <v>25</v>
      </c>
      <c r="U474" s="2" t="n">
        <v>1</v>
      </c>
      <c r="V474" s="2" t="n">
        <v>0</v>
      </c>
      <c r="W474" s="2" t="n">
        <v>0</v>
      </c>
      <c r="X474" s="2" t="n">
        <v>0</v>
      </c>
      <c r="Y474" s="2" t="n">
        <v>19</v>
      </c>
      <c r="Z474" s="2" t="n">
        <v>2</v>
      </c>
      <c r="AA474" s="2" t="n">
        <v>0</v>
      </c>
      <c r="AB474" s="2" t="n">
        <v>5</v>
      </c>
      <c r="AC474" s="2"/>
    </row>
    <row r="475" customFormat="false" ht="15" hidden="false" customHeight="false" outlineLevel="0" collapsed="false">
      <c r="A475" s="2" t="n">
        <v>57</v>
      </c>
      <c r="B475" s="2" t="s">
        <v>633</v>
      </c>
      <c r="C475" s="2" t="s">
        <v>637</v>
      </c>
      <c r="D475" s="2" t="s">
        <v>2826</v>
      </c>
      <c r="E475" s="2" t="s">
        <v>1160</v>
      </c>
      <c r="F475" s="2" t="s">
        <v>1161</v>
      </c>
      <c r="G475" s="2" t="s">
        <v>323</v>
      </c>
      <c r="H475" s="2" t="s">
        <v>2827</v>
      </c>
      <c r="I475" s="2" t="s">
        <v>1133</v>
      </c>
      <c r="J475" s="2" t="s">
        <v>2828</v>
      </c>
      <c r="K475" s="2" t="n">
        <v>9</v>
      </c>
      <c r="L475" s="2" t="n">
        <v>4222</v>
      </c>
      <c r="M475" s="2" t="n">
        <v>1207</v>
      </c>
      <c r="N475" s="2" t="n">
        <v>1058</v>
      </c>
      <c r="O475" s="2" t="n">
        <v>3015</v>
      </c>
      <c r="P475" s="2" t="n">
        <v>0</v>
      </c>
      <c r="Q475" s="2" t="n">
        <v>0</v>
      </c>
      <c r="R475" s="2" t="n">
        <v>0</v>
      </c>
      <c r="S475" s="2" t="n">
        <v>53</v>
      </c>
      <c r="T475" s="2" t="n">
        <v>46</v>
      </c>
      <c r="U475" s="2" t="n">
        <v>1</v>
      </c>
      <c r="V475" s="2" t="n">
        <v>1</v>
      </c>
      <c r="W475" s="2" t="n">
        <v>0</v>
      </c>
      <c r="X475" s="2" t="n">
        <v>5</v>
      </c>
      <c r="Y475" s="2" t="n">
        <v>14</v>
      </c>
      <c r="Z475" s="2" t="n">
        <v>0</v>
      </c>
      <c r="AA475" s="2" t="n">
        <v>0</v>
      </c>
      <c r="AB475" s="2" t="n">
        <v>39</v>
      </c>
      <c r="AC475" s="2"/>
    </row>
    <row r="476" customFormat="false" ht="15" hidden="false" customHeight="false" outlineLevel="0" collapsed="false">
      <c r="A476" s="2" t="n">
        <v>57</v>
      </c>
      <c r="B476" s="2" t="s">
        <v>633</v>
      </c>
      <c r="C476" s="2" t="s">
        <v>637</v>
      </c>
      <c r="D476" s="2" t="s">
        <v>2829</v>
      </c>
      <c r="E476" s="2" t="s">
        <v>1160</v>
      </c>
      <c r="F476" s="2" t="s">
        <v>1161</v>
      </c>
      <c r="G476" s="2" t="s">
        <v>323</v>
      </c>
      <c r="H476" s="2" t="s">
        <v>2830</v>
      </c>
      <c r="I476" s="2" t="s">
        <v>1133</v>
      </c>
      <c r="J476" s="2" t="s">
        <v>2831</v>
      </c>
      <c r="K476" s="2" t="n">
        <v>37</v>
      </c>
      <c r="L476" s="2" t="n">
        <v>17340</v>
      </c>
      <c r="M476" s="2" t="n">
        <v>3428</v>
      </c>
      <c r="N476" s="2" t="n">
        <v>3285</v>
      </c>
      <c r="O476" s="2" t="n">
        <v>13912</v>
      </c>
      <c r="P476" s="2" t="n">
        <v>0</v>
      </c>
      <c r="Q476" s="2" t="n">
        <v>0</v>
      </c>
      <c r="R476" s="2" t="n">
        <v>0</v>
      </c>
      <c r="S476" s="2" t="n">
        <v>205</v>
      </c>
      <c r="T476" s="2" t="n">
        <v>181</v>
      </c>
      <c r="U476" s="2" t="n">
        <v>4</v>
      </c>
      <c r="V476" s="2" t="n">
        <v>1</v>
      </c>
      <c r="W476" s="2" t="n">
        <v>4</v>
      </c>
      <c r="X476" s="2" t="n">
        <v>15</v>
      </c>
      <c r="Y476" s="2" t="n">
        <v>126</v>
      </c>
      <c r="Z476" s="2" t="n">
        <v>0</v>
      </c>
      <c r="AA476" s="2" t="n">
        <v>0</v>
      </c>
      <c r="AB476" s="2" t="n">
        <v>79</v>
      </c>
      <c r="AC476" s="2"/>
    </row>
    <row r="477" customFormat="false" ht="15" hidden="false" customHeight="false" outlineLevel="0" collapsed="false">
      <c r="A477" s="2" t="n">
        <v>57</v>
      </c>
      <c r="B477" s="2" t="s">
        <v>633</v>
      </c>
      <c r="C477" s="2" t="s">
        <v>637</v>
      </c>
      <c r="D477" s="2" t="s">
        <v>2832</v>
      </c>
      <c r="E477" s="2" t="s">
        <v>1160</v>
      </c>
      <c r="F477" s="2" t="s">
        <v>1161</v>
      </c>
      <c r="G477" s="2" t="s">
        <v>126</v>
      </c>
      <c r="H477" s="2" t="s">
        <v>2833</v>
      </c>
      <c r="I477" s="2" t="s">
        <v>1133</v>
      </c>
      <c r="J477" s="2" t="s">
        <v>2834</v>
      </c>
      <c r="K477" s="2" t="n">
        <v>5</v>
      </c>
      <c r="L477" s="2" t="n">
        <v>2155</v>
      </c>
      <c r="M477" s="2" t="n">
        <v>745</v>
      </c>
      <c r="N477" s="2" t="n">
        <v>593</v>
      </c>
      <c r="O477" s="2" t="n">
        <v>1410</v>
      </c>
      <c r="P477" s="2" t="n">
        <v>0</v>
      </c>
      <c r="Q477" s="2" t="n">
        <v>0</v>
      </c>
      <c r="R477" s="2" t="n">
        <v>0</v>
      </c>
      <c r="S477" s="2" t="n">
        <v>11</v>
      </c>
      <c r="T477" s="2" t="n">
        <v>11</v>
      </c>
      <c r="U477" s="2" t="n">
        <v>0</v>
      </c>
      <c r="V477" s="2" t="n">
        <v>0</v>
      </c>
      <c r="W477" s="2" t="n">
        <v>0</v>
      </c>
      <c r="X477" s="2" t="n">
        <v>0</v>
      </c>
      <c r="Y477" s="2" t="n">
        <v>6</v>
      </c>
      <c r="Z477" s="2" t="n">
        <v>1</v>
      </c>
      <c r="AA477" s="2" t="n">
        <v>0</v>
      </c>
      <c r="AB477" s="2" t="n">
        <v>4</v>
      </c>
      <c r="AC477" s="2"/>
    </row>
    <row r="478" customFormat="false" ht="15" hidden="false" customHeight="false" outlineLevel="0" collapsed="false">
      <c r="A478" s="2" t="n">
        <v>57</v>
      </c>
      <c r="B478" s="2" t="s">
        <v>633</v>
      </c>
      <c r="C478" s="2" t="s">
        <v>637</v>
      </c>
      <c r="D478" s="2" t="s">
        <v>2835</v>
      </c>
      <c r="E478" s="2" t="s">
        <v>1154</v>
      </c>
      <c r="F478" s="2" t="s">
        <v>1155</v>
      </c>
      <c r="G478" s="2" t="s">
        <v>126</v>
      </c>
      <c r="H478" s="2" t="s">
        <v>2836</v>
      </c>
      <c r="I478" s="2" t="s">
        <v>1133</v>
      </c>
      <c r="J478" s="2" t="s">
        <v>2837</v>
      </c>
      <c r="K478" s="2" t="n">
        <v>44</v>
      </c>
      <c r="L478" s="2" t="n">
        <v>12925</v>
      </c>
      <c r="M478" s="2" t="n">
        <v>782</v>
      </c>
      <c r="N478" s="2" t="n">
        <v>634</v>
      </c>
      <c r="O478" s="2" t="n">
        <v>1197</v>
      </c>
      <c r="P478" s="2" t="n">
        <v>10946</v>
      </c>
      <c r="Q478" s="2" t="n">
        <v>0</v>
      </c>
      <c r="R478" s="2" t="n">
        <v>0</v>
      </c>
      <c r="S478" s="2" t="n">
        <v>105</v>
      </c>
      <c r="T478" s="2" t="n">
        <v>94</v>
      </c>
      <c r="U478" s="2" t="n">
        <v>1</v>
      </c>
      <c r="V478" s="2" t="n">
        <v>1</v>
      </c>
      <c r="W478" s="2" t="n">
        <v>7</v>
      </c>
      <c r="X478" s="2" t="n">
        <v>2</v>
      </c>
      <c r="Y478" s="2" t="n">
        <v>83</v>
      </c>
      <c r="Z478" s="2" t="n">
        <v>2</v>
      </c>
      <c r="AA478" s="2" t="n">
        <v>0</v>
      </c>
      <c r="AB478" s="2" t="n">
        <v>20</v>
      </c>
      <c r="AC478" s="2"/>
    </row>
    <row r="479" customFormat="false" ht="15" hidden="false" customHeight="false" outlineLevel="0" collapsed="false">
      <c r="A479" s="2" t="n">
        <v>57</v>
      </c>
      <c r="B479" s="2" t="s">
        <v>633</v>
      </c>
      <c r="C479" s="2" t="s">
        <v>637</v>
      </c>
      <c r="D479" s="2" t="s">
        <v>2838</v>
      </c>
      <c r="E479" s="2" t="s">
        <v>1160</v>
      </c>
      <c r="F479" s="2" t="s">
        <v>1161</v>
      </c>
      <c r="G479" s="2" t="s">
        <v>2839</v>
      </c>
      <c r="H479" s="2" t="s">
        <v>2840</v>
      </c>
      <c r="I479" s="2" t="s">
        <v>1133</v>
      </c>
      <c r="J479" s="2" t="s">
        <v>2841</v>
      </c>
      <c r="K479" s="2" t="n">
        <v>10</v>
      </c>
      <c r="L479" s="2" t="n">
        <v>4211</v>
      </c>
      <c r="M479" s="2" t="n">
        <v>1107</v>
      </c>
      <c r="N479" s="2" t="n">
        <v>974</v>
      </c>
      <c r="O479" s="2" t="n">
        <v>2530</v>
      </c>
      <c r="P479" s="2" t="n">
        <v>574</v>
      </c>
      <c r="Q479" s="2" t="n">
        <v>0</v>
      </c>
      <c r="R479" s="2" t="n">
        <v>0</v>
      </c>
      <c r="S479" s="2" t="n">
        <v>17</v>
      </c>
      <c r="T479" s="2" t="n">
        <v>17</v>
      </c>
      <c r="U479" s="2" t="n">
        <v>0</v>
      </c>
      <c r="V479" s="2" t="n">
        <v>0</v>
      </c>
      <c r="W479" s="2" t="n">
        <v>0</v>
      </c>
      <c r="X479" s="2" t="n">
        <v>0</v>
      </c>
      <c r="Y479" s="2" t="n">
        <v>9</v>
      </c>
      <c r="Z479" s="2" t="n">
        <v>4</v>
      </c>
      <c r="AA479" s="2" t="n">
        <v>0</v>
      </c>
      <c r="AB479" s="2" t="n">
        <v>4</v>
      </c>
      <c r="AC479" s="2"/>
    </row>
    <row r="480" customFormat="false" ht="15" hidden="false" customHeight="false" outlineLevel="0" collapsed="false">
      <c r="A480" s="2" t="n">
        <v>57</v>
      </c>
      <c r="B480" s="2" t="s">
        <v>633</v>
      </c>
      <c r="C480" s="2" t="s">
        <v>637</v>
      </c>
      <c r="D480" s="2" t="s">
        <v>2842</v>
      </c>
      <c r="E480" s="2" t="s">
        <v>1154</v>
      </c>
      <c r="F480" s="2" t="s">
        <v>1155</v>
      </c>
      <c r="G480" s="2" t="s">
        <v>2763</v>
      </c>
      <c r="H480" s="2" t="s">
        <v>2843</v>
      </c>
      <c r="I480" s="2" t="s">
        <v>1133</v>
      </c>
      <c r="J480" s="2" t="s">
        <v>2844</v>
      </c>
      <c r="K480" s="2" t="n">
        <v>43</v>
      </c>
      <c r="L480" s="2" t="n">
        <v>15339</v>
      </c>
      <c r="M480" s="2" t="n">
        <v>1743</v>
      </c>
      <c r="N480" s="2" t="n">
        <v>1609</v>
      </c>
      <c r="O480" s="2" t="n">
        <v>1306</v>
      </c>
      <c r="P480" s="2" t="n">
        <v>12290</v>
      </c>
      <c r="Q480" s="2" t="n">
        <v>0</v>
      </c>
      <c r="R480" s="2" t="n">
        <v>0</v>
      </c>
      <c r="S480" s="2" t="n">
        <v>211</v>
      </c>
      <c r="T480" s="2" t="n">
        <v>107</v>
      </c>
      <c r="U480" s="2" t="n">
        <v>2</v>
      </c>
      <c r="V480" s="2" t="n">
        <v>2</v>
      </c>
      <c r="W480" s="2" t="n">
        <v>95</v>
      </c>
      <c r="X480" s="2" t="n">
        <v>5</v>
      </c>
      <c r="Y480" s="2" t="n">
        <v>63</v>
      </c>
      <c r="Z480" s="2" t="n">
        <v>0</v>
      </c>
      <c r="AA480" s="2" t="n">
        <v>0</v>
      </c>
      <c r="AB480" s="2" t="n">
        <v>148</v>
      </c>
      <c r="AC480" s="2"/>
    </row>
    <row r="481" customFormat="false" ht="15" hidden="false" customHeight="false" outlineLevel="0" collapsed="false">
      <c r="A481" s="2" t="n">
        <v>57</v>
      </c>
      <c r="B481" s="2" t="s">
        <v>633</v>
      </c>
      <c r="C481" s="2" t="s">
        <v>637</v>
      </c>
      <c r="D481" s="2" t="s">
        <v>2845</v>
      </c>
      <c r="E481" s="2" t="s">
        <v>1160</v>
      </c>
      <c r="F481" s="2" t="s">
        <v>1161</v>
      </c>
      <c r="G481" s="2" t="s">
        <v>2774</v>
      </c>
      <c r="H481" s="2" t="s">
        <v>2846</v>
      </c>
      <c r="I481" s="2" t="s">
        <v>1133</v>
      </c>
      <c r="J481" s="2" t="s">
        <v>2847</v>
      </c>
      <c r="K481" s="2" t="n">
        <v>6</v>
      </c>
      <c r="L481" s="2" t="n">
        <v>2843</v>
      </c>
      <c r="M481" s="2" t="n">
        <v>1287</v>
      </c>
      <c r="N481" s="2" t="n">
        <v>1130</v>
      </c>
      <c r="O481" s="2" t="n">
        <v>1556</v>
      </c>
      <c r="P481" s="2" t="n">
        <v>0</v>
      </c>
      <c r="Q481" s="2" t="n">
        <v>0</v>
      </c>
      <c r="R481" s="2" t="n">
        <v>0</v>
      </c>
      <c r="S481" s="2" t="n">
        <v>23</v>
      </c>
      <c r="T481" s="2" t="n">
        <v>21</v>
      </c>
      <c r="U481" s="2" t="n">
        <v>0</v>
      </c>
      <c r="V481" s="2" t="n">
        <v>1</v>
      </c>
      <c r="W481" s="2" t="n">
        <v>0</v>
      </c>
      <c r="X481" s="2" t="n">
        <v>1</v>
      </c>
      <c r="Y481" s="2" t="n">
        <v>1</v>
      </c>
      <c r="Z481" s="2" t="n">
        <v>7</v>
      </c>
      <c r="AA481" s="2" t="n">
        <v>0</v>
      </c>
      <c r="AB481" s="2" t="n">
        <v>15</v>
      </c>
      <c r="AC481" s="2"/>
    </row>
    <row r="482" customFormat="false" ht="15" hidden="false" customHeight="false" outlineLevel="0" collapsed="false">
      <c r="A482" s="2" t="n">
        <v>57</v>
      </c>
      <c r="B482" s="2" t="s">
        <v>633</v>
      </c>
      <c r="C482" s="2" t="s">
        <v>637</v>
      </c>
      <c r="D482" s="2" t="s">
        <v>2848</v>
      </c>
      <c r="E482" s="2" t="s">
        <v>1160</v>
      </c>
      <c r="F482" s="2" t="s">
        <v>1161</v>
      </c>
      <c r="G482" s="2" t="s">
        <v>2849</v>
      </c>
      <c r="H482" s="2" t="s">
        <v>2850</v>
      </c>
      <c r="I482" s="2" t="s">
        <v>1133</v>
      </c>
      <c r="J482" s="2" t="s">
        <v>2851</v>
      </c>
      <c r="K482" s="2" t="n">
        <v>29</v>
      </c>
      <c r="L482" s="2" t="n">
        <v>12712</v>
      </c>
      <c r="M482" s="2" t="n">
        <v>3629</v>
      </c>
      <c r="N482" s="2" t="n">
        <v>3439</v>
      </c>
      <c r="O482" s="2" t="n">
        <v>7473</v>
      </c>
      <c r="P482" s="2" t="n">
        <v>1610</v>
      </c>
      <c r="Q482" s="2" t="n">
        <v>0</v>
      </c>
      <c r="R482" s="2" t="n">
        <v>0</v>
      </c>
      <c r="S482" s="2" t="n">
        <v>121</v>
      </c>
      <c r="T482" s="2" t="n">
        <v>114</v>
      </c>
      <c r="U482" s="2" t="n">
        <v>4</v>
      </c>
      <c r="V482" s="2" t="n">
        <v>0</v>
      </c>
      <c r="W482" s="2" t="n">
        <v>1</v>
      </c>
      <c r="X482" s="2" t="n">
        <v>2</v>
      </c>
      <c r="Y482" s="2" t="n">
        <v>36</v>
      </c>
      <c r="Z482" s="2" t="n">
        <v>37</v>
      </c>
      <c r="AA482" s="2" t="n">
        <v>0</v>
      </c>
      <c r="AB482" s="2" t="n">
        <v>48</v>
      </c>
      <c r="AC482" s="2"/>
    </row>
    <row r="483" customFormat="false" ht="15" hidden="false" customHeight="false" outlineLevel="0" collapsed="false">
      <c r="A483" s="2" t="n">
        <v>57</v>
      </c>
      <c r="B483" s="2" t="s">
        <v>633</v>
      </c>
      <c r="C483" s="2" t="s">
        <v>637</v>
      </c>
      <c r="D483" s="2" t="s">
        <v>2852</v>
      </c>
      <c r="E483" s="2" t="s">
        <v>1160</v>
      </c>
      <c r="F483" s="2" t="s">
        <v>1161</v>
      </c>
      <c r="G483" s="2" t="s">
        <v>2853</v>
      </c>
      <c r="H483" s="2" t="s">
        <v>2854</v>
      </c>
      <c r="I483" s="2" t="s">
        <v>1133</v>
      </c>
      <c r="J483" s="2" t="s">
        <v>2855</v>
      </c>
      <c r="K483" s="2" t="n">
        <v>7</v>
      </c>
      <c r="L483" s="2" t="n">
        <v>3421</v>
      </c>
      <c r="M483" s="2" t="n">
        <v>1228</v>
      </c>
      <c r="N483" s="2" t="n">
        <v>1085</v>
      </c>
      <c r="O483" s="2" t="n">
        <v>2193</v>
      </c>
      <c r="P483" s="2" t="n">
        <v>0</v>
      </c>
      <c r="Q483" s="2" t="n">
        <v>0</v>
      </c>
      <c r="R483" s="2" t="n">
        <v>0</v>
      </c>
      <c r="S483" s="2" t="n">
        <v>17</v>
      </c>
      <c r="T483" s="2" t="n">
        <v>11</v>
      </c>
      <c r="U483" s="2" t="n">
        <v>1</v>
      </c>
      <c r="V483" s="2" t="n">
        <v>2</v>
      </c>
      <c r="W483" s="2" t="n">
        <v>2</v>
      </c>
      <c r="X483" s="2" t="n">
        <v>1</v>
      </c>
      <c r="Y483" s="2" t="n">
        <v>11</v>
      </c>
      <c r="Z483" s="2" t="n">
        <v>0</v>
      </c>
      <c r="AA483" s="2" t="n">
        <v>0</v>
      </c>
      <c r="AB483" s="2" t="n">
        <v>6</v>
      </c>
      <c r="AC483" s="2"/>
    </row>
    <row r="484" customFormat="false" ht="15" hidden="false" customHeight="false" outlineLevel="0" collapsed="false">
      <c r="A484" s="2" t="n">
        <v>58</v>
      </c>
      <c r="B484" s="2" t="s">
        <v>641</v>
      </c>
      <c r="C484" s="2" t="s">
        <v>646</v>
      </c>
      <c r="D484" s="2" t="s">
        <v>2856</v>
      </c>
      <c r="E484" s="2" t="s">
        <v>1154</v>
      </c>
      <c r="F484" s="2" t="s">
        <v>1155</v>
      </c>
      <c r="G484" s="2" t="s">
        <v>2857</v>
      </c>
      <c r="H484" s="2" t="s">
        <v>2858</v>
      </c>
      <c r="I484" s="2" t="s">
        <v>1133</v>
      </c>
      <c r="J484" s="2" t="s">
        <v>2859</v>
      </c>
      <c r="K484" s="2" t="n">
        <v>4</v>
      </c>
      <c r="L484" s="2" t="n">
        <v>524</v>
      </c>
      <c r="M484" s="2" t="n">
        <v>186</v>
      </c>
      <c r="N484" s="2" t="n">
        <v>75</v>
      </c>
      <c r="O484" s="2" t="n">
        <v>72</v>
      </c>
      <c r="P484" s="2" t="n">
        <v>266</v>
      </c>
      <c r="Q484" s="2" t="n">
        <v>0</v>
      </c>
      <c r="R484" s="2" t="n">
        <v>0</v>
      </c>
      <c r="S484" s="2" t="n">
        <v>7</v>
      </c>
      <c r="T484" s="2" t="n">
        <v>7</v>
      </c>
      <c r="U484" s="2" t="n">
        <v>0</v>
      </c>
      <c r="V484" s="2" t="n">
        <v>0</v>
      </c>
      <c r="W484" s="2" t="n">
        <v>0</v>
      </c>
      <c r="X484" s="2" t="n">
        <v>0</v>
      </c>
      <c r="Y484" s="2" t="n">
        <v>0</v>
      </c>
      <c r="Z484" s="2" t="n">
        <v>0</v>
      </c>
      <c r="AA484" s="2" t="n">
        <v>0</v>
      </c>
      <c r="AB484" s="2" t="n">
        <v>7</v>
      </c>
      <c r="AC484" s="2"/>
    </row>
    <row r="485" customFormat="false" ht="15" hidden="false" customHeight="false" outlineLevel="0" collapsed="false">
      <c r="A485" s="2" t="n">
        <v>59</v>
      </c>
      <c r="B485" s="2" t="s">
        <v>650</v>
      </c>
      <c r="C485" s="2" t="s">
        <v>656</v>
      </c>
      <c r="D485" s="2" t="s">
        <v>2860</v>
      </c>
      <c r="E485" s="2" t="s">
        <v>1154</v>
      </c>
      <c r="F485" s="2" t="s">
        <v>1155</v>
      </c>
      <c r="G485" s="2" t="s">
        <v>2861</v>
      </c>
      <c r="H485" s="2" t="s">
        <v>2862</v>
      </c>
      <c r="I485" s="2" t="s">
        <v>1133</v>
      </c>
      <c r="J485" s="2" t="s">
        <v>2863</v>
      </c>
      <c r="K485" s="2" t="n">
        <v>14</v>
      </c>
      <c r="L485" s="2" t="n">
        <v>6718</v>
      </c>
      <c r="M485" s="2" t="n">
        <v>1015</v>
      </c>
      <c r="N485" s="2" t="n">
        <v>871</v>
      </c>
      <c r="O485" s="2" t="n">
        <v>3717</v>
      </c>
      <c r="P485" s="2" t="n">
        <v>1986</v>
      </c>
      <c r="Q485" s="2" t="n">
        <v>0</v>
      </c>
      <c r="R485" s="2" t="n">
        <v>0</v>
      </c>
      <c r="S485" s="2" t="n">
        <v>72</v>
      </c>
      <c r="T485" s="2" t="n">
        <v>59</v>
      </c>
      <c r="U485" s="2" t="n">
        <v>9</v>
      </c>
      <c r="V485" s="2" t="n">
        <v>4</v>
      </c>
      <c r="W485" s="2" t="n">
        <v>0</v>
      </c>
      <c r="X485" s="2" t="n">
        <v>0</v>
      </c>
      <c r="Y485" s="2" t="n">
        <v>11</v>
      </c>
      <c r="Z485" s="2" t="n">
        <v>0</v>
      </c>
      <c r="AA485" s="2" t="n">
        <v>25</v>
      </c>
      <c r="AB485" s="2" t="n">
        <v>36</v>
      </c>
      <c r="AC485" s="2"/>
    </row>
    <row r="486" customFormat="false" ht="15" hidden="false" customHeight="false" outlineLevel="0" collapsed="false">
      <c r="A486" s="2" t="n">
        <v>60</v>
      </c>
      <c r="B486" s="2" t="s">
        <v>660</v>
      </c>
      <c r="C486" s="2" t="s">
        <v>664</v>
      </c>
      <c r="D486" s="2" t="s">
        <v>2864</v>
      </c>
      <c r="E486" s="2" t="s">
        <v>1160</v>
      </c>
      <c r="F486" s="2" t="s">
        <v>1161</v>
      </c>
      <c r="G486" s="2" t="s">
        <v>2865</v>
      </c>
      <c r="H486" s="2" t="s">
        <v>2866</v>
      </c>
      <c r="I486" s="2" t="s">
        <v>1133</v>
      </c>
      <c r="J486" s="2" t="s">
        <v>2867</v>
      </c>
      <c r="K486" s="2" t="n">
        <v>10</v>
      </c>
      <c r="L486" s="2" t="n">
        <v>4999</v>
      </c>
      <c r="M486" s="2" t="n">
        <v>2075</v>
      </c>
      <c r="N486" s="2" t="n">
        <v>1950</v>
      </c>
      <c r="O486" s="2" t="n">
        <v>2499</v>
      </c>
      <c r="P486" s="2" t="n">
        <v>425</v>
      </c>
      <c r="Q486" s="2" t="n">
        <v>0</v>
      </c>
      <c r="R486" s="2" t="n">
        <v>0</v>
      </c>
      <c r="S486" s="2" t="n">
        <v>38</v>
      </c>
      <c r="T486" s="2" t="n">
        <v>36</v>
      </c>
      <c r="U486" s="2" t="n">
        <v>2</v>
      </c>
      <c r="V486" s="2" t="n">
        <v>0</v>
      </c>
      <c r="W486" s="2" t="n">
        <v>0</v>
      </c>
      <c r="X486" s="2" t="n">
        <v>0</v>
      </c>
      <c r="Y486" s="2" t="n">
        <v>7</v>
      </c>
      <c r="Z486" s="2" t="n">
        <v>0</v>
      </c>
      <c r="AA486" s="2" t="n">
        <v>10</v>
      </c>
      <c r="AB486" s="2" t="n">
        <v>21</v>
      </c>
      <c r="AC486" s="2"/>
    </row>
    <row r="487" customFormat="false" ht="15" hidden="false" customHeight="false" outlineLevel="0" collapsed="false">
      <c r="A487" s="2" t="n">
        <v>60</v>
      </c>
      <c r="B487" s="2" t="s">
        <v>660</v>
      </c>
      <c r="C487" s="2" t="s">
        <v>664</v>
      </c>
      <c r="D487" s="2" t="s">
        <v>2868</v>
      </c>
      <c r="E487" s="2" t="s">
        <v>1154</v>
      </c>
      <c r="F487" s="2" t="s">
        <v>1155</v>
      </c>
      <c r="G487" s="2" t="s">
        <v>2869</v>
      </c>
      <c r="H487" s="2" t="s">
        <v>2870</v>
      </c>
      <c r="I487" s="2" t="s">
        <v>1133</v>
      </c>
      <c r="J487" s="2" t="s">
        <v>2871</v>
      </c>
      <c r="K487" s="2" t="n">
        <v>9</v>
      </c>
      <c r="L487" s="2" t="n">
        <v>4870</v>
      </c>
      <c r="M487" s="2" t="n">
        <v>1221</v>
      </c>
      <c r="N487" s="2" t="n">
        <v>1090</v>
      </c>
      <c r="O487" s="2" t="n">
        <v>3421</v>
      </c>
      <c r="P487" s="2" t="n">
        <v>228</v>
      </c>
      <c r="Q487" s="2" t="n">
        <v>0</v>
      </c>
      <c r="R487" s="2" t="n">
        <v>0</v>
      </c>
      <c r="S487" s="2" t="n">
        <v>60</v>
      </c>
      <c r="T487" s="2" t="n">
        <v>46</v>
      </c>
      <c r="U487" s="2" t="n">
        <v>10</v>
      </c>
      <c r="V487" s="2" t="n">
        <v>3</v>
      </c>
      <c r="W487" s="2" t="n">
        <v>0</v>
      </c>
      <c r="X487" s="2" t="n">
        <v>1</v>
      </c>
      <c r="Y487" s="2" t="n">
        <v>8</v>
      </c>
      <c r="Z487" s="2" t="n">
        <v>0</v>
      </c>
      <c r="AA487" s="2" t="n">
        <v>25</v>
      </c>
      <c r="AB487" s="2" t="n">
        <v>27</v>
      </c>
      <c r="AC487" s="2"/>
    </row>
    <row r="488" customFormat="false" ht="15" hidden="false" customHeight="false" outlineLevel="0" collapsed="false">
      <c r="A488" s="2" t="n">
        <v>60</v>
      </c>
      <c r="B488" s="2" t="s">
        <v>660</v>
      </c>
      <c r="C488" s="2" t="s">
        <v>664</v>
      </c>
      <c r="D488" s="2" t="s">
        <v>2872</v>
      </c>
      <c r="E488" s="2" t="s">
        <v>1160</v>
      </c>
      <c r="F488" s="2" t="s">
        <v>1161</v>
      </c>
      <c r="G488" s="2" t="s">
        <v>2873</v>
      </c>
      <c r="H488" s="2" t="s">
        <v>2874</v>
      </c>
      <c r="I488" s="2" t="s">
        <v>1133</v>
      </c>
      <c r="J488" s="2" t="s">
        <v>2875</v>
      </c>
      <c r="K488" s="2" t="n">
        <v>31</v>
      </c>
      <c r="L488" s="2" t="n">
        <v>11958</v>
      </c>
      <c r="M488" s="2" t="n">
        <v>5358</v>
      </c>
      <c r="N488" s="2" t="n">
        <v>5243</v>
      </c>
      <c r="O488" s="2" t="n">
        <v>5891</v>
      </c>
      <c r="P488" s="2" t="n">
        <v>709</v>
      </c>
      <c r="Q488" s="2" t="n">
        <v>0</v>
      </c>
      <c r="R488" s="2" t="n">
        <v>0</v>
      </c>
      <c r="S488" s="2" t="n">
        <v>58</v>
      </c>
      <c r="T488" s="2" t="n">
        <v>58</v>
      </c>
      <c r="U488" s="2" t="n">
        <v>0</v>
      </c>
      <c r="V488" s="2" t="n">
        <v>0</v>
      </c>
      <c r="W488" s="2" t="n">
        <v>0</v>
      </c>
      <c r="X488" s="2" t="n">
        <v>0</v>
      </c>
      <c r="Y488" s="2" t="n">
        <v>25</v>
      </c>
      <c r="Z488" s="2" t="n">
        <v>0</v>
      </c>
      <c r="AA488" s="2" t="n">
        <v>0</v>
      </c>
      <c r="AB488" s="2" t="n">
        <v>33</v>
      </c>
      <c r="AC488" s="2"/>
    </row>
    <row r="489" customFormat="false" ht="15" hidden="false" customHeight="false" outlineLevel="0" collapsed="false">
      <c r="A489" s="2" t="n">
        <v>60</v>
      </c>
      <c r="B489" s="2" t="s">
        <v>660</v>
      </c>
      <c r="C489" s="2" t="s">
        <v>664</v>
      </c>
      <c r="D489" s="2" t="s">
        <v>2876</v>
      </c>
      <c r="E489" s="2" t="s">
        <v>1154</v>
      </c>
      <c r="F489" s="2" t="s">
        <v>1155</v>
      </c>
      <c r="G489" s="2" t="s">
        <v>2877</v>
      </c>
      <c r="H489" s="2" t="s">
        <v>2878</v>
      </c>
      <c r="I489" s="2" t="s">
        <v>1133</v>
      </c>
      <c r="J489" s="2" t="s">
        <v>2879</v>
      </c>
      <c r="K489" s="2" t="n">
        <v>16</v>
      </c>
      <c r="L489" s="2" t="n">
        <v>6919</v>
      </c>
      <c r="M489" s="2" t="n">
        <v>1983</v>
      </c>
      <c r="N489" s="2" t="n">
        <v>1855</v>
      </c>
      <c r="O489" s="2" t="n">
        <v>2656</v>
      </c>
      <c r="P489" s="2" t="n">
        <v>2280</v>
      </c>
      <c r="Q489" s="2" t="n">
        <v>0</v>
      </c>
      <c r="R489" s="2" t="n">
        <v>0</v>
      </c>
      <c r="S489" s="2" t="n">
        <v>94</v>
      </c>
      <c r="T489" s="2" t="n">
        <v>84</v>
      </c>
      <c r="U489" s="2" t="n">
        <v>1</v>
      </c>
      <c r="V489" s="2" t="n">
        <v>3</v>
      </c>
      <c r="W489" s="2" t="n">
        <v>1</v>
      </c>
      <c r="X489" s="2" t="n">
        <v>5</v>
      </c>
      <c r="Y489" s="2" t="n">
        <v>34</v>
      </c>
      <c r="Z489" s="2" t="n">
        <v>13</v>
      </c>
      <c r="AA489" s="2" t="n">
        <v>31</v>
      </c>
      <c r="AB489" s="2" t="n">
        <v>16</v>
      </c>
      <c r="AC489" s="2"/>
    </row>
    <row r="490" customFormat="false" ht="15" hidden="false" customHeight="false" outlineLevel="0" collapsed="false">
      <c r="A490" s="2" t="n">
        <v>60</v>
      </c>
      <c r="B490" s="2" t="s">
        <v>660</v>
      </c>
      <c r="C490" s="2" t="s">
        <v>664</v>
      </c>
      <c r="D490" s="2" t="s">
        <v>2880</v>
      </c>
      <c r="E490" s="2" t="s">
        <v>1129</v>
      </c>
      <c r="F490" s="2" t="s">
        <v>1169</v>
      </c>
      <c r="G490" s="2" t="s">
        <v>2881</v>
      </c>
      <c r="H490" s="2" t="s">
        <v>2882</v>
      </c>
      <c r="I490" s="2" t="s">
        <v>1133</v>
      </c>
      <c r="J490" s="2" t="s">
        <v>2883</v>
      </c>
      <c r="K490" s="2" t="n">
        <v>19</v>
      </c>
      <c r="L490" s="2" t="n">
        <v>11722</v>
      </c>
      <c r="M490" s="2" t="n">
        <v>0</v>
      </c>
      <c r="N490" s="2" t="n">
        <v>0</v>
      </c>
      <c r="O490" s="2" t="n">
        <v>11722</v>
      </c>
      <c r="P490" s="2" t="n">
        <v>0</v>
      </c>
      <c r="Q490" s="2" t="n">
        <v>0</v>
      </c>
      <c r="R490" s="2" t="n">
        <v>0</v>
      </c>
      <c r="S490" s="2" t="n">
        <v>10</v>
      </c>
      <c r="T490" s="2" t="n">
        <v>7</v>
      </c>
      <c r="U490" s="2" t="n">
        <v>0</v>
      </c>
      <c r="V490" s="2" t="n">
        <v>1</v>
      </c>
      <c r="W490" s="2" t="n">
        <v>1</v>
      </c>
      <c r="X490" s="2" t="n">
        <v>1</v>
      </c>
      <c r="Y490" s="2" t="n">
        <v>7</v>
      </c>
      <c r="Z490" s="2" t="n">
        <v>0</v>
      </c>
      <c r="AA490" s="2" t="n">
        <v>2</v>
      </c>
      <c r="AB490" s="2" t="n">
        <v>1</v>
      </c>
      <c r="AC490" s="2" t="s">
        <v>1135</v>
      </c>
    </row>
    <row r="491" customFormat="false" ht="15" hidden="false" customHeight="false" outlineLevel="0" collapsed="false">
      <c r="A491" s="2" t="n">
        <v>60</v>
      </c>
      <c r="B491" s="2" t="s">
        <v>660</v>
      </c>
      <c r="C491" s="2" t="s">
        <v>664</v>
      </c>
      <c r="D491" s="2" t="s">
        <v>2884</v>
      </c>
      <c r="E491" s="2" t="s">
        <v>1154</v>
      </c>
      <c r="F491" s="2" t="s">
        <v>1155</v>
      </c>
      <c r="G491" s="2" t="s">
        <v>2885</v>
      </c>
      <c r="H491" s="2" t="s">
        <v>2886</v>
      </c>
      <c r="I491" s="2" t="s">
        <v>1133</v>
      </c>
      <c r="J491" s="2" t="s">
        <v>2887</v>
      </c>
      <c r="K491" s="2" t="n">
        <v>48</v>
      </c>
      <c r="L491" s="2" t="n">
        <v>17342</v>
      </c>
      <c r="M491" s="2" t="n">
        <v>1091</v>
      </c>
      <c r="N491" s="2" t="n">
        <v>957</v>
      </c>
      <c r="O491" s="2" t="n">
        <v>398</v>
      </c>
      <c r="P491" s="2" t="n">
        <v>15853</v>
      </c>
      <c r="Q491" s="2" t="n">
        <v>0</v>
      </c>
      <c r="R491" s="2" t="n">
        <v>0</v>
      </c>
      <c r="S491" s="2" t="n">
        <v>217</v>
      </c>
      <c r="T491" s="2" t="n">
        <v>205</v>
      </c>
      <c r="U491" s="2" t="n">
        <v>7</v>
      </c>
      <c r="V491" s="2" t="n">
        <v>3</v>
      </c>
      <c r="W491" s="2" t="n">
        <v>2</v>
      </c>
      <c r="X491" s="2" t="n">
        <v>0</v>
      </c>
      <c r="Y491" s="2" t="n">
        <v>39</v>
      </c>
      <c r="Z491" s="2" t="n">
        <v>3</v>
      </c>
      <c r="AA491" s="2" t="n">
        <v>0</v>
      </c>
      <c r="AB491" s="2" t="n">
        <v>175</v>
      </c>
      <c r="AC491" s="2"/>
    </row>
    <row r="492" customFormat="false" ht="15" hidden="false" customHeight="false" outlineLevel="0" collapsed="false">
      <c r="A492" s="2" t="n">
        <v>60</v>
      </c>
      <c r="B492" s="2" t="s">
        <v>660</v>
      </c>
      <c r="C492" s="2" t="s">
        <v>664</v>
      </c>
      <c r="D492" s="2" t="s">
        <v>2888</v>
      </c>
      <c r="E492" s="2" t="s">
        <v>1160</v>
      </c>
      <c r="F492" s="2" t="s">
        <v>1161</v>
      </c>
      <c r="G492" s="2" t="s">
        <v>2889</v>
      </c>
      <c r="H492" s="2" t="s">
        <v>2890</v>
      </c>
      <c r="I492" s="2" t="s">
        <v>1133</v>
      </c>
      <c r="J492" s="2" t="s">
        <v>2891</v>
      </c>
      <c r="K492" s="2" t="n">
        <v>17</v>
      </c>
      <c r="L492" s="2" t="n">
        <v>8406</v>
      </c>
      <c r="M492" s="2" t="n">
        <v>3481</v>
      </c>
      <c r="N492" s="2" t="n">
        <v>3355</v>
      </c>
      <c r="O492" s="2" t="n">
        <v>3810</v>
      </c>
      <c r="P492" s="2" t="n">
        <v>1115</v>
      </c>
      <c r="Q492" s="2" t="n">
        <v>0</v>
      </c>
      <c r="R492" s="2" t="n">
        <v>0</v>
      </c>
      <c r="S492" s="2" t="n">
        <v>76</v>
      </c>
      <c r="T492" s="2" t="n">
        <v>70</v>
      </c>
      <c r="U492" s="2" t="n">
        <v>5</v>
      </c>
      <c r="V492" s="2" t="n">
        <v>0</v>
      </c>
      <c r="W492" s="2" t="n">
        <v>0</v>
      </c>
      <c r="X492" s="2" t="n">
        <v>1</v>
      </c>
      <c r="Y492" s="2" t="n">
        <v>16</v>
      </c>
      <c r="Z492" s="2" t="n">
        <v>31</v>
      </c>
      <c r="AA492" s="2" t="n">
        <v>15</v>
      </c>
      <c r="AB492" s="2" t="n">
        <v>14</v>
      </c>
      <c r="AC492" s="2"/>
    </row>
    <row r="493" customFormat="false" ht="15" hidden="false" customHeight="false" outlineLevel="0" collapsed="false">
      <c r="A493" s="2" t="n">
        <v>60</v>
      </c>
      <c r="B493" s="2" t="s">
        <v>660</v>
      </c>
      <c r="C493" s="2" t="s">
        <v>664</v>
      </c>
      <c r="D493" s="2" t="s">
        <v>2892</v>
      </c>
      <c r="E493" s="2" t="s">
        <v>1129</v>
      </c>
      <c r="F493" s="2" t="s">
        <v>1169</v>
      </c>
      <c r="G493" s="2" t="s">
        <v>2893</v>
      </c>
      <c r="H493" s="2" t="s">
        <v>2894</v>
      </c>
      <c r="I493" s="2" t="s">
        <v>1133</v>
      </c>
      <c r="J493" s="2" t="s">
        <v>2895</v>
      </c>
      <c r="K493" s="2" t="n">
        <v>38</v>
      </c>
      <c r="L493" s="2" t="n">
        <v>24831</v>
      </c>
      <c r="M493" s="2" t="n">
        <v>0</v>
      </c>
      <c r="N493" s="2" t="n">
        <v>0</v>
      </c>
      <c r="O493" s="2" t="n">
        <v>23902</v>
      </c>
      <c r="P493" s="2" t="n">
        <v>929</v>
      </c>
      <c r="Q493" s="2" t="n">
        <v>0</v>
      </c>
      <c r="R493" s="2" t="n">
        <v>0</v>
      </c>
      <c r="S493" s="2" t="n">
        <v>28</v>
      </c>
      <c r="T493" s="2" t="n">
        <v>13</v>
      </c>
      <c r="U493" s="2" t="n">
        <v>7</v>
      </c>
      <c r="V493" s="2" t="n">
        <v>1</v>
      </c>
      <c r="W493" s="2" t="n">
        <v>7</v>
      </c>
      <c r="X493" s="2" t="n">
        <v>0</v>
      </c>
      <c r="Y493" s="2" t="n">
        <v>10</v>
      </c>
      <c r="Z493" s="2" t="n">
        <v>4</v>
      </c>
      <c r="AA493" s="2" t="n">
        <v>4</v>
      </c>
      <c r="AB493" s="2" t="n">
        <v>10</v>
      </c>
      <c r="AC493" s="2" t="s">
        <v>1135</v>
      </c>
    </row>
    <row r="494" customFormat="false" ht="15" hidden="false" customHeight="false" outlineLevel="0" collapsed="false">
      <c r="A494" s="2" t="n">
        <v>61</v>
      </c>
      <c r="B494" s="2" t="s">
        <v>668</v>
      </c>
      <c r="C494" s="2" t="s">
        <v>671</v>
      </c>
      <c r="D494" s="2" t="s">
        <v>2896</v>
      </c>
      <c r="E494" s="2" t="s">
        <v>1129</v>
      </c>
      <c r="F494" s="2" t="s">
        <v>2897</v>
      </c>
      <c r="G494" s="2" t="s">
        <v>2898</v>
      </c>
      <c r="H494" s="2" t="s">
        <v>2899</v>
      </c>
      <c r="I494" s="2" t="s">
        <v>1133</v>
      </c>
      <c r="J494" s="2" t="s">
        <v>2900</v>
      </c>
      <c r="K494" s="2" t="n">
        <v>6</v>
      </c>
      <c r="L494" s="2" t="n">
        <v>1715</v>
      </c>
      <c r="M494" s="2" t="n">
        <v>0</v>
      </c>
      <c r="N494" s="2" t="n">
        <v>0</v>
      </c>
      <c r="O494" s="2" t="n">
        <v>1715</v>
      </c>
      <c r="P494" s="2" t="n">
        <v>0</v>
      </c>
      <c r="Q494" s="2" t="n">
        <v>0</v>
      </c>
      <c r="R494" s="2" t="n">
        <v>0</v>
      </c>
      <c r="S494" s="2" t="n">
        <v>6</v>
      </c>
      <c r="T494" s="2" t="n">
        <v>6</v>
      </c>
      <c r="U494" s="2" t="n">
        <v>0</v>
      </c>
      <c r="V494" s="2" t="n">
        <v>0</v>
      </c>
      <c r="W494" s="2" t="n">
        <v>0</v>
      </c>
      <c r="X494" s="2" t="n">
        <v>0</v>
      </c>
      <c r="Y494" s="2" t="n">
        <v>0</v>
      </c>
      <c r="Z494" s="2" t="n">
        <v>4</v>
      </c>
      <c r="AA494" s="2" t="n">
        <v>1</v>
      </c>
      <c r="AB494" s="2" t="n">
        <v>1</v>
      </c>
      <c r="AC494" s="2" t="s">
        <v>1135</v>
      </c>
    </row>
    <row r="495" customFormat="false" ht="15" hidden="false" customHeight="false" outlineLevel="0" collapsed="false">
      <c r="A495" s="2" t="n">
        <v>61</v>
      </c>
      <c r="B495" s="2" t="s">
        <v>668</v>
      </c>
      <c r="C495" s="2" t="s">
        <v>671</v>
      </c>
      <c r="D495" s="2" t="s">
        <v>2901</v>
      </c>
      <c r="E495" s="2" t="s">
        <v>1129</v>
      </c>
      <c r="F495" s="2" t="s">
        <v>2897</v>
      </c>
      <c r="G495" s="2" t="s">
        <v>790</v>
      </c>
      <c r="H495" s="2" t="s">
        <v>2902</v>
      </c>
      <c r="I495" s="2" t="s">
        <v>1133</v>
      </c>
      <c r="J495" s="2" t="s">
        <v>2903</v>
      </c>
      <c r="K495" s="2" t="n">
        <v>9</v>
      </c>
      <c r="L495" s="2" t="n">
        <v>4989</v>
      </c>
      <c r="M495" s="2" t="n">
        <v>0</v>
      </c>
      <c r="N495" s="2" t="n">
        <v>0</v>
      </c>
      <c r="O495" s="2" t="n">
        <v>4989</v>
      </c>
      <c r="P495" s="2" t="n">
        <v>0</v>
      </c>
      <c r="Q495" s="2" t="n">
        <v>0</v>
      </c>
      <c r="R495" s="2" t="n">
        <v>0</v>
      </c>
      <c r="S495" s="2" t="n">
        <v>30</v>
      </c>
      <c r="T495" s="2" t="n">
        <v>24</v>
      </c>
      <c r="U495" s="2" t="n">
        <v>0</v>
      </c>
      <c r="V495" s="2" t="n">
        <v>0</v>
      </c>
      <c r="W495" s="2" t="n">
        <v>4</v>
      </c>
      <c r="X495" s="2" t="n">
        <v>2</v>
      </c>
      <c r="Y495" s="2" t="n">
        <v>8</v>
      </c>
      <c r="Z495" s="2" t="n">
        <v>10</v>
      </c>
      <c r="AA495" s="2" t="n">
        <v>3</v>
      </c>
      <c r="AB495" s="2" t="n">
        <v>9</v>
      </c>
      <c r="AC495" s="2" t="s">
        <v>1135</v>
      </c>
    </row>
    <row r="496" customFormat="false" ht="15" hidden="false" customHeight="false" outlineLevel="0" collapsed="false">
      <c r="A496" s="2" t="n">
        <v>61</v>
      </c>
      <c r="B496" s="2" t="s">
        <v>668</v>
      </c>
      <c r="C496" s="2" t="s">
        <v>671</v>
      </c>
      <c r="D496" s="2" t="s">
        <v>2904</v>
      </c>
      <c r="E496" s="2" t="s">
        <v>1129</v>
      </c>
      <c r="F496" s="2" t="s">
        <v>2480</v>
      </c>
      <c r="G496" s="2" t="s">
        <v>239</v>
      </c>
      <c r="H496" s="2" t="s">
        <v>2905</v>
      </c>
      <c r="I496" s="2" t="s">
        <v>1133</v>
      </c>
      <c r="J496" s="2" t="s">
        <v>2906</v>
      </c>
      <c r="K496" s="2" t="n">
        <v>4</v>
      </c>
      <c r="L496" s="2" t="n">
        <v>1657</v>
      </c>
      <c r="M496" s="2" t="n">
        <v>1030</v>
      </c>
      <c r="N496" s="2" t="n">
        <v>923</v>
      </c>
      <c r="O496" s="2" t="n">
        <v>627</v>
      </c>
      <c r="P496" s="2" t="n">
        <v>0</v>
      </c>
      <c r="Q496" s="2" t="n">
        <v>0</v>
      </c>
      <c r="R496" s="2" t="n">
        <v>0</v>
      </c>
      <c r="S496" s="2" t="n">
        <v>1</v>
      </c>
      <c r="T496" s="2" t="n">
        <v>0</v>
      </c>
      <c r="U496" s="2" t="n">
        <v>0</v>
      </c>
      <c r="V496" s="2" t="n">
        <v>0</v>
      </c>
      <c r="W496" s="2" t="n">
        <v>1</v>
      </c>
      <c r="X496" s="2" t="n">
        <v>0</v>
      </c>
      <c r="Y496" s="2" t="n">
        <v>0</v>
      </c>
      <c r="Z496" s="2" t="n">
        <v>0</v>
      </c>
      <c r="AA496" s="2" t="n">
        <v>0</v>
      </c>
      <c r="AB496" s="2" t="n">
        <v>1</v>
      </c>
      <c r="AC496" s="2" t="s">
        <v>1135</v>
      </c>
    </row>
    <row r="497" customFormat="false" ht="15" hidden="false" customHeight="false" outlineLevel="0" collapsed="false">
      <c r="A497" s="2" t="n">
        <v>61</v>
      </c>
      <c r="B497" s="2" t="s">
        <v>668</v>
      </c>
      <c r="C497" s="2" t="s">
        <v>671</v>
      </c>
      <c r="D497" s="2" t="s">
        <v>2907</v>
      </c>
      <c r="E497" s="2" t="s">
        <v>1154</v>
      </c>
      <c r="F497" s="2" t="s">
        <v>1155</v>
      </c>
      <c r="G497" s="2" t="s">
        <v>2908</v>
      </c>
      <c r="H497" s="2" t="s">
        <v>2909</v>
      </c>
      <c r="I497" s="2" t="s">
        <v>1133</v>
      </c>
      <c r="J497" s="2" t="s">
        <v>2910</v>
      </c>
      <c r="K497" s="2" t="n">
        <v>34</v>
      </c>
      <c r="L497" s="2" t="n">
        <v>17142</v>
      </c>
      <c r="M497" s="2" t="n">
        <v>4752</v>
      </c>
      <c r="N497" s="2" t="n">
        <v>4560</v>
      </c>
      <c r="O497" s="2" t="n">
        <v>2562</v>
      </c>
      <c r="P497" s="2" t="n">
        <v>9828</v>
      </c>
      <c r="Q497" s="2" t="n">
        <v>0</v>
      </c>
      <c r="R497" s="2" t="n">
        <v>0</v>
      </c>
      <c r="S497" s="2" t="n">
        <v>219</v>
      </c>
      <c r="T497" s="2" t="n">
        <v>198</v>
      </c>
      <c r="U497" s="2" t="n">
        <v>1</v>
      </c>
      <c r="V497" s="2" t="n">
        <v>2</v>
      </c>
      <c r="W497" s="2" t="n">
        <v>1</v>
      </c>
      <c r="X497" s="2" t="n">
        <v>17</v>
      </c>
      <c r="Y497" s="2" t="n">
        <v>168</v>
      </c>
      <c r="Z497" s="2" t="n">
        <v>2</v>
      </c>
      <c r="AA497" s="2" t="n">
        <v>0</v>
      </c>
      <c r="AB497" s="2" t="n">
        <v>49</v>
      </c>
      <c r="AC497" s="2"/>
    </row>
    <row r="498" customFormat="false" ht="15" hidden="false" customHeight="false" outlineLevel="0" collapsed="false">
      <c r="A498" s="2" t="n">
        <v>64</v>
      </c>
      <c r="B498" s="2" t="s">
        <v>695</v>
      </c>
      <c r="C498" s="2" t="s">
        <v>700</v>
      </c>
      <c r="D498" s="2" t="s">
        <v>2911</v>
      </c>
      <c r="E498" s="2" t="s">
        <v>1154</v>
      </c>
      <c r="F498" s="2" t="s">
        <v>1155</v>
      </c>
      <c r="G498" s="2" t="s">
        <v>2912</v>
      </c>
      <c r="H498" s="2" t="s">
        <v>2913</v>
      </c>
      <c r="I498" s="2" t="s">
        <v>1133</v>
      </c>
      <c r="J498" s="2" t="s">
        <v>2914</v>
      </c>
      <c r="K498" s="2" t="n">
        <v>11</v>
      </c>
      <c r="L498" s="2" t="n">
        <v>4893</v>
      </c>
      <c r="M498" s="2" t="n">
        <v>1449</v>
      </c>
      <c r="N498" s="2" t="n">
        <v>1298</v>
      </c>
      <c r="O498" s="2" t="n">
        <v>3444</v>
      </c>
      <c r="P498" s="2" t="n">
        <v>0</v>
      </c>
      <c r="Q498" s="2" t="n">
        <v>0</v>
      </c>
      <c r="R498" s="2" t="n">
        <v>0</v>
      </c>
      <c r="S498" s="2" t="n">
        <v>83</v>
      </c>
      <c r="T498" s="2" t="n">
        <v>76</v>
      </c>
      <c r="U498" s="2" t="n">
        <v>2</v>
      </c>
      <c r="V498" s="2" t="n">
        <v>3</v>
      </c>
      <c r="W498" s="2" t="n">
        <v>0</v>
      </c>
      <c r="X498" s="2" t="n">
        <v>2</v>
      </c>
      <c r="Y498" s="2" t="n">
        <v>0</v>
      </c>
      <c r="Z498" s="2" t="n">
        <v>1</v>
      </c>
      <c r="AA498" s="2" t="n">
        <v>42</v>
      </c>
      <c r="AB498" s="2" t="n">
        <v>40</v>
      </c>
      <c r="AC498" s="2"/>
    </row>
    <row r="499" customFormat="false" ht="15" hidden="false" customHeight="false" outlineLevel="0" collapsed="false">
      <c r="A499" s="2" t="n">
        <v>64</v>
      </c>
      <c r="B499" s="2" t="s">
        <v>695</v>
      </c>
      <c r="C499" s="2" t="s">
        <v>700</v>
      </c>
      <c r="D499" s="2" t="s">
        <v>2915</v>
      </c>
      <c r="E499" s="2" t="s">
        <v>1154</v>
      </c>
      <c r="F499" s="2" t="s">
        <v>1155</v>
      </c>
      <c r="G499" s="2" t="s">
        <v>2916</v>
      </c>
      <c r="H499" s="2" t="s">
        <v>2917</v>
      </c>
      <c r="I499" s="2" t="s">
        <v>1133</v>
      </c>
      <c r="J499" s="2" t="s">
        <v>2918</v>
      </c>
      <c r="K499" s="2" t="n">
        <v>11</v>
      </c>
      <c r="L499" s="2" t="n">
        <v>5196</v>
      </c>
      <c r="M499" s="2" t="n">
        <v>761</v>
      </c>
      <c r="N499" s="2" t="n">
        <v>614</v>
      </c>
      <c r="O499" s="2" t="n">
        <v>4190</v>
      </c>
      <c r="P499" s="2" t="n">
        <v>245</v>
      </c>
      <c r="Q499" s="2" t="n">
        <v>0</v>
      </c>
      <c r="R499" s="2" t="n">
        <v>0</v>
      </c>
      <c r="S499" s="2" t="n">
        <v>76</v>
      </c>
      <c r="T499" s="2" t="n">
        <v>60</v>
      </c>
      <c r="U499" s="2" t="n">
        <v>11</v>
      </c>
      <c r="V499" s="2" t="n">
        <v>3</v>
      </c>
      <c r="W499" s="2" t="n">
        <v>1</v>
      </c>
      <c r="X499" s="2" t="n">
        <v>1</v>
      </c>
      <c r="Y499" s="2" t="n">
        <v>8</v>
      </c>
      <c r="Z499" s="2" t="n">
        <v>0</v>
      </c>
      <c r="AA499" s="2" t="n">
        <v>28</v>
      </c>
      <c r="AB499" s="2" t="n">
        <v>40</v>
      </c>
      <c r="AC499" s="2"/>
    </row>
    <row r="500" customFormat="false" ht="15" hidden="false" customHeight="false" outlineLevel="0" collapsed="false">
      <c r="A500" s="2" t="n">
        <v>65</v>
      </c>
      <c r="B500" s="2" t="s">
        <v>704</v>
      </c>
      <c r="C500" s="2" t="s">
        <v>708</v>
      </c>
      <c r="D500" s="2" t="s">
        <v>2919</v>
      </c>
      <c r="E500" s="2" t="s">
        <v>1154</v>
      </c>
      <c r="F500" s="2" t="s">
        <v>1155</v>
      </c>
      <c r="G500" s="2" t="s">
        <v>698</v>
      </c>
      <c r="H500" s="2" t="s">
        <v>2920</v>
      </c>
      <c r="I500" s="2" t="s">
        <v>1133</v>
      </c>
      <c r="J500" s="2" t="s">
        <v>2921</v>
      </c>
      <c r="K500" s="2" t="n">
        <v>3</v>
      </c>
      <c r="L500" s="2" t="n">
        <v>513</v>
      </c>
      <c r="M500" s="2" t="n">
        <v>385</v>
      </c>
      <c r="N500" s="2" t="n">
        <v>253</v>
      </c>
      <c r="O500" s="2" t="n">
        <v>82</v>
      </c>
      <c r="P500" s="2" t="n">
        <v>46</v>
      </c>
      <c r="Q500" s="2" t="n">
        <v>0</v>
      </c>
      <c r="R500" s="2" t="n">
        <v>0</v>
      </c>
      <c r="S500" s="2" t="n">
        <v>1</v>
      </c>
      <c r="T500" s="2" t="n">
        <v>1</v>
      </c>
      <c r="U500" s="2" t="n">
        <v>0</v>
      </c>
      <c r="V500" s="2" t="n">
        <v>0</v>
      </c>
      <c r="W500" s="2" t="n">
        <v>0</v>
      </c>
      <c r="X500" s="2" t="n">
        <v>0</v>
      </c>
      <c r="Y500" s="2" t="n">
        <v>0</v>
      </c>
      <c r="Z500" s="2" t="n">
        <v>1</v>
      </c>
      <c r="AA500" s="2" t="n">
        <v>0</v>
      </c>
      <c r="AB500" s="2" t="n">
        <v>0</v>
      </c>
      <c r="AC500" s="2"/>
    </row>
    <row r="501" customFormat="false" ht="15" hidden="false" customHeight="false" outlineLevel="0" collapsed="false">
      <c r="A501" s="2" t="n">
        <v>65</v>
      </c>
      <c r="B501" s="2" t="s">
        <v>704</v>
      </c>
      <c r="C501" s="2" t="s">
        <v>708</v>
      </c>
      <c r="D501" s="2" t="s">
        <v>2922</v>
      </c>
      <c r="E501" s="2" t="s">
        <v>1129</v>
      </c>
      <c r="F501" s="2" t="s">
        <v>1169</v>
      </c>
      <c r="G501" s="2" t="s">
        <v>2923</v>
      </c>
      <c r="H501" s="2" t="s">
        <v>2924</v>
      </c>
      <c r="I501" s="2" t="s">
        <v>1133</v>
      </c>
      <c r="J501" s="2" t="s">
        <v>2925</v>
      </c>
      <c r="K501" s="2" t="n">
        <v>16</v>
      </c>
      <c r="L501" s="2" t="n">
        <v>7733</v>
      </c>
      <c r="M501" s="2" t="n">
        <v>0</v>
      </c>
      <c r="N501" s="2" t="n">
        <v>0</v>
      </c>
      <c r="O501" s="2" t="n">
        <v>7733</v>
      </c>
      <c r="P501" s="2" t="n">
        <v>0</v>
      </c>
      <c r="Q501" s="2" t="n">
        <v>0</v>
      </c>
      <c r="R501" s="2" t="n">
        <v>0</v>
      </c>
      <c r="S501" s="2" t="n">
        <v>2</v>
      </c>
      <c r="T501" s="2" t="n">
        <v>2</v>
      </c>
      <c r="U501" s="2" t="n">
        <v>0</v>
      </c>
      <c r="V501" s="2" t="n">
        <v>0</v>
      </c>
      <c r="W501" s="2" t="n">
        <v>0</v>
      </c>
      <c r="X501" s="2" t="n">
        <v>0</v>
      </c>
      <c r="Y501" s="2" t="n">
        <v>0</v>
      </c>
      <c r="Z501" s="2" t="n">
        <v>0</v>
      </c>
      <c r="AA501" s="2" t="n">
        <v>1</v>
      </c>
      <c r="AB501" s="2" t="n">
        <v>1</v>
      </c>
      <c r="AC501" s="2" t="s">
        <v>1135</v>
      </c>
    </row>
    <row r="502" customFormat="false" ht="15" hidden="false" customHeight="false" outlineLevel="0" collapsed="false">
      <c r="A502" s="2" t="n">
        <v>66</v>
      </c>
      <c r="B502" s="2" t="s">
        <v>713</v>
      </c>
      <c r="C502" s="2" t="s">
        <v>718</v>
      </c>
      <c r="D502" s="2" t="s">
        <v>2926</v>
      </c>
      <c r="E502" s="2" t="s">
        <v>1154</v>
      </c>
      <c r="F502" s="2" t="s">
        <v>1155</v>
      </c>
      <c r="G502" s="2" t="s">
        <v>2248</v>
      </c>
      <c r="H502" s="2" t="s">
        <v>2927</v>
      </c>
      <c r="I502" s="2" t="s">
        <v>1133</v>
      </c>
      <c r="J502" s="2" t="s">
        <v>2928</v>
      </c>
      <c r="K502" s="2" t="n">
        <v>44</v>
      </c>
      <c r="L502" s="2" t="n">
        <v>23123</v>
      </c>
      <c r="M502" s="2" t="n">
        <v>1501</v>
      </c>
      <c r="N502" s="2" t="n">
        <v>1390</v>
      </c>
      <c r="O502" s="2" t="n">
        <v>7395</v>
      </c>
      <c r="P502" s="2" t="n">
        <v>14227</v>
      </c>
      <c r="Q502" s="2" t="n">
        <v>0</v>
      </c>
      <c r="R502" s="2" t="n">
        <v>0</v>
      </c>
      <c r="S502" s="2" t="n">
        <v>191</v>
      </c>
      <c r="T502" s="2" t="n">
        <v>169</v>
      </c>
      <c r="U502" s="2" t="n">
        <v>10</v>
      </c>
      <c r="V502" s="2" t="n">
        <v>9</v>
      </c>
      <c r="W502" s="2" t="n">
        <v>3</v>
      </c>
      <c r="X502" s="2" t="n">
        <v>0</v>
      </c>
      <c r="Y502" s="2" t="n">
        <v>52</v>
      </c>
      <c r="Z502" s="2" t="n">
        <v>4</v>
      </c>
      <c r="AA502" s="2" t="n">
        <v>45</v>
      </c>
      <c r="AB502" s="2" t="n">
        <v>90</v>
      </c>
      <c r="AC502" s="2"/>
    </row>
    <row r="503" customFormat="false" ht="15" hidden="false" customHeight="false" outlineLevel="0" collapsed="false">
      <c r="A503" s="2" t="n">
        <v>66</v>
      </c>
      <c r="B503" s="2" t="s">
        <v>713</v>
      </c>
      <c r="C503" s="2" t="s">
        <v>718</v>
      </c>
      <c r="D503" s="2" t="s">
        <v>2929</v>
      </c>
      <c r="E503" s="2" t="s">
        <v>1154</v>
      </c>
      <c r="F503" s="2" t="s">
        <v>1155</v>
      </c>
      <c r="G503" s="2" t="s">
        <v>2930</v>
      </c>
      <c r="H503" s="2" t="s">
        <v>2931</v>
      </c>
      <c r="I503" s="2" t="s">
        <v>1133</v>
      </c>
      <c r="J503" s="2" t="s">
        <v>2932</v>
      </c>
      <c r="K503" s="2" t="n">
        <v>2</v>
      </c>
      <c r="L503" s="2" t="n">
        <v>362</v>
      </c>
      <c r="M503" s="2" t="n">
        <v>269</v>
      </c>
      <c r="N503" s="2" t="n">
        <v>151</v>
      </c>
      <c r="O503" s="2" t="n">
        <v>93</v>
      </c>
      <c r="P503" s="2" t="n">
        <v>0</v>
      </c>
      <c r="Q503" s="2" t="n">
        <v>0</v>
      </c>
      <c r="R503" s="2" t="n">
        <v>0</v>
      </c>
      <c r="S503" s="2" t="n">
        <v>0</v>
      </c>
      <c r="T503" s="2" t="n">
        <v>0</v>
      </c>
      <c r="U503" s="2" t="n">
        <v>0</v>
      </c>
      <c r="V503" s="2" t="n">
        <v>0</v>
      </c>
      <c r="W503" s="2" t="n">
        <v>0</v>
      </c>
      <c r="X503" s="2" t="n">
        <v>0</v>
      </c>
      <c r="Y503" s="2" t="n">
        <v>0</v>
      </c>
      <c r="Z503" s="2" t="n">
        <v>0</v>
      </c>
      <c r="AA503" s="2" t="n">
        <v>0</v>
      </c>
      <c r="AB503" s="2" t="n">
        <v>0</v>
      </c>
      <c r="AC503" s="2"/>
    </row>
    <row r="504" customFormat="false" ht="15" hidden="false" customHeight="false" outlineLevel="0" collapsed="false">
      <c r="A504" s="2" t="n">
        <v>66</v>
      </c>
      <c r="B504" s="2" t="s">
        <v>713</v>
      </c>
      <c r="C504" s="2" t="s">
        <v>718</v>
      </c>
      <c r="D504" s="2" t="s">
        <v>2933</v>
      </c>
      <c r="E504" s="2" t="s">
        <v>1129</v>
      </c>
      <c r="F504" s="2" t="s">
        <v>1169</v>
      </c>
      <c r="G504" s="2" t="s">
        <v>2934</v>
      </c>
      <c r="H504" s="2" t="s">
        <v>2935</v>
      </c>
      <c r="I504" s="2" t="s">
        <v>1133</v>
      </c>
      <c r="J504" s="2" t="s">
        <v>2936</v>
      </c>
      <c r="K504" s="2" t="n">
        <v>36</v>
      </c>
      <c r="L504" s="2" t="n">
        <v>22712</v>
      </c>
      <c r="M504" s="2" t="n">
        <v>0</v>
      </c>
      <c r="N504" s="2" t="n">
        <v>0</v>
      </c>
      <c r="O504" s="2" t="n">
        <v>22712</v>
      </c>
      <c r="P504" s="2" t="n">
        <v>0</v>
      </c>
      <c r="Q504" s="2" t="n">
        <v>0</v>
      </c>
      <c r="R504" s="2" t="n">
        <v>0</v>
      </c>
      <c r="S504" s="2" t="n">
        <v>28</v>
      </c>
      <c r="T504" s="2" t="n">
        <v>4</v>
      </c>
      <c r="U504" s="2" t="n">
        <v>10</v>
      </c>
      <c r="V504" s="2" t="n">
        <v>7</v>
      </c>
      <c r="W504" s="2" t="n">
        <v>7</v>
      </c>
      <c r="X504" s="2" t="n">
        <v>0</v>
      </c>
      <c r="Y504" s="2" t="n">
        <v>5</v>
      </c>
      <c r="Z504" s="2" t="n">
        <v>3</v>
      </c>
      <c r="AA504" s="2" t="n">
        <v>9</v>
      </c>
      <c r="AB504" s="2" t="n">
        <v>11</v>
      </c>
      <c r="AC504" s="2" t="s">
        <v>1135</v>
      </c>
    </row>
    <row r="505" customFormat="false" ht="15" hidden="false" customHeight="false" outlineLevel="0" collapsed="false">
      <c r="A505" s="2" t="n">
        <v>67</v>
      </c>
      <c r="B505" s="2" t="s">
        <v>722</v>
      </c>
      <c r="C505" s="2" t="s">
        <v>728</v>
      </c>
      <c r="D505" s="2" t="s">
        <v>2937</v>
      </c>
      <c r="E505" s="2" t="s">
        <v>1154</v>
      </c>
      <c r="F505" s="2" t="s">
        <v>1155</v>
      </c>
      <c r="G505" s="2" t="s">
        <v>817</v>
      </c>
      <c r="H505" s="2" t="s">
        <v>2938</v>
      </c>
      <c r="I505" s="2" t="s">
        <v>1133</v>
      </c>
      <c r="J505" s="2" t="s">
        <v>2939</v>
      </c>
      <c r="K505" s="2" t="n">
        <v>4</v>
      </c>
      <c r="L505" s="2" t="n">
        <v>638</v>
      </c>
      <c r="M505" s="2" t="n">
        <v>537</v>
      </c>
      <c r="N505" s="2" t="n">
        <v>381</v>
      </c>
      <c r="O505" s="2" t="n">
        <v>85</v>
      </c>
      <c r="P505" s="2" t="n">
        <v>16</v>
      </c>
      <c r="Q505" s="2" t="n">
        <v>0</v>
      </c>
      <c r="R505" s="2" t="n">
        <v>0</v>
      </c>
      <c r="S505" s="2" t="n">
        <v>1</v>
      </c>
      <c r="T505" s="2" t="n">
        <v>1</v>
      </c>
      <c r="U505" s="2" t="n">
        <v>0</v>
      </c>
      <c r="V505" s="2" t="n">
        <v>0</v>
      </c>
      <c r="W505" s="2" t="n">
        <v>0</v>
      </c>
      <c r="X505" s="2" t="n">
        <v>0</v>
      </c>
      <c r="Y505" s="2" t="n">
        <v>0</v>
      </c>
      <c r="Z505" s="2" t="n">
        <v>0</v>
      </c>
      <c r="AA505" s="2" t="n">
        <v>1</v>
      </c>
      <c r="AB505" s="2" t="n">
        <v>0</v>
      </c>
      <c r="AC505" s="2"/>
    </row>
    <row r="506" customFormat="false" ht="15" hidden="false" customHeight="false" outlineLevel="0" collapsed="false">
      <c r="A506" s="2" t="n">
        <v>67</v>
      </c>
      <c r="B506" s="2" t="s">
        <v>722</v>
      </c>
      <c r="C506" s="2" t="s">
        <v>728</v>
      </c>
      <c r="D506" s="2" t="s">
        <v>2940</v>
      </c>
      <c r="E506" s="2" t="s">
        <v>1154</v>
      </c>
      <c r="F506" s="2" t="s">
        <v>1155</v>
      </c>
      <c r="G506" s="2" t="s">
        <v>1321</v>
      </c>
      <c r="H506" s="2" t="s">
        <v>2941</v>
      </c>
      <c r="I506" s="2" t="s">
        <v>1133</v>
      </c>
      <c r="J506" s="2" t="s">
        <v>2942</v>
      </c>
      <c r="K506" s="2" t="n">
        <v>2</v>
      </c>
      <c r="L506" s="2" t="n">
        <v>622</v>
      </c>
      <c r="M506" s="2" t="n">
        <v>433</v>
      </c>
      <c r="N506" s="2" t="n">
        <v>276</v>
      </c>
      <c r="O506" s="2" t="n">
        <v>189</v>
      </c>
      <c r="P506" s="2" t="n">
        <v>0</v>
      </c>
      <c r="Q506" s="2" t="n">
        <v>0</v>
      </c>
      <c r="R506" s="2" t="n">
        <v>0</v>
      </c>
      <c r="S506" s="2" t="n">
        <v>0</v>
      </c>
      <c r="T506" s="2" t="n">
        <v>0</v>
      </c>
      <c r="U506" s="2" t="n">
        <v>0</v>
      </c>
      <c r="V506" s="2" t="n">
        <v>0</v>
      </c>
      <c r="W506" s="2" t="n">
        <v>0</v>
      </c>
      <c r="X506" s="2" t="n">
        <v>0</v>
      </c>
      <c r="Y506" s="2" t="n">
        <v>0</v>
      </c>
      <c r="Z506" s="2" t="n">
        <v>0</v>
      </c>
      <c r="AA506" s="2" t="n">
        <v>0</v>
      </c>
      <c r="AB506" s="2" t="n">
        <v>0</v>
      </c>
      <c r="AC506" s="2"/>
    </row>
    <row r="507" customFormat="false" ht="15" hidden="false" customHeight="false" outlineLevel="0" collapsed="false">
      <c r="A507" s="2" t="n">
        <v>67</v>
      </c>
      <c r="B507" s="2" t="s">
        <v>722</v>
      </c>
      <c r="C507" s="2" t="s">
        <v>728</v>
      </c>
      <c r="D507" s="2" t="s">
        <v>2943</v>
      </c>
      <c r="E507" s="2" t="s">
        <v>1154</v>
      </c>
      <c r="F507" s="2" t="s">
        <v>1155</v>
      </c>
      <c r="G507" s="2" t="s">
        <v>2944</v>
      </c>
      <c r="H507" s="2" t="s">
        <v>2945</v>
      </c>
      <c r="I507" s="2" t="s">
        <v>1133</v>
      </c>
      <c r="J507" s="2" t="s">
        <v>2946</v>
      </c>
      <c r="K507" s="2" t="n">
        <v>4</v>
      </c>
      <c r="L507" s="2" t="n">
        <v>1855</v>
      </c>
      <c r="M507" s="2" t="n">
        <v>1204</v>
      </c>
      <c r="N507" s="2" t="n">
        <v>1024</v>
      </c>
      <c r="O507" s="2" t="n">
        <v>651</v>
      </c>
      <c r="P507" s="2" t="n">
        <v>0</v>
      </c>
      <c r="Q507" s="2" t="n">
        <v>0</v>
      </c>
      <c r="R507" s="2" t="n">
        <v>0</v>
      </c>
      <c r="S507" s="2" t="n">
        <v>8</v>
      </c>
      <c r="T507" s="2" t="n">
        <v>8</v>
      </c>
      <c r="U507" s="2" t="n">
        <v>0</v>
      </c>
      <c r="V507" s="2" t="n">
        <v>0</v>
      </c>
      <c r="W507" s="2" t="n">
        <v>0</v>
      </c>
      <c r="X507" s="2" t="n">
        <v>0</v>
      </c>
      <c r="Y507" s="2" t="n">
        <v>2</v>
      </c>
      <c r="Z507" s="2" t="n">
        <v>0</v>
      </c>
      <c r="AA507" s="2" t="n">
        <v>6</v>
      </c>
      <c r="AB507" s="2" t="n">
        <v>0</v>
      </c>
      <c r="AC507" s="2"/>
    </row>
    <row r="508" customFormat="false" ht="15" hidden="false" customHeight="false" outlineLevel="0" collapsed="false">
      <c r="A508" s="2" t="n">
        <v>67</v>
      </c>
      <c r="B508" s="2" t="s">
        <v>722</v>
      </c>
      <c r="C508" s="2" t="s">
        <v>728</v>
      </c>
      <c r="D508" s="2" t="s">
        <v>2947</v>
      </c>
      <c r="E508" s="2" t="s">
        <v>1160</v>
      </c>
      <c r="F508" s="2" t="s">
        <v>1161</v>
      </c>
      <c r="G508" s="2" t="s">
        <v>2948</v>
      </c>
      <c r="H508" s="2" t="s">
        <v>2949</v>
      </c>
      <c r="I508" s="2" t="s">
        <v>1133</v>
      </c>
      <c r="J508" s="2" t="s">
        <v>2950</v>
      </c>
      <c r="K508" s="2" t="n">
        <v>13</v>
      </c>
      <c r="L508" s="2" t="n">
        <v>5511</v>
      </c>
      <c r="M508" s="2" t="n">
        <v>1168</v>
      </c>
      <c r="N508" s="2" t="n">
        <v>1042</v>
      </c>
      <c r="O508" s="2" t="n">
        <v>114</v>
      </c>
      <c r="P508" s="2" t="n">
        <v>4229</v>
      </c>
      <c r="Q508" s="2" t="n">
        <v>0</v>
      </c>
      <c r="R508" s="2" t="n">
        <v>0</v>
      </c>
      <c r="S508" s="2" t="n">
        <v>56</v>
      </c>
      <c r="T508" s="2" t="n">
        <v>50</v>
      </c>
      <c r="U508" s="2" t="n">
        <v>0</v>
      </c>
      <c r="V508" s="2" t="n">
        <v>0</v>
      </c>
      <c r="W508" s="2" t="n">
        <v>3</v>
      </c>
      <c r="X508" s="2" t="n">
        <v>3</v>
      </c>
      <c r="Y508" s="2" t="n">
        <v>0</v>
      </c>
      <c r="Z508" s="2" t="n">
        <v>27</v>
      </c>
      <c r="AA508" s="2" t="n">
        <v>7</v>
      </c>
      <c r="AB508" s="2" t="n">
        <v>22</v>
      </c>
      <c r="AC508" s="2"/>
    </row>
    <row r="509" customFormat="false" ht="15" hidden="false" customHeight="false" outlineLevel="0" collapsed="false">
      <c r="A509" s="2" t="n">
        <v>67</v>
      </c>
      <c r="B509" s="2" t="s">
        <v>722</v>
      </c>
      <c r="C509" s="2" t="s">
        <v>728</v>
      </c>
      <c r="D509" s="2" t="s">
        <v>2951</v>
      </c>
      <c r="E509" s="2" t="s">
        <v>1154</v>
      </c>
      <c r="F509" s="2" t="s">
        <v>1155</v>
      </c>
      <c r="G509" s="2" t="s">
        <v>711</v>
      </c>
      <c r="H509" s="2" t="s">
        <v>2952</v>
      </c>
      <c r="I509" s="2" t="s">
        <v>1133</v>
      </c>
      <c r="J509" s="2" t="s">
        <v>2953</v>
      </c>
      <c r="K509" s="2" t="n">
        <v>12</v>
      </c>
      <c r="L509" s="2" t="n">
        <v>5262</v>
      </c>
      <c r="M509" s="2" t="n">
        <v>803</v>
      </c>
      <c r="N509" s="2" t="n">
        <v>643</v>
      </c>
      <c r="O509" s="2" t="n">
        <v>704</v>
      </c>
      <c r="P509" s="2" t="n">
        <v>3755</v>
      </c>
      <c r="Q509" s="2" t="n">
        <v>0</v>
      </c>
      <c r="R509" s="2" t="n">
        <v>0</v>
      </c>
      <c r="S509" s="2" t="n">
        <v>70</v>
      </c>
      <c r="T509" s="2" t="n">
        <v>59</v>
      </c>
      <c r="U509" s="2" t="n">
        <v>3</v>
      </c>
      <c r="V509" s="2" t="n">
        <v>4</v>
      </c>
      <c r="W509" s="2" t="n">
        <v>0</v>
      </c>
      <c r="X509" s="2" t="n">
        <v>4</v>
      </c>
      <c r="Y509" s="2" t="n">
        <v>41</v>
      </c>
      <c r="Z509" s="2" t="n">
        <v>10</v>
      </c>
      <c r="AA509" s="2" t="n">
        <v>8</v>
      </c>
      <c r="AB509" s="2" t="n">
        <v>11</v>
      </c>
      <c r="AC509" s="2"/>
    </row>
    <row r="510" customFormat="false" ht="15" hidden="false" customHeight="false" outlineLevel="0" collapsed="false">
      <c r="A510" s="2" t="n">
        <v>67</v>
      </c>
      <c r="B510" s="2" t="s">
        <v>722</v>
      </c>
      <c r="C510" s="2" t="s">
        <v>728</v>
      </c>
      <c r="D510" s="2" t="s">
        <v>2954</v>
      </c>
      <c r="E510" s="2" t="s">
        <v>1154</v>
      </c>
      <c r="F510" s="2" t="s">
        <v>1155</v>
      </c>
      <c r="G510" s="2" t="s">
        <v>2763</v>
      </c>
      <c r="H510" s="2" t="s">
        <v>2955</v>
      </c>
      <c r="I510" s="2" t="s">
        <v>1133</v>
      </c>
      <c r="J510" s="2" t="s">
        <v>2956</v>
      </c>
      <c r="K510" s="2" t="n">
        <v>4</v>
      </c>
      <c r="L510" s="2" t="n">
        <v>1192</v>
      </c>
      <c r="M510" s="2" t="n">
        <v>816</v>
      </c>
      <c r="N510" s="2" t="n">
        <v>674</v>
      </c>
      <c r="O510" s="2" t="n">
        <v>122</v>
      </c>
      <c r="P510" s="2" t="n">
        <v>254</v>
      </c>
      <c r="Q510" s="2" t="n">
        <v>0</v>
      </c>
      <c r="R510" s="2" t="n">
        <v>0</v>
      </c>
      <c r="S510" s="2" t="n">
        <v>3</v>
      </c>
      <c r="T510" s="2" t="n">
        <v>2</v>
      </c>
      <c r="U510" s="2" t="n">
        <v>0</v>
      </c>
      <c r="V510" s="2" t="n">
        <v>0</v>
      </c>
      <c r="W510" s="2" t="n">
        <v>0</v>
      </c>
      <c r="X510" s="2" t="n">
        <v>1</v>
      </c>
      <c r="Y510" s="2" t="n">
        <v>0</v>
      </c>
      <c r="Z510" s="2" t="n">
        <v>3</v>
      </c>
      <c r="AA510" s="2" t="n">
        <v>0</v>
      </c>
      <c r="AB510" s="2" t="n">
        <v>0</v>
      </c>
      <c r="AC510" s="2"/>
    </row>
    <row r="511" customFormat="false" ht="15" hidden="false" customHeight="false" outlineLevel="0" collapsed="false">
      <c r="A511" s="2" t="n">
        <v>67</v>
      </c>
      <c r="B511" s="2" t="s">
        <v>722</v>
      </c>
      <c r="C511" s="2" t="s">
        <v>728</v>
      </c>
      <c r="D511" s="2" t="s">
        <v>2957</v>
      </c>
      <c r="E511" s="2" t="s">
        <v>1129</v>
      </c>
      <c r="F511" s="2" t="s">
        <v>1169</v>
      </c>
      <c r="G511" s="2" t="s">
        <v>2958</v>
      </c>
      <c r="H511" s="2" t="s">
        <v>2959</v>
      </c>
      <c r="I511" s="2" t="s">
        <v>1133</v>
      </c>
      <c r="J511" s="2" t="s">
        <v>2960</v>
      </c>
      <c r="K511" s="2" t="n">
        <v>41</v>
      </c>
      <c r="L511" s="2" t="n">
        <v>21559</v>
      </c>
      <c r="M511" s="2" t="n">
        <v>0</v>
      </c>
      <c r="N511" s="2" t="n">
        <v>0</v>
      </c>
      <c r="O511" s="2" t="n">
        <v>21559</v>
      </c>
      <c r="P511" s="2" t="n">
        <v>0</v>
      </c>
      <c r="Q511" s="2" t="n">
        <v>0</v>
      </c>
      <c r="R511" s="2" t="n">
        <v>0</v>
      </c>
      <c r="S511" s="2" t="n">
        <v>147</v>
      </c>
      <c r="T511" s="2" t="n">
        <v>127</v>
      </c>
      <c r="U511" s="2" t="n">
        <v>2</v>
      </c>
      <c r="V511" s="2" t="n">
        <v>1</v>
      </c>
      <c r="W511" s="2" t="n">
        <v>17</v>
      </c>
      <c r="X511" s="2" t="n">
        <v>0</v>
      </c>
      <c r="Y511" s="2" t="n">
        <v>38</v>
      </c>
      <c r="Z511" s="2" t="n">
        <v>1</v>
      </c>
      <c r="AA511" s="2" t="n">
        <v>2</v>
      </c>
      <c r="AB511" s="2" t="n">
        <v>106</v>
      </c>
      <c r="AC511" s="2" t="s">
        <v>1135</v>
      </c>
    </row>
    <row r="512" customFormat="false" ht="15" hidden="false" customHeight="false" outlineLevel="0" collapsed="false">
      <c r="A512" s="2" t="n">
        <v>67</v>
      </c>
      <c r="B512" s="2" t="s">
        <v>722</v>
      </c>
      <c r="C512" s="2" t="s">
        <v>728</v>
      </c>
      <c r="D512" s="2" t="s">
        <v>2961</v>
      </c>
      <c r="E512" s="2" t="s">
        <v>1129</v>
      </c>
      <c r="F512" s="2" t="s">
        <v>1169</v>
      </c>
      <c r="G512" s="2" t="s">
        <v>2958</v>
      </c>
      <c r="H512" s="2" t="s">
        <v>2962</v>
      </c>
      <c r="I512" s="2" t="s">
        <v>1133</v>
      </c>
      <c r="J512" s="2" t="s">
        <v>2963</v>
      </c>
      <c r="K512" s="2" t="n">
        <v>5</v>
      </c>
      <c r="L512" s="2" t="n">
        <v>2484</v>
      </c>
      <c r="M512" s="2" t="n">
        <v>0</v>
      </c>
      <c r="N512" s="2" t="n">
        <v>0</v>
      </c>
      <c r="O512" s="2" t="n">
        <v>2484</v>
      </c>
      <c r="P512" s="2" t="n">
        <v>0</v>
      </c>
      <c r="Q512" s="2" t="n">
        <v>0</v>
      </c>
      <c r="R512" s="2" t="n">
        <v>0</v>
      </c>
      <c r="S512" s="2" t="n">
        <v>34</v>
      </c>
      <c r="T512" s="2" t="n">
        <v>25</v>
      </c>
      <c r="U512" s="2" t="n">
        <v>0</v>
      </c>
      <c r="V512" s="2" t="n">
        <v>0</v>
      </c>
      <c r="W512" s="2" t="n">
        <v>9</v>
      </c>
      <c r="X512" s="2" t="n">
        <v>0</v>
      </c>
      <c r="Y512" s="2" t="n">
        <v>27</v>
      </c>
      <c r="Z512" s="2" t="n">
        <v>2</v>
      </c>
      <c r="AA512" s="2" t="n">
        <v>1</v>
      </c>
      <c r="AB512" s="2" t="n">
        <v>4</v>
      </c>
      <c r="AC512" s="2" t="s">
        <v>1135</v>
      </c>
    </row>
    <row r="513" customFormat="false" ht="15" hidden="false" customHeight="false" outlineLevel="0" collapsed="false">
      <c r="A513" s="2" t="n">
        <v>69</v>
      </c>
      <c r="B513" s="2" t="s">
        <v>742</v>
      </c>
      <c r="C513" s="2" t="s">
        <v>748</v>
      </c>
      <c r="D513" s="2" t="s">
        <v>2964</v>
      </c>
      <c r="E513" s="2" t="s">
        <v>1129</v>
      </c>
      <c r="F513" s="2" t="s">
        <v>2897</v>
      </c>
      <c r="G513" s="2" t="s">
        <v>2965</v>
      </c>
      <c r="H513" s="2" t="s">
        <v>2966</v>
      </c>
      <c r="I513" s="2" t="s">
        <v>1133</v>
      </c>
      <c r="J513" s="2" t="s">
        <v>2967</v>
      </c>
      <c r="K513" s="2" t="n">
        <v>85</v>
      </c>
      <c r="L513" s="2" t="n">
        <v>59907</v>
      </c>
      <c r="M513" s="2" t="n">
        <v>0</v>
      </c>
      <c r="N513" s="2" t="n">
        <v>0</v>
      </c>
      <c r="O513" s="2" t="n">
        <v>59907</v>
      </c>
      <c r="P513" s="2" t="n">
        <v>0</v>
      </c>
      <c r="Q513" s="2" t="n">
        <v>0</v>
      </c>
      <c r="R513" s="2" t="n">
        <v>0</v>
      </c>
      <c r="S513" s="2" t="n">
        <v>179</v>
      </c>
      <c r="T513" s="2" t="n">
        <v>112</v>
      </c>
      <c r="U513" s="2" t="n">
        <v>34</v>
      </c>
      <c r="V513" s="2" t="n">
        <v>6</v>
      </c>
      <c r="W513" s="2" t="n">
        <v>27</v>
      </c>
      <c r="X513" s="2" t="n">
        <v>0</v>
      </c>
      <c r="Y513" s="2" t="n">
        <v>68</v>
      </c>
      <c r="Z513" s="2" t="n">
        <v>4</v>
      </c>
      <c r="AA513" s="2" t="n">
        <v>9</v>
      </c>
      <c r="AB513" s="2" t="n">
        <v>98</v>
      </c>
      <c r="AC513" s="2" t="s">
        <v>1135</v>
      </c>
    </row>
    <row r="514" customFormat="false" ht="15" hidden="false" customHeight="false" outlineLevel="0" collapsed="false">
      <c r="A514" s="2" t="n">
        <v>70</v>
      </c>
      <c r="B514" s="2" t="s">
        <v>752</v>
      </c>
      <c r="C514" s="2" t="s">
        <v>757</v>
      </c>
      <c r="D514" s="2" t="s">
        <v>2968</v>
      </c>
      <c r="E514" s="2" t="s">
        <v>1154</v>
      </c>
      <c r="F514" s="2" t="s">
        <v>1178</v>
      </c>
      <c r="G514" s="2" t="s">
        <v>2969</v>
      </c>
      <c r="H514" s="2" t="s">
        <v>2970</v>
      </c>
      <c r="I514" s="2" t="s">
        <v>1133</v>
      </c>
      <c r="J514" s="2" t="s">
        <v>2971</v>
      </c>
      <c r="K514" s="2" t="n">
        <v>5</v>
      </c>
      <c r="L514" s="2" t="n">
        <v>1755</v>
      </c>
      <c r="M514" s="2" t="n">
        <v>592</v>
      </c>
      <c r="N514" s="2" t="n">
        <v>489</v>
      </c>
      <c r="O514" s="2" t="n">
        <v>968</v>
      </c>
      <c r="P514" s="2" t="n">
        <v>195</v>
      </c>
      <c r="Q514" s="2" t="n">
        <v>0</v>
      </c>
      <c r="R514" s="2" t="n">
        <v>0</v>
      </c>
      <c r="S514" s="2" t="n">
        <v>4</v>
      </c>
      <c r="T514" s="2" t="n">
        <v>4</v>
      </c>
      <c r="U514" s="2" t="n">
        <v>0</v>
      </c>
      <c r="V514" s="2" t="n">
        <v>0</v>
      </c>
      <c r="W514" s="2" t="n">
        <v>0</v>
      </c>
      <c r="X514" s="2" t="n">
        <v>0</v>
      </c>
      <c r="Y514" s="2" t="n">
        <v>0</v>
      </c>
      <c r="Z514" s="2" t="n">
        <v>0</v>
      </c>
      <c r="AA514" s="2" t="n">
        <v>1</v>
      </c>
      <c r="AB514" s="2" t="n">
        <v>3</v>
      </c>
      <c r="AC514" s="2"/>
    </row>
    <row r="515" customFormat="false" ht="15" hidden="false" customHeight="false" outlineLevel="0" collapsed="false">
      <c r="A515" s="2" t="n">
        <v>70</v>
      </c>
      <c r="B515" s="2" t="s">
        <v>752</v>
      </c>
      <c r="C515" s="2" t="s">
        <v>757</v>
      </c>
      <c r="D515" s="2" t="s">
        <v>2972</v>
      </c>
      <c r="E515" s="2" t="s">
        <v>1129</v>
      </c>
      <c r="F515" s="2" t="s">
        <v>1169</v>
      </c>
      <c r="G515" s="2" t="s">
        <v>2969</v>
      </c>
      <c r="H515" s="2" t="s">
        <v>2973</v>
      </c>
      <c r="I515" s="2" t="s">
        <v>1133</v>
      </c>
      <c r="J515" s="2" t="s">
        <v>2974</v>
      </c>
      <c r="K515" s="2" t="n">
        <v>14</v>
      </c>
      <c r="L515" s="2" t="n">
        <v>6520</v>
      </c>
      <c r="M515" s="2" t="n">
        <v>0</v>
      </c>
      <c r="N515" s="2" t="n">
        <v>0</v>
      </c>
      <c r="O515" s="2" t="n">
        <v>4666</v>
      </c>
      <c r="P515" s="2" t="n">
        <v>1854</v>
      </c>
      <c r="Q515" s="2" t="n">
        <v>0</v>
      </c>
      <c r="R515" s="2" t="n">
        <v>0</v>
      </c>
      <c r="S515" s="2" t="n">
        <v>13</v>
      </c>
      <c r="T515" s="2" t="n">
        <v>13</v>
      </c>
      <c r="U515" s="2" t="n">
        <v>0</v>
      </c>
      <c r="V515" s="2" t="n">
        <v>0</v>
      </c>
      <c r="W515" s="2" t="n">
        <v>0</v>
      </c>
      <c r="X515" s="2" t="n">
        <v>0</v>
      </c>
      <c r="Y515" s="2" t="n">
        <v>0</v>
      </c>
      <c r="Z515" s="2" t="n">
        <v>11</v>
      </c>
      <c r="AA515" s="2" t="n">
        <v>1</v>
      </c>
      <c r="AB515" s="2" t="n">
        <v>1</v>
      </c>
      <c r="AC515" s="2" t="s">
        <v>1135</v>
      </c>
    </row>
    <row r="516" customFormat="false" ht="15" hidden="false" customHeight="false" outlineLevel="0" collapsed="false">
      <c r="A516" s="2" t="n">
        <v>70</v>
      </c>
      <c r="B516" s="2" t="s">
        <v>752</v>
      </c>
      <c r="C516" s="2" t="s">
        <v>757</v>
      </c>
      <c r="D516" s="2" t="s">
        <v>2975</v>
      </c>
      <c r="E516" s="2" t="s">
        <v>1154</v>
      </c>
      <c r="F516" s="2" t="s">
        <v>1178</v>
      </c>
      <c r="G516" s="2" t="s">
        <v>2976</v>
      </c>
      <c r="H516" s="2" t="s">
        <v>2977</v>
      </c>
      <c r="I516" s="2" t="s">
        <v>1133</v>
      </c>
      <c r="J516" s="2" t="s">
        <v>2978</v>
      </c>
      <c r="K516" s="2" t="n">
        <v>4</v>
      </c>
      <c r="L516" s="2" t="n">
        <v>982</v>
      </c>
      <c r="M516" s="2" t="n">
        <v>364</v>
      </c>
      <c r="N516" s="2" t="n">
        <v>275</v>
      </c>
      <c r="O516" s="2" t="n">
        <v>115</v>
      </c>
      <c r="P516" s="2" t="n">
        <v>503</v>
      </c>
      <c r="Q516" s="2" t="n">
        <v>0</v>
      </c>
      <c r="R516" s="2" t="n">
        <v>0</v>
      </c>
      <c r="S516" s="2" t="n">
        <v>9</v>
      </c>
      <c r="T516" s="2" t="n">
        <v>9</v>
      </c>
      <c r="U516" s="2" t="n">
        <v>0</v>
      </c>
      <c r="V516" s="2" t="n">
        <v>0</v>
      </c>
      <c r="W516" s="2" t="n">
        <v>0</v>
      </c>
      <c r="X516" s="2" t="n">
        <v>0</v>
      </c>
      <c r="Y516" s="2" t="n">
        <v>0</v>
      </c>
      <c r="Z516" s="2" t="n">
        <v>0</v>
      </c>
      <c r="AA516" s="2" t="n">
        <v>0</v>
      </c>
      <c r="AB516" s="2" t="n">
        <v>9</v>
      </c>
      <c r="AC516" s="2"/>
    </row>
    <row r="517" customFormat="false" ht="15" hidden="false" customHeight="false" outlineLevel="0" collapsed="false">
      <c r="A517" s="2" t="n">
        <v>70</v>
      </c>
      <c r="B517" s="2" t="s">
        <v>752</v>
      </c>
      <c r="C517" s="2" t="s">
        <v>757</v>
      </c>
      <c r="D517" s="2" t="s">
        <v>2979</v>
      </c>
      <c r="E517" s="2" t="s">
        <v>1154</v>
      </c>
      <c r="F517" s="2" t="s">
        <v>1178</v>
      </c>
      <c r="G517" s="2" t="s">
        <v>2976</v>
      </c>
      <c r="H517" s="2" t="s">
        <v>2980</v>
      </c>
      <c r="I517" s="2" t="s">
        <v>1133</v>
      </c>
      <c r="J517" s="2" t="s">
        <v>2981</v>
      </c>
      <c r="K517" s="2" t="n">
        <v>4</v>
      </c>
      <c r="L517" s="2" t="n">
        <v>1089</v>
      </c>
      <c r="M517" s="2" t="n">
        <v>486</v>
      </c>
      <c r="N517" s="2" t="n">
        <v>393</v>
      </c>
      <c r="O517" s="2" t="n">
        <v>124</v>
      </c>
      <c r="P517" s="2" t="n">
        <v>479</v>
      </c>
      <c r="Q517" s="2" t="n">
        <v>0</v>
      </c>
      <c r="R517" s="2" t="n">
        <v>0</v>
      </c>
      <c r="S517" s="2" t="n">
        <v>7</v>
      </c>
      <c r="T517" s="2" t="n">
        <v>7</v>
      </c>
      <c r="U517" s="2" t="n">
        <v>0</v>
      </c>
      <c r="V517" s="2" t="n">
        <v>0</v>
      </c>
      <c r="W517" s="2" t="n">
        <v>0</v>
      </c>
      <c r="X517" s="2" t="n">
        <v>0</v>
      </c>
      <c r="Y517" s="2" t="n">
        <v>0</v>
      </c>
      <c r="Z517" s="2" t="n">
        <v>0</v>
      </c>
      <c r="AA517" s="2" t="n">
        <v>0</v>
      </c>
      <c r="AB517" s="2" t="n">
        <v>7</v>
      </c>
      <c r="AC517" s="2"/>
    </row>
    <row r="518" customFormat="false" ht="15" hidden="false" customHeight="false" outlineLevel="0" collapsed="false">
      <c r="A518" s="2" t="n">
        <v>70</v>
      </c>
      <c r="B518" s="2" t="s">
        <v>752</v>
      </c>
      <c r="C518" s="2" t="s">
        <v>757</v>
      </c>
      <c r="D518" s="2" t="s">
        <v>2982</v>
      </c>
      <c r="E518" s="2" t="s">
        <v>1154</v>
      </c>
      <c r="F518" s="2" t="s">
        <v>1178</v>
      </c>
      <c r="G518" s="2" t="s">
        <v>2983</v>
      </c>
      <c r="H518" s="2" t="s">
        <v>2984</v>
      </c>
      <c r="I518" s="2" t="s">
        <v>1133</v>
      </c>
      <c r="J518" s="2" t="s">
        <v>2985</v>
      </c>
      <c r="K518" s="2" t="n">
        <v>4</v>
      </c>
      <c r="L518" s="2" t="n">
        <v>1241</v>
      </c>
      <c r="M518" s="2" t="n">
        <v>539</v>
      </c>
      <c r="N518" s="2" t="n">
        <v>448</v>
      </c>
      <c r="O518" s="2" t="n">
        <v>129</v>
      </c>
      <c r="P518" s="2" t="n">
        <v>573</v>
      </c>
      <c r="Q518" s="2" t="n">
        <v>0</v>
      </c>
      <c r="R518" s="2" t="n">
        <v>0</v>
      </c>
      <c r="S518" s="2" t="n">
        <v>11</v>
      </c>
      <c r="T518" s="2" t="n">
        <v>11</v>
      </c>
      <c r="U518" s="2" t="n">
        <v>0</v>
      </c>
      <c r="V518" s="2" t="n">
        <v>0</v>
      </c>
      <c r="W518" s="2" t="n">
        <v>0</v>
      </c>
      <c r="X518" s="2" t="n">
        <v>0</v>
      </c>
      <c r="Y518" s="2" t="n">
        <v>0</v>
      </c>
      <c r="Z518" s="2" t="n">
        <v>0</v>
      </c>
      <c r="AA518" s="2" t="n">
        <v>0</v>
      </c>
      <c r="AB518" s="2" t="n">
        <v>11</v>
      </c>
      <c r="AC518" s="2"/>
    </row>
    <row r="519" customFormat="false" ht="15" hidden="false" customHeight="false" outlineLevel="0" collapsed="false">
      <c r="A519" s="2" t="n">
        <v>70</v>
      </c>
      <c r="B519" s="2" t="s">
        <v>752</v>
      </c>
      <c r="C519" s="2" t="s">
        <v>757</v>
      </c>
      <c r="D519" s="2" t="s">
        <v>2986</v>
      </c>
      <c r="E519" s="2" t="s">
        <v>1154</v>
      </c>
      <c r="F519" s="2" t="s">
        <v>1178</v>
      </c>
      <c r="G519" s="2" t="s">
        <v>2987</v>
      </c>
      <c r="H519" s="2" t="s">
        <v>2988</v>
      </c>
      <c r="I519" s="2" t="s">
        <v>1133</v>
      </c>
      <c r="J519" s="2" t="s">
        <v>2989</v>
      </c>
      <c r="K519" s="2" t="n">
        <v>4</v>
      </c>
      <c r="L519" s="2" t="n">
        <v>1124</v>
      </c>
      <c r="M519" s="2" t="n">
        <v>518</v>
      </c>
      <c r="N519" s="2" t="n">
        <v>432</v>
      </c>
      <c r="O519" s="2" t="n">
        <v>116</v>
      </c>
      <c r="P519" s="2" t="n">
        <v>490</v>
      </c>
      <c r="Q519" s="2" t="n">
        <v>0</v>
      </c>
      <c r="R519" s="2" t="n">
        <v>0</v>
      </c>
      <c r="S519" s="2" t="n">
        <v>8</v>
      </c>
      <c r="T519" s="2" t="n">
        <v>8</v>
      </c>
      <c r="U519" s="2" t="n">
        <v>0</v>
      </c>
      <c r="V519" s="2" t="n">
        <v>0</v>
      </c>
      <c r="W519" s="2" t="n">
        <v>0</v>
      </c>
      <c r="X519" s="2" t="n">
        <v>0</v>
      </c>
      <c r="Y519" s="2" t="n">
        <v>0</v>
      </c>
      <c r="Z519" s="2" t="n">
        <v>0</v>
      </c>
      <c r="AA519" s="2" t="n">
        <v>0</v>
      </c>
      <c r="AB519" s="2" t="n">
        <v>8</v>
      </c>
      <c r="AC519" s="2"/>
    </row>
    <row r="520" customFormat="false" ht="15" hidden="false" customHeight="false" outlineLevel="0" collapsed="false">
      <c r="A520" s="2" t="n">
        <v>70</v>
      </c>
      <c r="B520" s="2" t="s">
        <v>752</v>
      </c>
      <c r="C520" s="2" t="s">
        <v>757</v>
      </c>
      <c r="D520" s="2" t="s">
        <v>2990</v>
      </c>
      <c r="E520" s="2" t="s">
        <v>1154</v>
      </c>
      <c r="F520" s="2" t="s">
        <v>1178</v>
      </c>
      <c r="G520" s="2" t="s">
        <v>1344</v>
      </c>
      <c r="H520" s="2" t="s">
        <v>2991</v>
      </c>
      <c r="I520" s="2" t="s">
        <v>1133</v>
      </c>
      <c r="J520" s="2" t="s">
        <v>2992</v>
      </c>
      <c r="K520" s="2" t="n">
        <v>4</v>
      </c>
      <c r="L520" s="2" t="n">
        <v>1275</v>
      </c>
      <c r="M520" s="2" t="n">
        <v>545</v>
      </c>
      <c r="N520" s="2" t="n">
        <v>454</v>
      </c>
      <c r="O520" s="2" t="n">
        <v>128</v>
      </c>
      <c r="P520" s="2" t="n">
        <v>602</v>
      </c>
      <c r="Q520" s="2" t="n">
        <v>0</v>
      </c>
      <c r="R520" s="2" t="n">
        <v>0</v>
      </c>
      <c r="S520" s="2" t="n">
        <v>11</v>
      </c>
      <c r="T520" s="2" t="n">
        <v>11</v>
      </c>
      <c r="U520" s="2" t="n">
        <v>0</v>
      </c>
      <c r="V520" s="2" t="n">
        <v>0</v>
      </c>
      <c r="W520" s="2" t="n">
        <v>0</v>
      </c>
      <c r="X520" s="2" t="n">
        <v>0</v>
      </c>
      <c r="Y520" s="2" t="n">
        <v>1</v>
      </c>
      <c r="Z520" s="2" t="n">
        <v>0</v>
      </c>
      <c r="AA520" s="2" t="n">
        <v>0</v>
      </c>
      <c r="AB520" s="2" t="n">
        <v>10</v>
      </c>
      <c r="AC520" s="2"/>
    </row>
    <row r="521" customFormat="false" ht="15" hidden="false" customHeight="false" outlineLevel="0" collapsed="false">
      <c r="A521" s="2" t="n">
        <v>70</v>
      </c>
      <c r="B521" s="2" t="s">
        <v>752</v>
      </c>
      <c r="C521" s="2" t="s">
        <v>757</v>
      </c>
      <c r="D521" s="2" t="s">
        <v>2993</v>
      </c>
      <c r="E521" s="2" t="s">
        <v>1154</v>
      </c>
      <c r="F521" s="2" t="s">
        <v>1178</v>
      </c>
      <c r="G521" s="2" t="s">
        <v>2994</v>
      </c>
      <c r="H521" s="2" t="s">
        <v>2995</v>
      </c>
      <c r="I521" s="2" t="s">
        <v>1133</v>
      </c>
      <c r="J521" s="2" t="s">
        <v>2996</v>
      </c>
      <c r="K521" s="2" t="n">
        <v>4</v>
      </c>
      <c r="L521" s="2" t="n">
        <v>1421</v>
      </c>
      <c r="M521" s="2" t="n">
        <v>753</v>
      </c>
      <c r="N521" s="2" t="n">
        <v>666</v>
      </c>
      <c r="O521" s="2" t="n">
        <v>113</v>
      </c>
      <c r="P521" s="2" t="n">
        <v>555</v>
      </c>
      <c r="Q521" s="2" t="n">
        <v>0</v>
      </c>
      <c r="R521" s="2" t="n">
        <v>0</v>
      </c>
      <c r="S521" s="2" t="n">
        <v>9</v>
      </c>
      <c r="T521" s="2" t="n">
        <v>9</v>
      </c>
      <c r="U521" s="2" t="n">
        <v>0</v>
      </c>
      <c r="V521" s="2" t="n">
        <v>0</v>
      </c>
      <c r="W521" s="2" t="n">
        <v>0</v>
      </c>
      <c r="X521" s="2" t="n">
        <v>0</v>
      </c>
      <c r="Y521" s="2" t="n">
        <v>0</v>
      </c>
      <c r="Z521" s="2" t="n">
        <v>0</v>
      </c>
      <c r="AA521" s="2" t="n">
        <v>0</v>
      </c>
      <c r="AB521" s="2" t="n">
        <v>9</v>
      </c>
      <c r="AC521" s="2"/>
    </row>
    <row r="522" customFormat="false" ht="15" hidden="false" customHeight="false" outlineLevel="0" collapsed="false">
      <c r="A522" s="2" t="n">
        <v>70</v>
      </c>
      <c r="B522" s="2" t="s">
        <v>752</v>
      </c>
      <c r="C522" s="2" t="s">
        <v>757</v>
      </c>
      <c r="D522" s="2" t="s">
        <v>2997</v>
      </c>
      <c r="E522" s="2" t="s">
        <v>1154</v>
      </c>
      <c r="F522" s="2" t="s">
        <v>1178</v>
      </c>
      <c r="G522" s="2" t="s">
        <v>2998</v>
      </c>
      <c r="H522" s="2" t="s">
        <v>2999</v>
      </c>
      <c r="I522" s="2" t="s">
        <v>1133</v>
      </c>
      <c r="J522" s="2" t="s">
        <v>3000</v>
      </c>
      <c r="K522" s="2" t="n">
        <v>4</v>
      </c>
      <c r="L522" s="2" t="n">
        <v>1172</v>
      </c>
      <c r="M522" s="2" t="n">
        <v>495</v>
      </c>
      <c r="N522" s="2" t="n">
        <v>408</v>
      </c>
      <c r="O522" s="2" t="n">
        <v>132</v>
      </c>
      <c r="P522" s="2" t="n">
        <v>545</v>
      </c>
      <c r="Q522" s="2" t="n">
        <v>0</v>
      </c>
      <c r="R522" s="2" t="n">
        <v>0</v>
      </c>
      <c r="S522" s="2" t="n">
        <v>9</v>
      </c>
      <c r="T522" s="2" t="n">
        <v>9</v>
      </c>
      <c r="U522" s="2" t="n">
        <v>0</v>
      </c>
      <c r="V522" s="2" t="n">
        <v>0</v>
      </c>
      <c r="W522" s="2" t="n">
        <v>0</v>
      </c>
      <c r="X522" s="2" t="n">
        <v>0</v>
      </c>
      <c r="Y522" s="2" t="n">
        <v>0</v>
      </c>
      <c r="Z522" s="2" t="n">
        <v>0</v>
      </c>
      <c r="AA522" s="2" t="n">
        <v>0</v>
      </c>
      <c r="AB522" s="2" t="n">
        <v>9</v>
      </c>
      <c r="AC522" s="2"/>
    </row>
    <row r="523" customFormat="false" ht="15" hidden="false" customHeight="false" outlineLevel="0" collapsed="false">
      <c r="A523" s="2" t="n">
        <v>71</v>
      </c>
      <c r="B523" s="2" t="s">
        <v>760</v>
      </c>
      <c r="C523" s="2" t="s">
        <v>765</v>
      </c>
      <c r="D523" s="2" t="s">
        <v>3001</v>
      </c>
      <c r="E523" s="2" t="s">
        <v>1154</v>
      </c>
      <c r="F523" s="2" t="s">
        <v>1155</v>
      </c>
      <c r="G523" s="2" t="s">
        <v>3002</v>
      </c>
      <c r="H523" s="2" t="s">
        <v>3003</v>
      </c>
      <c r="I523" s="2" t="s">
        <v>1133</v>
      </c>
      <c r="J523" s="2" t="s">
        <v>3004</v>
      </c>
      <c r="K523" s="2" t="n">
        <v>11</v>
      </c>
      <c r="L523" s="2" t="n">
        <v>4952</v>
      </c>
      <c r="M523" s="2" t="n">
        <v>1174</v>
      </c>
      <c r="N523" s="2" t="n">
        <v>1056</v>
      </c>
      <c r="O523" s="2" t="n">
        <v>95</v>
      </c>
      <c r="P523" s="2" t="n">
        <v>3683</v>
      </c>
      <c r="Q523" s="2" t="n">
        <v>0</v>
      </c>
      <c r="R523" s="2" t="n">
        <v>0</v>
      </c>
      <c r="S523" s="2" t="n">
        <v>48</v>
      </c>
      <c r="T523" s="2" t="n">
        <v>37</v>
      </c>
      <c r="U523" s="2" t="n">
        <v>1</v>
      </c>
      <c r="V523" s="2" t="n">
        <v>0</v>
      </c>
      <c r="W523" s="2" t="n">
        <v>10</v>
      </c>
      <c r="X523" s="2" t="n">
        <v>0</v>
      </c>
      <c r="Y523" s="2" t="n">
        <v>10</v>
      </c>
      <c r="Z523" s="2" t="n">
        <v>0</v>
      </c>
      <c r="AA523" s="2" t="n">
        <v>0</v>
      </c>
      <c r="AB523" s="2" t="n">
        <v>38</v>
      </c>
      <c r="AC523" s="2"/>
    </row>
    <row r="524" customFormat="false" ht="15" hidden="false" customHeight="false" outlineLevel="0" collapsed="false">
      <c r="A524" s="2" t="n">
        <v>71</v>
      </c>
      <c r="B524" s="2" t="s">
        <v>760</v>
      </c>
      <c r="C524" s="2" t="s">
        <v>765</v>
      </c>
      <c r="D524" s="2" t="s">
        <v>3005</v>
      </c>
      <c r="E524" s="2" t="s">
        <v>1129</v>
      </c>
      <c r="F524" s="2" t="s">
        <v>1169</v>
      </c>
      <c r="G524" s="2" t="s">
        <v>2893</v>
      </c>
      <c r="H524" s="2" t="s">
        <v>3006</v>
      </c>
      <c r="I524" s="2" t="s">
        <v>1133</v>
      </c>
      <c r="J524" s="2" t="s">
        <v>3007</v>
      </c>
      <c r="K524" s="2" t="n">
        <v>36</v>
      </c>
      <c r="L524" s="2" t="n">
        <v>20581</v>
      </c>
      <c r="M524" s="2" t="n">
        <v>0</v>
      </c>
      <c r="N524" s="2" t="n">
        <v>0</v>
      </c>
      <c r="O524" s="2" t="n">
        <v>20581</v>
      </c>
      <c r="P524" s="2" t="n">
        <v>0</v>
      </c>
      <c r="Q524" s="2" t="n">
        <v>0</v>
      </c>
      <c r="R524" s="2" t="n">
        <v>0</v>
      </c>
      <c r="S524" s="2" t="n">
        <v>92</v>
      </c>
      <c r="T524" s="2" t="n">
        <v>72</v>
      </c>
      <c r="U524" s="2" t="n">
        <v>2</v>
      </c>
      <c r="V524" s="2" t="n">
        <v>1</v>
      </c>
      <c r="W524" s="2" t="n">
        <v>15</v>
      </c>
      <c r="X524" s="2" t="n">
        <v>2</v>
      </c>
      <c r="Y524" s="2" t="n">
        <v>60</v>
      </c>
      <c r="Z524" s="2" t="n">
        <v>9</v>
      </c>
      <c r="AA524" s="2" t="n">
        <v>2</v>
      </c>
      <c r="AB524" s="2" t="n">
        <v>21</v>
      </c>
      <c r="AC524" s="2" t="s">
        <v>1135</v>
      </c>
    </row>
    <row r="525" customFormat="false" ht="15" hidden="false" customHeight="false" outlineLevel="0" collapsed="false">
      <c r="A525" s="2" t="n">
        <v>71</v>
      </c>
      <c r="B525" s="2" t="s">
        <v>760</v>
      </c>
      <c r="C525" s="2" t="s">
        <v>765</v>
      </c>
      <c r="D525" s="2" t="s">
        <v>3008</v>
      </c>
      <c r="E525" s="2" t="s">
        <v>1154</v>
      </c>
      <c r="F525" s="2" t="s">
        <v>1155</v>
      </c>
      <c r="G525" s="2" t="s">
        <v>3009</v>
      </c>
      <c r="H525" s="2" t="s">
        <v>3010</v>
      </c>
      <c r="I525" s="2" t="s">
        <v>1133</v>
      </c>
      <c r="J525" s="2" t="s">
        <v>3011</v>
      </c>
      <c r="K525" s="2" t="n">
        <v>5</v>
      </c>
      <c r="L525" s="2" t="n">
        <v>1957</v>
      </c>
      <c r="M525" s="2" t="n">
        <v>1173</v>
      </c>
      <c r="N525" s="2" t="n">
        <v>1051</v>
      </c>
      <c r="O525" s="2" t="n">
        <v>76</v>
      </c>
      <c r="P525" s="2" t="n">
        <v>708</v>
      </c>
      <c r="Q525" s="2" t="n">
        <v>0</v>
      </c>
      <c r="R525" s="2" t="n">
        <v>0</v>
      </c>
      <c r="S525" s="2" t="n">
        <v>22</v>
      </c>
      <c r="T525" s="2" t="n">
        <v>20</v>
      </c>
      <c r="U525" s="2" t="n">
        <v>0</v>
      </c>
      <c r="V525" s="2" t="n">
        <v>0</v>
      </c>
      <c r="W525" s="2" t="n">
        <v>0</v>
      </c>
      <c r="X525" s="2" t="n">
        <v>2</v>
      </c>
      <c r="Y525" s="2" t="n">
        <v>6</v>
      </c>
      <c r="Z525" s="2" t="n">
        <v>0</v>
      </c>
      <c r="AA525" s="2" t="n">
        <v>0</v>
      </c>
      <c r="AB525" s="2" t="n">
        <v>16</v>
      </c>
      <c r="AC525" s="2"/>
    </row>
    <row r="526" customFormat="false" ht="15" hidden="false" customHeight="false" outlineLevel="0" collapsed="false">
      <c r="A526" s="2" t="n">
        <v>72</v>
      </c>
      <c r="B526" s="2" t="s">
        <v>769</v>
      </c>
      <c r="C526" s="2" t="s">
        <v>774</v>
      </c>
      <c r="D526" s="2" t="s">
        <v>3012</v>
      </c>
      <c r="E526" s="2" t="s">
        <v>1154</v>
      </c>
      <c r="F526" s="2" t="s">
        <v>1155</v>
      </c>
      <c r="G526" s="2" t="s">
        <v>1162</v>
      </c>
      <c r="H526" s="2" t="s">
        <v>3013</v>
      </c>
      <c r="I526" s="2" t="s">
        <v>1133</v>
      </c>
      <c r="J526" s="2" t="s">
        <v>3014</v>
      </c>
      <c r="K526" s="2" t="n">
        <v>33</v>
      </c>
      <c r="L526" s="2" t="n">
        <v>13614</v>
      </c>
      <c r="M526" s="2" t="n">
        <v>950</v>
      </c>
      <c r="N526" s="2" t="n">
        <v>741</v>
      </c>
      <c r="O526" s="2" t="n">
        <v>559</v>
      </c>
      <c r="P526" s="2" t="n">
        <v>12105</v>
      </c>
      <c r="Q526" s="2" t="n">
        <v>0</v>
      </c>
      <c r="R526" s="2" t="n">
        <v>0</v>
      </c>
      <c r="S526" s="2" t="n">
        <v>199</v>
      </c>
      <c r="T526" s="2" t="n">
        <v>187</v>
      </c>
      <c r="U526" s="2" t="n">
        <v>3</v>
      </c>
      <c r="V526" s="2" t="n">
        <v>0</v>
      </c>
      <c r="W526" s="2" t="n">
        <v>0</v>
      </c>
      <c r="X526" s="2" t="n">
        <v>9</v>
      </c>
      <c r="Y526" s="2" t="n">
        <v>38</v>
      </c>
      <c r="Z526" s="2" t="n">
        <v>17</v>
      </c>
      <c r="AA526" s="2" t="n">
        <v>6</v>
      </c>
      <c r="AB526" s="2" t="n">
        <v>138</v>
      </c>
      <c r="AC526" s="2"/>
    </row>
    <row r="527" customFormat="false" ht="15" hidden="false" customHeight="false" outlineLevel="0" collapsed="false">
      <c r="A527" s="2" t="n">
        <v>72</v>
      </c>
      <c r="B527" s="2" t="s">
        <v>769</v>
      </c>
      <c r="C527" s="2" t="s">
        <v>774</v>
      </c>
      <c r="D527" s="2" t="s">
        <v>3015</v>
      </c>
      <c r="E527" s="2" t="s">
        <v>1154</v>
      </c>
      <c r="F527" s="2" t="s">
        <v>1155</v>
      </c>
      <c r="G527" s="2" t="s">
        <v>1162</v>
      </c>
      <c r="H527" s="2" t="s">
        <v>3016</v>
      </c>
      <c r="I527" s="2" t="s">
        <v>1133</v>
      </c>
      <c r="J527" s="2" t="s">
        <v>3017</v>
      </c>
      <c r="K527" s="2" t="n">
        <v>4</v>
      </c>
      <c r="L527" s="2" t="n">
        <v>1459</v>
      </c>
      <c r="M527" s="2" t="n">
        <v>511</v>
      </c>
      <c r="N527" s="2" t="n">
        <v>389</v>
      </c>
      <c r="O527" s="2" t="n">
        <v>142</v>
      </c>
      <c r="P527" s="2" t="n">
        <v>806</v>
      </c>
      <c r="Q527" s="2" t="n">
        <v>0</v>
      </c>
      <c r="R527" s="2" t="n">
        <v>0</v>
      </c>
      <c r="S527" s="2" t="n">
        <v>15</v>
      </c>
      <c r="T527" s="2" t="n">
        <v>15</v>
      </c>
      <c r="U527" s="2" t="n">
        <v>0</v>
      </c>
      <c r="V527" s="2" t="n">
        <v>0</v>
      </c>
      <c r="W527" s="2" t="n">
        <v>0</v>
      </c>
      <c r="X527" s="2" t="n">
        <v>0</v>
      </c>
      <c r="Y527" s="2" t="n">
        <v>1</v>
      </c>
      <c r="Z527" s="2" t="n">
        <v>0</v>
      </c>
      <c r="AA527" s="2" t="n">
        <v>3</v>
      </c>
      <c r="AB527" s="2" t="n">
        <v>11</v>
      </c>
      <c r="AC527" s="2"/>
    </row>
    <row r="528" customFormat="false" ht="15" hidden="false" customHeight="false" outlineLevel="0" collapsed="false">
      <c r="A528" s="2" t="n">
        <v>74</v>
      </c>
      <c r="B528" s="2" t="s">
        <v>787</v>
      </c>
      <c r="C528" s="2" t="s">
        <v>792</v>
      </c>
      <c r="D528" s="2" t="s">
        <v>3018</v>
      </c>
      <c r="E528" s="2" t="s">
        <v>1129</v>
      </c>
      <c r="F528" s="2" t="s">
        <v>1360</v>
      </c>
      <c r="G528" s="2" t="s">
        <v>3019</v>
      </c>
      <c r="H528" s="2" t="s">
        <v>3020</v>
      </c>
      <c r="I528" s="2" t="s">
        <v>1133</v>
      </c>
      <c r="J528" s="2" t="s">
        <v>3021</v>
      </c>
      <c r="K528" s="2" t="n">
        <v>21</v>
      </c>
      <c r="L528" s="2" t="n">
        <v>10945</v>
      </c>
      <c r="M528" s="2" t="n">
        <v>0</v>
      </c>
      <c r="N528" s="2" t="n">
        <v>0</v>
      </c>
      <c r="O528" s="2" t="n">
        <v>10945</v>
      </c>
      <c r="P528" s="2" t="n">
        <v>0</v>
      </c>
      <c r="Q528" s="2" t="n">
        <v>0</v>
      </c>
      <c r="R528" s="2" t="n">
        <v>0</v>
      </c>
      <c r="S528" s="2" t="n">
        <v>32</v>
      </c>
      <c r="T528" s="2" t="n">
        <v>18</v>
      </c>
      <c r="U528" s="2" t="n">
        <v>1</v>
      </c>
      <c r="V528" s="2" t="n">
        <v>1</v>
      </c>
      <c r="W528" s="2" t="n">
        <v>12</v>
      </c>
      <c r="X528" s="2" t="n">
        <v>0</v>
      </c>
      <c r="Y528" s="2" t="n">
        <v>9</v>
      </c>
      <c r="Z528" s="2" t="n">
        <v>0</v>
      </c>
      <c r="AA528" s="2" t="n">
        <v>6</v>
      </c>
      <c r="AB528" s="2" t="n">
        <v>17</v>
      </c>
      <c r="AC528" s="2" t="s">
        <v>1135</v>
      </c>
    </row>
    <row r="529" customFormat="false" ht="15" hidden="false" customHeight="false" outlineLevel="0" collapsed="false">
      <c r="A529" s="2" t="n">
        <v>75</v>
      </c>
      <c r="B529" s="2" t="s">
        <v>795</v>
      </c>
      <c r="C529" s="2" t="s">
        <v>801</v>
      </c>
      <c r="D529" s="2" t="s">
        <v>3022</v>
      </c>
      <c r="E529" s="2" t="s">
        <v>1154</v>
      </c>
      <c r="F529" s="2" t="s">
        <v>1178</v>
      </c>
      <c r="G529" s="2" t="s">
        <v>3023</v>
      </c>
      <c r="H529" s="2" t="s">
        <v>3024</v>
      </c>
      <c r="I529" s="2" t="s">
        <v>1133</v>
      </c>
      <c r="J529" s="2" t="s">
        <v>3025</v>
      </c>
      <c r="K529" s="2" t="n">
        <v>5</v>
      </c>
      <c r="L529" s="2" t="n">
        <v>1413</v>
      </c>
      <c r="M529" s="2" t="n">
        <v>331</v>
      </c>
      <c r="N529" s="2" t="n">
        <v>214</v>
      </c>
      <c r="O529" s="2" t="n">
        <v>781</v>
      </c>
      <c r="P529" s="2" t="n">
        <v>301</v>
      </c>
      <c r="Q529" s="2" t="n">
        <v>0</v>
      </c>
      <c r="R529" s="2" t="n">
        <v>0</v>
      </c>
      <c r="S529" s="2" t="n">
        <v>15</v>
      </c>
      <c r="T529" s="2" t="n">
        <v>15</v>
      </c>
      <c r="U529" s="2" t="n">
        <v>0</v>
      </c>
      <c r="V529" s="2" t="n">
        <v>0</v>
      </c>
      <c r="W529" s="2" t="n">
        <v>0</v>
      </c>
      <c r="X529" s="2" t="n">
        <v>0</v>
      </c>
      <c r="Y529" s="2" t="n">
        <v>1</v>
      </c>
      <c r="Z529" s="2" t="n">
        <v>0</v>
      </c>
      <c r="AA529" s="2" t="n">
        <v>7</v>
      </c>
      <c r="AB529" s="2" t="n">
        <v>7</v>
      </c>
      <c r="AC529" s="2"/>
    </row>
    <row r="530" customFormat="false" ht="15" hidden="false" customHeight="false" outlineLevel="0" collapsed="false">
      <c r="A530" s="2" t="n">
        <v>75</v>
      </c>
      <c r="B530" s="2" t="s">
        <v>795</v>
      </c>
      <c r="C530" s="2" t="s">
        <v>801</v>
      </c>
      <c r="D530" s="2" t="s">
        <v>3026</v>
      </c>
      <c r="E530" s="2" t="s">
        <v>1154</v>
      </c>
      <c r="F530" s="2" t="s">
        <v>1178</v>
      </c>
      <c r="G530" s="2" t="s">
        <v>3027</v>
      </c>
      <c r="H530" s="2" t="s">
        <v>3028</v>
      </c>
      <c r="I530" s="2" t="s">
        <v>1133</v>
      </c>
      <c r="J530" s="2" t="s">
        <v>3029</v>
      </c>
      <c r="K530" s="2" t="n">
        <v>2</v>
      </c>
      <c r="L530" s="2" t="n">
        <v>830</v>
      </c>
      <c r="M530" s="2" t="n">
        <v>681</v>
      </c>
      <c r="N530" s="2" t="n">
        <v>567</v>
      </c>
      <c r="O530" s="2" t="n">
        <v>149</v>
      </c>
      <c r="P530" s="2" t="n">
        <v>0</v>
      </c>
      <c r="Q530" s="2" t="n">
        <v>0</v>
      </c>
      <c r="R530" s="2" t="n">
        <v>0</v>
      </c>
      <c r="S530" s="2" t="n">
        <v>1</v>
      </c>
      <c r="T530" s="2" t="n">
        <v>1</v>
      </c>
      <c r="U530" s="2" t="n">
        <v>0</v>
      </c>
      <c r="V530" s="2" t="n">
        <v>0</v>
      </c>
      <c r="W530" s="2" t="n">
        <v>0</v>
      </c>
      <c r="X530" s="2" t="n">
        <v>0</v>
      </c>
      <c r="Y530" s="2" t="n">
        <v>0</v>
      </c>
      <c r="Z530" s="2" t="n">
        <v>0</v>
      </c>
      <c r="AA530" s="2" t="n">
        <v>1</v>
      </c>
      <c r="AB530" s="2" t="n">
        <v>0</v>
      </c>
      <c r="AC530" s="2"/>
    </row>
    <row r="531" customFormat="false" ht="15" hidden="false" customHeight="false" outlineLevel="0" collapsed="false">
      <c r="A531" s="2" t="n">
        <v>76</v>
      </c>
      <c r="B531" s="2" t="s">
        <v>804</v>
      </c>
      <c r="C531" s="2" t="s">
        <v>809</v>
      </c>
      <c r="D531" s="2" t="s">
        <v>3030</v>
      </c>
      <c r="E531" s="2" t="s">
        <v>1129</v>
      </c>
      <c r="F531" s="2" t="s">
        <v>1169</v>
      </c>
      <c r="G531" s="2" t="s">
        <v>3031</v>
      </c>
      <c r="H531" s="2" t="s">
        <v>3032</v>
      </c>
      <c r="I531" s="2" t="s">
        <v>1133</v>
      </c>
      <c r="J531" s="2" t="s">
        <v>3033</v>
      </c>
      <c r="K531" s="2" t="n">
        <v>8</v>
      </c>
      <c r="L531" s="2" t="n">
        <v>5150</v>
      </c>
      <c r="M531" s="2" t="n">
        <v>0</v>
      </c>
      <c r="N531" s="2" t="n">
        <v>0</v>
      </c>
      <c r="O531" s="2" t="n">
        <v>5150</v>
      </c>
      <c r="P531" s="2" t="n">
        <v>0</v>
      </c>
      <c r="Q531" s="2" t="n">
        <v>0</v>
      </c>
      <c r="R531" s="2" t="n">
        <v>0</v>
      </c>
      <c r="S531" s="2" t="n">
        <v>13</v>
      </c>
      <c r="T531" s="2" t="n">
        <v>8</v>
      </c>
      <c r="U531" s="2" t="n">
        <v>1</v>
      </c>
      <c r="V531" s="2" t="n">
        <v>0</v>
      </c>
      <c r="W531" s="2" t="n">
        <v>4</v>
      </c>
      <c r="X531" s="2" t="n">
        <v>0</v>
      </c>
      <c r="Y531" s="2" t="n">
        <v>9</v>
      </c>
      <c r="Z531" s="2" t="n">
        <v>0</v>
      </c>
      <c r="AA531" s="2" t="n">
        <v>0</v>
      </c>
      <c r="AB531" s="2" t="n">
        <v>4</v>
      </c>
      <c r="AC531" s="2" t="s">
        <v>1135</v>
      </c>
    </row>
    <row r="532" customFormat="false" ht="15" hidden="false" customHeight="false" outlineLevel="0" collapsed="false">
      <c r="A532" s="2" t="n">
        <v>80</v>
      </c>
      <c r="B532" s="2" t="s">
        <v>838</v>
      </c>
      <c r="C532" s="2" t="s">
        <v>843</v>
      </c>
      <c r="D532" s="2" t="s">
        <v>3034</v>
      </c>
      <c r="E532" s="2" t="s">
        <v>1154</v>
      </c>
      <c r="F532" s="2" t="s">
        <v>1155</v>
      </c>
      <c r="G532" s="2" t="s">
        <v>1348</v>
      </c>
      <c r="H532" s="2" t="s">
        <v>3035</v>
      </c>
      <c r="I532" s="2" t="s">
        <v>1133</v>
      </c>
      <c r="J532" s="2" t="s">
        <v>3036</v>
      </c>
      <c r="K532" s="2" t="n">
        <v>10</v>
      </c>
      <c r="L532" s="2" t="n">
        <v>3973</v>
      </c>
      <c r="M532" s="2" t="n">
        <v>926</v>
      </c>
      <c r="N532" s="2" t="n">
        <v>793</v>
      </c>
      <c r="O532" s="2" t="n">
        <v>536</v>
      </c>
      <c r="P532" s="2" t="n">
        <v>2511</v>
      </c>
      <c r="Q532" s="2" t="n">
        <v>0</v>
      </c>
      <c r="R532" s="2" t="n">
        <v>0</v>
      </c>
      <c r="S532" s="2" t="n">
        <v>27</v>
      </c>
      <c r="T532" s="2" t="n">
        <v>25</v>
      </c>
      <c r="U532" s="2" t="n">
        <v>1</v>
      </c>
      <c r="V532" s="2" t="n">
        <v>0</v>
      </c>
      <c r="W532" s="2" t="n">
        <v>1</v>
      </c>
      <c r="X532" s="2" t="n">
        <v>0</v>
      </c>
      <c r="Y532" s="2" t="n">
        <v>12</v>
      </c>
      <c r="Z532" s="2" t="n">
        <v>2</v>
      </c>
      <c r="AA532" s="2" t="n">
        <v>2</v>
      </c>
      <c r="AB532" s="2" t="n">
        <v>11</v>
      </c>
      <c r="AC532" s="2"/>
    </row>
    <row r="533" customFormat="false" ht="15" hidden="false" customHeight="false" outlineLevel="0" collapsed="false">
      <c r="A533" s="2" t="n">
        <v>80</v>
      </c>
      <c r="B533" s="2" t="s">
        <v>838</v>
      </c>
      <c r="C533" s="2" t="s">
        <v>843</v>
      </c>
      <c r="D533" s="2" t="s">
        <v>3037</v>
      </c>
      <c r="E533" s="2" t="s">
        <v>1160</v>
      </c>
      <c r="F533" s="2" t="s">
        <v>1161</v>
      </c>
      <c r="G533" s="2" t="s">
        <v>1348</v>
      </c>
      <c r="H533" s="2" t="s">
        <v>3038</v>
      </c>
      <c r="I533" s="2" t="s">
        <v>1133</v>
      </c>
      <c r="J533" s="2" t="s">
        <v>3039</v>
      </c>
      <c r="K533" s="2" t="n">
        <v>5</v>
      </c>
      <c r="L533" s="2" t="n">
        <v>2656</v>
      </c>
      <c r="M533" s="2" t="n">
        <v>1261</v>
      </c>
      <c r="N533" s="2" t="n">
        <v>1141</v>
      </c>
      <c r="O533" s="2" t="n">
        <v>1395</v>
      </c>
      <c r="P533" s="2" t="n">
        <v>0</v>
      </c>
      <c r="Q533" s="2" t="n">
        <v>0</v>
      </c>
      <c r="R533" s="2" t="n">
        <v>0</v>
      </c>
      <c r="S533" s="2" t="n">
        <v>5</v>
      </c>
      <c r="T533" s="2" t="n">
        <v>4</v>
      </c>
      <c r="U533" s="2" t="n">
        <v>0</v>
      </c>
      <c r="V533" s="2" t="n">
        <v>0</v>
      </c>
      <c r="W533" s="2" t="n">
        <v>1</v>
      </c>
      <c r="X533" s="2" t="n">
        <v>0</v>
      </c>
      <c r="Y533" s="2" t="n">
        <v>2</v>
      </c>
      <c r="Z533" s="2" t="n">
        <v>0</v>
      </c>
      <c r="AA533" s="2" t="n">
        <v>2</v>
      </c>
      <c r="AB533" s="2" t="n">
        <v>1</v>
      </c>
      <c r="AC533" s="2"/>
    </row>
    <row r="534" customFormat="false" ht="15" hidden="false" customHeight="false" outlineLevel="0" collapsed="false">
      <c r="A534" s="2" t="n">
        <v>80</v>
      </c>
      <c r="B534" s="2" t="s">
        <v>838</v>
      </c>
      <c r="C534" s="2" t="s">
        <v>843</v>
      </c>
      <c r="D534" s="2" t="s">
        <v>3040</v>
      </c>
      <c r="E534" s="2" t="s">
        <v>1154</v>
      </c>
      <c r="F534" s="2" t="s">
        <v>1155</v>
      </c>
      <c r="G534" s="2" t="s">
        <v>3041</v>
      </c>
      <c r="H534" s="2" t="s">
        <v>3042</v>
      </c>
      <c r="I534" s="2" t="s">
        <v>1133</v>
      </c>
      <c r="J534" s="2" t="s">
        <v>3043</v>
      </c>
      <c r="K534" s="2" t="n">
        <v>20</v>
      </c>
      <c r="L534" s="2" t="n">
        <v>10615</v>
      </c>
      <c r="M534" s="2" t="n">
        <v>4238</v>
      </c>
      <c r="N534" s="2" t="n">
        <v>4104</v>
      </c>
      <c r="O534" s="2" t="n">
        <v>6377</v>
      </c>
      <c r="P534" s="2" t="n">
        <v>0</v>
      </c>
      <c r="Q534" s="2" t="n">
        <v>0</v>
      </c>
      <c r="R534" s="2" t="n">
        <v>0</v>
      </c>
      <c r="S534" s="2" t="n">
        <v>113</v>
      </c>
      <c r="T534" s="2" t="n">
        <v>89</v>
      </c>
      <c r="U534" s="2" t="n">
        <v>0</v>
      </c>
      <c r="V534" s="2" t="n">
        <v>2</v>
      </c>
      <c r="W534" s="2" t="n">
        <v>15</v>
      </c>
      <c r="X534" s="2" t="n">
        <v>7</v>
      </c>
      <c r="Y534" s="2" t="n">
        <v>32</v>
      </c>
      <c r="Z534" s="2" t="n">
        <v>11</v>
      </c>
      <c r="AA534" s="2" t="n">
        <v>29</v>
      </c>
      <c r="AB534" s="2" t="n">
        <v>41</v>
      </c>
      <c r="AC534" s="2"/>
    </row>
    <row r="535" customFormat="false" ht="15" hidden="false" customHeight="false" outlineLevel="0" collapsed="false">
      <c r="A535" s="2" t="n">
        <v>81</v>
      </c>
      <c r="B535" s="2" t="s">
        <v>847</v>
      </c>
      <c r="C535" s="2" t="s">
        <v>853</v>
      </c>
      <c r="D535" s="2" t="s">
        <v>3044</v>
      </c>
      <c r="E535" s="2" t="s">
        <v>1154</v>
      </c>
      <c r="F535" s="2" t="s">
        <v>1155</v>
      </c>
      <c r="G535" s="2" t="s">
        <v>2404</v>
      </c>
      <c r="H535" s="2" t="s">
        <v>3045</v>
      </c>
      <c r="I535" s="2" t="s">
        <v>1133</v>
      </c>
      <c r="J535" s="2" t="s">
        <v>3046</v>
      </c>
      <c r="K535" s="2" t="n">
        <v>5</v>
      </c>
      <c r="L535" s="2" t="n">
        <v>1987</v>
      </c>
      <c r="M535" s="2" t="n">
        <v>948</v>
      </c>
      <c r="N535" s="2" t="n">
        <v>842</v>
      </c>
      <c r="O535" s="2" t="n">
        <v>1039</v>
      </c>
      <c r="P535" s="2" t="n">
        <v>0</v>
      </c>
      <c r="Q535" s="2" t="n">
        <v>0</v>
      </c>
      <c r="R535" s="2" t="n">
        <v>0</v>
      </c>
      <c r="S535" s="2" t="n">
        <v>20</v>
      </c>
      <c r="T535" s="2" t="n">
        <v>17</v>
      </c>
      <c r="U535" s="2" t="n">
        <v>3</v>
      </c>
      <c r="V535" s="2" t="n">
        <v>0</v>
      </c>
      <c r="W535" s="2" t="n">
        <v>0</v>
      </c>
      <c r="X535" s="2" t="n">
        <v>0</v>
      </c>
      <c r="Y535" s="2" t="n">
        <v>0</v>
      </c>
      <c r="Z535" s="2" t="n">
        <v>3</v>
      </c>
      <c r="AA535" s="2" t="n">
        <v>11</v>
      </c>
      <c r="AB535" s="2" t="n">
        <v>6</v>
      </c>
      <c r="AC535" s="2"/>
    </row>
    <row r="536" customFormat="false" ht="15" hidden="false" customHeight="false" outlineLevel="0" collapsed="false">
      <c r="A536" s="2" t="n">
        <v>81</v>
      </c>
      <c r="B536" s="2" t="s">
        <v>847</v>
      </c>
      <c r="C536" s="2" t="s">
        <v>853</v>
      </c>
      <c r="D536" s="2" t="s">
        <v>3047</v>
      </c>
      <c r="E536" s="2" t="s">
        <v>1154</v>
      </c>
      <c r="F536" s="2" t="s">
        <v>1155</v>
      </c>
      <c r="G536" s="2" t="s">
        <v>3048</v>
      </c>
      <c r="H536" s="2" t="s">
        <v>3049</v>
      </c>
      <c r="I536" s="2" t="s">
        <v>1133</v>
      </c>
      <c r="J536" s="2" t="s">
        <v>3050</v>
      </c>
      <c r="K536" s="2" t="n">
        <v>13</v>
      </c>
      <c r="L536" s="2" t="n">
        <v>6183</v>
      </c>
      <c r="M536" s="2" t="n">
        <v>2046</v>
      </c>
      <c r="N536" s="2" t="n">
        <v>1954</v>
      </c>
      <c r="O536" s="2" t="n">
        <v>4137</v>
      </c>
      <c r="P536" s="2" t="n">
        <v>0</v>
      </c>
      <c r="Q536" s="2" t="n">
        <v>0</v>
      </c>
      <c r="R536" s="2" t="n">
        <v>0</v>
      </c>
      <c r="S536" s="2" t="n">
        <v>89</v>
      </c>
      <c r="T536" s="2" t="n">
        <v>86</v>
      </c>
      <c r="U536" s="2" t="n">
        <v>1</v>
      </c>
      <c r="V536" s="2" t="n">
        <v>0</v>
      </c>
      <c r="W536" s="2" t="n">
        <v>0</v>
      </c>
      <c r="X536" s="2" t="n">
        <v>2</v>
      </c>
      <c r="Y536" s="2" t="n">
        <v>7</v>
      </c>
      <c r="Z536" s="2" t="n">
        <v>24</v>
      </c>
      <c r="AA536" s="2" t="n">
        <v>36</v>
      </c>
      <c r="AB536" s="2" t="n">
        <v>22</v>
      </c>
      <c r="AC536" s="2"/>
    </row>
    <row r="537" customFormat="false" ht="15" hidden="false" customHeight="false" outlineLevel="0" collapsed="false">
      <c r="A537" s="2" t="n">
        <v>81</v>
      </c>
      <c r="B537" s="2" t="s">
        <v>847</v>
      </c>
      <c r="C537" s="2" t="s">
        <v>853</v>
      </c>
      <c r="D537" s="2" t="s">
        <v>3051</v>
      </c>
      <c r="E537" s="2" t="s">
        <v>1154</v>
      </c>
      <c r="F537" s="2" t="s">
        <v>1155</v>
      </c>
      <c r="G537" s="2" t="s">
        <v>3048</v>
      </c>
      <c r="H537" s="2" t="s">
        <v>3052</v>
      </c>
      <c r="I537" s="2" t="s">
        <v>1133</v>
      </c>
      <c r="J537" s="2" t="s">
        <v>3053</v>
      </c>
      <c r="K537" s="2" t="n">
        <v>5</v>
      </c>
      <c r="L537" s="2" t="n">
        <v>1594</v>
      </c>
      <c r="M537" s="2" t="n">
        <v>545</v>
      </c>
      <c r="N537" s="2" t="n">
        <v>414</v>
      </c>
      <c r="O537" s="2" t="n">
        <v>277</v>
      </c>
      <c r="P537" s="2" t="n">
        <v>772</v>
      </c>
      <c r="Q537" s="2" t="n">
        <v>0</v>
      </c>
      <c r="R537" s="2" t="n">
        <v>0</v>
      </c>
      <c r="S537" s="2" t="n">
        <v>8</v>
      </c>
      <c r="T537" s="2" t="n">
        <v>6</v>
      </c>
      <c r="U537" s="2" t="n">
        <v>1</v>
      </c>
      <c r="V537" s="2" t="n">
        <v>0</v>
      </c>
      <c r="W537" s="2" t="n">
        <v>1</v>
      </c>
      <c r="X537" s="2" t="n">
        <v>0</v>
      </c>
      <c r="Y537" s="2" t="n">
        <v>4</v>
      </c>
      <c r="Z537" s="2" t="n">
        <v>0</v>
      </c>
      <c r="AA537" s="2" t="n">
        <v>0</v>
      </c>
      <c r="AB537" s="2" t="n">
        <v>4</v>
      </c>
      <c r="AC537" s="2"/>
    </row>
    <row r="538" customFormat="false" ht="15" hidden="false" customHeight="false" outlineLevel="0" collapsed="false">
      <c r="A538" s="2" t="n">
        <v>81</v>
      </c>
      <c r="B538" s="2" t="s">
        <v>847</v>
      </c>
      <c r="C538" s="2" t="s">
        <v>853</v>
      </c>
      <c r="D538" s="2" t="s">
        <v>3054</v>
      </c>
      <c r="E538" s="2" t="s">
        <v>1154</v>
      </c>
      <c r="F538" s="2" t="s">
        <v>1155</v>
      </c>
      <c r="G538" s="2" t="s">
        <v>3055</v>
      </c>
      <c r="H538" s="2" t="s">
        <v>3056</v>
      </c>
      <c r="I538" s="2" t="s">
        <v>1133</v>
      </c>
      <c r="J538" s="2" t="s">
        <v>3057</v>
      </c>
      <c r="K538" s="2" t="n">
        <v>6</v>
      </c>
      <c r="L538" s="2" t="n">
        <v>2605</v>
      </c>
      <c r="M538" s="2" t="n">
        <v>1109</v>
      </c>
      <c r="N538" s="2" t="n">
        <v>993</v>
      </c>
      <c r="O538" s="2" t="n">
        <v>1246</v>
      </c>
      <c r="P538" s="2" t="n">
        <v>250</v>
      </c>
      <c r="Q538" s="2" t="n">
        <v>0</v>
      </c>
      <c r="R538" s="2" t="n">
        <v>0</v>
      </c>
      <c r="S538" s="2" t="n">
        <v>27</v>
      </c>
      <c r="T538" s="2" t="n">
        <v>25</v>
      </c>
      <c r="U538" s="2" t="n">
        <v>0</v>
      </c>
      <c r="V538" s="2" t="n">
        <v>0</v>
      </c>
      <c r="W538" s="2" t="n">
        <v>2</v>
      </c>
      <c r="X538" s="2" t="n">
        <v>0</v>
      </c>
      <c r="Y538" s="2" t="n">
        <v>8</v>
      </c>
      <c r="Z538" s="2" t="n">
        <v>6</v>
      </c>
      <c r="AA538" s="2" t="n">
        <v>3</v>
      </c>
      <c r="AB538" s="2" t="n">
        <v>10</v>
      </c>
      <c r="AC538" s="2"/>
    </row>
    <row r="539" customFormat="false" ht="15" hidden="false" customHeight="false" outlineLevel="0" collapsed="false">
      <c r="A539" s="2" t="n">
        <v>83</v>
      </c>
      <c r="B539" s="2" t="s">
        <v>862</v>
      </c>
      <c r="C539" s="2" t="s">
        <v>867</v>
      </c>
      <c r="D539" s="2" t="s">
        <v>3058</v>
      </c>
      <c r="E539" s="2" t="s">
        <v>1160</v>
      </c>
      <c r="F539" s="2" t="s">
        <v>1161</v>
      </c>
      <c r="G539" s="2" t="s">
        <v>2337</v>
      </c>
      <c r="H539" s="2" t="s">
        <v>3059</v>
      </c>
      <c r="I539" s="2" t="s">
        <v>1133</v>
      </c>
      <c r="J539" s="2" t="s">
        <v>3060</v>
      </c>
      <c r="K539" s="2" t="n">
        <v>2</v>
      </c>
      <c r="L539" s="2" t="n">
        <v>741</v>
      </c>
      <c r="M539" s="2" t="n">
        <v>647</v>
      </c>
      <c r="N539" s="2" t="n">
        <v>503</v>
      </c>
      <c r="O539" s="2" t="n">
        <v>94</v>
      </c>
      <c r="P539" s="2" t="n">
        <v>0</v>
      </c>
      <c r="Q539" s="2" t="n">
        <v>0</v>
      </c>
      <c r="R539" s="2" t="n">
        <v>0</v>
      </c>
      <c r="S539" s="2" t="n">
        <v>1</v>
      </c>
      <c r="T539" s="2" t="n">
        <v>1</v>
      </c>
      <c r="U539" s="2" t="n">
        <v>0</v>
      </c>
      <c r="V539" s="2" t="n">
        <v>0</v>
      </c>
      <c r="W539" s="2" t="n">
        <v>0</v>
      </c>
      <c r="X539" s="2" t="n">
        <v>0</v>
      </c>
      <c r="Y539" s="2" t="n">
        <v>0</v>
      </c>
      <c r="Z539" s="2" t="n">
        <v>0</v>
      </c>
      <c r="AA539" s="2" t="n">
        <v>0</v>
      </c>
      <c r="AB539" s="2" t="n">
        <v>1</v>
      </c>
      <c r="AC539" s="2"/>
    </row>
    <row r="540" customFormat="false" ht="15" hidden="false" customHeight="false" outlineLevel="0" collapsed="false">
      <c r="A540" s="2" t="n">
        <v>83</v>
      </c>
      <c r="B540" s="2" t="s">
        <v>862</v>
      </c>
      <c r="C540" s="2" t="s">
        <v>867</v>
      </c>
      <c r="D540" s="2" t="s">
        <v>3061</v>
      </c>
      <c r="E540" s="2" t="s">
        <v>1154</v>
      </c>
      <c r="F540" s="2" t="s">
        <v>1155</v>
      </c>
      <c r="G540" s="2" t="s">
        <v>3062</v>
      </c>
      <c r="H540" s="2" t="s">
        <v>3063</v>
      </c>
      <c r="I540" s="2" t="s">
        <v>1133</v>
      </c>
      <c r="J540" s="2" t="s">
        <v>3064</v>
      </c>
      <c r="K540" s="2" t="n">
        <v>11</v>
      </c>
      <c r="L540" s="2" t="n">
        <v>4851</v>
      </c>
      <c r="M540" s="2" t="n">
        <v>1405</v>
      </c>
      <c r="N540" s="2" t="n">
        <v>1278</v>
      </c>
      <c r="O540" s="2" t="n">
        <v>217</v>
      </c>
      <c r="P540" s="2" t="n">
        <v>3229</v>
      </c>
      <c r="Q540" s="2" t="n">
        <v>0</v>
      </c>
      <c r="R540" s="2" t="n">
        <v>0</v>
      </c>
      <c r="S540" s="2" t="n">
        <v>2</v>
      </c>
      <c r="T540" s="2" t="n">
        <v>2</v>
      </c>
      <c r="U540" s="2" t="n">
        <v>0</v>
      </c>
      <c r="V540" s="2" t="n">
        <v>0</v>
      </c>
      <c r="W540" s="2" t="n">
        <v>0</v>
      </c>
      <c r="X540" s="2" t="n">
        <v>0</v>
      </c>
      <c r="Y540" s="2" t="n">
        <v>0</v>
      </c>
      <c r="Z540" s="2" t="n">
        <v>0</v>
      </c>
      <c r="AA540" s="2" t="n">
        <v>0</v>
      </c>
      <c r="AB540" s="2" t="n">
        <v>2</v>
      </c>
      <c r="AC540" s="2"/>
    </row>
    <row r="541" customFormat="false" ht="15" hidden="false" customHeight="false" outlineLevel="0" collapsed="false">
      <c r="A541" s="2" t="n">
        <v>83</v>
      </c>
      <c r="B541" s="2" t="s">
        <v>862</v>
      </c>
      <c r="C541" s="2" t="s">
        <v>867</v>
      </c>
      <c r="D541" s="2" t="s">
        <v>3065</v>
      </c>
      <c r="E541" s="2" t="s">
        <v>1160</v>
      </c>
      <c r="F541" s="2" t="s">
        <v>1161</v>
      </c>
      <c r="G541" s="2" t="s">
        <v>3066</v>
      </c>
      <c r="H541" s="2" t="s">
        <v>3067</v>
      </c>
      <c r="I541" s="2" t="s">
        <v>1133</v>
      </c>
      <c r="J541" s="2" t="s">
        <v>3068</v>
      </c>
      <c r="K541" s="2" t="n">
        <v>4</v>
      </c>
      <c r="L541" s="2" t="n">
        <v>2239</v>
      </c>
      <c r="M541" s="2" t="n">
        <v>1318</v>
      </c>
      <c r="N541" s="2" t="n">
        <v>1188</v>
      </c>
      <c r="O541" s="2" t="n">
        <v>921</v>
      </c>
      <c r="P541" s="2" t="n">
        <v>0</v>
      </c>
      <c r="Q541" s="2" t="n">
        <v>0</v>
      </c>
      <c r="R541" s="2" t="n">
        <v>0</v>
      </c>
      <c r="S541" s="2" t="n">
        <v>4</v>
      </c>
      <c r="T541" s="2" t="n">
        <v>4</v>
      </c>
      <c r="U541" s="2" t="n">
        <v>0</v>
      </c>
      <c r="V541" s="2" t="n">
        <v>0</v>
      </c>
      <c r="W541" s="2" t="n">
        <v>0</v>
      </c>
      <c r="X541" s="2" t="n">
        <v>0</v>
      </c>
      <c r="Y541" s="2" t="n">
        <v>0</v>
      </c>
      <c r="Z541" s="2" t="n">
        <v>4</v>
      </c>
      <c r="AA541" s="2" t="n">
        <v>0</v>
      </c>
      <c r="AB541" s="2" t="n">
        <v>0</v>
      </c>
      <c r="AC541" s="2"/>
    </row>
    <row r="542" customFormat="false" ht="15" hidden="false" customHeight="false" outlineLevel="0" collapsed="false">
      <c r="A542" s="2" t="n">
        <v>84</v>
      </c>
      <c r="B542" s="2" t="s">
        <v>871</v>
      </c>
      <c r="C542" s="2" t="s">
        <v>876</v>
      </c>
      <c r="D542" s="2" t="s">
        <v>3069</v>
      </c>
      <c r="E542" s="2" t="s">
        <v>1129</v>
      </c>
      <c r="F542" s="2" t="s">
        <v>1169</v>
      </c>
      <c r="G542" s="2" t="s">
        <v>3070</v>
      </c>
      <c r="H542" s="2" t="s">
        <v>3071</v>
      </c>
      <c r="I542" s="2" t="s">
        <v>1133</v>
      </c>
      <c r="J542" s="2" t="s">
        <v>3072</v>
      </c>
      <c r="K542" s="2" t="n">
        <v>9</v>
      </c>
      <c r="L542" s="2" t="n">
        <v>5278</v>
      </c>
      <c r="M542" s="2" t="n">
        <v>0</v>
      </c>
      <c r="N542" s="2" t="n">
        <v>0</v>
      </c>
      <c r="O542" s="2" t="n">
        <v>5278</v>
      </c>
      <c r="P542" s="2" t="n">
        <v>0</v>
      </c>
      <c r="Q542" s="2" t="n">
        <v>0</v>
      </c>
      <c r="R542" s="2" t="n">
        <v>0</v>
      </c>
      <c r="S542" s="2" t="n">
        <v>10</v>
      </c>
      <c r="T542" s="2" t="n">
        <v>5</v>
      </c>
      <c r="U542" s="2" t="n">
        <v>0</v>
      </c>
      <c r="V542" s="2" t="n">
        <v>1</v>
      </c>
      <c r="W542" s="2" t="n">
        <v>4</v>
      </c>
      <c r="X542" s="2" t="n">
        <v>0</v>
      </c>
      <c r="Y542" s="2" t="n">
        <v>4</v>
      </c>
      <c r="Z542" s="2" t="n">
        <v>0</v>
      </c>
      <c r="AA542" s="2" t="n">
        <v>0</v>
      </c>
      <c r="AB542" s="2" t="n">
        <v>6</v>
      </c>
      <c r="AC542" s="2" t="s">
        <v>1135</v>
      </c>
    </row>
    <row r="543" customFormat="false" ht="15" hidden="false" customHeight="false" outlineLevel="0" collapsed="false">
      <c r="A543" s="2" t="n">
        <v>88</v>
      </c>
      <c r="B543" s="2" t="s">
        <v>907</v>
      </c>
      <c r="C543" s="2" t="s">
        <v>911</v>
      </c>
      <c r="D543" s="2" t="s">
        <v>3073</v>
      </c>
      <c r="E543" s="2" t="s">
        <v>1154</v>
      </c>
      <c r="F543" s="2" t="s">
        <v>1155</v>
      </c>
      <c r="G543" s="2" t="s">
        <v>3074</v>
      </c>
      <c r="H543" s="2" t="s">
        <v>3075</v>
      </c>
      <c r="I543" s="2" t="s">
        <v>1133</v>
      </c>
      <c r="J543" s="2" t="s">
        <v>3076</v>
      </c>
      <c r="K543" s="2" t="n">
        <v>14</v>
      </c>
      <c r="L543" s="2" t="n">
        <v>6565</v>
      </c>
      <c r="M543" s="2" t="n">
        <v>2546</v>
      </c>
      <c r="N543" s="2" t="n">
        <v>2432</v>
      </c>
      <c r="O543" s="2" t="n">
        <v>3305</v>
      </c>
      <c r="P543" s="2" t="n">
        <v>714</v>
      </c>
      <c r="Q543" s="2" t="n">
        <v>0</v>
      </c>
      <c r="R543" s="2" t="n">
        <v>0</v>
      </c>
      <c r="S543" s="2" t="n">
        <v>55</v>
      </c>
      <c r="T543" s="2" t="n">
        <v>47</v>
      </c>
      <c r="U543" s="2" t="n">
        <v>3</v>
      </c>
      <c r="V543" s="2" t="n">
        <v>0</v>
      </c>
      <c r="W543" s="2" t="n">
        <v>0</v>
      </c>
      <c r="X543" s="2" t="n">
        <v>5</v>
      </c>
      <c r="Y543" s="2" t="n">
        <v>10</v>
      </c>
      <c r="Z543" s="2" t="n">
        <v>26</v>
      </c>
      <c r="AA543" s="2" t="n">
        <v>8</v>
      </c>
      <c r="AB543" s="2" t="n">
        <v>11</v>
      </c>
      <c r="AC543" s="2"/>
    </row>
    <row r="544" customFormat="false" ht="15" hidden="false" customHeight="false" outlineLevel="0" collapsed="false">
      <c r="A544" s="2" t="n">
        <v>92</v>
      </c>
      <c r="B544" s="2" t="s">
        <v>939</v>
      </c>
      <c r="C544" s="2" t="s">
        <v>944</v>
      </c>
      <c r="D544" s="2" t="s">
        <v>3077</v>
      </c>
      <c r="E544" s="2" t="s">
        <v>1154</v>
      </c>
      <c r="F544" s="2" t="s">
        <v>1155</v>
      </c>
      <c r="G544" s="2" t="s">
        <v>3078</v>
      </c>
      <c r="H544" s="2" t="s">
        <v>3079</v>
      </c>
      <c r="I544" s="2" t="s">
        <v>1133</v>
      </c>
      <c r="J544" s="2" t="s">
        <v>3080</v>
      </c>
      <c r="K544" s="2" t="n">
        <v>13</v>
      </c>
      <c r="L544" s="2" t="n">
        <v>2917</v>
      </c>
      <c r="M544" s="2" t="n">
        <v>332</v>
      </c>
      <c r="N544" s="2" t="n">
        <v>176</v>
      </c>
      <c r="O544" s="2" t="n">
        <v>90</v>
      </c>
      <c r="P544" s="2" t="n">
        <v>2495</v>
      </c>
      <c r="Q544" s="2" t="n">
        <v>0</v>
      </c>
      <c r="R544" s="2" t="n">
        <v>0</v>
      </c>
      <c r="S544" s="2" t="n">
        <v>1</v>
      </c>
      <c r="T544" s="2" t="n">
        <v>1</v>
      </c>
      <c r="U544" s="2" t="n">
        <v>0</v>
      </c>
      <c r="V544" s="2" t="n">
        <v>0</v>
      </c>
      <c r="W544" s="2" t="n">
        <v>0</v>
      </c>
      <c r="X544" s="2" t="n">
        <v>0</v>
      </c>
      <c r="Y544" s="2" t="n">
        <v>0</v>
      </c>
      <c r="Z544" s="2" t="n">
        <v>0</v>
      </c>
      <c r="AA544" s="2" t="n">
        <v>0</v>
      </c>
      <c r="AB544" s="2" t="n">
        <v>1</v>
      </c>
      <c r="AC544" s="2"/>
    </row>
    <row r="545" customFormat="false" ht="15" hidden="false" customHeight="false" outlineLevel="0" collapsed="false">
      <c r="A545" s="2" t="n">
        <v>92</v>
      </c>
      <c r="B545" s="2" t="s">
        <v>939</v>
      </c>
      <c r="C545" s="2" t="s">
        <v>944</v>
      </c>
      <c r="D545" s="2" t="s">
        <v>3081</v>
      </c>
      <c r="E545" s="2" t="s">
        <v>1154</v>
      </c>
      <c r="F545" s="2" t="s">
        <v>1155</v>
      </c>
      <c r="G545" s="2" t="s">
        <v>3082</v>
      </c>
      <c r="H545" s="2" t="s">
        <v>3083</v>
      </c>
      <c r="I545" s="2" t="s">
        <v>1133</v>
      </c>
      <c r="J545" s="2" t="s">
        <v>3084</v>
      </c>
      <c r="K545" s="2" t="n">
        <v>4</v>
      </c>
      <c r="L545" s="2" t="n">
        <v>1211</v>
      </c>
      <c r="M545" s="2" t="n">
        <v>400</v>
      </c>
      <c r="N545" s="2" t="n">
        <v>277</v>
      </c>
      <c r="O545" s="2" t="n">
        <v>82</v>
      </c>
      <c r="P545" s="2" t="n">
        <v>729</v>
      </c>
      <c r="Q545" s="2" t="n">
        <v>0</v>
      </c>
      <c r="R545" s="2" t="n">
        <v>0</v>
      </c>
      <c r="S545" s="2" t="n">
        <v>0</v>
      </c>
      <c r="T545" s="2" t="n">
        <v>0</v>
      </c>
      <c r="U545" s="2" t="n">
        <v>0</v>
      </c>
      <c r="V545" s="2" t="n">
        <v>0</v>
      </c>
      <c r="W545" s="2" t="n">
        <v>0</v>
      </c>
      <c r="X545" s="2" t="n">
        <v>0</v>
      </c>
      <c r="Y545" s="2" t="n">
        <v>0</v>
      </c>
      <c r="Z545" s="2" t="n">
        <v>0</v>
      </c>
      <c r="AA545" s="2" t="n">
        <v>0</v>
      </c>
      <c r="AB545" s="2" t="n">
        <v>0</v>
      </c>
      <c r="AC545" s="2"/>
    </row>
    <row r="546" customFormat="false" ht="15" hidden="false" customHeight="false" outlineLevel="0" collapsed="false">
      <c r="A546" s="2" t="n">
        <v>93</v>
      </c>
      <c r="B546" s="2" t="s">
        <v>948</v>
      </c>
      <c r="C546" s="2" t="s">
        <v>951</v>
      </c>
      <c r="D546" s="2" t="s">
        <v>3085</v>
      </c>
      <c r="E546" s="2" t="s">
        <v>1160</v>
      </c>
      <c r="F546" s="2" t="s">
        <v>1161</v>
      </c>
      <c r="G546" s="2" t="s">
        <v>3086</v>
      </c>
      <c r="H546" s="2" t="s">
        <v>3087</v>
      </c>
      <c r="I546" s="2" t="s">
        <v>1133</v>
      </c>
      <c r="J546" s="2" t="s">
        <v>3088</v>
      </c>
      <c r="K546" s="2" t="n">
        <v>4</v>
      </c>
      <c r="L546" s="2" t="n">
        <v>2025</v>
      </c>
      <c r="M546" s="2" t="n">
        <v>935</v>
      </c>
      <c r="N546" s="2" t="n">
        <v>787</v>
      </c>
      <c r="O546" s="2" t="n">
        <v>1090</v>
      </c>
      <c r="P546" s="2" t="n">
        <v>0</v>
      </c>
      <c r="Q546" s="2" t="n">
        <v>0</v>
      </c>
      <c r="R546" s="2" t="n">
        <v>0</v>
      </c>
      <c r="S546" s="2" t="n">
        <v>7</v>
      </c>
      <c r="T546" s="2" t="n">
        <v>7</v>
      </c>
      <c r="U546" s="2" t="n">
        <v>0</v>
      </c>
      <c r="V546" s="2" t="n">
        <v>0</v>
      </c>
      <c r="W546" s="2" t="n">
        <v>0</v>
      </c>
      <c r="X546" s="2" t="n">
        <v>0</v>
      </c>
      <c r="Y546" s="2" t="n">
        <v>1</v>
      </c>
      <c r="Z546" s="2" t="n">
        <v>1</v>
      </c>
      <c r="AA546" s="2" t="n">
        <v>0</v>
      </c>
      <c r="AB546" s="2" t="n">
        <v>5</v>
      </c>
      <c r="AC546" s="2"/>
    </row>
    <row r="547" customFormat="false" ht="15" hidden="false" customHeight="false" outlineLevel="0" collapsed="false">
      <c r="A547" s="2" t="n">
        <v>93</v>
      </c>
      <c r="B547" s="2" t="s">
        <v>948</v>
      </c>
      <c r="C547" s="2" t="s">
        <v>951</v>
      </c>
      <c r="D547" s="2" t="s">
        <v>3089</v>
      </c>
      <c r="E547" s="2" t="s">
        <v>1154</v>
      </c>
      <c r="F547" s="2" t="s">
        <v>1178</v>
      </c>
      <c r="G547" s="2" t="s">
        <v>954</v>
      </c>
      <c r="H547" s="2" t="s">
        <v>3090</v>
      </c>
      <c r="I547" s="2" t="s">
        <v>1133</v>
      </c>
      <c r="J547" s="2" t="s">
        <v>3091</v>
      </c>
      <c r="K547" s="2" t="n">
        <v>6</v>
      </c>
      <c r="L547" s="2" t="n">
        <v>2790</v>
      </c>
      <c r="M547" s="2" t="n">
        <v>393</v>
      </c>
      <c r="N547" s="2" t="n">
        <v>272</v>
      </c>
      <c r="O547" s="2" t="n">
        <v>60</v>
      </c>
      <c r="P547" s="2" t="n">
        <v>2337</v>
      </c>
      <c r="Q547" s="2" t="n">
        <v>0</v>
      </c>
      <c r="R547" s="2" t="n">
        <v>0</v>
      </c>
      <c r="S547" s="2" t="n">
        <v>8</v>
      </c>
      <c r="T547" s="2" t="n">
        <v>6</v>
      </c>
      <c r="U547" s="2" t="n">
        <v>0</v>
      </c>
      <c r="V547" s="2" t="n">
        <v>0</v>
      </c>
      <c r="W547" s="2" t="n">
        <v>1</v>
      </c>
      <c r="X547" s="2" t="n">
        <v>1</v>
      </c>
      <c r="Y547" s="2" t="n">
        <v>0</v>
      </c>
      <c r="Z547" s="2" t="n">
        <v>2</v>
      </c>
      <c r="AA547" s="2" t="n">
        <v>1</v>
      </c>
      <c r="AB547" s="2" t="n">
        <v>5</v>
      </c>
      <c r="AC547" s="2"/>
    </row>
    <row r="548" customFormat="false" ht="15" hidden="false" customHeight="false" outlineLevel="0" collapsed="false">
      <c r="A548" s="2" t="n">
        <v>93</v>
      </c>
      <c r="B548" s="2" t="s">
        <v>948</v>
      </c>
      <c r="C548" s="2" t="s">
        <v>951</v>
      </c>
      <c r="D548" s="2" t="s">
        <v>3092</v>
      </c>
      <c r="E548" s="2" t="s">
        <v>1154</v>
      </c>
      <c r="F548" s="2" t="s">
        <v>1155</v>
      </c>
      <c r="G548" s="2" t="s">
        <v>954</v>
      </c>
      <c r="H548" s="2" t="s">
        <v>3093</v>
      </c>
      <c r="I548" s="2" t="s">
        <v>1133</v>
      </c>
      <c r="J548" s="2" t="s">
        <v>3094</v>
      </c>
      <c r="K548" s="2" t="n">
        <v>21</v>
      </c>
      <c r="L548" s="2" t="n">
        <v>11724</v>
      </c>
      <c r="M548" s="2" t="n">
        <v>6039</v>
      </c>
      <c r="N548" s="2" t="n">
        <v>5934</v>
      </c>
      <c r="O548" s="2" t="n">
        <v>5685</v>
      </c>
      <c r="P548" s="2" t="n">
        <v>0</v>
      </c>
      <c r="Q548" s="2" t="n">
        <v>0</v>
      </c>
      <c r="R548" s="2" t="n">
        <v>0</v>
      </c>
      <c r="S548" s="2" t="n">
        <v>70</v>
      </c>
      <c r="T548" s="2" t="n">
        <v>65</v>
      </c>
      <c r="U548" s="2" t="n">
        <v>1</v>
      </c>
      <c r="V548" s="2" t="n">
        <v>0</v>
      </c>
      <c r="W548" s="2" t="n">
        <v>2</v>
      </c>
      <c r="X548" s="2" t="n">
        <v>2</v>
      </c>
      <c r="Y548" s="2" t="n">
        <v>4</v>
      </c>
      <c r="Z548" s="2" t="n">
        <v>25</v>
      </c>
      <c r="AA548" s="2" t="n">
        <v>0</v>
      </c>
      <c r="AB548" s="2" t="n">
        <v>41</v>
      </c>
      <c r="AC548" s="2"/>
    </row>
    <row r="549" customFormat="false" ht="15" hidden="false" customHeight="false" outlineLevel="0" collapsed="false">
      <c r="A549" s="2" t="n">
        <v>93</v>
      </c>
      <c r="B549" s="2" t="s">
        <v>948</v>
      </c>
      <c r="C549" s="2" t="s">
        <v>951</v>
      </c>
      <c r="D549" s="2" t="s">
        <v>3095</v>
      </c>
      <c r="E549" s="2" t="s">
        <v>1154</v>
      </c>
      <c r="F549" s="2" t="s">
        <v>1155</v>
      </c>
      <c r="G549" s="2" t="s">
        <v>954</v>
      </c>
      <c r="H549" s="2" t="s">
        <v>3096</v>
      </c>
      <c r="I549" s="2" t="s">
        <v>1133</v>
      </c>
      <c r="J549" s="2" t="s">
        <v>3097</v>
      </c>
      <c r="K549" s="2" t="n">
        <v>11</v>
      </c>
      <c r="L549" s="2" t="n">
        <v>2241</v>
      </c>
      <c r="M549" s="2" t="n">
        <v>513</v>
      </c>
      <c r="N549" s="2" t="n">
        <v>383</v>
      </c>
      <c r="O549" s="2" t="n">
        <v>73</v>
      </c>
      <c r="P549" s="2" t="n">
        <v>1655</v>
      </c>
      <c r="Q549" s="2" t="n">
        <v>0</v>
      </c>
      <c r="R549" s="2" t="n">
        <v>0</v>
      </c>
      <c r="S549" s="2" t="n">
        <v>0</v>
      </c>
      <c r="T549" s="2" t="n">
        <v>0</v>
      </c>
      <c r="U549" s="2" t="n">
        <v>0</v>
      </c>
      <c r="V549" s="2" t="n">
        <v>0</v>
      </c>
      <c r="W549" s="2" t="n">
        <v>0</v>
      </c>
      <c r="X549" s="2" t="n">
        <v>0</v>
      </c>
      <c r="Y549" s="2" t="n">
        <v>0</v>
      </c>
      <c r="Z549" s="2" t="n">
        <v>0</v>
      </c>
      <c r="AA549" s="2" t="n">
        <v>0</v>
      </c>
      <c r="AB549" s="2" t="n">
        <v>0</v>
      </c>
      <c r="AC549" s="2"/>
    </row>
    <row r="550" customFormat="false" ht="15" hidden="false" customHeight="false" outlineLevel="0" collapsed="false">
      <c r="A550" s="2" t="n">
        <v>93</v>
      </c>
      <c r="B550" s="2" t="s">
        <v>948</v>
      </c>
      <c r="C550" s="2" t="s">
        <v>951</v>
      </c>
      <c r="D550" s="2" t="s">
        <v>3098</v>
      </c>
      <c r="E550" s="2" t="s">
        <v>1160</v>
      </c>
      <c r="F550" s="2" t="s">
        <v>1161</v>
      </c>
      <c r="G550" s="2" t="s">
        <v>954</v>
      </c>
      <c r="H550" s="2" t="s">
        <v>3099</v>
      </c>
      <c r="I550" s="2" t="s">
        <v>1133</v>
      </c>
      <c r="J550" s="2" t="s">
        <v>3100</v>
      </c>
      <c r="K550" s="2" t="n">
        <v>14</v>
      </c>
      <c r="L550" s="2" t="n">
        <v>2485</v>
      </c>
      <c r="M550" s="2" t="n">
        <v>464</v>
      </c>
      <c r="N550" s="2" t="n">
        <v>343</v>
      </c>
      <c r="O550" s="2" t="n">
        <v>60</v>
      </c>
      <c r="P550" s="2" t="n">
        <v>1961</v>
      </c>
      <c r="Q550" s="2" t="n">
        <v>0</v>
      </c>
      <c r="R550" s="2" t="n">
        <v>0</v>
      </c>
      <c r="S550" s="2" t="n">
        <v>0</v>
      </c>
      <c r="T550" s="2" t="n">
        <v>0</v>
      </c>
      <c r="U550" s="2" t="n">
        <v>0</v>
      </c>
      <c r="V550" s="2" t="n">
        <v>0</v>
      </c>
      <c r="W550" s="2" t="n">
        <v>0</v>
      </c>
      <c r="X550" s="2" t="n">
        <v>0</v>
      </c>
      <c r="Y550" s="2" t="n">
        <v>0</v>
      </c>
      <c r="Z550" s="2" t="n">
        <v>0</v>
      </c>
      <c r="AA550" s="2" t="n">
        <v>0</v>
      </c>
      <c r="AB550" s="2" t="n">
        <v>0</v>
      </c>
      <c r="AC550" s="2"/>
    </row>
    <row r="551" customFormat="false" ht="15" hidden="false" customHeight="false" outlineLevel="0" collapsed="false">
      <c r="A551" s="2" t="n">
        <v>93</v>
      </c>
      <c r="B551" s="2" t="s">
        <v>948</v>
      </c>
      <c r="C551" s="2" t="s">
        <v>951</v>
      </c>
      <c r="D551" s="2" t="s">
        <v>3101</v>
      </c>
      <c r="E551" s="2" t="s">
        <v>1129</v>
      </c>
      <c r="F551" s="2" t="s">
        <v>1169</v>
      </c>
      <c r="G551" s="2" t="s">
        <v>3102</v>
      </c>
      <c r="H551" s="2" t="s">
        <v>3103</v>
      </c>
      <c r="I551" s="2" t="s">
        <v>1133</v>
      </c>
      <c r="J551" s="2" t="s">
        <v>3104</v>
      </c>
      <c r="K551" s="2" t="n">
        <v>26</v>
      </c>
      <c r="L551" s="2" t="n">
        <v>12069</v>
      </c>
      <c r="M551" s="2" t="n">
        <v>0</v>
      </c>
      <c r="N551" s="2" t="n">
        <v>0</v>
      </c>
      <c r="O551" s="2" t="n">
        <v>8919</v>
      </c>
      <c r="P551" s="2" t="n">
        <v>3150</v>
      </c>
      <c r="Q551" s="2" t="n">
        <v>0</v>
      </c>
      <c r="R551" s="2" t="n">
        <v>0</v>
      </c>
      <c r="S551" s="2" t="n">
        <v>15</v>
      </c>
      <c r="T551" s="2" t="n">
        <v>8</v>
      </c>
      <c r="U551" s="2" t="n">
        <v>4</v>
      </c>
      <c r="V551" s="2" t="n">
        <v>1</v>
      </c>
      <c r="W551" s="2" t="n">
        <v>2</v>
      </c>
      <c r="X551" s="2" t="n">
        <v>0</v>
      </c>
      <c r="Y551" s="2" t="n">
        <v>0</v>
      </c>
      <c r="Z551" s="2" t="n">
        <v>2</v>
      </c>
      <c r="AA551" s="2" t="n">
        <v>2</v>
      </c>
      <c r="AB551" s="2" t="n">
        <v>11</v>
      </c>
      <c r="AC551" s="2" t="s">
        <v>1135</v>
      </c>
    </row>
    <row r="552" customFormat="false" ht="15" hidden="false" customHeight="false" outlineLevel="0" collapsed="false">
      <c r="A552" s="2" t="n">
        <v>93</v>
      </c>
      <c r="B552" s="2" t="s">
        <v>948</v>
      </c>
      <c r="C552" s="2" t="s">
        <v>951</v>
      </c>
      <c r="D552" s="2" t="s">
        <v>3105</v>
      </c>
      <c r="E552" s="2" t="s">
        <v>1154</v>
      </c>
      <c r="F552" s="2" t="s">
        <v>1155</v>
      </c>
      <c r="G552" s="2" t="s">
        <v>3106</v>
      </c>
      <c r="H552" s="2" t="s">
        <v>3107</v>
      </c>
      <c r="I552" s="2" t="s">
        <v>1133</v>
      </c>
      <c r="J552" s="2" t="s">
        <v>3108</v>
      </c>
      <c r="K552" s="2" t="n">
        <v>4</v>
      </c>
      <c r="L552" s="2" t="n">
        <v>1449</v>
      </c>
      <c r="M552" s="2" t="n">
        <v>1210</v>
      </c>
      <c r="N552" s="2" t="n">
        <v>1088</v>
      </c>
      <c r="O552" s="2" t="n">
        <v>239</v>
      </c>
      <c r="P552" s="2" t="n">
        <v>0</v>
      </c>
      <c r="Q552" s="2" t="n">
        <v>0</v>
      </c>
      <c r="R552" s="2" t="n">
        <v>0</v>
      </c>
      <c r="S552" s="2" t="n">
        <v>3</v>
      </c>
      <c r="T552" s="2" t="n">
        <v>3</v>
      </c>
      <c r="U552" s="2" t="n">
        <v>0</v>
      </c>
      <c r="V552" s="2" t="n">
        <v>0</v>
      </c>
      <c r="W552" s="2" t="n">
        <v>0</v>
      </c>
      <c r="X552" s="2" t="n">
        <v>0</v>
      </c>
      <c r="Y552" s="2" t="n">
        <v>0</v>
      </c>
      <c r="Z552" s="2" t="n">
        <v>0</v>
      </c>
      <c r="AA552" s="2" t="n">
        <v>0</v>
      </c>
      <c r="AB552" s="2" t="n">
        <v>3</v>
      </c>
      <c r="AC552" s="2"/>
    </row>
    <row r="553" customFormat="false" ht="15" hidden="false" customHeight="false" outlineLevel="0" collapsed="false">
      <c r="A553" s="2" t="n">
        <v>93</v>
      </c>
      <c r="B553" s="2" t="s">
        <v>948</v>
      </c>
      <c r="C553" s="2" t="s">
        <v>951</v>
      </c>
      <c r="D553" s="2" t="s">
        <v>3109</v>
      </c>
      <c r="E553" s="2" t="s">
        <v>1129</v>
      </c>
      <c r="F553" s="2" t="s">
        <v>1169</v>
      </c>
      <c r="G553" s="2" t="s">
        <v>3110</v>
      </c>
      <c r="H553" s="2" t="s">
        <v>3111</v>
      </c>
      <c r="I553" s="2" t="s">
        <v>1133</v>
      </c>
      <c r="J553" s="2" t="s">
        <v>3112</v>
      </c>
      <c r="K553" s="2" t="n">
        <v>24</v>
      </c>
      <c r="L553" s="2" t="n">
        <v>13053</v>
      </c>
      <c r="M553" s="2" t="n">
        <v>0</v>
      </c>
      <c r="N553" s="2" t="n">
        <v>0</v>
      </c>
      <c r="O553" s="2" t="n">
        <v>13003</v>
      </c>
      <c r="P553" s="2" t="n">
        <v>50</v>
      </c>
      <c r="Q553" s="2" t="n">
        <v>0</v>
      </c>
      <c r="R553" s="2" t="n">
        <v>0</v>
      </c>
      <c r="S553" s="2" t="n">
        <v>55</v>
      </c>
      <c r="T553" s="2" t="n">
        <v>39</v>
      </c>
      <c r="U553" s="2" t="n">
        <v>3</v>
      </c>
      <c r="V553" s="2" t="n">
        <v>0</v>
      </c>
      <c r="W553" s="2" t="n">
        <v>13</v>
      </c>
      <c r="X553" s="2" t="n">
        <v>0</v>
      </c>
      <c r="Y553" s="2" t="n">
        <v>19</v>
      </c>
      <c r="Z553" s="2" t="n">
        <v>17</v>
      </c>
      <c r="AA553" s="2" t="n">
        <v>0</v>
      </c>
      <c r="AB553" s="2" t="n">
        <v>19</v>
      </c>
      <c r="AC553" s="2" t="s">
        <v>1135</v>
      </c>
    </row>
    <row r="554" customFormat="false" ht="15" hidden="false" customHeight="false" outlineLevel="0" collapsed="false">
      <c r="A554" s="2" t="n">
        <v>93</v>
      </c>
      <c r="B554" s="2" t="s">
        <v>948</v>
      </c>
      <c r="C554" s="2" t="s">
        <v>951</v>
      </c>
      <c r="D554" s="2" t="s">
        <v>3113</v>
      </c>
      <c r="E554" s="2" t="s">
        <v>1129</v>
      </c>
      <c r="F554" s="2" t="s">
        <v>1169</v>
      </c>
      <c r="G554" s="2" t="s">
        <v>3114</v>
      </c>
      <c r="H554" s="2" t="s">
        <v>3115</v>
      </c>
      <c r="I554" s="2" t="s">
        <v>1133</v>
      </c>
      <c r="J554" s="2" t="s">
        <v>3116</v>
      </c>
      <c r="K554" s="2" t="n">
        <v>20</v>
      </c>
      <c r="L554" s="2" t="n">
        <v>8522</v>
      </c>
      <c r="M554" s="2" t="n">
        <v>0</v>
      </c>
      <c r="N554" s="2" t="n">
        <v>0</v>
      </c>
      <c r="O554" s="2" t="n">
        <v>7986</v>
      </c>
      <c r="P554" s="2" t="n">
        <v>536</v>
      </c>
      <c r="Q554" s="2" t="n">
        <v>0</v>
      </c>
      <c r="R554" s="2" t="n">
        <v>0</v>
      </c>
      <c r="S554" s="2" t="n">
        <v>40</v>
      </c>
      <c r="T554" s="2" t="n">
        <v>21</v>
      </c>
      <c r="U554" s="2" t="n">
        <v>5</v>
      </c>
      <c r="V554" s="2" t="n">
        <v>1</v>
      </c>
      <c r="W554" s="2" t="n">
        <v>13</v>
      </c>
      <c r="X554" s="2" t="n">
        <v>0</v>
      </c>
      <c r="Y554" s="2" t="n">
        <v>1</v>
      </c>
      <c r="Z554" s="2" t="n">
        <v>9</v>
      </c>
      <c r="AA554" s="2" t="n">
        <v>0</v>
      </c>
      <c r="AB554" s="2" t="n">
        <v>30</v>
      </c>
      <c r="AC554" s="2" t="s">
        <v>1135</v>
      </c>
    </row>
    <row r="555" customFormat="false" ht="15" hidden="false" customHeight="false" outlineLevel="0" collapsed="false">
      <c r="A555" s="2" t="n">
        <v>94</v>
      </c>
      <c r="B555" s="2" t="s">
        <v>956</v>
      </c>
      <c r="C555" s="2" t="s">
        <v>961</v>
      </c>
      <c r="D555" s="2" t="s">
        <v>3117</v>
      </c>
      <c r="E555" s="2" t="s">
        <v>1160</v>
      </c>
      <c r="F555" s="2" t="s">
        <v>3118</v>
      </c>
      <c r="G555" s="2" t="s">
        <v>964</v>
      </c>
      <c r="H555" s="2" t="s">
        <v>3119</v>
      </c>
      <c r="I555" s="2" t="s">
        <v>1133</v>
      </c>
      <c r="J555" s="2" t="s">
        <v>3120</v>
      </c>
      <c r="K555" s="2" t="n">
        <v>2</v>
      </c>
      <c r="L555" s="2" t="n">
        <v>664</v>
      </c>
      <c r="M555" s="2" t="n">
        <v>368</v>
      </c>
      <c r="N555" s="2" t="n">
        <v>229</v>
      </c>
      <c r="O555" s="2" t="n">
        <v>296</v>
      </c>
      <c r="P555" s="2" t="n">
        <v>0</v>
      </c>
      <c r="Q555" s="2" t="n">
        <v>0</v>
      </c>
      <c r="R555" s="2" t="n">
        <v>0</v>
      </c>
      <c r="S555" s="2" t="n">
        <v>5</v>
      </c>
      <c r="T555" s="2" t="n">
        <v>5</v>
      </c>
      <c r="U555" s="2" t="n">
        <v>0</v>
      </c>
      <c r="V555" s="2" t="n">
        <v>0</v>
      </c>
      <c r="W555" s="2" t="n">
        <v>0</v>
      </c>
      <c r="X555" s="2" t="n">
        <v>0</v>
      </c>
      <c r="Y555" s="2" t="n">
        <v>0</v>
      </c>
      <c r="Z555" s="2" t="n">
        <v>5</v>
      </c>
      <c r="AA555" s="2" t="n">
        <v>0</v>
      </c>
      <c r="AB555" s="2" t="n">
        <v>0</v>
      </c>
      <c r="AC555" s="2"/>
    </row>
    <row r="556" customFormat="false" ht="15" hidden="false" customHeight="false" outlineLevel="0" collapsed="false">
      <c r="A556" s="2" t="n">
        <v>95</v>
      </c>
      <c r="B556" s="2" t="s">
        <v>966</v>
      </c>
      <c r="C556" s="2" t="s">
        <v>971</v>
      </c>
      <c r="D556" s="2" t="s">
        <v>3121</v>
      </c>
      <c r="E556" s="2" t="s">
        <v>1154</v>
      </c>
      <c r="F556" s="2" t="s">
        <v>1178</v>
      </c>
      <c r="G556" s="2" t="s">
        <v>3122</v>
      </c>
      <c r="H556" s="2" t="s">
        <v>3123</v>
      </c>
      <c r="I556" s="2" t="s">
        <v>1406</v>
      </c>
      <c r="J556" s="2" t="s">
        <v>3124</v>
      </c>
      <c r="K556" s="2" t="n">
        <v>3</v>
      </c>
      <c r="L556" s="2" t="n">
        <v>1299</v>
      </c>
      <c r="M556" s="2" t="n">
        <v>1243</v>
      </c>
      <c r="N556" s="2" t="n">
        <v>1122</v>
      </c>
      <c r="O556" s="2" t="n">
        <v>56</v>
      </c>
      <c r="P556" s="2" t="n">
        <v>0</v>
      </c>
      <c r="Q556" s="2" t="n">
        <v>0</v>
      </c>
      <c r="R556" s="2" t="n">
        <v>0</v>
      </c>
      <c r="S556" s="2" t="n">
        <v>0</v>
      </c>
      <c r="T556" s="2" t="n">
        <v>0</v>
      </c>
      <c r="U556" s="2" t="n">
        <v>0</v>
      </c>
      <c r="V556" s="2" t="n">
        <v>0</v>
      </c>
      <c r="W556" s="2" t="n">
        <v>0</v>
      </c>
      <c r="X556" s="2" t="n">
        <v>0</v>
      </c>
      <c r="Y556" s="2" t="n">
        <v>0</v>
      </c>
      <c r="Z556" s="2" t="n">
        <v>0</v>
      </c>
      <c r="AA556" s="2" t="n">
        <v>0</v>
      </c>
      <c r="AB556" s="2" t="n">
        <v>0</v>
      </c>
      <c r="AC556" s="2"/>
    </row>
    <row r="557" customFormat="false" ht="15" hidden="false" customHeight="false" outlineLevel="0" collapsed="false">
      <c r="A557" s="2" t="n">
        <v>95</v>
      </c>
      <c r="B557" s="2" t="s">
        <v>966</v>
      </c>
      <c r="C557" s="2" t="s">
        <v>971</v>
      </c>
      <c r="D557" s="2" t="s">
        <v>3125</v>
      </c>
      <c r="E557" s="2" t="s">
        <v>1154</v>
      </c>
      <c r="F557" s="2" t="s">
        <v>1178</v>
      </c>
      <c r="G557" s="2" t="s">
        <v>2058</v>
      </c>
      <c r="H557" s="2" t="s">
        <v>3126</v>
      </c>
      <c r="I557" s="2" t="s">
        <v>1406</v>
      </c>
      <c r="J557" s="2" t="s">
        <v>3127</v>
      </c>
      <c r="K557" s="2" t="n">
        <v>3</v>
      </c>
      <c r="L557" s="2" t="n">
        <v>1358</v>
      </c>
      <c r="M557" s="2" t="n">
        <v>1310</v>
      </c>
      <c r="N557" s="2" t="n">
        <v>1182</v>
      </c>
      <c r="O557" s="2" t="n">
        <v>48</v>
      </c>
      <c r="P557" s="2" t="n">
        <v>0</v>
      </c>
      <c r="Q557" s="2" t="n">
        <v>0</v>
      </c>
      <c r="R557" s="2" t="n">
        <v>0</v>
      </c>
      <c r="S557" s="2" t="n">
        <v>0</v>
      </c>
      <c r="T557" s="2" t="n">
        <v>0</v>
      </c>
      <c r="U557" s="2" t="n">
        <v>0</v>
      </c>
      <c r="V557" s="2" t="n">
        <v>0</v>
      </c>
      <c r="W557" s="2" t="n">
        <v>0</v>
      </c>
      <c r="X557" s="2" t="n">
        <v>0</v>
      </c>
      <c r="Y557" s="2" t="n">
        <v>0</v>
      </c>
      <c r="Z557" s="2" t="n">
        <v>0</v>
      </c>
      <c r="AA557" s="2" t="n">
        <v>0</v>
      </c>
      <c r="AB557" s="2" t="n">
        <v>0</v>
      </c>
      <c r="AC557" s="2"/>
    </row>
    <row r="558" customFormat="false" ht="15" hidden="false" customHeight="false" outlineLevel="0" collapsed="false">
      <c r="A558" s="2" t="n">
        <v>97</v>
      </c>
      <c r="B558" s="2" t="s">
        <v>984</v>
      </c>
      <c r="C558" s="2" t="s">
        <v>988</v>
      </c>
      <c r="D558" s="2" t="s">
        <v>3128</v>
      </c>
      <c r="E558" s="2" t="s">
        <v>1129</v>
      </c>
      <c r="F558" s="2" t="s">
        <v>1169</v>
      </c>
      <c r="G558" s="2" t="s">
        <v>3129</v>
      </c>
      <c r="H558" s="2" t="s">
        <v>3130</v>
      </c>
      <c r="I558" s="2" t="s">
        <v>1133</v>
      </c>
      <c r="J558" s="2" t="s">
        <v>3131</v>
      </c>
      <c r="K558" s="2" t="n">
        <v>12</v>
      </c>
      <c r="L558" s="2" t="n">
        <v>6070</v>
      </c>
      <c r="M558" s="2" t="n">
        <v>0</v>
      </c>
      <c r="N558" s="2" t="n">
        <v>0</v>
      </c>
      <c r="O558" s="2" t="n">
        <v>6070</v>
      </c>
      <c r="P558" s="2" t="n">
        <v>0</v>
      </c>
      <c r="Q558" s="2" t="n">
        <v>0</v>
      </c>
      <c r="R558" s="2" t="n">
        <v>0</v>
      </c>
      <c r="S558" s="2" t="n">
        <v>5</v>
      </c>
      <c r="T558" s="2" t="n">
        <v>2</v>
      </c>
      <c r="U558" s="2" t="n">
        <v>0</v>
      </c>
      <c r="V558" s="2" t="n">
        <v>1</v>
      </c>
      <c r="W558" s="2" t="n">
        <v>2</v>
      </c>
      <c r="X558" s="2" t="n">
        <v>0</v>
      </c>
      <c r="Y558" s="2" t="n">
        <v>0</v>
      </c>
      <c r="Z558" s="2" t="n">
        <v>2</v>
      </c>
      <c r="AA558" s="2" t="n">
        <v>0</v>
      </c>
      <c r="AB558" s="2" t="n">
        <v>3</v>
      </c>
      <c r="AC558" s="2" t="s">
        <v>1135</v>
      </c>
    </row>
    <row r="559" customFormat="false" ht="15" hidden="false" customHeight="false" outlineLevel="0" collapsed="false">
      <c r="A559" s="2" t="n">
        <v>97</v>
      </c>
      <c r="B559" s="2" t="s">
        <v>984</v>
      </c>
      <c r="C559" s="2" t="s">
        <v>988</v>
      </c>
      <c r="D559" s="2" t="s">
        <v>3132</v>
      </c>
      <c r="E559" s="2" t="s">
        <v>1129</v>
      </c>
      <c r="F559" s="2" t="s">
        <v>1169</v>
      </c>
      <c r="G559" s="2" t="s">
        <v>3133</v>
      </c>
      <c r="H559" s="2" t="s">
        <v>3134</v>
      </c>
      <c r="I559" s="2" t="s">
        <v>1133</v>
      </c>
      <c r="J559" s="2" t="s">
        <v>3135</v>
      </c>
      <c r="K559" s="2" t="n">
        <v>7</v>
      </c>
      <c r="L559" s="2" t="n">
        <v>3658</v>
      </c>
      <c r="M559" s="2" t="n">
        <v>0</v>
      </c>
      <c r="N559" s="2" t="n">
        <v>0</v>
      </c>
      <c r="O559" s="2" t="n">
        <v>3658</v>
      </c>
      <c r="P559" s="2" t="n">
        <v>0</v>
      </c>
      <c r="Q559" s="2" t="n">
        <v>0</v>
      </c>
      <c r="R559" s="2" t="n">
        <v>0</v>
      </c>
      <c r="S559" s="2" t="n">
        <v>9</v>
      </c>
      <c r="T559" s="2" t="n">
        <v>6</v>
      </c>
      <c r="U559" s="2" t="n">
        <v>0</v>
      </c>
      <c r="V559" s="2" t="n">
        <v>0</v>
      </c>
      <c r="W559" s="2" t="n">
        <v>3</v>
      </c>
      <c r="X559" s="2" t="n">
        <v>0</v>
      </c>
      <c r="Y559" s="2" t="n">
        <v>0</v>
      </c>
      <c r="Z559" s="2" t="n">
        <v>0</v>
      </c>
      <c r="AA559" s="2" t="n">
        <v>0</v>
      </c>
      <c r="AB559" s="2" t="n">
        <v>9</v>
      </c>
      <c r="AC559" s="2" t="s">
        <v>1135</v>
      </c>
    </row>
    <row r="560" customFormat="false" ht="15" hidden="false" customHeight="false" outlineLevel="0" collapsed="false">
      <c r="A560" s="2" t="n">
        <v>108</v>
      </c>
      <c r="B560" s="2" t="s">
        <v>1050</v>
      </c>
      <c r="C560" s="2" t="s">
        <v>1055</v>
      </c>
      <c r="D560" s="2" t="s">
        <v>3136</v>
      </c>
      <c r="E560" s="2" t="s">
        <v>1154</v>
      </c>
      <c r="F560" s="2" t="s">
        <v>1178</v>
      </c>
      <c r="G560" s="2" t="s">
        <v>3137</v>
      </c>
      <c r="H560" s="2" t="s">
        <v>3138</v>
      </c>
      <c r="I560" s="2" t="s">
        <v>1133</v>
      </c>
      <c r="J560" s="2" t="s">
        <v>3139</v>
      </c>
      <c r="K560" s="2" t="n">
        <v>4</v>
      </c>
      <c r="L560" s="2" t="n">
        <v>1520</v>
      </c>
      <c r="M560" s="2" t="n">
        <v>1341</v>
      </c>
      <c r="N560" s="2" t="n">
        <v>1175</v>
      </c>
      <c r="O560" s="2" t="n">
        <v>42</v>
      </c>
      <c r="P560" s="2" t="n">
        <v>137</v>
      </c>
      <c r="Q560" s="2" t="n">
        <v>0</v>
      </c>
      <c r="R560" s="2" t="n">
        <v>0</v>
      </c>
      <c r="S560" s="2" t="n">
        <v>0</v>
      </c>
      <c r="T560" s="2" t="n">
        <v>0</v>
      </c>
      <c r="U560" s="2" t="n">
        <v>0</v>
      </c>
      <c r="V560" s="2" t="n">
        <v>0</v>
      </c>
      <c r="W560" s="2" t="n">
        <v>0</v>
      </c>
      <c r="X560" s="2" t="n">
        <v>0</v>
      </c>
      <c r="Y560" s="2" t="n">
        <v>0</v>
      </c>
      <c r="Z560" s="2" t="n">
        <v>0</v>
      </c>
      <c r="AA560" s="2" t="n">
        <v>0</v>
      </c>
      <c r="AB560" s="2" t="n">
        <v>0</v>
      </c>
      <c r="AC560" s="2"/>
    </row>
    <row r="561" customFormat="false" ht="15" hidden="false" customHeight="false" outlineLevel="0" collapsed="false">
      <c r="A561" s="2" t="n">
        <v>108</v>
      </c>
      <c r="B561" s="2" t="s">
        <v>1050</v>
      </c>
      <c r="C561" s="2" t="s">
        <v>1055</v>
      </c>
      <c r="D561" s="2" t="s">
        <v>3140</v>
      </c>
      <c r="E561" s="2" t="s">
        <v>1154</v>
      </c>
      <c r="F561" s="2" t="s">
        <v>1178</v>
      </c>
      <c r="G561" s="2" t="s">
        <v>3141</v>
      </c>
      <c r="H561" s="2" t="s">
        <v>3142</v>
      </c>
      <c r="I561" s="2" t="s">
        <v>1133</v>
      </c>
      <c r="J561" s="2" t="s">
        <v>3143</v>
      </c>
      <c r="K561" s="2" t="n">
        <v>2</v>
      </c>
      <c r="L561" s="2" t="n">
        <v>803</v>
      </c>
      <c r="M561" s="2" t="n">
        <v>768</v>
      </c>
      <c r="N561" s="2" t="n">
        <v>588</v>
      </c>
      <c r="O561" s="2" t="n">
        <v>35</v>
      </c>
      <c r="P561" s="2" t="n">
        <v>0</v>
      </c>
      <c r="Q561" s="2" t="n">
        <v>0</v>
      </c>
      <c r="R561" s="2" t="n">
        <v>0</v>
      </c>
      <c r="S561" s="2" t="n">
        <v>1</v>
      </c>
      <c r="T561" s="2" t="n">
        <v>1</v>
      </c>
      <c r="U561" s="2" t="n">
        <v>0</v>
      </c>
      <c r="V561" s="2" t="n">
        <v>0</v>
      </c>
      <c r="W561" s="2" t="n">
        <v>0</v>
      </c>
      <c r="X561" s="2" t="n">
        <v>0</v>
      </c>
      <c r="Y561" s="2" t="n">
        <v>0</v>
      </c>
      <c r="Z561" s="2" t="n">
        <v>0</v>
      </c>
      <c r="AA561" s="2" t="n">
        <v>0</v>
      </c>
      <c r="AB561" s="2" t="n">
        <v>1</v>
      </c>
      <c r="AC561" s="2"/>
    </row>
    <row r="562" customFormat="false" ht="15" hidden="false" customHeight="false" outlineLevel="0" collapsed="false">
      <c r="A562" s="2" t="n">
        <v>108</v>
      </c>
      <c r="B562" s="2" t="s">
        <v>1050</v>
      </c>
      <c r="C562" s="2" t="s">
        <v>1055</v>
      </c>
      <c r="D562" s="2" t="s">
        <v>3144</v>
      </c>
      <c r="E562" s="2" t="s">
        <v>1154</v>
      </c>
      <c r="F562" s="2" t="s">
        <v>1178</v>
      </c>
      <c r="G562" s="2" t="s">
        <v>3145</v>
      </c>
      <c r="H562" s="2" t="s">
        <v>3146</v>
      </c>
      <c r="I562" s="2" t="s">
        <v>1133</v>
      </c>
      <c r="J562" s="2" t="s">
        <v>3147</v>
      </c>
      <c r="K562" s="2" t="n">
        <v>2</v>
      </c>
      <c r="L562" s="2" t="n">
        <v>722</v>
      </c>
      <c r="M562" s="2" t="n">
        <v>671</v>
      </c>
      <c r="N562" s="2" t="n">
        <v>502</v>
      </c>
      <c r="O562" s="2" t="n">
        <v>51</v>
      </c>
      <c r="P562" s="2" t="n">
        <v>0</v>
      </c>
      <c r="Q562" s="2" t="n">
        <v>0</v>
      </c>
      <c r="R562" s="2" t="n">
        <v>0</v>
      </c>
      <c r="S562" s="2" t="n">
        <v>0</v>
      </c>
      <c r="T562" s="2" t="n">
        <v>0</v>
      </c>
      <c r="U562" s="2" t="n">
        <v>0</v>
      </c>
      <c r="V562" s="2" t="n">
        <v>0</v>
      </c>
      <c r="W562" s="2" t="n">
        <v>0</v>
      </c>
      <c r="X562" s="2" t="n">
        <v>0</v>
      </c>
      <c r="Y562" s="2" t="n">
        <v>0</v>
      </c>
      <c r="Z562" s="2" t="n">
        <v>0</v>
      </c>
      <c r="AA562" s="2" t="n">
        <v>0</v>
      </c>
      <c r="AB562" s="2" t="n">
        <v>0</v>
      </c>
      <c r="AC562" s="2"/>
    </row>
    <row r="563" customFormat="false" ht="15" hidden="false" customHeight="false" outlineLevel="0" collapsed="false">
      <c r="A563" s="2" t="n">
        <v>108</v>
      </c>
      <c r="B563" s="2" t="s">
        <v>1050</v>
      </c>
      <c r="C563" s="2" t="s">
        <v>1055</v>
      </c>
      <c r="D563" s="2" t="s">
        <v>3148</v>
      </c>
      <c r="E563" s="2" t="s">
        <v>1154</v>
      </c>
      <c r="F563" s="2" t="s">
        <v>1178</v>
      </c>
      <c r="G563" s="2" t="s">
        <v>3149</v>
      </c>
      <c r="H563" s="2" t="s">
        <v>3150</v>
      </c>
      <c r="I563" s="2" t="s">
        <v>1133</v>
      </c>
      <c r="J563" s="2" t="s">
        <v>3151</v>
      </c>
      <c r="K563" s="2" t="n">
        <v>3</v>
      </c>
      <c r="L563" s="2" t="n">
        <v>1169</v>
      </c>
      <c r="M563" s="2" t="n">
        <v>684</v>
      </c>
      <c r="N563" s="2" t="n">
        <v>428</v>
      </c>
      <c r="O563" s="2" t="n">
        <v>78</v>
      </c>
      <c r="P563" s="2" t="n">
        <v>407</v>
      </c>
      <c r="Q563" s="2" t="n">
        <v>0</v>
      </c>
      <c r="R563" s="2" t="n">
        <v>0</v>
      </c>
      <c r="S563" s="2" t="n">
        <v>1</v>
      </c>
      <c r="T563" s="2" t="n">
        <v>1</v>
      </c>
      <c r="U563" s="2" t="n">
        <v>0</v>
      </c>
      <c r="V563" s="2" t="n">
        <v>0</v>
      </c>
      <c r="W563" s="2" t="n">
        <v>0</v>
      </c>
      <c r="X563" s="2" t="n">
        <v>0</v>
      </c>
      <c r="Y563" s="2" t="n">
        <v>0</v>
      </c>
      <c r="Z563" s="2" t="n">
        <v>0</v>
      </c>
      <c r="AA563" s="2" t="n">
        <v>0</v>
      </c>
      <c r="AB563" s="2" t="n">
        <v>1</v>
      </c>
      <c r="AC563" s="2"/>
    </row>
    <row r="564" customFormat="false" ht="15" hidden="false" customHeight="false" outlineLevel="0" collapsed="false">
      <c r="A564" s="2" t="n">
        <v>108</v>
      </c>
      <c r="B564" s="2" t="s">
        <v>1050</v>
      </c>
      <c r="C564" s="2" t="s">
        <v>1055</v>
      </c>
      <c r="D564" s="2" t="s">
        <v>3152</v>
      </c>
      <c r="E564" s="2" t="s">
        <v>1154</v>
      </c>
      <c r="F564" s="2" t="s">
        <v>1178</v>
      </c>
      <c r="G564" s="2" t="s">
        <v>3153</v>
      </c>
      <c r="H564" s="2" t="s">
        <v>3154</v>
      </c>
      <c r="I564" s="2" t="s">
        <v>1133</v>
      </c>
      <c r="J564" s="2" t="s">
        <v>3155</v>
      </c>
      <c r="K564" s="2" t="n">
        <v>3</v>
      </c>
      <c r="L564" s="2" t="n">
        <v>993</v>
      </c>
      <c r="M564" s="2" t="n">
        <v>670</v>
      </c>
      <c r="N564" s="2" t="n">
        <v>448</v>
      </c>
      <c r="O564" s="2" t="n">
        <v>65</v>
      </c>
      <c r="P564" s="2" t="n">
        <v>258</v>
      </c>
      <c r="Q564" s="2" t="n">
        <v>0</v>
      </c>
      <c r="R564" s="2" t="n">
        <v>0</v>
      </c>
      <c r="S564" s="2" t="n">
        <v>1</v>
      </c>
      <c r="T564" s="2" t="n">
        <v>1</v>
      </c>
      <c r="U564" s="2" t="n">
        <v>0</v>
      </c>
      <c r="V564" s="2" t="n">
        <v>0</v>
      </c>
      <c r="W564" s="2" t="n">
        <v>0</v>
      </c>
      <c r="X564" s="2" t="n">
        <v>0</v>
      </c>
      <c r="Y564" s="2" t="n">
        <v>0</v>
      </c>
      <c r="Z564" s="2" t="n">
        <v>0</v>
      </c>
      <c r="AA564" s="2" t="n">
        <v>0</v>
      </c>
      <c r="AB564" s="2" t="n">
        <v>1</v>
      </c>
      <c r="AC564" s="2"/>
    </row>
    <row r="565" customFormat="false" ht="15" hidden="false" customHeight="false" outlineLevel="0" collapsed="false">
      <c r="A565" s="2" t="n">
        <v>108</v>
      </c>
      <c r="B565" s="2" t="s">
        <v>1050</v>
      </c>
      <c r="C565" s="2" t="s">
        <v>1055</v>
      </c>
      <c r="D565" s="2" t="s">
        <v>3156</v>
      </c>
      <c r="E565" s="2" t="s">
        <v>1154</v>
      </c>
      <c r="F565" s="2" t="s">
        <v>1178</v>
      </c>
      <c r="G565" s="2" t="s">
        <v>3157</v>
      </c>
      <c r="H565" s="2" t="s">
        <v>3158</v>
      </c>
      <c r="I565" s="2" t="s">
        <v>1133</v>
      </c>
      <c r="J565" s="2" t="s">
        <v>3159</v>
      </c>
      <c r="K565" s="2" t="n">
        <v>3</v>
      </c>
      <c r="L565" s="2" t="n">
        <v>1156</v>
      </c>
      <c r="M565" s="2" t="n">
        <v>776</v>
      </c>
      <c r="N565" s="2" t="n">
        <v>535</v>
      </c>
      <c r="O565" s="2" t="n">
        <v>59</v>
      </c>
      <c r="P565" s="2" t="n">
        <v>321</v>
      </c>
      <c r="Q565" s="2" t="n">
        <v>0</v>
      </c>
      <c r="R565" s="2" t="n">
        <v>0</v>
      </c>
      <c r="S565" s="2" t="n">
        <v>2</v>
      </c>
      <c r="T565" s="2" t="n">
        <v>2</v>
      </c>
      <c r="U565" s="2" t="n">
        <v>0</v>
      </c>
      <c r="V565" s="2" t="n">
        <v>0</v>
      </c>
      <c r="W565" s="2" t="n">
        <v>0</v>
      </c>
      <c r="X565" s="2" t="n">
        <v>0</v>
      </c>
      <c r="Y565" s="2" t="n">
        <v>1</v>
      </c>
      <c r="Z565" s="2" t="n">
        <v>0</v>
      </c>
      <c r="AA565" s="2" t="n">
        <v>0</v>
      </c>
      <c r="AB565" s="2" t="n">
        <v>1</v>
      </c>
      <c r="AC565" s="2"/>
    </row>
    <row r="566" customFormat="false" ht="15" hidden="false" customHeight="false" outlineLevel="0" collapsed="false">
      <c r="A566" s="2" t="n">
        <v>108</v>
      </c>
      <c r="B566" s="2" t="s">
        <v>1050</v>
      </c>
      <c r="C566" s="2" t="s">
        <v>1055</v>
      </c>
      <c r="D566" s="2" t="s">
        <v>3160</v>
      </c>
      <c r="E566" s="2" t="s">
        <v>1154</v>
      </c>
      <c r="F566" s="2" t="s">
        <v>1178</v>
      </c>
      <c r="G566" s="2" t="s">
        <v>3161</v>
      </c>
      <c r="H566" s="2" t="s">
        <v>3162</v>
      </c>
      <c r="I566" s="2" t="s">
        <v>1133</v>
      </c>
      <c r="J566" s="2" t="s">
        <v>3163</v>
      </c>
      <c r="K566" s="2" t="n">
        <v>2</v>
      </c>
      <c r="L566" s="2" t="n">
        <v>857</v>
      </c>
      <c r="M566" s="2" t="n">
        <v>815</v>
      </c>
      <c r="N566" s="2" t="n">
        <v>645</v>
      </c>
      <c r="O566" s="2" t="n">
        <v>42</v>
      </c>
      <c r="P566" s="2" t="n">
        <v>0</v>
      </c>
      <c r="Q566" s="2" t="n">
        <v>0</v>
      </c>
      <c r="R566" s="2" t="n">
        <v>0</v>
      </c>
      <c r="S566" s="2" t="n">
        <v>0</v>
      </c>
      <c r="T566" s="2" t="n">
        <v>0</v>
      </c>
      <c r="U566" s="2" t="n">
        <v>0</v>
      </c>
      <c r="V566" s="2" t="n">
        <v>0</v>
      </c>
      <c r="W566" s="2" t="n">
        <v>0</v>
      </c>
      <c r="X566" s="2" t="n">
        <v>0</v>
      </c>
      <c r="Y566" s="2" t="n">
        <v>0</v>
      </c>
      <c r="Z566" s="2" t="n">
        <v>0</v>
      </c>
      <c r="AA566" s="2" t="n">
        <v>0</v>
      </c>
      <c r="AB566" s="2" t="n">
        <v>0</v>
      </c>
      <c r="AC566" s="2"/>
    </row>
    <row r="567" customFormat="false" ht="15" hidden="false" customHeight="false" outlineLevel="0" collapsed="false">
      <c r="A567" s="2" t="n">
        <v>108</v>
      </c>
      <c r="B567" s="2" t="s">
        <v>1050</v>
      </c>
      <c r="C567" s="2" t="s">
        <v>1055</v>
      </c>
      <c r="D567" s="2" t="s">
        <v>3164</v>
      </c>
      <c r="E567" s="2" t="s">
        <v>1154</v>
      </c>
      <c r="F567" s="2" t="s">
        <v>1178</v>
      </c>
      <c r="G567" s="2" t="s">
        <v>3165</v>
      </c>
      <c r="H567" s="2" t="s">
        <v>3166</v>
      </c>
      <c r="I567" s="2" t="s">
        <v>1133</v>
      </c>
      <c r="J567" s="2" t="s">
        <v>3167</v>
      </c>
      <c r="K567" s="2" t="n">
        <v>11</v>
      </c>
      <c r="L567" s="2" t="n">
        <v>4654</v>
      </c>
      <c r="M567" s="2" t="n">
        <v>863</v>
      </c>
      <c r="N567" s="2" t="n">
        <v>649</v>
      </c>
      <c r="O567" s="2" t="n">
        <v>539</v>
      </c>
      <c r="P567" s="2" t="n">
        <v>3252</v>
      </c>
      <c r="Q567" s="2" t="n">
        <v>0</v>
      </c>
      <c r="R567" s="2" t="n">
        <v>0</v>
      </c>
      <c r="S567" s="2" t="n">
        <v>29</v>
      </c>
      <c r="T567" s="2" t="n">
        <v>28</v>
      </c>
      <c r="U567" s="2" t="n">
        <v>1</v>
      </c>
      <c r="V567" s="2" t="n">
        <v>0</v>
      </c>
      <c r="W567" s="2" t="n">
        <v>0</v>
      </c>
      <c r="X567" s="2" t="n">
        <v>0</v>
      </c>
      <c r="Y567" s="2" t="n">
        <v>2</v>
      </c>
      <c r="Z567" s="2" t="n">
        <v>0</v>
      </c>
      <c r="AA567" s="2" t="n">
        <v>1</v>
      </c>
      <c r="AB567" s="2" t="n">
        <v>26</v>
      </c>
      <c r="AC567" s="2"/>
    </row>
    <row r="568" customFormat="false" ht="15" hidden="false" customHeight="false" outlineLevel="0" collapsed="false">
      <c r="A568" s="2" t="n">
        <v>108</v>
      </c>
      <c r="B568" s="2" t="s">
        <v>1050</v>
      </c>
      <c r="C568" s="2" t="s">
        <v>1055</v>
      </c>
      <c r="D568" s="2" t="s">
        <v>3168</v>
      </c>
      <c r="E568" s="2" t="s">
        <v>1154</v>
      </c>
      <c r="F568" s="2" t="s">
        <v>1178</v>
      </c>
      <c r="G568" s="2" t="s">
        <v>3169</v>
      </c>
      <c r="H568" s="2" t="s">
        <v>3170</v>
      </c>
      <c r="I568" s="2" t="s">
        <v>1133</v>
      </c>
      <c r="J568" s="2" t="s">
        <v>3171</v>
      </c>
      <c r="K568" s="2" t="n">
        <v>3</v>
      </c>
      <c r="L568" s="2" t="n">
        <v>1373</v>
      </c>
      <c r="M568" s="2" t="n">
        <v>1207</v>
      </c>
      <c r="N568" s="2" t="n">
        <v>1041</v>
      </c>
      <c r="O568" s="2" t="n">
        <v>41</v>
      </c>
      <c r="P568" s="2" t="n">
        <v>125</v>
      </c>
      <c r="Q568" s="2" t="n">
        <v>0</v>
      </c>
      <c r="R568" s="2" t="n">
        <v>0</v>
      </c>
      <c r="S568" s="2" t="n">
        <v>0</v>
      </c>
      <c r="T568" s="2" t="n">
        <v>0</v>
      </c>
      <c r="U568" s="2" t="n">
        <v>0</v>
      </c>
      <c r="V568" s="2" t="n">
        <v>0</v>
      </c>
      <c r="W568" s="2" t="n">
        <v>0</v>
      </c>
      <c r="X568" s="2" t="n">
        <v>0</v>
      </c>
      <c r="Y568" s="2" t="n">
        <v>0</v>
      </c>
      <c r="Z568" s="2" t="n">
        <v>0</v>
      </c>
      <c r="AA568" s="2" t="n">
        <v>0</v>
      </c>
      <c r="AB568" s="2" t="n">
        <v>0</v>
      </c>
      <c r="AC568" s="2"/>
    </row>
    <row r="569" customFormat="false" ht="15" hidden="false" customHeight="false" outlineLevel="0" collapsed="false">
      <c r="A569" s="2" t="n">
        <v>108</v>
      </c>
      <c r="B569" s="2" t="s">
        <v>1050</v>
      </c>
      <c r="C569" s="2" t="s">
        <v>1055</v>
      </c>
      <c r="D569" s="2" t="s">
        <v>3172</v>
      </c>
      <c r="E569" s="2" t="s">
        <v>1154</v>
      </c>
      <c r="F569" s="2" t="s">
        <v>1178</v>
      </c>
      <c r="G569" s="2" t="s">
        <v>3173</v>
      </c>
      <c r="H569" s="2" t="s">
        <v>3174</v>
      </c>
      <c r="I569" s="2" t="s">
        <v>1133</v>
      </c>
      <c r="J569" s="2" t="s">
        <v>3175</v>
      </c>
      <c r="K569" s="2" t="n">
        <v>4</v>
      </c>
      <c r="L569" s="2" t="n">
        <v>1293</v>
      </c>
      <c r="M569" s="2" t="n">
        <v>1040</v>
      </c>
      <c r="N569" s="2" t="n">
        <v>871</v>
      </c>
      <c r="O569" s="2" t="n">
        <v>45</v>
      </c>
      <c r="P569" s="2" t="n">
        <v>208</v>
      </c>
      <c r="Q569" s="2" t="n">
        <v>0</v>
      </c>
      <c r="R569" s="2" t="n">
        <v>0</v>
      </c>
      <c r="S569" s="2" t="n">
        <v>0</v>
      </c>
      <c r="T569" s="2" t="n">
        <v>0</v>
      </c>
      <c r="U569" s="2" t="n">
        <v>0</v>
      </c>
      <c r="V569" s="2" t="n">
        <v>0</v>
      </c>
      <c r="W569" s="2" t="n">
        <v>0</v>
      </c>
      <c r="X569" s="2" t="n">
        <v>0</v>
      </c>
      <c r="Y569" s="2" t="n">
        <v>0</v>
      </c>
      <c r="Z569" s="2" t="n">
        <v>0</v>
      </c>
      <c r="AA569" s="2" t="n">
        <v>0</v>
      </c>
      <c r="AB569" s="2" t="n">
        <v>0</v>
      </c>
      <c r="AC569" s="2"/>
    </row>
    <row r="570" customFormat="false" ht="15" hidden="false" customHeight="false" outlineLevel="0" collapsed="false">
      <c r="A570" s="2" t="n">
        <v>108</v>
      </c>
      <c r="B570" s="2" t="s">
        <v>1050</v>
      </c>
      <c r="C570" s="2" t="s">
        <v>1055</v>
      </c>
      <c r="D570" s="2" t="s">
        <v>3176</v>
      </c>
      <c r="E570" s="2" t="s">
        <v>1154</v>
      </c>
      <c r="F570" s="2" t="s">
        <v>1178</v>
      </c>
      <c r="G570" s="2" t="s">
        <v>3177</v>
      </c>
      <c r="H570" s="2" t="s">
        <v>3178</v>
      </c>
      <c r="I570" s="2" t="s">
        <v>1133</v>
      </c>
      <c r="J570" s="2" t="s">
        <v>3179</v>
      </c>
      <c r="K570" s="2" t="n">
        <v>2</v>
      </c>
      <c r="L570" s="2" t="n">
        <v>957</v>
      </c>
      <c r="M570" s="2" t="n">
        <v>717</v>
      </c>
      <c r="N570" s="2" t="n">
        <v>498</v>
      </c>
      <c r="O570" s="2" t="n">
        <v>63</v>
      </c>
      <c r="P570" s="2" t="n">
        <v>177</v>
      </c>
      <c r="Q570" s="2" t="n">
        <v>0</v>
      </c>
      <c r="R570" s="2" t="n">
        <v>0</v>
      </c>
      <c r="S570" s="2" t="n">
        <v>1</v>
      </c>
      <c r="T570" s="2" t="n">
        <v>1</v>
      </c>
      <c r="U570" s="2" t="n">
        <v>0</v>
      </c>
      <c r="V570" s="2" t="n">
        <v>0</v>
      </c>
      <c r="W570" s="2" t="n">
        <v>0</v>
      </c>
      <c r="X570" s="2" t="n">
        <v>0</v>
      </c>
      <c r="Y570" s="2" t="n">
        <v>0</v>
      </c>
      <c r="Z570" s="2" t="n">
        <v>0</v>
      </c>
      <c r="AA570" s="2" t="n">
        <v>0</v>
      </c>
      <c r="AB570" s="2" t="n">
        <v>1</v>
      </c>
      <c r="AC570" s="2"/>
    </row>
    <row r="571" customFormat="false" ht="15" hidden="false" customHeight="false" outlineLevel="0" collapsed="false">
      <c r="A571" s="2" t="n">
        <v>108</v>
      </c>
      <c r="B571" s="2" t="s">
        <v>1050</v>
      </c>
      <c r="C571" s="2" t="s">
        <v>1055</v>
      </c>
      <c r="D571" s="2" t="s">
        <v>3180</v>
      </c>
      <c r="E571" s="2" t="s">
        <v>1154</v>
      </c>
      <c r="F571" s="2" t="s">
        <v>1178</v>
      </c>
      <c r="G571" s="2" t="s">
        <v>379</v>
      </c>
      <c r="H571" s="2" t="s">
        <v>3181</v>
      </c>
      <c r="I571" s="2" t="s">
        <v>1133</v>
      </c>
      <c r="J571" s="2" t="s">
        <v>3182</v>
      </c>
      <c r="K571" s="2" t="n">
        <v>4</v>
      </c>
      <c r="L571" s="2" t="n">
        <v>1584</v>
      </c>
      <c r="M571" s="2" t="n">
        <v>1395</v>
      </c>
      <c r="N571" s="2" t="n">
        <v>1229</v>
      </c>
      <c r="O571" s="2" t="n">
        <v>41</v>
      </c>
      <c r="P571" s="2" t="n">
        <v>148</v>
      </c>
      <c r="Q571" s="2" t="n">
        <v>0</v>
      </c>
      <c r="R571" s="2" t="n">
        <v>0</v>
      </c>
      <c r="S571" s="2" t="n">
        <v>0</v>
      </c>
      <c r="T571" s="2" t="n">
        <v>0</v>
      </c>
      <c r="U571" s="2" t="n">
        <v>0</v>
      </c>
      <c r="V571" s="2" t="n">
        <v>0</v>
      </c>
      <c r="W571" s="2" t="n">
        <v>0</v>
      </c>
      <c r="X571" s="2" t="n">
        <v>0</v>
      </c>
      <c r="Y571" s="2" t="n">
        <v>0</v>
      </c>
      <c r="Z571" s="2" t="n">
        <v>0</v>
      </c>
      <c r="AA571" s="2" t="n">
        <v>0</v>
      </c>
      <c r="AB571" s="2" t="n">
        <v>0</v>
      </c>
      <c r="AC571" s="2"/>
    </row>
    <row r="572" customFormat="false" ht="15" hidden="false" customHeight="false" outlineLevel="0" collapsed="false">
      <c r="A572" s="2" t="n">
        <v>108</v>
      </c>
      <c r="B572" s="2" t="s">
        <v>1050</v>
      </c>
      <c r="C572" s="2" t="s">
        <v>1055</v>
      </c>
      <c r="D572" s="2" t="s">
        <v>3183</v>
      </c>
      <c r="E572" s="2" t="s">
        <v>1154</v>
      </c>
      <c r="F572" s="2" t="s">
        <v>1178</v>
      </c>
      <c r="G572" s="2" t="s">
        <v>3184</v>
      </c>
      <c r="H572" s="2" t="s">
        <v>3185</v>
      </c>
      <c r="I572" s="2" t="s">
        <v>1133</v>
      </c>
      <c r="J572" s="2" t="s">
        <v>3186</v>
      </c>
      <c r="K572" s="2" t="n">
        <v>3</v>
      </c>
      <c r="L572" s="2" t="n">
        <v>1354</v>
      </c>
      <c r="M572" s="2" t="n">
        <v>1239</v>
      </c>
      <c r="N572" s="2" t="n">
        <v>1073</v>
      </c>
      <c r="O572" s="2" t="n">
        <v>41</v>
      </c>
      <c r="P572" s="2" t="n">
        <v>74</v>
      </c>
      <c r="Q572" s="2" t="n">
        <v>0</v>
      </c>
      <c r="R572" s="2" t="n">
        <v>0</v>
      </c>
      <c r="S572" s="2" t="n">
        <v>0</v>
      </c>
      <c r="T572" s="2" t="n">
        <v>0</v>
      </c>
      <c r="U572" s="2" t="n">
        <v>0</v>
      </c>
      <c r="V572" s="2" t="n">
        <v>0</v>
      </c>
      <c r="W572" s="2" t="n">
        <v>0</v>
      </c>
      <c r="X572" s="2" t="n">
        <v>0</v>
      </c>
      <c r="Y572" s="2" t="n">
        <v>0</v>
      </c>
      <c r="Z572" s="2" t="n">
        <v>0</v>
      </c>
      <c r="AA572" s="2" t="n">
        <v>0</v>
      </c>
      <c r="AB572" s="2" t="n">
        <v>0</v>
      </c>
      <c r="AC572" s="2"/>
    </row>
    <row r="573" customFormat="false" ht="15" hidden="false" customHeight="false" outlineLevel="0" collapsed="false">
      <c r="A573" s="2" t="n">
        <v>108</v>
      </c>
      <c r="B573" s="2" t="s">
        <v>1050</v>
      </c>
      <c r="C573" s="2" t="s">
        <v>1055</v>
      </c>
      <c r="D573" s="2" t="s">
        <v>3187</v>
      </c>
      <c r="E573" s="2" t="s">
        <v>1154</v>
      </c>
      <c r="F573" s="2" t="s">
        <v>1178</v>
      </c>
      <c r="G573" s="2" t="s">
        <v>409</v>
      </c>
      <c r="H573" s="2" t="s">
        <v>3188</v>
      </c>
      <c r="I573" s="2" t="s">
        <v>1133</v>
      </c>
      <c r="J573" s="2" t="s">
        <v>3189</v>
      </c>
      <c r="K573" s="2" t="n">
        <v>3</v>
      </c>
      <c r="L573" s="2" t="n">
        <v>687</v>
      </c>
      <c r="M573" s="2" t="n">
        <v>606</v>
      </c>
      <c r="N573" s="2" t="n">
        <v>443</v>
      </c>
      <c r="O573" s="2" t="n">
        <v>60</v>
      </c>
      <c r="P573" s="2" t="n">
        <v>21</v>
      </c>
      <c r="Q573" s="2" t="n">
        <v>0</v>
      </c>
      <c r="R573" s="2" t="n">
        <v>0</v>
      </c>
      <c r="S573" s="2" t="n">
        <v>0</v>
      </c>
      <c r="T573" s="2" t="n">
        <v>0</v>
      </c>
      <c r="U573" s="2" t="n">
        <v>0</v>
      </c>
      <c r="V573" s="2" t="n">
        <v>0</v>
      </c>
      <c r="W573" s="2" t="n">
        <v>0</v>
      </c>
      <c r="X573" s="2" t="n">
        <v>0</v>
      </c>
      <c r="Y573" s="2" t="n">
        <v>0</v>
      </c>
      <c r="Z573" s="2" t="n">
        <v>0</v>
      </c>
      <c r="AA573" s="2" t="n">
        <v>0</v>
      </c>
      <c r="AB573" s="2" t="n">
        <v>0</v>
      </c>
      <c r="AC573" s="2"/>
    </row>
    <row r="574" customFormat="false" ht="15" hidden="false" customHeight="false" outlineLevel="0" collapsed="false">
      <c r="A574" s="2" t="n">
        <v>108</v>
      </c>
      <c r="B574" s="2" t="s">
        <v>1050</v>
      </c>
      <c r="C574" s="2" t="s">
        <v>1055</v>
      </c>
      <c r="D574" s="2" t="s">
        <v>3190</v>
      </c>
      <c r="E574" s="2" t="s">
        <v>1154</v>
      </c>
      <c r="F574" s="2" t="s">
        <v>1178</v>
      </c>
      <c r="G574" s="2" t="s">
        <v>3191</v>
      </c>
      <c r="H574" s="2" t="s">
        <v>3192</v>
      </c>
      <c r="I574" s="2" t="s">
        <v>1133</v>
      </c>
      <c r="J574" s="2" t="s">
        <v>3193</v>
      </c>
      <c r="K574" s="2" t="n">
        <v>12</v>
      </c>
      <c r="L574" s="2" t="n">
        <v>4039</v>
      </c>
      <c r="M574" s="2" t="n">
        <v>1828</v>
      </c>
      <c r="N574" s="2" t="n">
        <v>1630</v>
      </c>
      <c r="O574" s="2" t="n">
        <v>135</v>
      </c>
      <c r="P574" s="2" t="n">
        <v>2076</v>
      </c>
      <c r="Q574" s="2" t="n">
        <v>0</v>
      </c>
      <c r="R574" s="2" t="n">
        <v>0</v>
      </c>
      <c r="S574" s="2" t="n">
        <v>0</v>
      </c>
      <c r="T574" s="2" t="n">
        <v>0</v>
      </c>
      <c r="U574" s="2" t="n">
        <v>0</v>
      </c>
      <c r="V574" s="2" t="n">
        <v>0</v>
      </c>
      <c r="W574" s="2" t="n">
        <v>0</v>
      </c>
      <c r="X574" s="2" t="n">
        <v>0</v>
      </c>
      <c r="Y574" s="2" t="n">
        <v>0</v>
      </c>
      <c r="Z574" s="2" t="n">
        <v>0</v>
      </c>
      <c r="AA574" s="2" t="n">
        <v>0</v>
      </c>
      <c r="AB574" s="2" t="n">
        <v>0</v>
      </c>
      <c r="AC574" s="2"/>
    </row>
    <row r="575" customFormat="false" ht="15" hidden="false" customHeight="false" outlineLevel="0" collapsed="false">
      <c r="A575" s="2" t="n">
        <v>108</v>
      </c>
      <c r="B575" s="2" t="s">
        <v>1050</v>
      </c>
      <c r="C575" s="2" t="s">
        <v>1055</v>
      </c>
      <c r="D575" s="2" t="s">
        <v>3194</v>
      </c>
      <c r="E575" s="2" t="s">
        <v>1154</v>
      </c>
      <c r="F575" s="2" t="s">
        <v>1178</v>
      </c>
      <c r="G575" s="2" t="s">
        <v>3195</v>
      </c>
      <c r="H575" s="2" t="s">
        <v>3196</v>
      </c>
      <c r="I575" s="2" t="s">
        <v>1133</v>
      </c>
      <c r="J575" s="2" t="s">
        <v>3197</v>
      </c>
      <c r="K575" s="2" t="n">
        <v>8</v>
      </c>
      <c r="L575" s="2" t="n">
        <v>2026</v>
      </c>
      <c r="M575" s="2" t="n">
        <v>679</v>
      </c>
      <c r="N575" s="2" t="n">
        <v>515</v>
      </c>
      <c r="O575" s="2" t="n">
        <v>100</v>
      </c>
      <c r="P575" s="2" t="n">
        <v>1247</v>
      </c>
      <c r="Q575" s="2" t="n">
        <v>0</v>
      </c>
      <c r="R575" s="2" t="n">
        <v>0</v>
      </c>
      <c r="S575" s="2" t="n">
        <v>0</v>
      </c>
      <c r="T575" s="2" t="n">
        <v>0</v>
      </c>
      <c r="U575" s="2" t="n">
        <v>0</v>
      </c>
      <c r="V575" s="2" t="n">
        <v>0</v>
      </c>
      <c r="W575" s="2" t="n">
        <v>0</v>
      </c>
      <c r="X575" s="2" t="n">
        <v>0</v>
      </c>
      <c r="Y575" s="2" t="n">
        <v>0</v>
      </c>
      <c r="Z575" s="2" t="n">
        <v>0</v>
      </c>
      <c r="AA575" s="2" t="n">
        <v>0</v>
      </c>
      <c r="AB575" s="2" t="n">
        <v>0</v>
      </c>
      <c r="AC575" s="2"/>
    </row>
    <row r="576" customFormat="false" ht="15" hidden="false" customHeight="false" outlineLevel="0" collapsed="false">
      <c r="A576" s="2" t="n">
        <v>108</v>
      </c>
      <c r="B576" s="2" t="s">
        <v>1050</v>
      </c>
      <c r="C576" s="2" t="s">
        <v>1055</v>
      </c>
      <c r="D576" s="2" t="s">
        <v>3198</v>
      </c>
      <c r="E576" s="2" t="s">
        <v>1154</v>
      </c>
      <c r="F576" s="2" t="s">
        <v>1178</v>
      </c>
      <c r="G576" s="2" t="s">
        <v>3199</v>
      </c>
      <c r="H576" s="2" t="s">
        <v>3200</v>
      </c>
      <c r="I576" s="2" t="s">
        <v>1133</v>
      </c>
      <c r="J576" s="2" t="s">
        <v>3201</v>
      </c>
      <c r="K576" s="2" t="n">
        <v>2</v>
      </c>
      <c r="L576" s="2" t="n">
        <v>772</v>
      </c>
      <c r="M576" s="2" t="n">
        <v>661</v>
      </c>
      <c r="N576" s="2" t="n">
        <v>491</v>
      </c>
      <c r="O576" s="2" t="n">
        <v>111</v>
      </c>
      <c r="P576" s="2" t="n">
        <v>0</v>
      </c>
      <c r="Q576" s="2" t="n">
        <v>0</v>
      </c>
      <c r="R576" s="2" t="n">
        <v>0</v>
      </c>
      <c r="S576" s="2" t="n">
        <v>0</v>
      </c>
      <c r="T576" s="2" t="n">
        <v>0</v>
      </c>
      <c r="U576" s="2" t="n">
        <v>0</v>
      </c>
      <c r="V576" s="2" t="n">
        <v>0</v>
      </c>
      <c r="W576" s="2" t="n">
        <v>0</v>
      </c>
      <c r="X576" s="2" t="n">
        <v>0</v>
      </c>
      <c r="Y576" s="2" t="n">
        <v>0</v>
      </c>
      <c r="Z576" s="2" t="n">
        <v>0</v>
      </c>
      <c r="AA576" s="2" t="n">
        <v>0</v>
      </c>
      <c r="AB576" s="2" t="n">
        <v>0</v>
      </c>
      <c r="AC576" s="2"/>
    </row>
    <row r="577" customFormat="false" ht="15" hidden="false" customHeight="false" outlineLevel="0" collapsed="false">
      <c r="A577" s="2" t="n">
        <v>108</v>
      </c>
      <c r="B577" s="2" t="s">
        <v>1050</v>
      </c>
      <c r="C577" s="2" t="s">
        <v>1055</v>
      </c>
      <c r="D577" s="2" t="s">
        <v>3202</v>
      </c>
      <c r="E577" s="2" t="s">
        <v>1154</v>
      </c>
      <c r="F577" s="2" t="s">
        <v>1178</v>
      </c>
      <c r="G577" s="2" t="s">
        <v>3203</v>
      </c>
      <c r="H577" s="2" t="s">
        <v>3204</v>
      </c>
      <c r="I577" s="2" t="s">
        <v>1133</v>
      </c>
      <c r="J577" s="2" t="s">
        <v>3205</v>
      </c>
      <c r="K577" s="2" t="n">
        <v>4</v>
      </c>
      <c r="L577" s="2" t="n">
        <v>1992</v>
      </c>
      <c r="M577" s="2" t="n">
        <v>1609</v>
      </c>
      <c r="N577" s="2" t="n">
        <v>1445</v>
      </c>
      <c r="O577" s="2" t="n">
        <v>100</v>
      </c>
      <c r="P577" s="2" t="n">
        <v>283</v>
      </c>
      <c r="Q577" s="2" t="n">
        <v>0</v>
      </c>
      <c r="R577" s="2" t="n">
        <v>0</v>
      </c>
      <c r="S577" s="2" t="n">
        <v>0</v>
      </c>
      <c r="T577" s="2" t="n">
        <v>0</v>
      </c>
      <c r="U577" s="2" t="n">
        <v>0</v>
      </c>
      <c r="V577" s="2" t="n">
        <v>0</v>
      </c>
      <c r="W577" s="2" t="n">
        <v>0</v>
      </c>
      <c r="X577" s="2" t="n">
        <v>0</v>
      </c>
      <c r="Y577" s="2" t="n">
        <v>0</v>
      </c>
      <c r="Z577" s="2" t="n">
        <v>0</v>
      </c>
      <c r="AA577" s="2" t="n">
        <v>0</v>
      </c>
      <c r="AB577" s="2" t="n">
        <v>0</v>
      </c>
      <c r="AC577" s="2"/>
    </row>
    <row r="578" customFormat="false" ht="15" hidden="false" customHeight="false" outlineLevel="0" collapsed="false">
      <c r="A578" s="2" t="n">
        <v>108</v>
      </c>
      <c r="B578" s="2" t="s">
        <v>1050</v>
      </c>
      <c r="C578" s="2" t="s">
        <v>1055</v>
      </c>
      <c r="D578" s="2" t="s">
        <v>3206</v>
      </c>
      <c r="E578" s="2" t="s">
        <v>1154</v>
      </c>
      <c r="F578" s="2" t="s">
        <v>1178</v>
      </c>
      <c r="G578" s="2" t="s">
        <v>3207</v>
      </c>
      <c r="H578" s="2" t="s">
        <v>3208</v>
      </c>
      <c r="I578" s="2" t="s">
        <v>1133</v>
      </c>
      <c r="J578" s="2" t="s">
        <v>3209</v>
      </c>
      <c r="K578" s="2" t="n">
        <v>4</v>
      </c>
      <c r="L578" s="2" t="n">
        <v>801</v>
      </c>
      <c r="M578" s="2" t="n">
        <v>644</v>
      </c>
      <c r="N578" s="2" t="n">
        <v>482</v>
      </c>
      <c r="O578" s="2" t="n">
        <v>109</v>
      </c>
      <c r="P578" s="2" t="n">
        <v>48</v>
      </c>
      <c r="Q578" s="2" t="n">
        <v>0</v>
      </c>
      <c r="R578" s="2" t="n">
        <v>0</v>
      </c>
      <c r="S578" s="2" t="n">
        <v>0</v>
      </c>
      <c r="T578" s="2" t="n">
        <v>0</v>
      </c>
      <c r="U578" s="2" t="n">
        <v>0</v>
      </c>
      <c r="V578" s="2" t="n">
        <v>0</v>
      </c>
      <c r="W578" s="2" t="n">
        <v>0</v>
      </c>
      <c r="X578" s="2" t="n">
        <v>0</v>
      </c>
      <c r="Y578" s="2" t="n">
        <v>0</v>
      </c>
      <c r="Z578" s="2" t="n">
        <v>0</v>
      </c>
      <c r="AA578" s="2" t="n">
        <v>0</v>
      </c>
      <c r="AB578" s="2" t="n">
        <v>0</v>
      </c>
      <c r="AC578" s="2"/>
    </row>
    <row r="579" customFormat="false" ht="15" hidden="false" customHeight="false" outlineLevel="0" collapsed="false">
      <c r="A579" s="2" t="n">
        <v>108</v>
      </c>
      <c r="B579" s="2" t="s">
        <v>1050</v>
      </c>
      <c r="C579" s="2" t="s">
        <v>1055</v>
      </c>
      <c r="D579" s="2" t="s">
        <v>3210</v>
      </c>
      <c r="E579" s="2" t="s">
        <v>1154</v>
      </c>
      <c r="F579" s="2" t="s">
        <v>1178</v>
      </c>
      <c r="G579" s="2" t="s">
        <v>3211</v>
      </c>
      <c r="H579" s="2" t="s">
        <v>3212</v>
      </c>
      <c r="I579" s="2" t="s">
        <v>1133</v>
      </c>
      <c r="J579" s="2" t="s">
        <v>3213</v>
      </c>
      <c r="K579" s="2" t="n">
        <v>4</v>
      </c>
      <c r="L579" s="2" t="n">
        <v>965</v>
      </c>
      <c r="M579" s="2" t="n">
        <v>677</v>
      </c>
      <c r="N579" s="2" t="n">
        <v>516</v>
      </c>
      <c r="O579" s="2" t="n">
        <v>103</v>
      </c>
      <c r="P579" s="2" t="n">
        <v>185</v>
      </c>
      <c r="Q579" s="2" t="n">
        <v>0</v>
      </c>
      <c r="R579" s="2" t="n">
        <v>0</v>
      </c>
      <c r="S579" s="2" t="n">
        <v>0</v>
      </c>
      <c r="T579" s="2" t="n">
        <v>0</v>
      </c>
      <c r="U579" s="2" t="n">
        <v>0</v>
      </c>
      <c r="V579" s="2" t="n">
        <v>0</v>
      </c>
      <c r="W579" s="2" t="n">
        <v>0</v>
      </c>
      <c r="X579" s="2" t="n">
        <v>0</v>
      </c>
      <c r="Y579" s="2" t="n">
        <v>0</v>
      </c>
      <c r="Z579" s="2" t="n">
        <v>0</v>
      </c>
      <c r="AA579" s="2" t="n">
        <v>0</v>
      </c>
      <c r="AB579" s="2" t="n">
        <v>0</v>
      </c>
      <c r="AC579" s="2"/>
    </row>
    <row r="580" customFormat="false" ht="15" hidden="false" customHeight="false" outlineLevel="0" collapsed="false">
      <c r="A580" s="2" t="n">
        <v>108</v>
      </c>
      <c r="B580" s="2" t="s">
        <v>1050</v>
      </c>
      <c r="C580" s="2" t="s">
        <v>1055</v>
      </c>
      <c r="D580" s="2" t="s">
        <v>3214</v>
      </c>
      <c r="E580" s="2" t="s">
        <v>1154</v>
      </c>
      <c r="F580" s="2" t="s">
        <v>1178</v>
      </c>
      <c r="G580" s="2" t="s">
        <v>1131</v>
      </c>
      <c r="H580" s="2" t="s">
        <v>3215</v>
      </c>
      <c r="I580" s="2" t="s">
        <v>1133</v>
      </c>
      <c r="J580" s="2" t="s">
        <v>3216</v>
      </c>
      <c r="K580" s="2" t="n">
        <v>5</v>
      </c>
      <c r="L580" s="2" t="n">
        <v>1502</v>
      </c>
      <c r="M580" s="2" t="n">
        <v>815</v>
      </c>
      <c r="N580" s="2" t="n">
        <v>654</v>
      </c>
      <c r="O580" s="2" t="n">
        <v>103</v>
      </c>
      <c r="P580" s="2" t="n">
        <v>584</v>
      </c>
      <c r="Q580" s="2" t="n">
        <v>0</v>
      </c>
      <c r="R580" s="2" t="n">
        <v>0</v>
      </c>
      <c r="S580" s="2" t="n">
        <v>0</v>
      </c>
      <c r="T580" s="2" t="n">
        <v>0</v>
      </c>
      <c r="U580" s="2" t="n">
        <v>0</v>
      </c>
      <c r="V580" s="2" t="n">
        <v>0</v>
      </c>
      <c r="W580" s="2" t="n">
        <v>0</v>
      </c>
      <c r="X580" s="2" t="n">
        <v>0</v>
      </c>
      <c r="Y580" s="2" t="n">
        <v>0</v>
      </c>
      <c r="Z580" s="2" t="n">
        <v>0</v>
      </c>
      <c r="AA580" s="2" t="n">
        <v>0</v>
      </c>
      <c r="AB580" s="2" t="n">
        <v>0</v>
      </c>
      <c r="AC580" s="2"/>
    </row>
    <row r="581" customFormat="false" ht="15" hidden="false" customHeight="false" outlineLevel="0" collapsed="false">
      <c r="A581" s="2" t="n">
        <v>108</v>
      </c>
      <c r="B581" s="2" t="s">
        <v>1050</v>
      </c>
      <c r="C581" s="2" t="s">
        <v>1055</v>
      </c>
      <c r="D581" s="2" t="s">
        <v>3217</v>
      </c>
      <c r="E581" s="2" t="s">
        <v>1154</v>
      </c>
      <c r="F581" s="2" t="s">
        <v>1178</v>
      </c>
      <c r="G581" s="2" t="s">
        <v>3218</v>
      </c>
      <c r="H581" s="2" t="s">
        <v>3219</v>
      </c>
      <c r="I581" s="2" t="s">
        <v>1133</v>
      </c>
      <c r="J581" s="2" t="s">
        <v>3220</v>
      </c>
      <c r="K581" s="2" t="n">
        <v>2</v>
      </c>
      <c r="L581" s="2" t="n">
        <v>339</v>
      </c>
      <c r="M581" s="2" t="n">
        <v>306</v>
      </c>
      <c r="N581" s="2" t="n">
        <v>97</v>
      </c>
      <c r="O581" s="2" t="n">
        <v>33</v>
      </c>
      <c r="P581" s="2" t="n">
        <v>0</v>
      </c>
      <c r="Q581" s="2" t="n">
        <v>0</v>
      </c>
      <c r="R581" s="2" t="n">
        <v>0</v>
      </c>
      <c r="S581" s="2" t="n">
        <v>0</v>
      </c>
      <c r="T581" s="2" t="n">
        <v>0</v>
      </c>
      <c r="U581" s="2" t="n">
        <v>0</v>
      </c>
      <c r="V581" s="2" t="n">
        <v>0</v>
      </c>
      <c r="W581" s="2" t="n">
        <v>0</v>
      </c>
      <c r="X581" s="2" t="n">
        <v>0</v>
      </c>
      <c r="Y581" s="2" t="n">
        <v>0</v>
      </c>
      <c r="Z581" s="2" t="n">
        <v>0</v>
      </c>
      <c r="AA581" s="2" t="n">
        <v>0</v>
      </c>
      <c r="AB581" s="2" t="n">
        <v>0</v>
      </c>
      <c r="AC581" s="2"/>
    </row>
    <row r="582" customFormat="false" ht="15" hidden="false" customHeight="false" outlineLevel="0" collapsed="false">
      <c r="A582" s="2" t="n">
        <v>108</v>
      </c>
      <c r="B582" s="2" t="s">
        <v>1050</v>
      </c>
      <c r="C582" s="2" t="s">
        <v>1055</v>
      </c>
      <c r="D582" s="2" t="s">
        <v>3221</v>
      </c>
      <c r="E582" s="2" t="s">
        <v>1154</v>
      </c>
      <c r="F582" s="2" t="s">
        <v>1178</v>
      </c>
      <c r="G582" s="2" t="s">
        <v>3222</v>
      </c>
      <c r="H582" s="2" t="s">
        <v>3223</v>
      </c>
      <c r="I582" s="2" t="s">
        <v>1133</v>
      </c>
      <c r="J582" s="2" t="s">
        <v>3224</v>
      </c>
      <c r="K582" s="2" t="n">
        <v>4</v>
      </c>
      <c r="L582" s="2" t="n">
        <v>1190</v>
      </c>
      <c r="M582" s="2" t="n">
        <v>744</v>
      </c>
      <c r="N582" s="2" t="n">
        <v>585</v>
      </c>
      <c r="O582" s="2" t="n">
        <v>112</v>
      </c>
      <c r="P582" s="2" t="n">
        <v>334</v>
      </c>
      <c r="Q582" s="2" t="n">
        <v>0</v>
      </c>
      <c r="R582" s="2" t="n">
        <v>0</v>
      </c>
      <c r="S582" s="2" t="n">
        <v>0</v>
      </c>
      <c r="T582" s="2" t="n">
        <v>0</v>
      </c>
      <c r="U582" s="2" t="n">
        <v>0</v>
      </c>
      <c r="V582" s="2" t="n">
        <v>0</v>
      </c>
      <c r="W582" s="2" t="n">
        <v>0</v>
      </c>
      <c r="X582" s="2" t="n">
        <v>0</v>
      </c>
      <c r="Y582" s="2" t="n">
        <v>0</v>
      </c>
      <c r="Z582" s="2" t="n">
        <v>0</v>
      </c>
      <c r="AA582" s="2" t="n">
        <v>0</v>
      </c>
      <c r="AB582" s="2" t="n">
        <v>0</v>
      </c>
      <c r="AC582" s="2"/>
    </row>
    <row r="583" customFormat="false" ht="15" hidden="false" customHeight="false" outlineLevel="0" collapsed="false">
      <c r="A583" s="2" t="n">
        <v>108</v>
      </c>
      <c r="B583" s="2" t="s">
        <v>1050</v>
      </c>
      <c r="C583" s="2" t="s">
        <v>1055</v>
      </c>
      <c r="D583" s="2" t="s">
        <v>3225</v>
      </c>
      <c r="E583" s="2" t="s">
        <v>1154</v>
      </c>
      <c r="F583" s="2" t="s">
        <v>1178</v>
      </c>
      <c r="G583" s="2" t="s">
        <v>3222</v>
      </c>
      <c r="H583" s="2" t="s">
        <v>3226</v>
      </c>
      <c r="I583" s="2" t="s">
        <v>1133</v>
      </c>
      <c r="J583" s="2" t="s">
        <v>3227</v>
      </c>
      <c r="K583" s="2" t="n">
        <v>5</v>
      </c>
      <c r="L583" s="2" t="n">
        <v>2597</v>
      </c>
      <c r="M583" s="2" t="n">
        <v>1263</v>
      </c>
      <c r="N583" s="2" t="n">
        <v>1059</v>
      </c>
      <c r="O583" s="2" t="n">
        <v>104</v>
      </c>
      <c r="P583" s="2" t="n">
        <v>1230</v>
      </c>
      <c r="Q583" s="2" t="n">
        <v>0</v>
      </c>
      <c r="R583" s="2" t="n">
        <v>0</v>
      </c>
      <c r="S583" s="2" t="n">
        <v>0</v>
      </c>
      <c r="T583" s="2" t="n">
        <v>0</v>
      </c>
      <c r="U583" s="2" t="n">
        <v>0</v>
      </c>
      <c r="V583" s="2" t="n">
        <v>0</v>
      </c>
      <c r="W583" s="2" t="n">
        <v>0</v>
      </c>
      <c r="X583" s="2" t="n">
        <v>0</v>
      </c>
      <c r="Y583" s="2" t="n">
        <v>0</v>
      </c>
      <c r="Z583" s="2" t="n">
        <v>0</v>
      </c>
      <c r="AA583" s="2" t="n">
        <v>0</v>
      </c>
      <c r="AB583" s="2" t="n">
        <v>0</v>
      </c>
      <c r="AC583" s="2"/>
    </row>
    <row r="584" customFormat="false" ht="15" hidden="false" customHeight="false" outlineLevel="0" collapsed="false">
      <c r="A584" s="2" t="n">
        <v>108</v>
      </c>
      <c r="B584" s="2" t="s">
        <v>1050</v>
      </c>
      <c r="C584" s="2" t="s">
        <v>1055</v>
      </c>
      <c r="D584" s="2" t="s">
        <v>3228</v>
      </c>
      <c r="E584" s="2" t="s">
        <v>1154</v>
      </c>
      <c r="F584" s="2" t="s">
        <v>1178</v>
      </c>
      <c r="G584" s="2" t="s">
        <v>3229</v>
      </c>
      <c r="H584" s="2" t="s">
        <v>3230</v>
      </c>
      <c r="I584" s="2" t="s">
        <v>1133</v>
      </c>
      <c r="J584" s="2" t="s">
        <v>3231</v>
      </c>
      <c r="K584" s="2" t="n">
        <v>5</v>
      </c>
      <c r="L584" s="2" t="n">
        <v>1770</v>
      </c>
      <c r="M584" s="2" t="n">
        <v>671</v>
      </c>
      <c r="N584" s="2" t="n">
        <v>464</v>
      </c>
      <c r="O584" s="2" t="n">
        <v>140</v>
      </c>
      <c r="P584" s="2" t="n">
        <v>959</v>
      </c>
      <c r="Q584" s="2" t="n">
        <v>0</v>
      </c>
      <c r="R584" s="2" t="n">
        <v>0</v>
      </c>
      <c r="S584" s="2" t="n">
        <v>0</v>
      </c>
      <c r="T584" s="2" t="n">
        <v>0</v>
      </c>
      <c r="U584" s="2" t="n">
        <v>0</v>
      </c>
      <c r="V584" s="2" t="n">
        <v>0</v>
      </c>
      <c r="W584" s="2" t="n">
        <v>0</v>
      </c>
      <c r="X584" s="2" t="n">
        <v>0</v>
      </c>
      <c r="Y584" s="2" t="n">
        <v>0</v>
      </c>
      <c r="Z584" s="2" t="n">
        <v>0</v>
      </c>
      <c r="AA584" s="2" t="n">
        <v>0</v>
      </c>
      <c r="AB584" s="2" t="n">
        <v>0</v>
      </c>
      <c r="AC584" s="2"/>
    </row>
    <row r="585" customFormat="false" ht="15" hidden="false" customHeight="false" outlineLevel="0" collapsed="false">
      <c r="A585" s="2" t="n">
        <v>108</v>
      </c>
      <c r="B585" s="2" t="s">
        <v>1050</v>
      </c>
      <c r="C585" s="2" t="s">
        <v>1055</v>
      </c>
      <c r="D585" s="2" t="s">
        <v>3232</v>
      </c>
      <c r="E585" s="2" t="s">
        <v>1154</v>
      </c>
      <c r="F585" s="2" t="s">
        <v>1178</v>
      </c>
      <c r="G585" s="2" t="s">
        <v>2129</v>
      </c>
      <c r="H585" s="2" t="s">
        <v>3233</v>
      </c>
      <c r="I585" s="2" t="s">
        <v>1133</v>
      </c>
      <c r="J585" s="2" t="s">
        <v>3234</v>
      </c>
      <c r="K585" s="2" t="n">
        <v>4</v>
      </c>
      <c r="L585" s="2" t="n">
        <v>1189</v>
      </c>
      <c r="M585" s="2" t="n">
        <v>603</v>
      </c>
      <c r="N585" s="2" t="n">
        <v>442</v>
      </c>
      <c r="O585" s="2" t="n">
        <v>103</v>
      </c>
      <c r="P585" s="2" t="n">
        <v>483</v>
      </c>
      <c r="Q585" s="2" t="n">
        <v>0</v>
      </c>
      <c r="R585" s="2" t="n">
        <v>0</v>
      </c>
      <c r="S585" s="2" t="n">
        <v>0</v>
      </c>
      <c r="T585" s="2" t="n">
        <v>0</v>
      </c>
      <c r="U585" s="2" t="n">
        <v>0</v>
      </c>
      <c r="V585" s="2" t="n">
        <v>0</v>
      </c>
      <c r="W585" s="2" t="n">
        <v>0</v>
      </c>
      <c r="X585" s="2" t="n">
        <v>0</v>
      </c>
      <c r="Y585" s="2" t="n">
        <v>0</v>
      </c>
      <c r="Z585" s="2" t="n">
        <v>0</v>
      </c>
      <c r="AA585" s="2" t="n">
        <v>0</v>
      </c>
      <c r="AB585" s="2" t="n">
        <v>0</v>
      </c>
      <c r="AC585" s="2"/>
    </row>
    <row r="586" customFormat="false" ht="15" hidden="false" customHeight="false" outlineLevel="0" collapsed="false">
      <c r="A586" s="2" t="n">
        <v>108</v>
      </c>
      <c r="B586" s="2" t="s">
        <v>1050</v>
      </c>
      <c r="C586" s="2" t="s">
        <v>1055</v>
      </c>
      <c r="D586" s="2" t="s">
        <v>3235</v>
      </c>
      <c r="E586" s="2" t="s">
        <v>1154</v>
      </c>
      <c r="F586" s="2" t="s">
        <v>1178</v>
      </c>
      <c r="G586" s="2" t="s">
        <v>3236</v>
      </c>
      <c r="H586" s="2" t="s">
        <v>3237</v>
      </c>
      <c r="I586" s="2" t="s">
        <v>1133</v>
      </c>
      <c r="J586" s="2" t="s">
        <v>3238</v>
      </c>
      <c r="K586" s="2" t="n">
        <v>9</v>
      </c>
      <c r="L586" s="2" t="n">
        <v>2983</v>
      </c>
      <c r="M586" s="2" t="n">
        <v>1161</v>
      </c>
      <c r="N586" s="2" t="n">
        <v>992</v>
      </c>
      <c r="O586" s="2" t="n">
        <v>117</v>
      </c>
      <c r="P586" s="2" t="n">
        <v>1705</v>
      </c>
      <c r="Q586" s="2" t="n">
        <v>0</v>
      </c>
      <c r="R586" s="2" t="n">
        <v>0</v>
      </c>
      <c r="S586" s="2" t="n">
        <v>0</v>
      </c>
      <c r="T586" s="2" t="n">
        <v>0</v>
      </c>
      <c r="U586" s="2" t="n">
        <v>0</v>
      </c>
      <c r="V586" s="2" t="n">
        <v>0</v>
      </c>
      <c r="W586" s="2" t="n">
        <v>0</v>
      </c>
      <c r="X586" s="2" t="n">
        <v>0</v>
      </c>
      <c r="Y586" s="2" t="n">
        <v>0</v>
      </c>
      <c r="Z586" s="2" t="n">
        <v>0</v>
      </c>
      <c r="AA586" s="2" t="n">
        <v>0</v>
      </c>
      <c r="AB586" s="2" t="n">
        <v>0</v>
      </c>
      <c r="AC586" s="2"/>
    </row>
    <row r="587" customFormat="false" ht="15" hidden="false" customHeight="false" outlineLevel="0" collapsed="false">
      <c r="A587" s="2" t="n">
        <v>108</v>
      </c>
      <c r="B587" s="2" t="s">
        <v>1050</v>
      </c>
      <c r="C587" s="2" t="s">
        <v>1055</v>
      </c>
      <c r="D587" s="2" t="s">
        <v>3239</v>
      </c>
      <c r="E587" s="2" t="s">
        <v>1154</v>
      </c>
      <c r="F587" s="2" t="s">
        <v>1178</v>
      </c>
      <c r="G587" s="2" t="s">
        <v>3240</v>
      </c>
      <c r="H587" s="2" t="s">
        <v>3241</v>
      </c>
      <c r="I587" s="2" t="s">
        <v>1133</v>
      </c>
      <c r="J587" s="2" t="s">
        <v>3242</v>
      </c>
      <c r="K587" s="2" t="n">
        <v>4</v>
      </c>
      <c r="L587" s="2" t="n">
        <v>1146</v>
      </c>
      <c r="M587" s="2" t="n">
        <v>1030</v>
      </c>
      <c r="N587" s="2" t="n">
        <v>847</v>
      </c>
      <c r="O587" s="2" t="n">
        <v>53</v>
      </c>
      <c r="P587" s="2" t="n">
        <v>63</v>
      </c>
      <c r="Q587" s="2" t="n">
        <v>0</v>
      </c>
      <c r="R587" s="2" t="n">
        <v>0</v>
      </c>
      <c r="S587" s="2" t="n">
        <v>0</v>
      </c>
      <c r="T587" s="2" t="n">
        <v>0</v>
      </c>
      <c r="U587" s="2" t="n">
        <v>0</v>
      </c>
      <c r="V587" s="2" t="n">
        <v>0</v>
      </c>
      <c r="W587" s="2" t="n">
        <v>0</v>
      </c>
      <c r="X587" s="2" t="n">
        <v>0</v>
      </c>
      <c r="Y587" s="2" t="n">
        <v>0</v>
      </c>
      <c r="Z587" s="2" t="n">
        <v>0</v>
      </c>
      <c r="AA587" s="2" t="n">
        <v>0</v>
      </c>
      <c r="AB587" s="2" t="n">
        <v>0</v>
      </c>
      <c r="AC587" s="2"/>
    </row>
    <row r="588" customFormat="false" ht="15" hidden="false" customHeight="false" outlineLevel="0" collapsed="false">
      <c r="A588" s="2" t="n">
        <v>108</v>
      </c>
      <c r="B588" s="2" t="s">
        <v>1050</v>
      </c>
      <c r="C588" s="2" t="s">
        <v>1055</v>
      </c>
      <c r="D588" s="2" t="s">
        <v>3243</v>
      </c>
      <c r="E588" s="2" t="s">
        <v>1154</v>
      </c>
      <c r="F588" s="2" t="s">
        <v>1178</v>
      </c>
      <c r="G588" s="2" t="s">
        <v>3244</v>
      </c>
      <c r="H588" s="2" t="s">
        <v>3245</v>
      </c>
      <c r="I588" s="2" t="s">
        <v>1133</v>
      </c>
      <c r="J588" s="2" t="s">
        <v>3246</v>
      </c>
      <c r="K588" s="2" t="n">
        <v>6</v>
      </c>
      <c r="L588" s="2" t="n">
        <v>2192</v>
      </c>
      <c r="M588" s="2" t="n">
        <v>1220</v>
      </c>
      <c r="N588" s="2" t="n">
        <v>1059</v>
      </c>
      <c r="O588" s="2" t="n">
        <v>136</v>
      </c>
      <c r="P588" s="2" t="n">
        <v>836</v>
      </c>
      <c r="Q588" s="2" t="n">
        <v>0</v>
      </c>
      <c r="R588" s="2" t="n">
        <v>0</v>
      </c>
      <c r="S588" s="2" t="n">
        <v>4</v>
      </c>
      <c r="T588" s="2" t="n">
        <v>4</v>
      </c>
      <c r="U588" s="2" t="n">
        <v>0</v>
      </c>
      <c r="V588" s="2" t="n">
        <v>0</v>
      </c>
      <c r="W588" s="2" t="n">
        <v>0</v>
      </c>
      <c r="X588" s="2" t="n">
        <v>0</v>
      </c>
      <c r="Y588" s="2" t="n">
        <v>1</v>
      </c>
      <c r="Z588" s="2" t="n">
        <v>0</v>
      </c>
      <c r="AA588" s="2" t="n">
        <v>0</v>
      </c>
      <c r="AB588" s="2" t="n">
        <v>3</v>
      </c>
      <c r="AC588" s="2"/>
    </row>
    <row r="589" customFormat="false" ht="15" hidden="false" customHeight="false" outlineLevel="0" collapsed="false">
      <c r="A589" s="2" t="n">
        <v>108</v>
      </c>
      <c r="B589" s="2" t="s">
        <v>1050</v>
      </c>
      <c r="C589" s="2" t="s">
        <v>1055</v>
      </c>
      <c r="D589" s="2" t="s">
        <v>3247</v>
      </c>
      <c r="E589" s="2" t="s">
        <v>1154</v>
      </c>
      <c r="F589" s="2" t="s">
        <v>1178</v>
      </c>
      <c r="G589" s="2" t="s">
        <v>3248</v>
      </c>
      <c r="H589" s="2" t="s">
        <v>3249</v>
      </c>
      <c r="I589" s="2" t="s">
        <v>1133</v>
      </c>
      <c r="J589" s="2" t="s">
        <v>3250</v>
      </c>
      <c r="K589" s="2" t="n">
        <v>3</v>
      </c>
      <c r="L589" s="2" t="n">
        <v>1046</v>
      </c>
      <c r="M589" s="2" t="n">
        <v>800</v>
      </c>
      <c r="N589" s="2" t="n">
        <v>650</v>
      </c>
      <c r="O589" s="2" t="n">
        <v>158</v>
      </c>
      <c r="P589" s="2" t="n">
        <v>88</v>
      </c>
      <c r="Q589" s="2" t="n">
        <v>0</v>
      </c>
      <c r="R589" s="2" t="n">
        <v>0</v>
      </c>
      <c r="S589" s="2" t="n">
        <v>0</v>
      </c>
      <c r="T589" s="2" t="n">
        <v>0</v>
      </c>
      <c r="U589" s="2" t="n">
        <v>0</v>
      </c>
      <c r="V589" s="2" t="n">
        <v>0</v>
      </c>
      <c r="W589" s="2" t="n">
        <v>0</v>
      </c>
      <c r="X589" s="2" t="n">
        <v>0</v>
      </c>
      <c r="Y589" s="2" t="n">
        <v>0</v>
      </c>
      <c r="Z589" s="2" t="n">
        <v>0</v>
      </c>
      <c r="AA589" s="2" t="n">
        <v>0</v>
      </c>
      <c r="AB589" s="2" t="n">
        <v>0</v>
      </c>
      <c r="AC589" s="2"/>
    </row>
    <row r="590" customFormat="false" ht="15" hidden="false" customHeight="false" outlineLevel="0" collapsed="false">
      <c r="A590" s="2" t="n">
        <v>108</v>
      </c>
      <c r="B590" s="2" t="s">
        <v>1050</v>
      </c>
      <c r="C590" s="2" t="s">
        <v>1055</v>
      </c>
      <c r="D590" s="2" t="s">
        <v>3251</v>
      </c>
      <c r="E590" s="2" t="s">
        <v>1154</v>
      </c>
      <c r="F590" s="2" t="s">
        <v>1178</v>
      </c>
      <c r="G590" s="2" t="s">
        <v>3252</v>
      </c>
      <c r="H590" s="2" t="s">
        <v>3253</v>
      </c>
      <c r="I590" s="2" t="s">
        <v>1133</v>
      </c>
      <c r="J590" s="2" t="s">
        <v>3254</v>
      </c>
      <c r="K590" s="2" t="n">
        <v>24</v>
      </c>
      <c r="L590" s="2" t="n">
        <v>9274</v>
      </c>
      <c r="M590" s="2" t="n">
        <v>1729</v>
      </c>
      <c r="N590" s="2" t="n">
        <v>1575</v>
      </c>
      <c r="O590" s="2" t="n">
        <v>144</v>
      </c>
      <c r="P590" s="2" t="n">
        <v>7401</v>
      </c>
      <c r="Q590" s="2" t="n">
        <v>0</v>
      </c>
      <c r="R590" s="2" t="n">
        <v>0</v>
      </c>
      <c r="S590" s="2" t="n">
        <v>1</v>
      </c>
      <c r="T590" s="2" t="n">
        <v>0</v>
      </c>
      <c r="U590" s="2" t="n">
        <v>1</v>
      </c>
      <c r="V590" s="2" t="n">
        <v>0</v>
      </c>
      <c r="W590" s="2" t="n">
        <v>0</v>
      </c>
      <c r="X590" s="2" t="n">
        <v>0</v>
      </c>
      <c r="Y590" s="2" t="n">
        <v>0</v>
      </c>
      <c r="Z590" s="2" t="n">
        <v>0</v>
      </c>
      <c r="AA590" s="2" t="n">
        <v>0</v>
      </c>
      <c r="AB590" s="2" t="n">
        <v>1</v>
      </c>
      <c r="AC590" s="2"/>
    </row>
    <row r="591" customFormat="false" ht="15" hidden="false" customHeight="false" outlineLevel="0" collapsed="false">
      <c r="A591" s="2" t="n">
        <v>108</v>
      </c>
      <c r="B591" s="2" t="s">
        <v>1050</v>
      </c>
      <c r="C591" s="2" t="s">
        <v>1055</v>
      </c>
      <c r="D591" s="2" t="s">
        <v>3255</v>
      </c>
      <c r="E591" s="2" t="s">
        <v>1154</v>
      </c>
      <c r="F591" s="2" t="s">
        <v>1178</v>
      </c>
      <c r="G591" s="2" t="s">
        <v>3252</v>
      </c>
      <c r="H591" s="2" t="s">
        <v>3256</v>
      </c>
      <c r="I591" s="2" t="s">
        <v>1133</v>
      </c>
      <c r="J591" s="2" t="s">
        <v>3257</v>
      </c>
      <c r="K591" s="2" t="n">
        <v>8</v>
      </c>
      <c r="L591" s="2" t="n">
        <v>2754</v>
      </c>
      <c r="M591" s="2" t="n">
        <v>1311</v>
      </c>
      <c r="N591" s="2" t="n">
        <v>1155</v>
      </c>
      <c r="O591" s="2" t="n">
        <v>149</v>
      </c>
      <c r="P591" s="2" t="n">
        <v>1294</v>
      </c>
      <c r="Q591" s="2" t="n">
        <v>0</v>
      </c>
      <c r="R591" s="2" t="n">
        <v>0</v>
      </c>
      <c r="S591" s="2" t="n">
        <v>1</v>
      </c>
      <c r="T591" s="2" t="n">
        <v>0</v>
      </c>
      <c r="U591" s="2" t="n">
        <v>1</v>
      </c>
      <c r="V591" s="2" t="n">
        <v>0</v>
      </c>
      <c r="W591" s="2" t="n">
        <v>0</v>
      </c>
      <c r="X591" s="2" t="n">
        <v>0</v>
      </c>
      <c r="Y591" s="2" t="n">
        <v>0</v>
      </c>
      <c r="Z591" s="2" t="n">
        <v>0</v>
      </c>
      <c r="AA591" s="2" t="n">
        <v>0</v>
      </c>
      <c r="AB591" s="2" t="n">
        <v>1</v>
      </c>
      <c r="AC591" s="2"/>
    </row>
    <row r="592" customFormat="false" ht="15" hidden="false" customHeight="false" outlineLevel="0" collapsed="false">
      <c r="A592" s="2" t="n">
        <v>108</v>
      </c>
      <c r="B592" s="2" t="s">
        <v>1050</v>
      </c>
      <c r="C592" s="2" t="s">
        <v>1055</v>
      </c>
      <c r="D592" s="2" t="s">
        <v>3258</v>
      </c>
      <c r="E592" s="2" t="s">
        <v>1154</v>
      </c>
      <c r="F592" s="2" t="s">
        <v>1178</v>
      </c>
      <c r="G592" s="2" t="s">
        <v>3252</v>
      </c>
      <c r="H592" s="2" t="s">
        <v>3259</v>
      </c>
      <c r="I592" s="2" t="s">
        <v>1133</v>
      </c>
      <c r="J592" s="2" t="s">
        <v>3260</v>
      </c>
      <c r="K592" s="2" t="n">
        <v>7</v>
      </c>
      <c r="L592" s="2" t="n">
        <v>2328</v>
      </c>
      <c r="M592" s="2" t="n">
        <v>1085</v>
      </c>
      <c r="N592" s="2" t="n">
        <v>921</v>
      </c>
      <c r="O592" s="2" t="n">
        <v>151</v>
      </c>
      <c r="P592" s="2" t="n">
        <v>1092</v>
      </c>
      <c r="Q592" s="2" t="n">
        <v>0</v>
      </c>
      <c r="R592" s="2" t="n">
        <v>0</v>
      </c>
      <c r="S592" s="2" t="n">
        <v>1</v>
      </c>
      <c r="T592" s="2" t="n">
        <v>0</v>
      </c>
      <c r="U592" s="2" t="n">
        <v>1</v>
      </c>
      <c r="V592" s="2" t="n">
        <v>0</v>
      </c>
      <c r="W592" s="2" t="n">
        <v>0</v>
      </c>
      <c r="X592" s="2" t="n">
        <v>0</v>
      </c>
      <c r="Y592" s="2" t="n">
        <v>0</v>
      </c>
      <c r="Z592" s="2" t="n">
        <v>0</v>
      </c>
      <c r="AA592" s="2" t="n">
        <v>0</v>
      </c>
      <c r="AB592" s="2" t="n">
        <v>1</v>
      </c>
      <c r="AC592" s="2"/>
    </row>
    <row r="593" customFormat="false" ht="15" hidden="false" customHeight="false" outlineLevel="0" collapsed="false">
      <c r="A593" s="2" t="n">
        <v>108</v>
      </c>
      <c r="B593" s="2" t="s">
        <v>1050</v>
      </c>
      <c r="C593" s="2" t="s">
        <v>1055</v>
      </c>
      <c r="D593" s="2" t="s">
        <v>3261</v>
      </c>
      <c r="E593" s="2" t="s">
        <v>1154</v>
      </c>
      <c r="F593" s="2" t="s">
        <v>1178</v>
      </c>
      <c r="G593" s="2" t="s">
        <v>3262</v>
      </c>
      <c r="H593" s="2" t="s">
        <v>3263</v>
      </c>
      <c r="I593" s="2" t="s">
        <v>1133</v>
      </c>
      <c r="J593" s="2" t="s">
        <v>3264</v>
      </c>
      <c r="K593" s="2" t="n">
        <v>7</v>
      </c>
      <c r="L593" s="2" t="n">
        <v>1764</v>
      </c>
      <c r="M593" s="2" t="n">
        <v>789</v>
      </c>
      <c r="N593" s="2" t="n">
        <v>618</v>
      </c>
      <c r="O593" s="2" t="n">
        <v>130</v>
      </c>
      <c r="P593" s="2" t="n">
        <v>845</v>
      </c>
      <c r="Q593" s="2" t="n">
        <v>0</v>
      </c>
      <c r="R593" s="2" t="n">
        <v>0</v>
      </c>
      <c r="S593" s="2" t="n">
        <v>1</v>
      </c>
      <c r="T593" s="2" t="n">
        <v>0</v>
      </c>
      <c r="U593" s="2" t="n">
        <v>0</v>
      </c>
      <c r="V593" s="2" t="n">
        <v>1</v>
      </c>
      <c r="W593" s="2" t="n">
        <v>0</v>
      </c>
      <c r="X593" s="2" t="n">
        <v>0</v>
      </c>
      <c r="Y593" s="2" t="n">
        <v>0</v>
      </c>
      <c r="Z593" s="2" t="n">
        <v>0</v>
      </c>
      <c r="AA593" s="2" t="n">
        <v>0</v>
      </c>
      <c r="AB593" s="2" t="n">
        <v>1</v>
      </c>
      <c r="AC593" s="2"/>
    </row>
    <row r="594" customFormat="false" ht="15" hidden="false" customHeight="false" outlineLevel="0" collapsed="false">
      <c r="A594" s="2" t="n">
        <v>108</v>
      </c>
      <c r="B594" s="2" t="s">
        <v>1050</v>
      </c>
      <c r="C594" s="2" t="s">
        <v>1055</v>
      </c>
      <c r="D594" s="2" t="s">
        <v>3265</v>
      </c>
      <c r="E594" s="2" t="s">
        <v>1154</v>
      </c>
      <c r="F594" s="2" t="s">
        <v>1178</v>
      </c>
      <c r="G594" s="2" t="s">
        <v>3266</v>
      </c>
      <c r="H594" s="2" t="s">
        <v>3267</v>
      </c>
      <c r="I594" s="2" t="s">
        <v>1133</v>
      </c>
      <c r="J594" s="2" t="s">
        <v>3268</v>
      </c>
      <c r="K594" s="2" t="n">
        <v>8</v>
      </c>
      <c r="L594" s="2" t="n">
        <v>2404</v>
      </c>
      <c r="M594" s="2" t="n">
        <v>1114</v>
      </c>
      <c r="N594" s="2" t="n">
        <v>914</v>
      </c>
      <c r="O594" s="2" t="n">
        <v>73</v>
      </c>
      <c r="P594" s="2" t="n">
        <v>1217</v>
      </c>
      <c r="Q594" s="2" t="n">
        <v>0</v>
      </c>
      <c r="R594" s="2" t="n">
        <v>0</v>
      </c>
      <c r="S594" s="2" t="n">
        <v>0</v>
      </c>
      <c r="T594" s="2" t="n">
        <v>0</v>
      </c>
      <c r="U594" s="2" t="n">
        <v>0</v>
      </c>
      <c r="V594" s="2" t="n">
        <v>0</v>
      </c>
      <c r="W594" s="2" t="n">
        <v>0</v>
      </c>
      <c r="X594" s="2" t="n">
        <v>0</v>
      </c>
      <c r="Y594" s="2" t="n">
        <v>0</v>
      </c>
      <c r="Z594" s="2" t="n">
        <v>0</v>
      </c>
      <c r="AA594" s="2" t="n">
        <v>0</v>
      </c>
      <c r="AB594" s="2" t="n">
        <v>0</v>
      </c>
      <c r="AC594" s="2"/>
    </row>
    <row r="595" customFormat="false" ht="15" hidden="false" customHeight="false" outlineLevel="0" collapsed="false">
      <c r="A595" s="2" t="n">
        <v>108</v>
      </c>
      <c r="B595" s="2" t="s">
        <v>1050</v>
      </c>
      <c r="C595" s="2" t="s">
        <v>1055</v>
      </c>
      <c r="D595" s="2" t="s">
        <v>3269</v>
      </c>
      <c r="E595" s="2" t="s">
        <v>1154</v>
      </c>
      <c r="F595" s="2" t="s">
        <v>1178</v>
      </c>
      <c r="G595" s="2" t="s">
        <v>3270</v>
      </c>
      <c r="H595" s="2" t="s">
        <v>3271</v>
      </c>
      <c r="I595" s="2" t="s">
        <v>1133</v>
      </c>
      <c r="J595" s="2" t="s">
        <v>3272</v>
      </c>
      <c r="K595" s="2" t="n">
        <v>5</v>
      </c>
      <c r="L595" s="2" t="n">
        <v>1712</v>
      </c>
      <c r="M595" s="2" t="n">
        <v>1065</v>
      </c>
      <c r="N595" s="2" t="n">
        <v>899</v>
      </c>
      <c r="O595" s="2" t="n">
        <v>62</v>
      </c>
      <c r="P595" s="2" t="n">
        <v>585</v>
      </c>
      <c r="Q595" s="2" t="n">
        <v>0</v>
      </c>
      <c r="R595" s="2" t="n">
        <v>0</v>
      </c>
      <c r="S595" s="2" t="n">
        <v>0</v>
      </c>
      <c r="T595" s="2" t="n">
        <v>0</v>
      </c>
      <c r="U595" s="2" t="n">
        <v>0</v>
      </c>
      <c r="V595" s="2" t="n">
        <v>0</v>
      </c>
      <c r="W595" s="2" t="n">
        <v>0</v>
      </c>
      <c r="X595" s="2" t="n">
        <v>0</v>
      </c>
      <c r="Y595" s="2" t="n">
        <v>0</v>
      </c>
      <c r="Z595" s="2" t="n">
        <v>0</v>
      </c>
      <c r="AA595" s="2" t="n">
        <v>0</v>
      </c>
      <c r="AB595" s="2" t="n">
        <v>0</v>
      </c>
      <c r="AC595" s="2"/>
    </row>
    <row r="596" customFormat="false" ht="15" hidden="false" customHeight="false" outlineLevel="0" collapsed="false">
      <c r="A596" s="2" t="n">
        <v>108</v>
      </c>
      <c r="B596" s="2" t="s">
        <v>1050</v>
      </c>
      <c r="C596" s="2" t="s">
        <v>1055</v>
      </c>
      <c r="D596" s="2" t="s">
        <v>3273</v>
      </c>
      <c r="E596" s="2" t="s">
        <v>1154</v>
      </c>
      <c r="F596" s="2" t="s">
        <v>1178</v>
      </c>
      <c r="G596" s="2" t="s">
        <v>3274</v>
      </c>
      <c r="H596" s="2" t="s">
        <v>3275</v>
      </c>
      <c r="I596" s="2" t="s">
        <v>1133</v>
      </c>
      <c r="J596" s="2" t="s">
        <v>3276</v>
      </c>
      <c r="K596" s="2" t="n">
        <v>4</v>
      </c>
      <c r="L596" s="2" t="n">
        <v>1226</v>
      </c>
      <c r="M596" s="2" t="n">
        <v>858</v>
      </c>
      <c r="N596" s="2" t="n">
        <v>702</v>
      </c>
      <c r="O596" s="2" t="n">
        <v>62</v>
      </c>
      <c r="P596" s="2" t="n">
        <v>306</v>
      </c>
      <c r="Q596" s="2" t="n">
        <v>0</v>
      </c>
      <c r="R596" s="2" t="n">
        <v>0</v>
      </c>
      <c r="S596" s="2" t="n">
        <v>0</v>
      </c>
      <c r="T596" s="2" t="n">
        <v>0</v>
      </c>
      <c r="U596" s="2" t="n">
        <v>0</v>
      </c>
      <c r="V596" s="2" t="n">
        <v>0</v>
      </c>
      <c r="W596" s="2" t="n">
        <v>0</v>
      </c>
      <c r="X596" s="2" t="n">
        <v>0</v>
      </c>
      <c r="Y596" s="2" t="n">
        <v>0</v>
      </c>
      <c r="Z596" s="2" t="n">
        <v>0</v>
      </c>
      <c r="AA596" s="2" t="n">
        <v>0</v>
      </c>
      <c r="AB596" s="2" t="n">
        <v>0</v>
      </c>
      <c r="AC596" s="2"/>
    </row>
    <row r="597" customFormat="false" ht="15" hidden="false" customHeight="false" outlineLevel="0" collapsed="false">
      <c r="A597" s="2" t="n">
        <v>108</v>
      </c>
      <c r="B597" s="2" t="s">
        <v>1050</v>
      </c>
      <c r="C597" s="2" t="s">
        <v>1055</v>
      </c>
      <c r="D597" s="2" t="s">
        <v>3277</v>
      </c>
      <c r="E597" s="2" t="s">
        <v>1154</v>
      </c>
      <c r="F597" s="2" t="s">
        <v>1178</v>
      </c>
      <c r="G597" s="2" t="s">
        <v>3278</v>
      </c>
      <c r="H597" s="2" t="s">
        <v>3279</v>
      </c>
      <c r="I597" s="2" t="s">
        <v>1133</v>
      </c>
      <c r="J597" s="2" t="s">
        <v>3280</v>
      </c>
      <c r="K597" s="2" t="n">
        <v>4</v>
      </c>
      <c r="L597" s="2" t="n">
        <v>817</v>
      </c>
      <c r="M597" s="2" t="n">
        <v>620</v>
      </c>
      <c r="N597" s="2" t="n">
        <v>448</v>
      </c>
      <c r="O597" s="2" t="n">
        <v>129</v>
      </c>
      <c r="P597" s="2" t="n">
        <v>68</v>
      </c>
      <c r="Q597" s="2" t="n">
        <v>0</v>
      </c>
      <c r="R597" s="2" t="n">
        <v>0</v>
      </c>
      <c r="S597" s="2" t="n">
        <v>0</v>
      </c>
      <c r="T597" s="2" t="n">
        <v>0</v>
      </c>
      <c r="U597" s="2" t="n">
        <v>0</v>
      </c>
      <c r="V597" s="2" t="n">
        <v>0</v>
      </c>
      <c r="W597" s="2" t="n">
        <v>0</v>
      </c>
      <c r="X597" s="2" t="n">
        <v>0</v>
      </c>
      <c r="Y597" s="2" t="n">
        <v>0</v>
      </c>
      <c r="Z597" s="2" t="n">
        <v>0</v>
      </c>
      <c r="AA597" s="2" t="n">
        <v>0</v>
      </c>
      <c r="AB597" s="2" t="n">
        <v>0</v>
      </c>
      <c r="AC597" s="2"/>
    </row>
    <row r="598" customFormat="false" ht="15" hidden="false" customHeight="false" outlineLevel="0" collapsed="false">
      <c r="A598" s="2" t="n">
        <v>108</v>
      </c>
      <c r="B598" s="2" t="s">
        <v>1050</v>
      </c>
      <c r="C598" s="2" t="s">
        <v>1055</v>
      </c>
      <c r="D598" s="2" t="s">
        <v>3281</v>
      </c>
      <c r="E598" s="2" t="s">
        <v>1154</v>
      </c>
      <c r="F598" s="2" t="s">
        <v>1178</v>
      </c>
      <c r="G598" s="2" t="s">
        <v>3278</v>
      </c>
      <c r="H598" s="2" t="s">
        <v>3282</v>
      </c>
      <c r="I598" s="2" t="s">
        <v>1133</v>
      </c>
      <c r="J598" s="2" t="s">
        <v>3283</v>
      </c>
      <c r="K598" s="2" t="n">
        <v>4</v>
      </c>
      <c r="L598" s="2" t="n">
        <v>1183</v>
      </c>
      <c r="M598" s="2" t="n">
        <v>942</v>
      </c>
      <c r="N598" s="2" t="n">
        <v>773</v>
      </c>
      <c r="O598" s="2" t="n">
        <v>62</v>
      </c>
      <c r="P598" s="2" t="n">
        <v>179</v>
      </c>
      <c r="Q598" s="2" t="n">
        <v>0</v>
      </c>
      <c r="R598" s="2" t="n">
        <v>0</v>
      </c>
      <c r="S598" s="2" t="n">
        <v>0</v>
      </c>
      <c r="T598" s="2" t="n">
        <v>0</v>
      </c>
      <c r="U598" s="2" t="n">
        <v>0</v>
      </c>
      <c r="V598" s="2" t="n">
        <v>0</v>
      </c>
      <c r="W598" s="2" t="n">
        <v>0</v>
      </c>
      <c r="X598" s="2" t="n">
        <v>0</v>
      </c>
      <c r="Y598" s="2" t="n">
        <v>0</v>
      </c>
      <c r="Z598" s="2" t="n">
        <v>0</v>
      </c>
      <c r="AA598" s="2" t="n">
        <v>0</v>
      </c>
      <c r="AB598" s="2" t="n">
        <v>0</v>
      </c>
      <c r="AC598" s="2"/>
    </row>
    <row r="599" customFormat="false" ht="15" hidden="false" customHeight="false" outlineLevel="0" collapsed="false">
      <c r="A599" s="2" t="n">
        <v>108</v>
      </c>
      <c r="B599" s="2" t="s">
        <v>1050</v>
      </c>
      <c r="C599" s="2" t="s">
        <v>1055</v>
      </c>
      <c r="D599" s="2" t="s">
        <v>3284</v>
      </c>
      <c r="E599" s="2" t="s">
        <v>1154</v>
      </c>
      <c r="F599" s="2" t="s">
        <v>1178</v>
      </c>
      <c r="G599" s="2" t="s">
        <v>3285</v>
      </c>
      <c r="H599" s="2" t="s">
        <v>3286</v>
      </c>
      <c r="I599" s="2" t="s">
        <v>1133</v>
      </c>
      <c r="J599" s="2" t="s">
        <v>3287</v>
      </c>
      <c r="K599" s="2" t="n">
        <v>7</v>
      </c>
      <c r="L599" s="2" t="n">
        <v>2043</v>
      </c>
      <c r="M599" s="2" t="n">
        <v>1197</v>
      </c>
      <c r="N599" s="2" t="n">
        <v>1035</v>
      </c>
      <c r="O599" s="2" t="n">
        <v>105</v>
      </c>
      <c r="P599" s="2" t="n">
        <v>741</v>
      </c>
      <c r="Q599" s="2" t="n">
        <v>0</v>
      </c>
      <c r="R599" s="2" t="n">
        <v>0</v>
      </c>
      <c r="S599" s="2" t="n">
        <v>0</v>
      </c>
      <c r="T599" s="2" t="n">
        <v>0</v>
      </c>
      <c r="U599" s="2" t="n">
        <v>0</v>
      </c>
      <c r="V599" s="2" t="n">
        <v>0</v>
      </c>
      <c r="W599" s="2" t="n">
        <v>0</v>
      </c>
      <c r="X599" s="2" t="n">
        <v>0</v>
      </c>
      <c r="Y599" s="2" t="n">
        <v>0</v>
      </c>
      <c r="Z599" s="2" t="n">
        <v>0</v>
      </c>
      <c r="AA599" s="2" t="n">
        <v>0</v>
      </c>
      <c r="AB599" s="2" t="n">
        <v>0</v>
      </c>
      <c r="AC599" s="2"/>
    </row>
    <row r="600" customFormat="false" ht="15" hidden="false" customHeight="false" outlineLevel="0" collapsed="false">
      <c r="A600" s="2" t="n">
        <v>108</v>
      </c>
      <c r="B600" s="2" t="s">
        <v>1050</v>
      </c>
      <c r="C600" s="2" t="s">
        <v>1055</v>
      </c>
      <c r="D600" s="2" t="s">
        <v>3288</v>
      </c>
      <c r="E600" s="2" t="s">
        <v>1154</v>
      </c>
      <c r="F600" s="2" t="s">
        <v>1178</v>
      </c>
      <c r="G600" s="2" t="s">
        <v>3289</v>
      </c>
      <c r="H600" s="2" t="s">
        <v>3290</v>
      </c>
      <c r="I600" s="2" t="s">
        <v>1133</v>
      </c>
      <c r="J600" s="2" t="s">
        <v>3291</v>
      </c>
      <c r="K600" s="2" t="n">
        <v>12</v>
      </c>
      <c r="L600" s="2" t="n">
        <v>4779</v>
      </c>
      <c r="M600" s="2" t="n">
        <v>2748</v>
      </c>
      <c r="N600" s="2" t="n">
        <v>2537</v>
      </c>
      <c r="O600" s="2" t="n">
        <v>73</v>
      </c>
      <c r="P600" s="2" t="n">
        <v>1958</v>
      </c>
      <c r="Q600" s="2" t="n">
        <v>0</v>
      </c>
      <c r="R600" s="2" t="n">
        <v>0</v>
      </c>
      <c r="S600" s="2" t="n">
        <v>0</v>
      </c>
      <c r="T600" s="2" t="n">
        <v>0</v>
      </c>
      <c r="U600" s="2" t="n">
        <v>0</v>
      </c>
      <c r="V600" s="2" t="n">
        <v>0</v>
      </c>
      <c r="W600" s="2" t="n">
        <v>0</v>
      </c>
      <c r="X600" s="2" t="n">
        <v>0</v>
      </c>
      <c r="Y600" s="2" t="n">
        <v>0</v>
      </c>
      <c r="Z600" s="2" t="n">
        <v>0</v>
      </c>
      <c r="AA600" s="2" t="n">
        <v>0</v>
      </c>
      <c r="AB600" s="2" t="n">
        <v>0</v>
      </c>
      <c r="AC600" s="2"/>
    </row>
    <row r="601" customFormat="false" ht="15" hidden="false" customHeight="false" outlineLevel="0" collapsed="false">
      <c r="A601" s="2" t="n">
        <v>108</v>
      </c>
      <c r="B601" s="2" t="s">
        <v>1050</v>
      </c>
      <c r="C601" s="2" t="s">
        <v>1055</v>
      </c>
      <c r="D601" s="2" t="s">
        <v>3292</v>
      </c>
      <c r="E601" s="2" t="s">
        <v>1154</v>
      </c>
      <c r="F601" s="2" t="s">
        <v>1178</v>
      </c>
      <c r="G601" s="2" t="s">
        <v>3293</v>
      </c>
      <c r="H601" s="2" t="s">
        <v>3294</v>
      </c>
      <c r="I601" s="2" t="s">
        <v>1133</v>
      </c>
      <c r="J601" s="2" t="s">
        <v>3295</v>
      </c>
      <c r="K601" s="2" t="n">
        <v>6</v>
      </c>
      <c r="L601" s="2" t="n">
        <v>2601</v>
      </c>
      <c r="M601" s="2" t="n">
        <v>1540</v>
      </c>
      <c r="N601" s="2" t="n">
        <v>1366</v>
      </c>
      <c r="O601" s="2" t="n">
        <v>72</v>
      </c>
      <c r="P601" s="2" t="n">
        <v>989</v>
      </c>
      <c r="Q601" s="2" t="n">
        <v>0</v>
      </c>
      <c r="R601" s="2" t="n">
        <v>0</v>
      </c>
      <c r="S601" s="2" t="n">
        <v>0</v>
      </c>
      <c r="T601" s="2" t="n">
        <v>0</v>
      </c>
      <c r="U601" s="2" t="n">
        <v>0</v>
      </c>
      <c r="V601" s="2" t="n">
        <v>0</v>
      </c>
      <c r="W601" s="2" t="n">
        <v>0</v>
      </c>
      <c r="X601" s="2" t="n">
        <v>0</v>
      </c>
      <c r="Y601" s="2" t="n">
        <v>0</v>
      </c>
      <c r="Z601" s="2" t="n">
        <v>0</v>
      </c>
      <c r="AA601" s="2" t="n">
        <v>0</v>
      </c>
      <c r="AB601" s="2" t="n">
        <v>0</v>
      </c>
      <c r="AC601" s="2"/>
    </row>
    <row r="602" customFormat="false" ht="15" hidden="false" customHeight="false" outlineLevel="0" collapsed="false">
      <c r="A602" s="2" t="n">
        <v>108</v>
      </c>
      <c r="B602" s="2" t="s">
        <v>1050</v>
      </c>
      <c r="C602" s="2" t="s">
        <v>1055</v>
      </c>
      <c r="D602" s="2" t="s">
        <v>3296</v>
      </c>
      <c r="E602" s="2" t="s">
        <v>1154</v>
      </c>
      <c r="F602" s="2" t="s">
        <v>1178</v>
      </c>
      <c r="G602" s="2" t="s">
        <v>1852</v>
      </c>
      <c r="H602" s="2" t="s">
        <v>3297</v>
      </c>
      <c r="I602" s="2" t="s">
        <v>1133</v>
      </c>
      <c r="J602" s="2" t="s">
        <v>3298</v>
      </c>
      <c r="K602" s="2" t="n">
        <v>4</v>
      </c>
      <c r="L602" s="2" t="n">
        <v>1406</v>
      </c>
      <c r="M602" s="2" t="n">
        <v>1068</v>
      </c>
      <c r="N602" s="2" t="n">
        <v>896</v>
      </c>
      <c r="O602" s="2" t="n">
        <v>62</v>
      </c>
      <c r="P602" s="2" t="n">
        <v>276</v>
      </c>
      <c r="Q602" s="2" t="n">
        <v>0</v>
      </c>
      <c r="R602" s="2" t="n">
        <v>0</v>
      </c>
      <c r="S602" s="2" t="n">
        <v>0</v>
      </c>
      <c r="T602" s="2" t="n">
        <v>0</v>
      </c>
      <c r="U602" s="2" t="n">
        <v>0</v>
      </c>
      <c r="V602" s="2" t="n">
        <v>0</v>
      </c>
      <c r="W602" s="2" t="n">
        <v>0</v>
      </c>
      <c r="X602" s="2" t="n">
        <v>0</v>
      </c>
      <c r="Y602" s="2" t="n">
        <v>0</v>
      </c>
      <c r="Z602" s="2" t="n">
        <v>0</v>
      </c>
      <c r="AA602" s="2" t="n">
        <v>0</v>
      </c>
      <c r="AB602" s="2" t="n">
        <v>0</v>
      </c>
      <c r="AC602" s="2"/>
    </row>
    <row r="603" customFormat="false" ht="15" hidden="false" customHeight="false" outlineLevel="0" collapsed="false">
      <c r="A603" s="2" t="n">
        <v>108</v>
      </c>
      <c r="B603" s="2" t="s">
        <v>1050</v>
      </c>
      <c r="C603" s="2" t="s">
        <v>1055</v>
      </c>
      <c r="D603" s="2" t="s">
        <v>3299</v>
      </c>
      <c r="E603" s="2" t="s">
        <v>1154</v>
      </c>
      <c r="F603" s="2" t="s">
        <v>1178</v>
      </c>
      <c r="G603" s="2" t="s">
        <v>3300</v>
      </c>
      <c r="H603" s="2" t="s">
        <v>3301</v>
      </c>
      <c r="I603" s="2" t="s">
        <v>1133</v>
      </c>
      <c r="J603" s="2" t="s">
        <v>3302</v>
      </c>
      <c r="K603" s="2" t="n">
        <v>6</v>
      </c>
      <c r="L603" s="2" t="n">
        <v>2133</v>
      </c>
      <c r="M603" s="2" t="n">
        <v>1541</v>
      </c>
      <c r="N603" s="2" t="n">
        <v>1352</v>
      </c>
      <c r="O603" s="2" t="n">
        <v>86</v>
      </c>
      <c r="P603" s="2" t="n">
        <v>506</v>
      </c>
      <c r="Q603" s="2" t="n">
        <v>0</v>
      </c>
      <c r="R603" s="2" t="n">
        <v>0</v>
      </c>
      <c r="S603" s="2" t="n">
        <v>0</v>
      </c>
      <c r="T603" s="2" t="n">
        <v>0</v>
      </c>
      <c r="U603" s="2" t="n">
        <v>0</v>
      </c>
      <c r="V603" s="2" t="n">
        <v>0</v>
      </c>
      <c r="W603" s="2" t="n">
        <v>0</v>
      </c>
      <c r="X603" s="2" t="n">
        <v>0</v>
      </c>
      <c r="Y603" s="2" t="n">
        <v>0</v>
      </c>
      <c r="Z603" s="2" t="n">
        <v>0</v>
      </c>
      <c r="AA603" s="2" t="n">
        <v>0</v>
      </c>
      <c r="AB603" s="2" t="n">
        <v>0</v>
      </c>
      <c r="AC603" s="2"/>
    </row>
    <row r="604" customFormat="false" ht="15" hidden="false" customHeight="false" outlineLevel="0" collapsed="false">
      <c r="A604" s="2" t="n">
        <v>108</v>
      </c>
      <c r="B604" s="2" t="s">
        <v>1050</v>
      </c>
      <c r="C604" s="2" t="s">
        <v>1055</v>
      </c>
      <c r="D604" s="2" t="s">
        <v>3303</v>
      </c>
      <c r="E604" s="2" t="s">
        <v>1154</v>
      </c>
      <c r="F604" s="2" t="s">
        <v>1178</v>
      </c>
      <c r="G604" s="2" t="s">
        <v>3304</v>
      </c>
      <c r="H604" s="2" t="s">
        <v>3305</v>
      </c>
      <c r="I604" s="2" t="s">
        <v>1133</v>
      </c>
      <c r="J604" s="2" t="s">
        <v>3306</v>
      </c>
      <c r="K604" s="2" t="n">
        <v>6</v>
      </c>
      <c r="L604" s="2" t="n">
        <v>1841</v>
      </c>
      <c r="M604" s="2" t="n">
        <v>1280</v>
      </c>
      <c r="N604" s="2" t="n">
        <v>1129</v>
      </c>
      <c r="O604" s="2" t="n">
        <v>94</v>
      </c>
      <c r="P604" s="2" t="n">
        <v>467</v>
      </c>
      <c r="Q604" s="2" t="n">
        <v>0</v>
      </c>
      <c r="R604" s="2" t="n">
        <v>0</v>
      </c>
      <c r="S604" s="2" t="n">
        <v>0</v>
      </c>
      <c r="T604" s="2" t="n">
        <v>0</v>
      </c>
      <c r="U604" s="2" t="n">
        <v>0</v>
      </c>
      <c r="V604" s="2" t="n">
        <v>0</v>
      </c>
      <c r="W604" s="2" t="n">
        <v>0</v>
      </c>
      <c r="X604" s="2" t="n">
        <v>0</v>
      </c>
      <c r="Y604" s="2" t="n">
        <v>0</v>
      </c>
      <c r="Z604" s="2" t="n">
        <v>0</v>
      </c>
      <c r="AA604" s="2" t="n">
        <v>0</v>
      </c>
      <c r="AB604" s="2" t="n">
        <v>0</v>
      </c>
      <c r="AC604" s="2"/>
    </row>
    <row r="605" customFormat="false" ht="15" hidden="false" customHeight="false" outlineLevel="0" collapsed="false">
      <c r="A605" s="2" t="n">
        <v>108</v>
      </c>
      <c r="B605" s="2" t="s">
        <v>1050</v>
      </c>
      <c r="C605" s="2" t="s">
        <v>1055</v>
      </c>
      <c r="D605" s="2" t="s">
        <v>3307</v>
      </c>
      <c r="E605" s="2" t="s">
        <v>1154</v>
      </c>
      <c r="F605" s="2" t="s">
        <v>1178</v>
      </c>
      <c r="G605" s="2" t="s">
        <v>3308</v>
      </c>
      <c r="H605" s="2" t="s">
        <v>3309</v>
      </c>
      <c r="I605" s="2" t="s">
        <v>1133</v>
      </c>
      <c r="J605" s="2" t="s">
        <v>3310</v>
      </c>
      <c r="K605" s="2" t="n">
        <v>5</v>
      </c>
      <c r="L605" s="2" t="n">
        <v>1404</v>
      </c>
      <c r="M605" s="2" t="n">
        <v>835</v>
      </c>
      <c r="N605" s="2" t="n">
        <v>667</v>
      </c>
      <c r="O605" s="2" t="n">
        <v>95</v>
      </c>
      <c r="P605" s="2" t="n">
        <v>474</v>
      </c>
      <c r="Q605" s="2" t="n">
        <v>0</v>
      </c>
      <c r="R605" s="2" t="n">
        <v>0</v>
      </c>
      <c r="S605" s="2" t="n">
        <v>0</v>
      </c>
      <c r="T605" s="2" t="n">
        <v>0</v>
      </c>
      <c r="U605" s="2" t="n">
        <v>0</v>
      </c>
      <c r="V605" s="2" t="n">
        <v>0</v>
      </c>
      <c r="W605" s="2" t="n">
        <v>0</v>
      </c>
      <c r="X605" s="2" t="n">
        <v>0</v>
      </c>
      <c r="Y605" s="2" t="n">
        <v>0</v>
      </c>
      <c r="Z605" s="2" t="n">
        <v>0</v>
      </c>
      <c r="AA605" s="2" t="n">
        <v>0</v>
      </c>
      <c r="AB605" s="2" t="n">
        <v>0</v>
      </c>
      <c r="AC605" s="2"/>
    </row>
    <row r="606" customFormat="false" ht="15" hidden="false" customHeight="false" outlineLevel="0" collapsed="false">
      <c r="A606" s="2" t="n">
        <v>108</v>
      </c>
      <c r="B606" s="2" t="s">
        <v>1050</v>
      </c>
      <c r="C606" s="2" t="s">
        <v>1055</v>
      </c>
      <c r="D606" s="2" t="s">
        <v>3311</v>
      </c>
      <c r="E606" s="2" t="s">
        <v>1154</v>
      </c>
      <c r="F606" s="2" t="s">
        <v>1178</v>
      </c>
      <c r="G606" s="2" t="s">
        <v>3312</v>
      </c>
      <c r="H606" s="2" t="s">
        <v>3313</v>
      </c>
      <c r="I606" s="2" t="s">
        <v>1133</v>
      </c>
      <c r="J606" s="2" t="s">
        <v>3314</v>
      </c>
      <c r="K606" s="2" t="n">
        <v>5</v>
      </c>
      <c r="L606" s="2" t="n">
        <v>1058</v>
      </c>
      <c r="M606" s="2" t="n">
        <v>887</v>
      </c>
      <c r="N606" s="2" t="n">
        <v>723</v>
      </c>
      <c r="O606" s="2" t="n">
        <v>70</v>
      </c>
      <c r="P606" s="2" t="n">
        <v>101</v>
      </c>
      <c r="Q606" s="2" t="n">
        <v>0</v>
      </c>
      <c r="R606" s="2" t="n">
        <v>0</v>
      </c>
      <c r="S606" s="2" t="n">
        <v>0</v>
      </c>
      <c r="T606" s="2" t="n">
        <v>0</v>
      </c>
      <c r="U606" s="2" t="n">
        <v>0</v>
      </c>
      <c r="V606" s="2" t="n">
        <v>0</v>
      </c>
      <c r="W606" s="2" t="n">
        <v>0</v>
      </c>
      <c r="X606" s="2" t="n">
        <v>0</v>
      </c>
      <c r="Y606" s="2" t="n">
        <v>0</v>
      </c>
      <c r="Z606" s="2" t="n">
        <v>0</v>
      </c>
      <c r="AA606" s="2" t="n">
        <v>0</v>
      </c>
      <c r="AB606" s="2" t="n">
        <v>0</v>
      </c>
      <c r="AC606" s="2"/>
    </row>
    <row r="607" customFormat="false" ht="15" hidden="false" customHeight="false" outlineLevel="0" collapsed="false">
      <c r="A607" s="2" t="n">
        <v>108</v>
      </c>
      <c r="B607" s="2" t="s">
        <v>1050</v>
      </c>
      <c r="C607" s="2" t="s">
        <v>1055</v>
      </c>
      <c r="D607" s="2" t="s">
        <v>3315</v>
      </c>
      <c r="E607" s="2" t="s">
        <v>1154</v>
      </c>
      <c r="F607" s="2" t="s">
        <v>1178</v>
      </c>
      <c r="G607" s="2" t="s">
        <v>3316</v>
      </c>
      <c r="H607" s="2" t="s">
        <v>3317</v>
      </c>
      <c r="I607" s="2" t="s">
        <v>1133</v>
      </c>
      <c r="J607" s="2" t="s">
        <v>3318</v>
      </c>
      <c r="K607" s="2" t="n">
        <v>7</v>
      </c>
      <c r="L607" s="2" t="n">
        <v>2124</v>
      </c>
      <c r="M607" s="2" t="n">
        <v>1299</v>
      </c>
      <c r="N607" s="2" t="n">
        <v>1121</v>
      </c>
      <c r="O607" s="2" t="n">
        <v>62</v>
      </c>
      <c r="P607" s="2" t="n">
        <v>763</v>
      </c>
      <c r="Q607" s="2" t="n">
        <v>0</v>
      </c>
      <c r="R607" s="2" t="n">
        <v>0</v>
      </c>
      <c r="S607" s="2" t="n">
        <v>0</v>
      </c>
      <c r="T607" s="2" t="n">
        <v>0</v>
      </c>
      <c r="U607" s="2" t="n">
        <v>0</v>
      </c>
      <c r="V607" s="2" t="n">
        <v>0</v>
      </c>
      <c r="W607" s="2" t="n">
        <v>0</v>
      </c>
      <c r="X607" s="2" t="n">
        <v>0</v>
      </c>
      <c r="Y607" s="2" t="n">
        <v>0</v>
      </c>
      <c r="Z607" s="2" t="n">
        <v>0</v>
      </c>
      <c r="AA607" s="2" t="n">
        <v>0</v>
      </c>
      <c r="AB607" s="2" t="n">
        <v>0</v>
      </c>
      <c r="AC607" s="2"/>
    </row>
    <row r="608" customFormat="false" ht="15" hidden="false" customHeight="false" outlineLevel="0" collapsed="false">
      <c r="A608" s="2" t="n">
        <v>108</v>
      </c>
      <c r="B608" s="2" t="s">
        <v>1050</v>
      </c>
      <c r="C608" s="2" t="s">
        <v>1055</v>
      </c>
      <c r="D608" s="2" t="s">
        <v>3319</v>
      </c>
      <c r="E608" s="2" t="s">
        <v>1154</v>
      </c>
      <c r="F608" s="2" t="s">
        <v>1178</v>
      </c>
      <c r="G608" s="2" t="s">
        <v>3320</v>
      </c>
      <c r="H608" s="2" t="s">
        <v>3321</v>
      </c>
      <c r="I608" s="2" t="s">
        <v>1133</v>
      </c>
      <c r="J608" s="2" t="s">
        <v>3322</v>
      </c>
      <c r="K608" s="2" t="n">
        <v>8</v>
      </c>
      <c r="L608" s="2" t="n">
        <v>2990</v>
      </c>
      <c r="M608" s="2" t="n">
        <v>1522</v>
      </c>
      <c r="N608" s="2" t="n">
        <v>1318</v>
      </c>
      <c r="O608" s="2" t="n">
        <v>75</v>
      </c>
      <c r="P608" s="2" t="n">
        <v>1393</v>
      </c>
      <c r="Q608" s="2" t="n">
        <v>0</v>
      </c>
      <c r="R608" s="2" t="n">
        <v>0</v>
      </c>
      <c r="S608" s="2" t="n">
        <v>0</v>
      </c>
      <c r="T608" s="2" t="n">
        <v>0</v>
      </c>
      <c r="U608" s="2" t="n">
        <v>0</v>
      </c>
      <c r="V608" s="2" t="n">
        <v>0</v>
      </c>
      <c r="W608" s="2" t="n">
        <v>0</v>
      </c>
      <c r="X608" s="2" t="n">
        <v>0</v>
      </c>
      <c r="Y608" s="2" t="n">
        <v>0</v>
      </c>
      <c r="Z608" s="2" t="n">
        <v>0</v>
      </c>
      <c r="AA608" s="2" t="n">
        <v>0</v>
      </c>
      <c r="AB608" s="2" t="n">
        <v>0</v>
      </c>
      <c r="AC608" s="2"/>
    </row>
    <row r="609" customFormat="false" ht="15" hidden="false" customHeight="false" outlineLevel="0" collapsed="false">
      <c r="A609" s="2" t="n">
        <v>108</v>
      </c>
      <c r="B609" s="2" t="s">
        <v>1050</v>
      </c>
      <c r="C609" s="2" t="s">
        <v>1055</v>
      </c>
      <c r="D609" s="2" t="s">
        <v>3323</v>
      </c>
      <c r="E609" s="2" t="s">
        <v>1154</v>
      </c>
      <c r="F609" s="2" t="s">
        <v>1178</v>
      </c>
      <c r="G609" s="2" t="s">
        <v>3324</v>
      </c>
      <c r="H609" s="2" t="s">
        <v>3325</v>
      </c>
      <c r="I609" s="2" t="s">
        <v>1133</v>
      </c>
      <c r="J609" s="2" t="s">
        <v>3326</v>
      </c>
      <c r="K609" s="2" t="n">
        <v>5</v>
      </c>
      <c r="L609" s="2" t="n">
        <v>1744</v>
      </c>
      <c r="M609" s="2" t="n">
        <v>1268</v>
      </c>
      <c r="N609" s="2" t="n">
        <v>1071</v>
      </c>
      <c r="O609" s="2" t="n">
        <v>62</v>
      </c>
      <c r="P609" s="2" t="n">
        <v>414</v>
      </c>
      <c r="Q609" s="2" t="n">
        <v>0</v>
      </c>
      <c r="R609" s="2" t="n">
        <v>0</v>
      </c>
      <c r="S609" s="2" t="n">
        <v>0</v>
      </c>
      <c r="T609" s="2" t="n">
        <v>0</v>
      </c>
      <c r="U609" s="2" t="n">
        <v>0</v>
      </c>
      <c r="V609" s="2" t="n">
        <v>0</v>
      </c>
      <c r="W609" s="2" t="n">
        <v>0</v>
      </c>
      <c r="X609" s="2" t="n">
        <v>0</v>
      </c>
      <c r="Y609" s="2" t="n">
        <v>0</v>
      </c>
      <c r="Z609" s="2" t="n">
        <v>0</v>
      </c>
      <c r="AA609" s="2" t="n">
        <v>0</v>
      </c>
      <c r="AB609" s="2" t="n">
        <v>0</v>
      </c>
      <c r="AC609" s="2"/>
    </row>
    <row r="610" customFormat="false" ht="15" hidden="false" customHeight="false" outlineLevel="0" collapsed="false">
      <c r="A610" s="2" t="n">
        <v>108</v>
      </c>
      <c r="B610" s="2" t="s">
        <v>1050</v>
      </c>
      <c r="C610" s="2" t="s">
        <v>1055</v>
      </c>
      <c r="D610" s="2" t="s">
        <v>3327</v>
      </c>
      <c r="E610" s="2" t="s">
        <v>1154</v>
      </c>
      <c r="F610" s="2" t="s">
        <v>1178</v>
      </c>
      <c r="G610" s="2" t="s">
        <v>3328</v>
      </c>
      <c r="H610" s="2" t="s">
        <v>3329</v>
      </c>
      <c r="I610" s="2" t="s">
        <v>1133</v>
      </c>
      <c r="J610" s="2" t="s">
        <v>3330</v>
      </c>
      <c r="K610" s="2" t="n">
        <v>5</v>
      </c>
      <c r="L610" s="2" t="n">
        <v>1416</v>
      </c>
      <c r="M610" s="2" t="n">
        <v>1167</v>
      </c>
      <c r="N610" s="2" t="n">
        <v>1006</v>
      </c>
      <c r="O610" s="2" t="n">
        <v>62</v>
      </c>
      <c r="P610" s="2" t="n">
        <v>187</v>
      </c>
      <c r="Q610" s="2" t="n">
        <v>0</v>
      </c>
      <c r="R610" s="2" t="n">
        <v>0</v>
      </c>
      <c r="S610" s="2" t="n">
        <v>0</v>
      </c>
      <c r="T610" s="2" t="n">
        <v>0</v>
      </c>
      <c r="U610" s="2" t="n">
        <v>0</v>
      </c>
      <c r="V610" s="2" t="n">
        <v>0</v>
      </c>
      <c r="W610" s="2" t="n">
        <v>0</v>
      </c>
      <c r="X610" s="2" t="n">
        <v>0</v>
      </c>
      <c r="Y610" s="2" t="n">
        <v>0</v>
      </c>
      <c r="Z610" s="2" t="n">
        <v>0</v>
      </c>
      <c r="AA610" s="2" t="n">
        <v>0</v>
      </c>
      <c r="AB610" s="2" t="n">
        <v>0</v>
      </c>
      <c r="AC610" s="2"/>
    </row>
    <row r="611" customFormat="false" ht="15" hidden="false" customHeight="false" outlineLevel="0" collapsed="false">
      <c r="A611" s="2" t="n">
        <v>108</v>
      </c>
      <c r="B611" s="2" t="s">
        <v>1050</v>
      </c>
      <c r="C611" s="2" t="s">
        <v>1055</v>
      </c>
      <c r="D611" s="2" t="s">
        <v>3331</v>
      </c>
      <c r="E611" s="2" t="s">
        <v>1154</v>
      </c>
      <c r="F611" s="2" t="s">
        <v>1178</v>
      </c>
      <c r="G611" s="2" t="s">
        <v>2615</v>
      </c>
      <c r="H611" s="2" t="s">
        <v>3332</v>
      </c>
      <c r="I611" s="2" t="s">
        <v>1133</v>
      </c>
      <c r="J611" s="2" t="s">
        <v>3333</v>
      </c>
      <c r="K611" s="2" t="n">
        <v>3</v>
      </c>
      <c r="L611" s="2" t="n">
        <v>781</v>
      </c>
      <c r="M611" s="2" t="n">
        <v>625</v>
      </c>
      <c r="N611" s="2" t="n">
        <v>464</v>
      </c>
      <c r="O611" s="2" t="n">
        <v>42</v>
      </c>
      <c r="P611" s="2" t="n">
        <v>114</v>
      </c>
      <c r="Q611" s="2" t="n">
        <v>0</v>
      </c>
      <c r="R611" s="2" t="n">
        <v>0</v>
      </c>
      <c r="S611" s="2" t="n">
        <v>0</v>
      </c>
      <c r="T611" s="2" t="n">
        <v>0</v>
      </c>
      <c r="U611" s="2" t="n">
        <v>0</v>
      </c>
      <c r="V611" s="2" t="n">
        <v>0</v>
      </c>
      <c r="W611" s="2" t="n">
        <v>0</v>
      </c>
      <c r="X611" s="2" t="n">
        <v>0</v>
      </c>
      <c r="Y611" s="2" t="n">
        <v>0</v>
      </c>
      <c r="Z611" s="2" t="n">
        <v>0</v>
      </c>
      <c r="AA611" s="2" t="n">
        <v>0</v>
      </c>
      <c r="AB611" s="2" t="n">
        <v>0</v>
      </c>
      <c r="AC611" s="2"/>
    </row>
    <row r="612" customFormat="false" ht="15" hidden="false" customHeight="false" outlineLevel="0" collapsed="false">
      <c r="A612" s="2" t="n">
        <v>108</v>
      </c>
      <c r="B612" s="2" t="s">
        <v>1050</v>
      </c>
      <c r="C612" s="2" t="s">
        <v>1055</v>
      </c>
      <c r="D612" s="2" t="s">
        <v>3334</v>
      </c>
      <c r="E612" s="2" t="s">
        <v>1154</v>
      </c>
      <c r="F612" s="2" t="s">
        <v>1178</v>
      </c>
      <c r="G612" s="2" t="s">
        <v>2615</v>
      </c>
      <c r="H612" s="2" t="s">
        <v>3335</v>
      </c>
      <c r="I612" s="2" t="s">
        <v>1133</v>
      </c>
      <c r="J612" s="2" t="s">
        <v>3336</v>
      </c>
      <c r="K612" s="2" t="n">
        <v>5</v>
      </c>
      <c r="L612" s="2" t="n">
        <v>1811</v>
      </c>
      <c r="M612" s="2" t="n">
        <v>1192</v>
      </c>
      <c r="N612" s="2" t="n">
        <v>994</v>
      </c>
      <c r="O612" s="2" t="n">
        <v>42</v>
      </c>
      <c r="P612" s="2" t="n">
        <v>577</v>
      </c>
      <c r="Q612" s="2" t="n">
        <v>0</v>
      </c>
      <c r="R612" s="2" t="n">
        <v>0</v>
      </c>
      <c r="S612" s="2" t="n">
        <v>0</v>
      </c>
      <c r="T612" s="2" t="n">
        <v>0</v>
      </c>
      <c r="U612" s="2" t="n">
        <v>0</v>
      </c>
      <c r="V612" s="2" t="n">
        <v>0</v>
      </c>
      <c r="W612" s="2" t="n">
        <v>0</v>
      </c>
      <c r="X612" s="2" t="n">
        <v>0</v>
      </c>
      <c r="Y612" s="2" t="n">
        <v>0</v>
      </c>
      <c r="Z612" s="2" t="n">
        <v>0</v>
      </c>
      <c r="AA612" s="2" t="n">
        <v>0</v>
      </c>
      <c r="AB612" s="2" t="n">
        <v>0</v>
      </c>
      <c r="AC612" s="2"/>
    </row>
    <row r="613" customFormat="false" ht="15" hidden="false" customHeight="false" outlineLevel="0" collapsed="false">
      <c r="A613" s="2" t="n">
        <v>108</v>
      </c>
      <c r="B613" s="2" t="s">
        <v>1050</v>
      </c>
      <c r="C613" s="2" t="s">
        <v>1055</v>
      </c>
      <c r="D613" s="2" t="s">
        <v>3337</v>
      </c>
      <c r="E613" s="2" t="s">
        <v>1154</v>
      </c>
      <c r="F613" s="2" t="s">
        <v>1178</v>
      </c>
      <c r="G613" s="2" t="s">
        <v>2615</v>
      </c>
      <c r="H613" s="2" t="s">
        <v>3338</v>
      </c>
      <c r="I613" s="2" t="s">
        <v>1133</v>
      </c>
      <c r="J613" s="2" t="s">
        <v>3339</v>
      </c>
      <c r="K613" s="2" t="n">
        <v>3</v>
      </c>
      <c r="L613" s="2" t="n">
        <v>1092</v>
      </c>
      <c r="M613" s="2" t="n">
        <v>818</v>
      </c>
      <c r="N613" s="2" t="n">
        <v>644</v>
      </c>
      <c r="O613" s="2" t="n">
        <v>42</v>
      </c>
      <c r="P613" s="2" t="n">
        <v>232</v>
      </c>
      <c r="Q613" s="2" t="n">
        <v>0</v>
      </c>
      <c r="R613" s="2" t="n">
        <v>0</v>
      </c>
      <c r="S613" s="2" t="n">
        <v>0</v>
      </c>
      <c r="T613" s="2" t="n">
        <v>0</v>
      </c>
      <c r="U613" s="2" t="n">
        <v>0</v>
      </c>
      <c r="V613" s="2" t="n">
        <v>0</v>
      </c>
      <c r="W613" s="2" t="n">
        <v>0</v>
      </c>
      <c r="X613" s="2" t="n">
        <v>0</v>
      </c>
      <c r="Y613" s="2" t="n">
        <v>0</v>
      </c>
      <c r="Z613" s="2" t="n">
        <v>0</v>
      </c>
      <c r="AA613" s="2" t="n">
        <v>0</v>
      </c>
      <c r="AB613" s="2" t="n">
        <v>0</v>
      </c>
      <c r="AC613" s="2"/>
    </row>
    <row r="614" customFormat="false" ht="15" hidden="false" customHeight="false" outlineLevel="0" collapsed="false">
      <c r="A614" s="2" t="n">
        <v>108</v>
      </c>
      <c r="B614" s="2" t="s">
        <v>1050</v>
      </c>
      <c r="C614" s="2" t="s">
        <v>1055</v>
      </c>
      <c r="D614" s="2" t="s">
        <v>3340</v>
      </c>
      <c r="E614" s="2" t="s">
        <v>1154</v>
      </c>
      <c r="F614" s="2" t="s">
        <v>1178</v>
      </c>
      <c r="G614" s="2" t="s">
        <v>3341</v>
      </c>
      <c r="H614" s="2" t="s">
        <v>3342</v>
      </c>
      <c r="I614" s="2" t="s">
        <v>1133</v>
      </c>
      <c r="J614" s="2" t="s">
        <v>3343</v>
      </c>
      <c r="K614" s="2" t="n">
        <v>4</v>
      </c>
      <c r="L614" s="2" t="n">
        <v>850</v>
      </c>
      <c r="M614" s="2" t="n">
        <v>714</v>
      </c>
      <c r="N614" s="2" t="n">
        <v>559</v>
      </c>
      <c r="O614" s="2" t="n">
        <v>62</v>
      </c>
      <c r="P614" s="2" t="n">
        <v>74</v>
      </c>
      <c r="Q614" s="2" t="n">
        <v>0</v>
      </c>
      <c r="R614" s="2" t="n">
        <v>0</v>
      </c>
      <c r="S614" s="2" t="n">
        <v>0</v>
      </c>
      <c r="T614" s="2" t="n">
        <v>0</v>
      </c>
      <c r="U614" s="2" t="n">
        <v>0</v>
      </c>
      <c r="V614" s="2" t="n">
        <v>0</v>
      </c>
      <c r="W614" s="2" t="n">
        <v>0</v>
      </c>
      <c r="X614" s="2" t="n">
        <v>0</v>
      </c>
      <c r="Y614" s="2" t="n">
        <v>0</v>
      </c>
      <c r="Z614" s="2" t="n">
        <v>0</v>
      </c>
      <c r="AA614" s="2" t="n">
        <v>0</v>
      </c>
      <c r="AB614" s="2" t="n">
        <v>0</v>
      </c>
      <c r="AC614" s="2"/>
    </row>
    <row r="615" customFormat="false" ht="15" hidden="false" customHeight="false" outlineLevel="0" collapsed="false">
      <c r="A615" s="2" t="n">
        <v>108</v>
      </c>
      <c r="B615" s="2" t="s">
        <v>1050</v>
      </c>
      <c r="C615" s="2" t="s">
        <v>1055</v>
      </c>
      <c r="D615" s="2" t="s">
        <v>3344</v>
      </c>
      <c r="E615" s="2" t="s">
        <v>1154</v>
      </c>
      <c r="F615" s="2" t="s">
        <v>1178</v>
      </c>
      <c r="G615" s="2" t="s">
        <v>3345</v>
      </c>
      <c r="H615" s="2" t="s">
        <v>3346</v>
      </c>
      <c r="I615" s="2" t="s">
        <v>1133</v>
      </c>
      <c r="J615" s="2" t="s">
        <v>3347</v>
      </c>
      <c r="K615" s="2" t="n">
        <v>5</v>
      </c>
      <c r="L615" s="2" t="n">
        <v>2211</v>
      </c>
      <c r="M615" s="2" t="n">
        <v>1661</v>
      </c>
      <c r="N615" s="2" t="n">
        <v>1502</v>
      </c>
      <c r="O615" s="2" t="n">
        <v>112</v>
      </c>
      <c r="P615" s="2" t="n">
        <v>438</v>
      </c>
      <c r="Q615" s="2" t="n">
        <v>0</v>
      </c>
      <c r="R615" s="2" t="n">
        <v>0</v>
      </c>
      <c r="S615" s="2" t="n">
        <v>0</v>
      </c>
      <c r="T615" s="2" t="n">
        <v>0</v>
      </c>
      <c r="U615" s="2" t="n">
        <v>0</v>
      </c>
      <c r="V615" s="2" t="n">
        <v>0</v>
      </c>
      <c r="W615" s="2" t="n">
        <v>0</v>
      </c>
      <c r="X615" s="2" t="n">
        <v>0</v>
      </c>
      <c r="Y615" s="2" t="n">
        <v>0</v>
      </c>
      <c r="Z615" s="2" t="n">
        <v>0</v>
      </c>
      <c r="AA615" s="2" t="n">
        <v>0</v>
      </c>
      <c r="AB615" s="2" t="n">
        <v>0</v>
      </c>
      <c r="AC615" s="2"/>
    </row>
    <row r="616" customFormat="false" ht="15" hidden="false" customHeight="false" outlineLevel="0" collapsed="false">
      <c r="A616" s="2" t="n">
        <v>108</v>
      </c>
      <c r="B616" s="2" t="s">
        <v>1050</v>
      </c>
      <c r="C616" s="2" t="s">
        <v>1055</v>
      </c>
      <c r="D616" s="2" t="s">
        <v>3348</v>
      </c>
      <c r="E616" s="2" t="s">
        <v>1154</v>
      </c>
      <c r="F616" s="2" t="s">
        <v>1178</v>
      </c>
      <c r="G616" s="2" t="s">
        <v>2144</v>
      </c>
      <c r="H616" s="2" t="s">
        <v>3349</v>
      </c>
      <c r="I616" s="2" t="s">
        <v>1133</v>
      </c>
      <c r="J616" s="2" t="s">
        <v>3350</v>
      </c>
      <c r="K616" s="2" t="n">
        <v>5</v>
      </c>
      <c r="L616" s="2" t="n">
        <v>1199</v>
      </c>
      <c r="M616" s="2" t="n">
        <v>843</v>
      </c>
      <c r="N616" s="2" t="n">
        <v>684</v>
      </c>
      <c r="O616" s="2" t="n">
        <v>113</v>
      </c>
      <c r="P616" s="2" t="n">
        <v>243</v>
      </c>
      <c r="Q616" s="2" t="n">
        <v>0</v>
      </c>
      <c r="R616" s="2" t="n">
        <v>0</v>
      </c>
      <c r="S616" s="2" t="n">
        <v>0</v>
      </c>
      <c r="T616" s="2" t="n">
        <v>0</v>
      </c>
      <c r="U616" s="2" t="n">
        <v>0</v>
      </c>
      <c r="V616" s="2" t="n">
        <v>0</v>
      </c>
      <c r="W616" s="2" t="n">
        <v>0</v>
      </c>
      <c r="X616" s="2" t="n">
        <v>0</v>
      </c>
      <c r="Y616" s="2" t="n">
        <v>0</v>
      </c>
      <c r="Z616" s="2" t="n">
        <v>0</v>
      </c>
      <c r="AA616" s="2" t="n">
        <v>0</v>
      </c>
      <c r="AB616" s="2" t="n">
        <v>0</v>
      </c>
      <c r="AC616" s="2"/>
    </row>
    <row r="617" customFormat="false" ht="15" hidden="false" customHeight="false" outlineLevel="0" collapsed="false">
      <c r="A617" s="2" t="n">
        <v>108</v>
      </c>
      <c r="B617" s="2" t="s">
        <v>1050</v>
      </c>
      <c r="C617" s="2" t="s">
        <v>1055</v>
      </c>
      <c r="D617" s="2" t="s">
        <v>3351</v>
      </c>
      <c r="E617" s="2" t="s">
        <v>1154</v>
      </c>
      <c r="F617" s="2" t="s">
        <v>1178</v>
      </c>
      <c r="G617" s="2" t="s">
        <v>2144</v>
      </c>
      <c r="H617" s="2" t="s">
        <v>3352</v>
      </c>
      <c r="I617" s="2" t="s">
        <v>1133</v>
      </c>
      <c r="J617" s="2" t="s">
        <v>3353</v>
      </c>
      <c r="K617" s="2" t="n">
        <v>5</v>
      </c>
      <c r="L617" s="2" t="n">
        <v>1376</v>
      </c>
      <c r="M617" s="2" t="n">
        <v>1020</v>
      </c>
      <c r="N617" s="2" t="n">
        <v>857</v>
      </c>
      <c r="O617" s="2" t="n">
        <v>121</v>
      </c>
      <c r="P617" s="2" t="n">
        <v>235</v>
      </c>
      <c r="Q617" s="2" t="n">
        <v>0</v>
      </c>
      <c r="R617" s="2" t="n">
        <v>0</v>
      </c>
      <c r="S617" s="2" t="n">
        <v>0</v>
      </c>
      <c r="T617" s="2" t="n">
        <v>0</v>
      </c>
      <c r="U617" s="2" t="n">
        <v>0</v>
      </c>
      <c r="V617" s="2" t="n">
        <v>0</v>
      </c>
      <c r="W617" s="2" t="n">
        <v>0</v>
      </c>
      <c r="X617" s="2" t="n">
        <v>0</v>
      </c>
      <c r="Y617" s="2" t="n">
        <v>0</v>
      </c>
      <c r="Z617" s="2" t="n">
        <v>0</v>
      </c>
      <c r="AA617" s="2" t="n">
        <v>0</v>
      </c>
      <c r="AB617" s="2" t="n">
        <v>0</v>
      </c>
      <c r="AC617" s="2"/>
    </row>
    <row r="618" customFormat="false" ht="15" hidden="false" customHeight="false" outlineLevel="0" collapsed="false">
      <c r="A618" s="2" t="n">
        <v>108</v>
      </c>
      <c r="B618" s="2" t="s">
        <v>1050</v>
      </c>
      <c r="C618" s="2" t="s">
        <v>1055</v>
      </c>
      <c r="D618" s="2" t="s">
        <v>3354</v>
      </c>
      <c r="E618" s="2" t="s">
        <v>1154</v>
      </c>
      <c r="F618" s="2" t="s">
        <v>1178</v>
      </c>
      <c r="G618" s="2" t="s">
        <v>1289</v>
      </c>
      <c r="H618" s="2" t="s">
        <v>3355</v>
      </c>
      <c r="I618" s="2" t="s">
        <v>1133</v>
      </c>
      <c r="J618" s="2" t="s">
        <v>3356</v>
      </c>
      <c r="K618" s="2" t="n">
        <v>14</v>
      </c>
      <c r="L618" s="2" t="n">
        <v>4550</v>
      </c>
      <c r="M618" s="2" t="n">
        <v>2310</v>
      </c>
      <c r="N618" s="2" t="n">
        <v>2083</v>
      </c>
      <c r="O618" s="2" t="n">
        <v>314</v>
      </c>
      <c r="P618" s="2" t="n">
        <v>1926</v>
      </c>
      <c r="Q618" s="2" t="n">
        <v>0</v>
      </c>
      <c r="R618" s="2" t="n">
        <v>0</v>
      </c>
      <c r="S618" s="2" t="n">
        <v>0</v>
      </c>
      <c r="T618" s="2" t="n">
        <v>0</v>
      </c>
      <c r="U618" s="2" t="n">
        <v>0</v>
      </c>
      <c r="V618" s="2" t="n">
        <v>0</v>
      </c>
      <c r="W618" s="2" t="n">
        <v>0</v>
      </c>
      <c r="X618" s="2" t="n">
        <v>0</v>
      </c>
      <c r="Y618" s="2" t="n">
        <v>0</v>
      </c>
      <c r="Z618" s="2" t="n">
        <v>0</v>
      </c>
      <c r="AA618" s="2" t="n">
        <v>0</v>
      </c>
      <c r="AB618" s="2" t="n">
        <v>0</v>
      </c>
      <c r="AC618" s="2"/>
    </row>
    <row r="619" customFormat="false" ht="15" hidden="false" customHeight="false" outlineLevel="0" collapsed="false">
      <c r="A619" s="2" t="n">
        <v>108</v>
      </c>
      <c r="B619" s="2" t="s">
        <v>1050</v>
      </c>
      <c r="C619" s="2" t="s">
        <v>1055</v>
      </c>
      <c r="D619" s="2" t="s">
        <v>3357</v>
      </c>
      <c r="E619" s="2" t="s">
        <v>1154</v>
      </c>
      <c r="F619" s="2" t="s">
        <v>1178</v>
      </c>
      <c r="G619" s="2" t="s">
        <v>3358</v>
      </c>
      <c r="H619" s="2" t="s">
        <v>3359</v>
      </c>
      <c r="I619" s="2" t="s">
        <v>1133</v>
      </c>
      <c r="J619" s="2" t="s">
        <v>3360</v>
      </c>
      <c r="K619" s="2" t="n">
        <v>3</v>
      </c>
      <c r="L619" s="2" t="n">
        <v>844</v>
      </c>
      <c r="M619" s="2" t="n">
        <v>622</v>
      </c>
      <c r="N619" s="2" t="n">
        <v>461</v>
      </c>
      <c r="O619" s="2" t="n">
        <v>59</v>
      </c>
      <c r="P619" s="2" t="n">
        <v>163</v>
      </c>
      <c r="Q619" s="2" t="n">
        <v>0</v>
      </c>
      <c r="R619" s="2" t="n">
        <v>0</v>
      </c>
      <c r="S619" s="2" t="n">
        <v>0</v>
      </c>
      <c r="T619" s="2" t="n">
        <v>0</v>
      </c>
      <c r="U619" s="2" t="n">
        <v>0</v>
      </c>
      <c r="V619" s="2" t="n">
        <v>0</v>
      </c>
      <c r="W619" s="2" t="n">
        <v>0</v>
      </c>
      <c r="X619" s="2" t="n">
        <v>0</v>
      </c>
      <c r="Y619" s="2" t="n">
        <v>0</v>
      </c>
      <c r="Z619" s="2" t="n">
        <v>0</v>
      </c>
      <c r="AA619" s="2" t="n">
        <v>0</v>
      </c>
      <c r="AB619" s="2" t="n">
        <v>0</v>
      </c>
      <c r="AC619" s="2"/>
    </row>
    <row r="620" customFormat="false" ht="15" hidden="false" customHeight="false" outlineLevel="0" collapsed="false">
      <c r="A620" s="2" t="n">
        <v>108</v>
      </c>
      <c r="B620" s="2" t="s">
        <v>1050</v>
      </c>
      <c r="C620" s="2" t="s">
        <v>1055</v>
      </c>
      <c r="D620" s="2" t="s">
        <v>3361</v>
      </c>
      <c r="E620" s="2" t="s">
        <v>1154</v>
      </c>
      <c r="F620" s="2" t="s">
        <v>1178</v>
      </c>
      <c r="G620" s="2" t="s">
        <v>3358</v>
      </c>
      <c r="H620" s="2" t="s">
        <v>3362</v>
      </c>
      <c r="I620" s="2" t="s">
        <v>1133</v>
      </c>
      <c r="J620" s="2" t="s">
        <v>3363</v>
      </c>
      <c r="K620" s="2" t="n">
        <v>6</v>
      </c>
      <c r="L620" s="2" t="n">
        <v>1751</v>
      </c>
      <c r="M620" s="2" t="n">
        <v>1168</v>
      </c>
      <c r="N620" s="2" t="n">
        <v>1017</v>
      </c>
      <c r="O620" s="2" t="n">
        <v>123</v>
      </c>
      <c r="P620" s="2" t="n">
        <v>460</v>
      </c>
      <c r="Q620" s="2" t="n">
        <v>0</v>
      </c>
      <c r="R620" s="2" t="n">
        <v>0</v>
      </c>
      <c r="S620" s="2" t="n">
        <v>0</v>
      </c>
      <c r="T620" s="2" t="n">
        <v>0</v>
      </c>
      <c r="U620" s="2" t="n">
        <v>0</v>
      </c>
      <c r="V620" s="2" t="n">
        <v>0</v>
      </c>
      <c r="W620" s="2" t="n">
        <v>0</v>
      </c>
      <c r="X620" s="2" t="n">
        <v>0</v>
      </c>
      <c r="Y620" s="2" t="n">
        <v>0</v>
      </c>
      <c r="Z620" s="2" t="n">
        <v>0</v>
      </c>
      <c r="AA620" s="2" t="n">
        <v>0</v>
      </c>
      <c r="AB620" s="2" t="n">
        <v>0</v>
      </c>
      <c r="AC620" s="2"/>
    </row>
    <row r="621" customFormat="false" ht="15" hidden="false" customHeight="false" outlineLevel="0" collapsed="false">
      <c r="A621" s="2" t="n">
        <v>108</v>
      </c>
      <c r="B621" s="2" t="s">
        <v>1050</v>
      </c>
      <c r="C621" s="2" t="s">
        <v>1055</v>
      </c>
      <c r="D621" s="2" t="s">
        <v>3364</v>
      </c>
      <c r="E621" s="2" t="s">
        <v>1154</v>
      </c>
      <c r="F621" s="2" t="s">
        <v>1178</v>
      </c>
      <c r="G621" s="2" t="s">
        <v>606</v>
      </c>
      <c r="H621" s="2" t="s">
        <v>3365</v>
      </c>
      <c r="I621" s="2" t="s">
        <v>1133</v>
      </c>
      <c r="J621" s="2" t="s">
        <v>3366</v>
      </c>
      <c r="K621" s="2" t="n">
        <v>3</v>
      </c>
      <c r="L621" s="2" t="n">
        <v>786</v>
      </c>
      <c r="M621" s="2" t="n">
        <v>580</v>
      </c>
      <c r="N621" s="2" t="n">
        <v>416</v>
      </c>
      <c r="O621" s="2" t="n">
        <v>62</v>
      </c>
      <c r="P621" s="2" t="n">
        <v>144</v>
      </c>
      <c r="Q621" s="2" t="n">
        <v>0</v>
      </c>
      <c r="R621" s="2" t="n">
        <v>0</v>
      </c>
      <c r="S621" s="2" t="n">
        <v>0</v>
      </c>
      <c r="T621" s="2" t="n">
        <v>0</v>
      </c>
      <c r="U621" s="2" t="n">
        <v>0</v>
      </c>
      <c r="V621" s="2" t="n">
        <v>0</v>
      </c>
      <c r="W621" s="2" t="n">
        <v>0</v>
      </c>
      <c r="X621" s="2" t="n">
        <v>0</v>
      </c>
      <c r="Y621" s="2" t="n">
        <v>0</v>
      </c>
      <c r="Z621" s="2" t="n">
        <v>0</v>
      </c>
      <c r="AA621" s="2" t="n">
        <v>0</v>
      </c>
      <c r="AB621" s="2" t="n">
        <v>0</v>
      </c>
      <c r="AC621" s="2"/>
    </row>
    <row r="622" customFormat="false" ht="15" hidden="false" customHeight="false" outlineLevel="0" collapsed="false">
      <c r="A622" s="2" t="n">
        <v>108</v>
      </c>
      <c r="B622" s="2" t="s">
        <v>1050</v>
      </c>
      <c r="C622" s="2" t="s">
        <v>1055</v>
      </c>
      <c r="D622" s="2" t="s">
        <v>3367</v>
      </c>
      <c r="E622" s="2" t="s">
        <v>1154</v>
      </c>
      <c r="F622" s="2" t="s">
        <v>1178</v>
      </c>
      <c r="G622" s="2" t="s">
        <v>606</v>
      </c>
      <c r="H622" s="2" t="s">
        <v>3368</v>
      </c>
      <c r="I622" s="2" t="s">
        <v>1133</v>
      </c>
      <c r="J622" s="2" t="s">
        <v>3369</v>
      </c>
      <c r="K622" s="2" t="n">
        <v>6</v>
      </c>
      <c r="L622" s="2" t="n">
        <v>2115</v>
      </c>
      <c r="M622" s="2" t="n">
        <v>1214</v>
      </c>
      <c r="N622" s="2" t="n">
        <v>1029</v>
      </c>
      <c r="O622" s="2" t="n">
        <v>72</v>
      </c>
      <c r="P622" s="2" t="n">
        <v>829</v>
      </c>
      <c r="Q622" s="2" t="n">
        <v>0</v>
      </c>
      <c r="R622" s="2" t="n">
        <v>0</v>
      </c>
      <c r="S622" s="2" t="n">
        <v>2</v>
      </c>
      <c r="T622" s="2" t="n">
        <v>0</v>
      </c>
      <c r="U622" s="2" t="n">
        <v>2</v>
      </c>
      <c r="V622" s="2" t="n">
        <v>0</v>
      </c>
      <c r="W622" s="2" t="n">
        <v>0</v>
      </c>
      <c r="X622" s="2" t="n">
        <v>0</v>
      </c>
      <c r="Y622" s="2" t="n">
        <v>0</v>
      </c>
      <c r="Z622" s="2" t="n">
        <v>0</v>
      </c>
      <c r="AA622" s="2" t="n">
        <v>0</v>
      </c>
      <c r="AB622" s="2" t="n">
        <v>2</v>
      </c>
      <c r="AC622" s="2"/>
    </row>
    <row r="623" customFormat="false" ht="15" hidden="false" customHeight="false" outlineLevel="0" collapsed="false">
      <c r="A623" s="2" t="n">
        <v>108</v>
      </c>
      <c r="B623" s="2" t="s">
        <v>1050</v>
      </c>
      <c r="C623" s="2" t="s">
        <v>1055</v>
      </c>
      <c r="D623" s="2" t="s">
        <v>3370</v>
      </c>
      <c r="E623" s="2" t="s">
        <v>1154</v>
      </c>
      <c r="F623" s="2" t="s">
        <v>1178</v>
      </c>
      <c r="G623" s="2" t="s">
        <v>3371</v>
      </c>
      <c r="H623" s="2" t="s">
        <v>3372</v>
      </c>
      <c r="I623" s="2" t="s">
        <v>1133</v>
      </c>
      <c r="J623" s="2" t="s">
        <v>3373</v>
      </c>
      <c r="K623" s="2" t="n">
        <v>3</v>
      </c>
      <c r="L623" s="2" t="n">
        <v>885</v>
      </c>
      <c r="M623" s="2" t="n">
        <v>737</v>
      </c>
      <c r="N623" s="2" t="n">
        <v>565</v>
      </c>
      <c r="O623" s="2" t="n">
        <v>55</v>
      </c>
      <c r="P623" s="2" t="n">
        <v>93</v>
      </c>
      <c r="Q623" s="2" t="n">
        <v>0</v>
      </c>
      <c r="R623" s="2" t="n">
        <v>0</v>
      </c>
      <c r="S623" s="2" t="n">
        <v>0</v>
      </c>
      <c r="T623" s="2" t="n">
        <v>0</v>
      </c>
      <c r="U623" s="2" t="n">
        <v>0</v>
      </c>
      <c r="V623" s="2" t="n">
        <v>0</v>
      </c>
      <c r="W623" s="2" t="n">
        <v>0</v>
      </c>
      <c r="X623" s="2" t="n">
        <v>0</v>
      </c>
      <c r="Y623" s="2" t="n">
        <v>0</v>
      </c>
      <c r="Z623" s="2" t="n">
        <v>0</v>
      </c>
      <c r="AA623" s="2" t="n">
        <v>0</v>
      </c>
      <c r="AB623" s="2" t="n">
        <v>0</v>
      </c>
      <c r="AC623" s="2"/>
    </row>
    <row r="624" customFormat="false" ht="15" hidden="false" customHeight="false" outlineLevel="0" collapsed="false">
      <c r="A624" s="2" t="n">
        <v>108</v>
      </c>
      <c r="B624" s="2" t="s">
        <v>1050</v>
      </c>
      <c r="C624" s="2" t="s">
        <v>1055</v>
      </c>
      <c r="D624" s="2" t="s">
        <v>3374</v>
      </c>
      <c r="E624" s="2" t="s">
        <v>1154</v>
      </c>
      <c r="F624" s="2" t="s">
        <v>1178</v>
      </c>
      <c r="G624" s="2" t="s">
        <v>3375</v>
      </c>
      <c r="H624" s="2" t="s">
        <v>3376</v>
      </c>
      <c r="I624" s="2" t="s">
        <v>1133</v>
      </c>
      <c r="J624" s="2" t="s">
        <v>3377</v>
      </c>
      <c r="K624" s="2" t="n">
        <v>3</v>
      </c>
      <c r="L624" s="2" t="n">
        <v>772</v>
      </c>
      <c r="M624" s="2" t="n">
        <v>671</v>
      </c>
      <c r="N624" s="2" t="n">
        <v>513</v>
      </c>
      <c r="O624" s="2" t="n">
        <v>53</v>
      </c>
      <c r="P624" s="2" t="n">
        <v>48</v>
      </c>
      <c r="Q624" s="2" t="n">
        <v>0</v>
      </c>
      <c r="R624" s="2" t="n">
        <v>0</v>
      </c>
      <c r="S624" s="2" t="n">
        <v>0</v>
      </c>
      <c r="T624" s="2" t="n">
        <v>0</v>
      </c>
      <c r="U624" s="2" t="n">
        <v>0</v>
      </c>
      <c r="V624" s="2" t="n">
        <v>0</v>
      </c>
      <c r="W624" s="2" t="n">
        <v>0</v>
      </c>
      <c r="X624" s="2" t="n">
        <v>0</v>
      </c>
      <c r="Y624" s="2" t="n">
        <v>0</v>
      </c>
      <c r="Z624" s="2" t="n">
        <v>0</v>
      </c>
      <c r="AA624" s="2" t="n">
        <v>0</v>
      </c>
      <c r="AB624" s="2" t="n">
        <v>0</v>
      </c>
      <c r="AC624" s="2"/>
    </row>
    <row r="625" customFormat="false" ht="15" hidden="false" customHeight="false" outlineLevel="0" collapsed="false">
      <c r="A625" s="2" t="n">
        <v>108</v>
      </c>
      <c r="B625" s="2" t="s">
        <v>1050</v>
      </c>
      <c r="C625" s="2" t="s">
        <v>1055</v>
      </c>
      <c r="D625" s="2" t="s">
        <v>3378</v>
      </c>
      <c r="E625" s="2" t="s">
        <v>1154</v>
      </c>
      <c r="F625" s="2" t="s">
        <v>1178</v>
      </c>
      <c r="G625" s="2" t="s">
        <v>3379</v>
      </c>
      <c r="H625" s="2" t="s">
        <v>3380</v>
      </c>
      <c r="I625" s="2" t="s">
        <v>1133</v>
      </c>
      <c r="J625" s="2" t="s">
        <v>3381</v>
      </c>
      <c r="K625" s="2" t="n">
        <v>6</v>
      </c>
      <c r="L625" s="2" t="n">
        <v>1859</v>
      </c>
      <c r="M625" s="2" t="n">
        <v>907</v>
      </c>
      <c r="N625" s="2" t="n">
        <v>739</v>
      </c>
      <c r="O625" s="2" t="n">
        <v>95</v>
      </c>
      <c r="P625" s="2" t="n">
        <v>857</v>
      </c>
      <c r="Q625" s="2" t="n">
        <v>0</v>
      </c>
      <c r="R625" s="2" t="n">
        <v>0</v>
      </c>
      <c r="S625" s="2" t="n">
        <v>0</v>
      </c>
      <c r="T625" s="2" t="n">
        <v>0</v>
      </c>
      <c r="U625" s="2" t="n">
        <v>0</v>
      </c>
      <c r="V625" s="2" t="n">
        <v>0</v>
      </c>
      <c r="W625" s="2" t="n">
        <v>0</v>
      </c>
      <c r="X625" s="2" t="n">
        <v>0</v>
      </c>
      <c r="Y625" s="2" t="n">
        <v>0</v>
      </c>
      <c r="Z625" s="2" t="n">
        <v>0</v>
      </c>
      <c r="AA625" s="2" t="n">
        <v>0</v>
      </c>
      <c r="AB625" s="2" t="n">
        <v>0</v>
      </c>
      <c r="AC625" s="2"/>
    </row>
    <row r="626" customFormat="false" ht="15" hidden="false" customHeight="false" outlineLevel="0" collapsed="false">
      <c r="A626" s="2" t="n">
        <v>108</v>
      </c>
      <c r="B626" s="2" t="s">
        <v>1050</v>
      </c>
      <c r="C626" s="2" t="s">
        <v>1055</v>
      </c>
      <c r="D626" s="2" t="s">
        <v>3382</v>
      </c>
      <c r="E626" s="2" t="s">
        <v>1154</v>
      </c>
      <c r="F626" s="2" t="s">
        <v>1178</v>
      </c>
      <c r="G626" s="2" t="s">
        <v>3379</v>
      </c>
      <c r="H626" s="2" t="s">
        <v>3383</v>
      </c>
      <c r="I626" s="2" t="s">
        <v>1133</v>
      </c>
      <c r="J626" s="2" t="s">
        <v>3384</v>
      </c>
      <c r="K626" s="2" t="n">
        <v>3</v>
      </c>
      <c r="L626" s="2" t="n">
        <v>859</v>
      </c>
      <c r="M626" s="2" t="n">
        <v>703</v>
      </c>
      <c r="N626" s="2" t="n">
        <v>551</v>
      </c>
      <c r="O626" s="2" t="n">
        <v>42</v>
      </c>
      <c r="P626" s="2" t="n">
        <v>114</v>
      </c>
      <c r="Q626" s="2" t="n">
        <v>0</v>
      </c>
      <c r="R626" s="2" t="n">
        <v>0</v>
      </c>
      <c r="S626" s="2" t="n">
        <v>0</v>
      </c>
      <c r="T626" s="2" t="n">
        <v>0</v>
      </c>
      <c r="U626" s="2" t="n">
        <v>0</v>
      </c>
      <c r="V626" s="2" t="n">
        <v>0</v>
      </c>
      <c r="W626" s="2" t="n">
        <v>0</v>
      </c>
      <c r="X626" s="2" t="n">
        <v>0</v>
      </c>
      <c r="Y626" s="2" t="n">
        <v>0</v>
      </c>
      <c r="Z626" s="2" t="n">
        <v>0</v>
      </c>
      <c r="AA626" s="2" t="n">
        <v>0</v>
      </c>
      <c r="AB626" s="2" t="n">
        <v>0</v>
      </c>
      <c r="AC626" s="2"/>
    </row>
    <row r="627" customFormat="false" ht="15" hidden="false" customHeight="false" outlineLevel="0" collapsed="false">
      <c r="A627" s="2" t="n">
        <v>108</v>
      </c>
      <c r="B627" s="2" t="s">
        <v>1050</v>
      </c>
      <c r="C627" s="2" t="s">
        <v>1055</v>
      </c>
      <c r="D627" s="2" t="s">
        <v>3385</v>
      </c>
      <c r="E627" s="2" t="s">
        <v>1154</v>
      </c>
      <c r="F627" s="2" t="s">
        <v>1178</v>
      </c>
      <c r="G627" s="2" t="s">
        <v>3386</v>
      </c>
      <c r="H627" s="2" t="s">
        <v>3387</v>
      </c>
      <c r="I627" s="2" t="s">
        <v>1133</v>
      </c>
      <c r="J627" s="2" t="s">
        <v>3388</v>
      </c>
      <c r="K627" s="2" t="n">
        <v>5</v>
      </c>
      <c r="L627" s="2" t="n">
        <v>1513</v>
      </c>
      <c r="M627" s="2" t="n">
        <v>1257</v>
      </c>
      <c r="N627" s="2" t="n">
        <v>1085</v>
      </c>
      <c r="O627" s="2" t="n">
        <v>70</v>
      </c>
      <c r="P627" s="2" t="n">
        <v>186</v>
      </c>
      <c r="Q627" s="2" t="n">
        <v>0</v>
      </c>
      <c r="R627" s="2" t="n">
        <v>0</v>
      </c>
      <c r="S627" s="2" t="n">
        <v>0</v>
      </c>
      <c r="T627" s="2" t="n">
        <v>0</v>
      </c>
      <c r="U627" s="2" t="n">
        <v>0</v>
      </c>
      <c r="V627" s="2" t="n">
        <v>0</v>
      </c>
      <c r="W627" s="2" t="n">
        <v>0</v>
      </c>
      <c r="X627" s="2" t="n">
        <v>0</v>
      </c>
      <c r="Y627" s="2" t="n">
        <v>0</v>
      </c>
      <c r="Z627" s="2" t="n">
        <v>0</v>
      </c>
      <c r="AA627" s="2" t="n">
        <v>0</v>
      </c>
      <c r="AB627" s="2" t="n">
        <v>0</v>
      </c>
      <c r="AC627" s="2"/>
    </row>
    <row r="628" customFormat="false" ht="15" hidden="false" customHeight="false" outlineLevel="0" collapsed="false">
      <c r="A628" s="2" t="n">
        <v>108</v>
      </c>
      <c r="B628" s="2" t="s">
        <v>1050</v>
      </c>
      <c r="C628" s="2" t="s">
        <v>1055</v>
      </c>
      <c r="D628" s="2" t="s">
        <v>3389</v>
      </c>
      <c r="E628" s="2" t="s">
        <v>1154</v>
      </c>
      <c r="F628" s="2" t="s">
        <v>1178</v>
      </c>
      <c r="G628" s="2" t="s">
        <v>3390</v>
      </c>
      <c r="H628" s="2" t="s">
        <v>3391</v>
      </c>
      <c r="I628" s="2" t="s">
        <v>1133</v>
      </c>
      <c r="J628" s="2" t="s">
        <v>3392</v>
      </c>
      <c r="K628" s="2" t="n">
        <v>4</v>
      </c>
      <c r="L628" s="2" t="n">
        <v>1037</v>
      </c>
      <c r="M628" s="2" t="n">
        <v>828</v>
      </c>
      <c r="N628" s="2" t="n">
        <v>665</v>
      </c>
      <c r="O628" s="2" t="n">
        <v>59</v>
      </c>
      <c r="P628" s="2" t="n">
        <v>150</v>
      </c>
      <c r="Q628" s="2" t="n">
        <v>0</v>
      </c>
      <c r="R628" s="2" t="n">
        <v>0</v>
      </c>
      <c r="S628" s="2" t="n">
        <v>0</v>
      </c>
      <c r="T628" s="2" t="n">
        <v>0</v>
      </c>
      <c r="U628" s="2" t="n">
        <v>0</v>
      </c>
      <c r="V628" s="2" t="n">
        <v>0</v>
      </c>
      <c r="W628" s="2" t="n">
        <v>0</v>
      </c>
      <c r="X628" s="2" t="n">
        <v>0</v>
      </c>
      <c r="Y628" s="2" t="n">
        <v>0</v>
      </c>
      <c r="Z628" s="2" t="n">
        <v>0</v>
      </c>
      <c r="AA628" s="2" t="n">
        <v>0</v>
      </c>
      <c r="AB628" s="2" t="n">
        <v>0</v>
      </c>
      <c r="AC628" s="2"/>
    </row>
    <row r="629" customFormat="false" ht="15" hidden="false" customHeight="false" outlineLevel="0" collapsed="false">
      <c r="A629" s="2" t="n">
        <v>108</v>
      </c>
      <c r="B629" s="2" t="s">
        <v>1050</v>
      </c>
      <c r="C629" s="2" t="s">
        <v>1055</v>
      </c>
      <c r="D629" s="2" t="s">
        <v>3393</v>
      </c>
      <c r="E629" s="2" t="s">
        <v>1154</v>
      </c>
      <c r="F629" s="2" t="s">
        <v>1178</v>
      </c>
      <c r="G629" s="2" t="s">
        <v>3394</v>
      </c>
      <c r="H629" s="2" t="s">
        <v>3395</v>
      </c>
      <c r="I629" s="2" t="s">
        <v>1133</v>
      </c>
      <c r="J629" s="2" t="s">
        <v>3396</v>
      </c>
      <c r="K629" s="2" t="n">
        <v>10</v>
      </c>
      <c r="L629" s="2" t="n">
        <v>3761</v>
      </c>
      <c r="M629" s="2" t="n">
        <v>2362</v>
      </c>
      <c r="N629" s="2" t="n">
        <v>2137</v>
      </c>
      <c r="O629" s="2" t="n">
        <v>92</v>
      </c>
      <c r="P629" s="2" t="n">
        <v>1307</v>
      </c>
      <c r="Q629" s="2" t="n">
        <v>0</v>
      </c>
      <c r="R629" s="2" t="n">
        <v>0</v>
      </c>
      <c r="S629" s="2" t="n">
        <v>0</v>
      </c>
      <c r="T629" s="2" t="n">
        <v>0</v>
      </c>
      <c r="U629" s="2" t="n">
        <v>0</v>
      </c>
      <c r="V629" s="2" t="n">
        <v>0</v>
      </c>
      <c r="W629" s="2" t="n">
        <v>0</v>
      </c>
      <c r="X629" s="2" t="n">
        <v>0</v>
      </c>
      <c r="Y629" s="2" t="n">
        <v>0</v>
      </c>
      <c r="Z629" s="2" t="n">
        <v>0</v>
      </c>
      <c r="AA629" s="2" t="n">
        <v>0</v>
      </c>
      <c r="AB629" s="2" t="n">
        <v>0</v>
      </c>
      <c r="AC629" s="2"/>
    </row>
    <row r="630" customFormat="false" ht="15" hidden="false" customHeight="false" outlineLevel="0" collapsed="false">
      <c r="A630" s="2" t="n">
        <v>108</v>
      </c>
      <c r="B630" s="2" t="s">
        <v>1050</v>
      </c>
      <c r="C630" s="2" t="s">
        <v>1055</v>
      </c>
      <c r="D630" s="2" t="s">
        <v>3397</v>
      </c>
      <c r="E630" s="2" t="s">
        <v>1154</v>
      </c>
      <c r="F630" s="2" t="s">
        <v>1178</v>
      </c>
      <c r="G630" s="2" t="s">
        <v>3398</v>
      </c>
      <c r="H630" s="2" t="s">
        <v>3399</v>
      </c>
      <c r="I630" s="2" t="s">
        <v>1133</v>
      </c>
      <c r="J630" s="2" t="s">
        <v>3400</v>
      </c>
      <c r="K630" s="2" t="n">
        <v>3</v>
      </c>
      <c r="L630" s="2" t="n">
        <v>1141</v>
      </c>
      <c r="M630" s="2" t="n">
        <v>900</v>
      </c>
      <c r="N630" s="2" t="n">
        <v>731</v>
      </c>
      <c r="O630" s="2" t="n">
        <v>78</v>
      </c>
      <c r="P630" s="2" t="n">
        <v>163</v>
      </c>
      <c r="Q630" s="2" t="n">
        <v>0</v>
      </c>
      <c r="R630" s="2" t="n">
        <v>0</v>
      </c>
      <c r="S630" s="2" t="n">
        <v>0</v>
      </c>
      <c r="T630" s="2" t="n">
        <v>0</v>
      </c>
      <c r="U630" s="2" t="n">
        <v>0</v>
      </c>
      <c r="V630" s="2" t="n">
        <v>0</v>
      </c>
      <c r="W630" s="2" t="n">
        <v>0</v>
      </c>
      <c r="X630" s="2" t="n">
        <v>0</v>
      </c>
      <c r="Y630" s="2" t="n">
        <v>0</v>
      </c>
      <c r="Z630" s="2" t="n">
        <v>0</v>
      </c>
      <c r="AA630" s="2" t="n">
        <v>0</v>
      </c>
      <c r="AB630" s="2" t="n">
        <v>0</v>
      </c>
      <c r="AC630" s="2"/>
    </row>
    <row r="631" customFormat="false" ht="15" hidden="false" customHeight="false" outlineLevel="0" collapsed="false">
      <c r="A631" s="2" t="n">
        <v>108</v>
      </c>
      <c r="B631" s="2" t="s">
        <v>1050</v>
      </c>
      <c r="C631" s="2" t="s">
        <v>1055</v>
      </c>
      <c r="D631" s="2" t="s">
        <v>3401</v>
      </c>
      <c r="E631" s="2" t="s">
        <v>1154</v>
      </c>
      <c r="F631" s="2" t="s">
        <v>1178</v>
      </c>
      <c r="G631" s="2" t="s">
        <v>1906</v>
      </c>
      <c r="H631" s="2" t="s">
        <v>3402</v>
      </c>
      <c r="I631" s="2" t="s">
        <v>1133</v>
      </c>
      <c r="J631" s="2" t="s">
        <v>3403</v>
      </c>
      <c r="K631" s="2" t="n">
        <v>6</v>
      </c>
      <c r="L631" s="2" t="n">
        <v>2100</v>
      </c>
      <c r="M631" s="2" t="n">
        <v>1424</v>
      </c>
      <c r="N631" s="2" t="n">
        <v>1265</v>
      </c>
      <c r="O631" s="2" t="n">
        <v>158</v>
      </c>
      <c r="P631" s="2" t="n">
        <v>518</v>
      </c>
      <c r="Q631" s="2" t="n">
        <v>0</v>
      </c>
      <c r="R631" s="2" t="n">
        <v>0</v>
      </c>
      <c r="S631" s="2" t="n">
        <v>0</v>
      </c>
      <c r="T631" s="2" t="n">
        <v>0</v>
      </c>
      <c r="U631" s="2" t="n">
        <v>0</v>
      </c>
      <c r="V631" s="2" t="n">
        <v>0</v>
      </c>
      <c r="W631" s="2" t="n">
        <v>0</v>
      </c>
      <c r="X631" s="2" t="n">
        <v>0</v>
      </c>
      <c r="Y631" s="2" t="n">
        <v>0</v>
      </c>
      <c r="Z631" s="2" t="n">
        <v>0</v>
      </c>
      <c r="AA631" s="2" t="n">
        <v>0</v>
      </c>
      <c r="AB631" s="2" t="n">
        <v>0</v>
      </c>
      <c r="AC631" s="2"/>
    </row>
    <row r="632" customFormat="false" ht="15" hidden="false" customHeight="false" outlineLevel="0" collapsed="false">
      <c r="A632" s="2" t="n">
        <v>108</v>
      </c>
      <c r="B632" s="2" t="s">
        <v>1050</v>
      </c>
      <c r="C632" s="2" t="s">
        <v>1055</v>
      </c>
      <c r="D632" s="2" t="s">
        <v>3404</v>
      </c>
      <c r="E632" s="2" t="s">
        <v>1154</v>
      </c>
      <c r="F632" s="2" t="s">
        <v>1178</v>
      </c>
      <c r="G632" s="2" t="s">
        <v>3405</v>
      </c>
      <c r="H632" s="2" t="s">
        <v>3406</v>
      </c>
      <c r="I632" s="2" t="s">
        <v>1133</v>
      </c>
      <c r="J632" s="2" t="s">
        <v>3407</v>
      </c>
      <c r="K632" s="2" t="n">
        <v>5</v>
      </c>
      <c r="L632" s="2" t="n">
        <v>1183</v>
      </c>
      <c r="M632" s="2" t="n">
        <v>995</v>
      </c>
      <c r="N632" s="2" t="n">
        <v>826</v>
      </c>
      <c r="O632" s="2" t="n">
        <v>70</v>
      </c>
      <c r="P632" s="2" t="n">
        <v>118</v>
      </c>
      <c r="Q632" s="2" t="n">
        <v>0</v>
      </c>
      <c r="R632" s="2" t="n">
        <v>0</v>
      </c>
      <c r="S632" s="2" t="n">
        <v>0</v>
      </c>
      <c r="T632" s="2" t="n">
        <v>0</v>
      </c>
      <c r="U632" s="2" t="n">
        <v>0</v>
      </c>
      <c r="V632" s="2" t="n">
        <v>0</v>
      </c>
      <c r="W632" s="2" t="n">
        <v>0</v>
      </c>
      <c r="X632" s="2" t="n">
        <v>0</v>
      </c>
      <c r="Y632" s="2" t="n">
        <v>0</v>
      </c>
      <c r="Z632" s="2" t="n">
        <v>0</v>
      </c>
      <c r="AA632" s="2" t="n">
        <v>0</v>
      </c>
      <c r="AB632" s="2" t="n">
        <v>0</v>
      </c>
      <c r="AC632" s="2"/>
    </row>
    <row r="633" customFormat="false" ht="15" hidden="false" customHeight="false" outlineLevel="0" collapsed="false">
      <c r="A633" s="2" t="n">
        <v>108</v>
      </c>
      <c r="B633" s="2" t="s">
        <v>1050</v>
      </c>
      <c r="C633" s="2" t="s">
        <v>1055</v>
      </c>
      <c r="D633" s="2" t="s">
        <v>3408</v>
      </c>
      <c r="E633" s="2" t="s">
        <v>1154</v>
      </c>
      <c r="F633" s="2" t="s">
        <v>1178</v>
      </c>
      <c r="G633" s="2" t="s">
        <v>3409</v>
      </c>
      <c r="H633" s="2" t="s">
        <v>3410</v>
      </c>
      <c r="I633" s="2" t="s">
        <v>1133</v>
      </c>
      <c r="J633" s="2" t="s">
        <v>3411</v>
      </c>
      <c r="K633" s="2" t="n">
        <v>5</v>
      </c>
      <c r="L633" s="2" t="n">
        <v>1688</v>
      </c>
      <c r="M633" s="2" t="n">
        <v>1193</v>
      </c>
      <c r="N633" s="2" t="n">
        <v>1010</v>
      </c>
      <c r="O633" s="2" t="n">
        <v>70</v>
      </c>
      <c r="P633" s="2" t="n">
        <v>425</v>
      </c>
      <c r="Q633" s="2" t="n">
        <v>0</v>
      </c>
      <c r="R633" s="2" t="n">
        <v>0</v>
      </c>
      <c r="S633" s="2" t="n">
        <v>0</v>
      </c>
      <c r="T633" s="2" t="n">
        <v>0</v>
      </c>
      <c r="U633" s="2" t="n">
        <v>0</v>
      </c>
      <c r="V633" s="2" t="n">
        <v>0</v>
      </c>
      <c r="W633" s="2" t="n">
        <v>0</v>
      </c>
      <c r="X633" s="2" t="n">
        <v>0</v>
      </c>
      <c r="Y633" s="2" t="n">
        <v>0</v>
      </c>
      <c r="Z633" s="2" t="n">
        <v>0</v>
      </c>
      <c r="AA633" s="2" t="n">
        <v>0</v>
      </c>
      <c r="AB633" s="2" t="n">
        <v>0</v>
      </c>
      <c r="AC633" s="2"/>
    </row>
    <row r="634" customFormat="false" ht="15" hidden="false" customHeight="false" outlineLevel="0" collapsed="false">
      <c r="A634" s="2" t="n">
        <v>108</v>
      </c>
      <c r="B634" s="2" t="s">
        <v>1050</v>
      </c>
      <c r="C634" s="2" t="s">
        <v>1055</v>
      </c>
      <c r="D634" s="2" t="s">
        <v>3412</v>
      </c>
      <c r="E634" s="2" t="s">
        <v>1154</v>
      </c>
      <c r="F634" s="2" t="s">
        <v>1178</v>
      </c>
      <c r="G634" s="2" t="s">
        <v>3409</v>
      </c>
      <c r="H634" s="2" t="s">
        <v>3413</v>
      </c>
      <c r="I634" s="2" t="s">
        <v>1133</v>
      </c>
      <c r="J634" s="2" t="s">
        <v>3414</v>
      </c>
      <c r="K634" s="2" t="n">
        <v>9</v>
      </c>
      <c r="L634" s="2" t="n">
        <v>3507</v>
      </c>
      <c r="M634" s="2" t="n">
        <v>2262</v>
      </c>
      <c r="N634" s="2" t="n">
        <v>2073</v>
      </c>
      <c r="O634" s="2" t="n">
        <v>76</v>
      </c>
      <c r="P634" s="2" t="n">
        <v>1169</v>
      </c>
      <c r="Q634" s="2" t="n">
        <v>0</v>
      </c>
      <c r="R634" s="2" t="n">
        <v>0</v>
      </c>
      <c r="S634" s="2" t="n">
        <v>0</v>
      </c>
      <c r="T634" s="2" t="n">
        <v>0</v>
      </c>
      <c r="U634" s="2" t="n">
        <v>0</v>
      </c>
      <c r="V634" s="2" t="n">
        <v>0</v>
      </c>
      <c r="W634" s="2" t="n">
        <v>0</v>
      </c>
      <c r="X634" s="2" t="n">
        <v>0</v>
      </c>
      <c r="Y634" s="2" t="n">
        <v>0</v>
      </c>
      <c r="Z634" s="2" t="n">
        <v>0</v>
      </c>
      <c r="AA634" s="2" t="n">
        <v>0</v>
      </c>
      <c r="AB634" s="2" t="n">
        <v>0</v>
      </c>
      <c r="AC634" s="2"/>
    </row>
    <row r="635" customFormat="false" ht="15" hidden="false" customHeight="false" outlineLevel="0" collapsed="false">
      <c r="A635" s="2" t="n">
        <v>108</v>
      </c>
      <c r="B635" s="2" t="s">
        <v>1050</v>
      </c>
      <c r="C635" s="2" t="s">
        <v>1055</v>
      </c>
      <c r="D635" s="2" t="s">
        <v>3415</v>
      </c>
      <c r="E635" s="2" t="s">
        <v>1154</v>
      </c>
      <c r="F635" s="2" t="s">
        <v>1178</v>
      </c>
      <c r="G635" s="2" t="s">
        <v>3416</v>
      </c>
      <c r="H635" s="2" t="s">
        <v>3417</v>
      </c>
      <c r="I635" s="2" t="s">
        <v>1133</v>
      </c>
      <c r="J635" s="2" t="s">
        <v>3418</v>
      </c>
      <c r="K635" s="2" t="n">
        <v>3</v>
      </c>
      <c r="L635" s="2" t="n">
        <v>1182</v>
      </c>
      <c r="M635" s="2" t="n">
        <v>871</v>
      </c>
      <c r="N635" s="2" t="n">
        <v>681</v>
      </c>
      <c r="O635" s="2" t="n">
        <v>42</v>
      </c>
      <c r="P635" s="2" t="n">
        <v>269</v>
      </c>
      <c r="Q635" s="2" t="n">
        <v>0</v>
      </c>
      <c r="R635" s="2" t="n">
        <v>0</v>
      </c>
      <c r="S635" s="2" t="n">
        <v>0</v>
      </c>
      <c r="T635" s="2" t="n">
        <v>0</v>
      </c>
      <c r="U635" s="2" t="n">
        <v>0</v>
      </c>
      <c r="V635" s="2" t="n">
        <v>0</v>
      </c>
      <c r="W635" s="2" t="n">
        <v>0</v>
      </c>
      <c r="X635" s="2" t="n">
        <v>0</v>
      </c>
      <c r="Y635" s="2" t="n">
        <v>0</v>
      </c>
      <c r="Z635" s="2" t="n">
        <v>0</v>
      </c>
      <c r="AA635" s="2" t="n">
        <v>0</v>
      </c>
      <c r="AB635" s="2" t="n">
        <v>0</v>
      </c>
      <c r="AC635" s="2"/>
    </row>
    <row r="636" customFormat="false" ht="15" hidden="false" customHeight="false" outlineLevel="0" collapsed="false">
      <c r="A636" s="2" t="n">
        <v>108</v>
      </c>
      <c r="B636" s="2" t="s">
        <v>1050</v>
      </c>
      <c r="C636" s="2" t="s">
        <v>1055</v>
      </c>
      <c r="D636" s="2" t="s">
        <v>3419</v>
      </c>
      <c r="E636" s="2" t="s">
        <v>1154</v>
      </c>
      <c r="F636" s="2" t="s">
        <v>1178</v>
      </c>
      <c r="G636" s="2" t="s">
        <v>3420</v>
      </c>
      <c r="H636" s="2" t="s">
        <v>3421</v>
      </c>
      <c r="I636" s="2" t="s">
        <v>1133</v>
      </c>
      <c r="J636" s="2" t="s">
        <v>3422</v>
      </c>
      <c r="K636" s="2" t="n">
        <v>3</v>
      </c>
      <c r="L636" s="2" t="n">
        <v>970</v>
      </c>
      <c r="M636" s="2" t="n">
        <v>781</v>
      </c>
      <c r="N636" s="2" t="n">
        <v>589</v>
      </c>
      <c r="O636" s="2" t="n">
        <v>42</v>
      </c>
      <c r="P636" s="2" t="n">
        <v>147</v>
      </c>
      <c r="Q636" s="2" t="n">
        <v>0</v>
      </c>
      <c r="R636" s="2" t="n">
        <v>0</v>
      </c>
      <c r="S636" s="2" t="n">
        <v>0</v>
      </c>
      <c r="T636" s="2" t="n">
        <v>0</v>
      </c>
      <c r="U636" s="2" t="n">
        <v>0</v>
      </c>
      <c r="V636" s="2" t="n">
        <v>0</v>
      </c>
      <c r="W636" s="2" t="n">
        <v>0</v>
      </c>
      <c r="X636" s="2" t="n">
        <v>0</v>
      </c>
      <c r="Y636" s="2" t="n">
        <v>0</v>
      </c>
      <c r="Z636" s="2" t="n">
        <v>0</v>
      </c>
      <c r="AA636" s="2" t="n">
        <v>0</v>
      </c>
      <c r="AB636" s="2" t="n">
        <v>0</v>
      </c>
      <c r="AC636" s="2"/>
    </row>
    <row r="637" customFormat="false" ht="15" hidden="false" customHeight="false" outlineLevel="0" collapsed="false">
      <c r="A637" s="2" t="n">
        <v>108</v>
      </c>
      <c r="B637" s="2" t="s">
        <v>1050</v>
      </c>
      <c r="C637" s="2" t="s">
        <v>1055</v>
      </c>
      <c r="D637" s="2" t="s">
        <v>3423</v>
      </c>
      <c r="E637" s="2" t="s">
        <v>1154</v>
      </c>
      <c r="F637" s="2" t="s">
        <v>1178</v>
      </c>
      <c r="G637" s="2" t="s">
        <v>3424</v>
      </c>
      <c r="H637" s="2" t="s">
        <v>3425</v>
      </c>
      <c r="I637" s="2" t="s">
        <v>1133</v>
      </c>
      <c r="J637" s="2" t="s">
        <v>3426</v>
      </c>
      <c r="K637" s="2" t="n">
        <v>4</v>
      </c>
      <c r="L637" s="2" t="n">
        <v>919</v>
      </c>
      <c r="M637" s="2" t="n">
        <v>786</v>
      </c>
      <c r="N637" s="2" t="n">
        <v>627</v>
      </c>
      <c r="O637" s="2" t="n">
        <v>59</v>
      </c>
      <c r="P637" s="2" t="n">
        <v>74</v>
      </c>
      <c r="Q637" s="2" t="n">
        <v>0</v>
      </c>
      <c r="R637" s="2" t="n">
        <v>0</v>
      </c>
      <c r="S637" s="2" t="n">
        <v>0</v>
      </c>
      <c r="T637" s="2" t="n">
        <v>0</v>
      </c>
      <c r="U637" s="2" t="n">
        <v>0</v>
      </c>
      <c r="V637" s="2" t="n">
        <v>0</v>
      </c>
      <c r="W637" s="2" t="n">
        <v>0</v>
      </c>
      <c r="X637" s="2" t="n">
        <v>0</v>
      </c>
      <c r="Y637" s="2" t="n">
        <v>0</v>
      </c>
      <c r="Z637" s="2" t="n">
        <v>0</v>
      </c>
      <c r="AA637" s="2" t="n">
        <v>0</v>
      </c>
      <c r="AB637" s="2" t="n">
        <v>0</v>
      </c>
      <c r="AC637" s="2"/>
    </row>
    <row r="638" customFormat="false" ht="15" hidden="false" customHeight="false" outlineLevel="0" collapsed="false">
      <c r="A638" s="2" t="n">
        <v>108</v>
      </c>
      <c r="B638" s="2" t="s">
        <v>1050</v>
      </c>
      <c r="C638" s="2" t="s">
        <v>1055</v>
      </c>
      <c r="D638" s="2" t="s">
        <v>3427</v>
      </c>
      <c r="E638" s="2" t="s">
        <v>1154</v>
      </c>
      <c r="F638" s="2" t="s">
        <v>1178</v>
      </c>
      <c r="G638" s="2" t="s">
        <v>3424</v>
      </c>
      <c r="H638" s="2" t="s">
        <v>3428</v>
      </c>
      <c r="I638" s="2" t="s">
        <v>1133</v>
      </c>
      <c r="J638" s="2" t="s">
        <v>3429</v>
      </c>
      <c r="K638" s="2" t="n">
        <v>7</v>
      </c>
      <c r="L638" s="2" t="n">
        <v>2154</v>
      </c>
      <c r="M638" s="2" t="n">
        <v>1469</v>
      </c>
      <c r="N638" s="2" t="n">
        <v>1292</v>
      </c>
      <c r="O638" s="2" t="n">
        <v>82</v>
      </c>
      <c r="P638" s="2" t="n">
        <v>603</v>
      </c>
      <c r="Q638" s="2" t="n">
        <v>0</v>
      </c>
      <c r="R638" s="2" t="n">
        <v>0</v>
      </c>
      <c r="S638" s="2" t="n">
        <v>0</v>
      </c>
      <c r="T638" s="2" t="n">
        <v>0</v>
      </c>
      <c r="U638" s="2" t="n">
        <v>0</v>
      </c>
      <c r="V638" s="2" t="n">
        <v>0</v>
      </c>
      <c r="W638" s="2" t="n">
        <v>0</v>
      </c>
      <c r="X638" s="2" t="n">
        <v>0</v>
      </c>
      <c r="Y638" s="2" t="n">
        <v>0</v>
      </c>
      <c r="Z638" s="2" t="n">
        <v>0</v>
      </c>
      <c r="AA638" s="2" t="n">
        <v>0</v>
      </c>
      <c r="AB638" s="2" t="n">
        <v>0</v>
      </c>
      <c r="AC638" s="2"/>
    </row>
    <row r="639" customFormat="false" ht="15" hidden="false" customHeight="false" outlineLevel="0" collapsed="false">
      <c r="A639" s="2" t="n">
        <v>108</v>
      </c>
      <c r="B639" s="2" t="s">
        <v>1050</v>
      </c>
      <c r="C639" s="2" t="s">
        <v>1055</v>
      </c>
      <c r="D639" s="2" t="s">
        <v>3430</v>
      </c>
      <c r="E639" s="2" t="s">
        <v>1154</v>
      </c>
      <c r="F639" s="2" t="s">
        <v>1178</v>
      </c>
      <c r="G639" s="2" t="s">
        <v>3424</v>
      </c>
      <c r="H639" s="2" t="s">
        <v>3431</v>
      </c>
      <c r="I639" s="2" t="s">
        <v>1133</v>
      </c>
      <c r="J639" s="2" t="s">
        <v>3432</v>
      </c>
      <c r="K639" s="2" t="n">
        <v>5</v>
      </c>
      <c r="L639" s="2" t="n">
        <v>1388</v>
      </c>
      <c r="M639" s="2" t="n">
        <v>1053</v>
      </c>
      <c r="N639" s="2" t="n">
        <v>859</v>
      </c>
      <c r="O639" s="2" t="n">
        <v>59</v>
      </c>
      <c r="P639" s="2" t="n">
        <v>276</v>
      </c>
      <c r="Q639" s="2" t="n">
        <v>0</v>
      </c>
      <c r="R639" s="2" t="n">
        <v>0</v>
      </c>
      <c r="S639" s="2" t="n">
        <v>0</v>
      </c>
      <c r="T639" s="2" t="n">
        <v>0</v>
      </c>
      <c r="U639" s="2" t="n">
        <v>0</v>
      </c>
      <c r="V639" s="2" t="n">
        <v>0</v>
      </c>
      <c r="W639" s="2" t="n">
        <v>0</v>
      </c>
      <c r="X639" s="2" t="n">
        <v>0</v>
      </c>
      <c r="Y639" s="2" t="n">
        <v>0</v>
      </c>
      <c r="Z639" s="2" t="n">
        <v>0</v>
      </c>
      <c r="AA639" s="2" t="n">
        <v>0</v>
      </c>
      <c r="AB639" s="2" t="n">
        <v>0</v>
      </c>
      <c r="AC639" s="2"/>
    </row>
    <row r="640" customFormat="false" ht="15" hidden="false" customHeight="false" outlineLevel="0" collapsed="false">
      <c r="A640" s="2" t="n">
        <v>108</v>
      </c>
      <c r="B640" s="2" t="s">
        <v>1050</v>
      </c>
      <c r="C640" s="2" t="s">
        <v>1055</v>
      </c>
      <c r="D640" s="2" t="s">
        <v>3433</v>
      </c>
      <c r="E640" s="2" t="s">
        <v>1154</v>
      </c>
      <c r="F640" s="2" t="s">
        <v>1178</v>
      </c>
      <c r="G640" s="2" t="s">
        <v>823</v>
      </c>
      <c r="H640" s="2" t="s">
        <v>3434</v>
      </c>
      <c r="I640" s="2" t="s">
        <v>1133</v>
      </c>
      <c r="J640" s="2" t="s">
        <v>3435</v>
      </c>
      <c r="K640" s="2" t="n">
        <v>9</v>
      </c>
      <c r="L640" s="2" t="n">
        <v>3754</v>
      </c>
      <c r="M640" s="2" t="n">
        <v>2223</v>
      </c>
      <c r="N640" s="2" t="n">
        <v>2019</v>
      </c>
      <c r="O640" s="2" t="n">
        <v>72</v>
      </c>
      <c r="P640" s="2" t="n">
        <v>1459</v>
      </c>
      <c r="Q640" s="2" t="n">
        <v>0</v>
      </c>
      <c r="R640" s="2" t="n">
        <v>0</v>
      </c>
      <c r="S640" s="2" t="n">
        <v>8</v>
      </c>
      <c r="T640" s="2" t="n">
        <v>0</v>
      </c>
      <c r="U640" s="2" t="n">
        <v>8</v>
      </c>
      <c r="V640" s="2" t="n">
        <v>0</v>
      </c>
      <c r="W640" s="2" t="n">
        <v>0</v>
      </c>
      <c r="X640" s="2" t="n">
        <v>0</v>
      </c>
      <c r="Y640" s="2" t="n">
        <v>0</v>
      </c>
      <c r="Z640" s="2" t="n">
        <v>0</v>
      </c>
      <c r="AA640" s="2" t="n">
        <v>0</v>
      </c>
      <c r="AB640" s="2" t="n">
        <v>8</v>
      </c>
      <c r="AC640" s="2"/>
    </row>
    <row r="641" customFormat="false" ht="15" hidden="false" customHeight="false" outlineLevel="0" collapsed="false">
      <c r="A641" s="2" t="n">
        <v>108</v>
      </c>
      <c r="B641" s="2" t="s">
        <v>1050</v>
      </c>
      <c r="C641" s="2" t="s">
        <v>1055</v>
      </c>
      <c r="D641" s="2" t="s">
        <v>3436</v>
      </c>
      <c r="E641" s="2" t="s">
        <v>1154</v>
      </c>
      <c r="F641" s="2" t="s">
        <v>1178</v>
      </c>
      <c r="G641" s="2" t="s">
        <v>3437</v>
      </c>
      <c r="H641" s="2" t="s">
        <v>3438</v>
      </c>
      <c r="I641" s="2" t="s">
        <v>1133</v>
      </c>
      <c r="J641" s="2" t="s">
        <v>3439</v>
      </c>
      <c r="K641" s="2" t="n">
        <v>10</v>
      </c>
      <c r="L641" s="2" t="n">
        <v>3114</v>
      </c>
      <c r="M641" s="2" t="n">
        <v>1791</v>
      </c>
      <c r="N641" s="2" t="n">
        <v>1581</v>
      </c>
      <c r="O641" s="2" t="n">
        <v>186</v>
      </c>
      <c r="P641" s="2" t="n">
        <v>1137</v>
      </c>
      <c r="Q641" s="2" t="n">
        <v>0</v>
      </c>
      <c r="R641" s="2" t="n">
        <v>0</v>
      </c>
      <c r="S641" s="2" t="n">
        <v>0</v>
      </c>
      <c r="T641" s="2" t="n">
        <v>0</v>
      </c>
      <c r="U641" s="2" t="n">
        <v>0</v>
      </c>
      <c r="V641" s="2" t="n">
        <v>0</v>
      </c>
      <c r="W641" s="2" t="n">
        <v>0</v>
      </c>
      <c r="X641" s="2" t="n">
        <v>0</v>
      </c>
      <c r="Y641" s="2" t="n">
        <v>0</v>
      </c>
      <c r="Z641" s="2" t="n">
        <v>0</v>
      </c>
      <c r="AA641" s="2" t="n">
        <v>0</v>
      </c>
      <c r="AB641" s="2" t="n">
        <v>0</v>
      </c>
      <c r="AC641" s="2"/>
    </row>
    <row r="642" customFormat="false" ht="15" hidden="false" customHeight="false" outlineLevel="0" collapsed="false">
      <c r="A642" s="2" t="n">
        <v>108</v>
      </c>
      <c r="B642" s="2" t="s">
        <v>1050</v>
      </c>
      <c r="C642" s="2" t="s">
        <v>1055</v>
      </c>
      <c r="D642" s="2" t="s">
        <v>3440</v>
      </c>
      <c r="E642" s="2" t="s">
        <v>1154</v>
      </c>
      <c r="F642" s="2" t="s">
        <v>1178</v>
      </c>
      <c r="G642" s="2" t="s">
        <v>3437</v>
      </c>
      <c r="H642" s="2" t="s">
        <v>3441</v>
      </c>
      <c r="I642" s="2" t="s">
        <v>1133</v>
      </c>
      <c r="J642" s="2" t="s">
        <v>3442</v>
      </c>
      <c r="K642" s="2" t="n">
        <v>5</v>
      </c>
      <c r="L642" s="2" t="n">
        <v>1400</v>
      </c>
      <c r="M642" s="2" t="n">
        <v>1040</v>
      </c>
      <c r="N642" s="2" t="n">
        <v>872</v>
      </c>
      <c r="O642" s="2" t="n">
        <v>62</v>
      </c>
      <c r="P642" s="2" t="n">
        <v>298</v>
      </c>
      <c r="Q642" s="2" t="n">
        <v>0</v>
      </c>
      <c r="R642" s="2" t="n">
        <v>0</v>
      </c>
      <c r="S642" s="2" t="n">
        <v>0</v>
      </c>
      <c r="T642" s="2" t="n">
        <v>0</v>
      </c>
      <c r="U642" s="2" t="n">
        <v>0</v>
      </c>
      <c r="V642" s="2" t="n">
        <v>0</v>
      </c>
      <c r="W642" s="2" t="n">
        <v>0</v>
      </c>
      <c r="X642" s="2" t="n">
        <v>0</v>
      </c>
      <c r="Y642" s="2" t="n">
        <v>0</v>
      </c>
      <c r="Z642" s="2" t="n">
        <v>0</v>
      </c>
      <c r="AA642" s="2" t="n">
        <v>0</v>
      </c>
      <c r="AB642" s="2" t="n">
        <v>0</v>
      </c>
      <c r="AC642" s="2"/>
    </row>
    <row r="643" customFormat="false" ht="15" hidden="false" customHeight="false" outlineLevel="0" collapsed="false">
      <c r="A643" s="2" t="n">
        <v>108</v>
      </c>
      <c r="B643" s="2" t="s">
        <v>1050</v>
      </c>
      <c r="C643" s="2" t="s">
        <v>1055</v>
      </c>
      <c r="D643" s="2" t="s">
        <v>3443</v>
      </c>
      <c r="E643" s="2" t="s">
        <v>1154</v>
      </c>
      <c r="F643" s="2" t="s">
        <v>1178</v>
      </c>
      <c r="G643" s="2" t="s">
        <v>3444</v>
      </c>
      <c r="H643" s="2" t="s">
        <v>3445</v>
      </c>
      <c r="I643" s="2" t="s">
        <v>1133</v>
      </c>
      <c r="J643" s="2" t="s">
        <v>3446</v>
      </c>
      <c r="K643" s="2" t="n">
        <v>11</v>
      </c>
      <c r="L643" s="2" t="n">
        <v>3763</v>
      </c>
      <c r="M643" s="2" t="n">
        <v>2473</v>
      </c>
      <c r="N643" s="2" t="n">
        <v>2286</v>
      </c>
      <c r="O643" s="2" t="n">
        <v>117</v>
      </c>
      <c r="P643" s="2" t="n">
        <v>1173</v>
      </c>
      <c r="Q643" s="2" t="n">
        <v>0</v>
      </c>
      <c r="R643" s="2" t="n">
        <v>0</v>
      </c>
      <c r="S643" s="2" t="n">
        <v>0</v>
      </c>
      <c r="T643" s="2" t="n">
        <v>0</v>
      </c>
      <c r="U643" s="2" t="n">
        <v>0</v>
      </c>
      <c r="V643" s="2" t="n">
        <v>0</v>
      </c>
      <c r="W643" s="2" t="n">
        <v>0</v>
      </c>
      <c r="X643" s="2" t="n">
        <v>0</v>
      </c>
      <c r="Y643" s="2" t="n">
        <v>0</v>
      </c>
      <c r="Z643" s="2" t="n">
        <v>0</v>
      </c>
      <c r="AA643" s="2" t="n">
        <v>0</v>
      </c>
      <c r="AB643" s="2" t="n">
        <v>0</v>
      </c>
      <c r="AC643" s="2"/>
    </row>
    <row r="644" customFormat="false" ht="15" hidden="false" customHeight="false" outlineLevel="0" collapsed="false">
      <c r="A644" s="2" t="n">
        <v>108</v>
      </c>
      <c r="B644" s="2" t="s">
        <v>1050</v>
      </c>
      <c r="C644" s="2" t="s">
        <v>1055</v>
      </c>
      <c r="D644" s="2" t="s">
        <v>3447</v>
      </c>
      <c r="E644" s="2" t="s">
        <v>1154</v>
      </c>
      <c r="F644" s="2" t="s">
        <v>1178</v>
      </c>
      <c r="G644" s="2" t="s">
        <v>746</v>
      </c>
      <c r="H644" s="2" t="s">
        <v>3448</v>
      </c>
      <c r="I644" s="2" t="s">
        <v>1133</v>
      </c>
      <c r="J644" s="2" t="s">
        <v>3449</v>
      </c>
      <c r="K644" s="2" t="n">
        <v>3</v>
      </c>
      <c r="L644" s="2" t="n">
        <v>992</v>
      </c>
      <c r="M644" s="2" t="n">
        <v>849</v>
      </c>
      <c r="N644" s="2" t="n">
        <v>688</v>
      </c>
      <c r="O644" s="2" t="n">
        <v>53</v>
      </c>
      <c r="P644" s="2" t="n">
        <v>90</v>
      </c>
      <c r="Q644" s="2" t="n">
        <v>0</v>
      </c>
      <c r="R644" s="2" t="n">
        <v>0</v>
      </c>
      <c r="S644" s="2" t="n">
        <v>0</v>
      </c>
      <c r="T644" s="2" t="n">
        <v>0</v>
      </c>
      <c r="U644" s="2" t="n">
        <v>0</v>
      </c>
      <c r="V644" s="2" t="n">
        <v>0</v>
      </c>
      <c r="W644" s="2" t="n">
        <v>0</v>
      </c>
      <c r="X644" s="2" t="n">
        <v>0</v>
      </c>
      <c r="Y644" s="2" t="n">
        <v>0</v>
      </c>
      <c r="Z644" s="2" t="n">
        <v>0</v>
      </c>
      <c r="AA644" s="2" t="n">
        <v>0</v>
      </c>
      <c r="AB644" s="2" t="n">
        <v>0</v>
      </c>
      <c r="AC644" s="2"/>
    </row>
    <row r="645" customFormat="false" ht="15" hidden="false" customHeight="false" outlineLevel="0" collapsed="false">
      <c r="A645" s="2" t="n">
        <v>108</v>
      </c>
      <c r="B645" s="2" t="s">
        <v>1050</v>
      </c>
      <c r="C645" s="2" t="s">
        <v>1055</v>
      </c>
      <c r="D645" s="2" t="s">
        <v>3450</v>
      </c>
      <c r="E645" s="2" t="s">
        <v>1154</v>
      </c>
      <c r="F645" s="2" t="s">
        <v>1178</v>
      </c>
      <c r="G645" s="2" t="s">
        <v>746</v>
      </c>
      <c r="H645" s="2" t="s">
        <v>3451</v>
      </c>
      <c r="I645" s="2" t="s">
        <v>1133</v>
      </c>
      <c r="J645" s="2" t="s">
        <v>3452</v>
      </c>
      <c r="K645" s="2" t="n">
        <v>3</v>
      </c>
      <c r="L645" s="2" t="n">
        <v>1041</v>
      </c>
      <c r="M645" s="2" t="n">
        <v>887</v>
      </c>
      <c r="N645" s="2" t="n">
        <v>726</v>
      </c>
      <c r="O645" s="2" t="n">
        <v>53</v>
      </c>
      <c r="P645" s="2" t="n">
        <v>101</v>
      </c>
      <c r="Q645" s="2" t="n">
        <v>0</v>
      </c>
      <c r="R645" s="2" t="n">
        <v>0</v>
      </c>
      <c r="S645" s="2" t="n">
        <v>0</v>
      </c>
      <c r="T645" s="2" t="n">
        <v>0</v>
      </c>
      <c r="U645" s="2" t="n">
        <v>0</v>
      </c>
      <c r="V645" s="2" t="n">
        <v>0</v>
      </c>
      <c r="W645" s="2" t="n">
        <v>0</v>
      </c>
      <c r="X645" s="2" t="n">
        <v>0</v>
      </c>
      <c r="Y645" s="2" t="n">
        <v>0</v>
      </c>
      <c r="Z645" s="2" t="n">
        <v>0</v>
      </c>
      <c r="AA645" s="2" t="n">
        <v>0</v>
      </c>
      <c r="AB645" s="2" t="n">
        <v>0</v>
      </c>
      <c r="AC645" s="2"/>
    </row>
    <row r="646" customFormat="false" ht="15" hidden="false" customHeight="false" outlineLevel="0" collapsed="false">
      <c r="A646" s="2" t="n">
        <v>108</v>
      </c>
      <c r="B646" s="2" t="s">
        <v>1050</v>
      </c>
      <c r="C646" s="2" t="s">
        <v>1055</v>
      </c>
      <c r="D646" s="2" t="s">
        <v>3453</v>
      </c>
      <c r="E646" s="2" t="s">
        <v>1154</v>
      </c>
      <c r="F646" s="2" t="s">
        <v>1178</v>
      </c>
      <c r="G646" s="2" t="s">
        <v>3454</v>
      </c>
      <c r="H646" s="2" t="s">
        <v>3455</v>
      </c>
      <c r="I646" s="2" t="s">
        <v>1133</v>
      </c>
      <c r="J646" s="2" t="s">
        <v>3456</v>
      </c>
      <c r="K646" s="2" t="n">
        <v>4</v>
      </c>
      <c r="L646" s="2" t="n">
        <v>999</v>
      </c>
      <c r="M646" s="2" t="n">
        <v>833</v>
      </c>
      <c r="N646" s="2" t="n">
        <v>657</v>
      </c>
      <c r="O646" s="2" t="n">
        <v>59</v>
      </c>
      <c r="P646" s="2" t="n">
        <v>107</v>
      </c>
      <c r="Q646" s="2" t="n">
        <v>0</v>
      </c>
      <c r="R646" s="2" t="n">
        <v>0</v>
      </c>
      <c r="S646" s="2" t="n">
        <v>0</v>
      </c>
      <c r="T646" s="2" t="n">
        <v>0</v>
      </c>
      <c r="U646" s="2" t="n">
        <v>0</v>
      </c>
      <c r="V646" s="2" t="n">
        <v>0</v>
      </c>
      <c r="W646" s="2" t="n">
        <v>0</v>
      </c>
      <c r="X646" s="2" t="n">
        <v>0</v>
      </c>
      <c r="Y646" s="2" t="n">
        <v>0</v>
      </c>
      <c r="Z646" s="2" t="n">
        <v>0</v>
      </c>
      <c r="AA646" s="2" t="n">
        <v>0</v>
      </c>
      <c r="AB646" s="2" t="n">
        <v>0</v>
      </c>
      <c r="AC646" s="2"/>
    </row>
    <row r="647" customFormat="false" ht="15" hidden="false" customHeight="false" outlineLevel="0" collapsed="false">
      <c r="A647" s="2" t="n">
        <v>108</v>
      </c>
      <c r="B647" s="2" t="s">
        <v>1050</v>
      </c>
      <c r="C647" s="2" t="s">
        <v>1055</v>
      </c>
      <c r="D647" s="2" t="s">
        <v>3457</v>
      </c>
      <c r="E647" s="2" t="s">
        <v>1154</v>
      </c>
      <c r="F647" s="2" t="s">
        <v>1178</v>
      </c>
      <c r="G647" s="2" t="s">
        <v>3458</v>
      </c>
      <c r="H647" s="2" t="s">
        <v>3459</v>
      </c>
      <c r="I647" s="2" t="s">
        <v>1133</v>
      </c>
      <c r="J647" s="2" t="s">
        <v>3460</v>
      </c>
      <c r="K647" s="2" t="n">
        <v>5</v>
      </c>
      <c r="L647" s="2" t="n">
        <v>1109</v>
      </c>
      <c r="M647" s="2" t="n">
        <v>932</v>
      </c>
      <c r="N647" s="2" t="n">
        <v>760</v>
      </c>
      <c r="O647" s="2" t="n">
        <v>62</v>
      </c>
      <c r="P647" s="2" t="n">
        <v>115</v>
      </c>
      <c r="Q647" s="2" t="n">
        <v>0</v>
      </c>
      <c r="R647" s="2" t="n">
        <v>0</v>
      </c>
      <c r="S647" s="2" t="n">
        <v>0</v>
      </c>
      <c r="T647" s="2" t="n">
        <v>0</v>
      </c>
      <c r="U647" s="2" t="n">
        <v>0</v>
      </c>
      <c r="V647" s="2" t="n">
        <v>0</v>
      </c>
      <c r="W647" s="2" t="n">
        <v>0</v>
      </c>
      <c r="X647" s="2" t="n">
        <v>0</v>
      </c>
      <c r="Y647" s="2" t="n">
        <v>0</v>
      </c>
      <c r="Z647" s="2" t="n">
        <v>0</v>
      </c>
      <c r="AA647" s="2" t="n">
        <v>0</v>
      </c>
      <c r="AB647" s="2" t="n">
        <v>0</v>
      </c>
      <c r="AC647" s="2"/>
    </row>
    <row r="648" customFormat="false" ht="15" hidden="false" customHeight="false" outlineLevel="0" collapsed="false">
      <c r="A648" s="2" t="n">
        <v>108</v>
      </c>
      <c r="B648" s="2" t="s">
        <v>1050</v>
      </c>
      <c r="C648" s="2" t="s">
        <v>1055</v>
      </c>
      <c r="D648" s="2" t="s">
        <v>3461</v>
      </c>
      <c r="E648" s="2" t="s">
        <v>1154</v>
      </c>
      <c r="F648" s="2" t="s">
        <v>1178</v>
      </c>
      <c r="G648" s="2" t="s">
        <v>3462</v>
      </c>
      <c r="H648" s="2" t="s">
        <v>3463</v>
      </c>
      <c r="I648" s="2" t="s">
        <v>1133</v>
      </c>
      <c r="J648" s="2" t="s">
        <v>3464</v>
      </c>
      <c r="K648" s="2" t="n">
        <v>5</v>
      </c>
      <c r="L648" s="2" t="n">
        <v>1174</v>
      </c>
      <c r="M648" s="2" t="n">
        <v>978</v>
      </c>
      <c r="N648" s="2" t="n">
        <v>786</v>
      </c>
      <c r="O648" s="2" t="n">
        <v>70</v>
      </c>
      <c r="P648" s="2" t="n">
        <v>126</v>
      </c>
      <c r="Q648" s="2" t="n">
        <v>0</v>
      </c>
      <c r="R648" s="2" t="n">
        <v>0</v>
      </c>
      <c r="S648" s="2" t="n">
        <v>0</v>
      </c>
      <c r="T648" s="2" t="n">
        <v>0</v>
      </c>
      <c r="U648" s="2" t="n">
        <v>0</v>
      </c>
      <c r="V648" s="2" t="n">
        <v>0</v>
      </c>
      <c r="W648" s="2" t="n">
        <v>0</v>
      </c>
      <c r="X648" s="2" t="n">
        <v>0</v>
      </c>
      <c r="Y648" s="2" t="n">
        <v>0</v>
      </c>
      <c r="Z648" s="2" t="n">
        <v>0</v>
      </c>
      <c r="AA648" s="2" t="n">
        <v>0</v>
      </c>
      <c r="AB648" s="2" t="n">
        <v>0</v>
      </c>
      <c r="AC648" s="2"/>
    </row>
    <row r="649" customFormat="false" ht="15" hidden="false" customHeight="false" outlineLevel="0" collapsed="false">
      <c r="A649" s="2" t="n">
        <v>108</v>
      </c>
      <c r="B649" s="2" t="s">
        <v>1050</v>
      </c>
      <c r="C649" s="2" t="s">
        <v>1055</v>
      </c>
      <c r="D649" s="2" t="s">
        <v>3465</v>
      </c>
      <c r="E649" s="2" t="s">
        <v>1154</v>
      </c>
      <c r="F649" s="2" t="s">
        <v>1178</v>
      </c>
      <c r="G649" s="2" t="s">
        <v>3466</v>
      </c>
      <c r="H649" s="2" t="s">
        <v>3467</v>
      </c>
      <c r="I649" s="2" t="s">
        <v>1133</v>
      </c>
      <c r="J649" s="2" t="s">
        <v>3468</v>
      </c>
      <c r="K649" s="2" t="n">
        <v>5</v>
      </c>
      <c r="L649" s="2" t="n">
        <v>1032</v>
      </c>
      <c r="M649" s="2" t="n">
        <v>883</v>
      </c>
      <c r="N649" s="2" t="n">
        <v>713</v>
      </c>
      <c r="O649" s="2" t="n">
        <v>73</v>
      </c>
      <c r="P649" s="2" t="n">
        <v>76</v>
      </c>
      <c r="Q649" s="2" t="n">
        <v>0</v>
      </c>
      <c r="R649" s="2" t="n">
        <v>0</v>
      </c>
      <c r="S649" s="2" t="n">
        <v>0</v>
      </c>
      <c r="T649" s="2" t="n">
        <v>0</v>
      </c>
      <c r="U649" s="2" t="n">
        <v>0</v>
      </c>
      <c r="V649" s="2" t="n">
        <v>0</v>
      </c>
      <c r="W649" s="2" t="n">
        <v>0</v>
      </c>
      <c r="X649" s="2" t="n">
        <v>0</v>
      </c>
      <c r="Y649" s="2" t="n">
        <v>0</v>
      </c>
      <c r="Z649" s="2" t="n">
        <v>0</v>
      </c>
      <c r="AA649" s="2" t="n">
        <v>0</v>
      </c>
      <c r="AB649" s="2" t="n">
        <v>0</v>
      </c>
      <c r="AC649" s="2"/>
    </row>
    <row r="650" customFormat="false" ht="15" hidden="false" customHeight="false" outlineLevel="0" collapsed="false">
      <c r="A650" s="2" t="n">
        <v>108</v>
      </c>
      <c r="B650" s="2" t="s">
        <v>1050</v>
      </c>
      <c r="C650" s="2" t="s">
        <v>1055</v>
      </c>
      <c r="D650" s="2" t="s">
        <v>3469</v>
      </c>
      <c r="E650" s="2" t="s">
        <v>1154</v>
      </c>
      <c r="F650" s="2" t="s">
        <v>1178</v>
      </c>
      <c r="G650" s="2" t="s">
        <v>891</v>
      </c>
      <c r="H650" s="2" t="s">
        <v>3470</v>
      </c>
      <c r="I650" s="2" t="s">
        <v>1133</v>
      </c>
      <c r="J650" s="2" t="s">
        <v>3471</v>
      </c>
      <c r="K650" s="2" t="n">
        <v>11</v>
      </c>
      <c r="L650" s="2" t="n">
        <v>3067</v>
      </c>
      <c r="M650" s="2" t="n">
        <v>865</v>
      </c>
      <c r="N650" s="2" t="n">
        <v>692</v>
      </c>
      <c r="O650" s="2" t="n">
        <v>113</v>
      </c>
      <c r="P650" s="2" t="n">
        <v>2089</v>
      </c>
      <c r="Q650" s="2" t="n">
        <v>0</v>
      </c>
      <c r="R650" s="2" t="n">
        <v>0</v>
      </c>
      <c r="S650" s="2" t="n">
        <v>0</v>
      </c>
      <c r="T650" s="2" t="n">
        <v>0</v>
      </c>
      <c r="U650" s="2" t="n">
        <v>0</v>
      </c>
      <c r="V650" s="2" t="n">
        <v>0</v>
      </c>
      <c r="W650" s="2" t="n">
        <v>0</v>
      </c>
      <c r="X650" s="2" t="n">
        <v>0</v>
      </c>
      <c r="Y650" s="2" t="n">
        <v>0</v>
      </c>
      <c r="Z650" s="2" t="n">
        <v>0</v>
      </c>
      <c r="AA650" s="2" t="n">
        <v>0</v>
      </c>
      <c r="AB650" s="2" t="n">
        <v>0</v>
      </c>
      <c r="AC650" s="2"/>
    </row>
    <row r="651" customFormat="false" ht="15" hidden="false" customHeight="false" outlineLevel="0" collapsed="false">
      <c r="A651" s="2" t="n">
        <v>108</v>
      </c>
      <c r="B651" s="2" t="s">
        <v>1050</v>
      </c>
      <c r="C651" s="2" t="s">
        <v>1055</v>
      </c>
      <c r="D651" s="2" t="s">
        <v>3472</v>
      </c>
      <c r="E651" s="2" t="s">
        <v>1154</v>
      </c>
      <c r="F651" s="2" t="s">
        <v>1178</v>
      </c>
      <c r="G651" s="2" t="s">
        <v>891</v>
      </c>
      <c r="H651" s="2" t="s">
        <v>3473</v>
      </c>
      <c r="I651" s="2" t="s">
        <v>1133</v>
      </c>
      <c r="J651" s="2" t="s">
        <v>3474</v>
      </c>
      <c r="K651" s="2" t="n">
        <v>6</v>
      </c>
      <c r="L651" s="2" t="n">
        <v>1797</v>
      </c>
      <c r="M651" s="2" t="n">
        <v>1084</v>
      </c>
      <c r="N651" s="2" t="n">
        <v>902</v>
      </c>
      <c r="O651" s="2" t="n">
        <v>70</v>
      </c>
      <c r="P651" s="2" t="n">
        <v>643</v>
      </c>
      <c r="Q651" s="2" t="n">
        <v>0</v>
      </c>
      <c r="R651" s="2" t="n">
        <v>0</v>
      </c>
      <c r="S651" s="2" t="n">
        <v>0</v>
      </c>
      <c r="T651" s="2" t="n">
        <v>0</v>
      </c>
      <c r="U651" s="2" t="n">
        <v>0</v>
      </c>
      <c r="V651" s="2" t="n">
        <v>0</v>
      </c>
      <c r="W651" s="2" t="n">
        <v>0</v>
      </c>
      <c r="X651" s="2" t="n">
        <v>0</v>
      </c>
      <c r="Y651" s="2" t="n">
        <v>0</v>
      </c>
      <c r="Z651" s="2" t="n">
        <v>0</v>
      </c>
      <c r="AA651" s="2" t="n">
        <v>0</v>
      </c>
      <c r="AB651" s="2" t="n">
        <v>0</v>
      </c>
      <c r="AC651" s="2"/>
    </row>
    <row r="652" customFormat="false" ht="15" hidden="false" customHeight="false" outlineLevel="0" collapsed="false">
      <c r="A652" s="2" t="n">
        <v>108</v>
      </c>
      <c r="B652" s="2" t="s">
        <v>1050</v>
      </c>
      <c r="C652" s="2" t="s">
        <v>1055</v>
      </c>
      <c r="D652" s="2" t="s">
        <v>3475</v>
      </c>
      <c r="E652" s="2" t="s">
        <v>1154</v>
      </c>
      <c r="F652" s="2" t="s">
        <v>1178</v>
      </c>
      <c r="G652" s="2" t="s">
        <v>3476</v>
      </c>
      <c r="H652" s="2" t="s">
        <v>3477</v>
      </c>
      <c r="I652" s="2" t="s">
        <v>1133</v>
      </c>
      <c r="J652" s="2" t="s">
        <v>3478</v>
      </c>
      <c r="K652" s="2" t="n">
        <v>6</v>
      </c>
      <c r="L652" s="2" t="n">
        <v>2402</v>
      </c>
      <c r="M652" s="2" t="n">
        <v>1487</v>
      </c>
      <c r="N652" s="2" t="n">
        <v>1305</v>
      </c>
      <c r="O652" s="2" t="n">
        <v>72</v>
      </c>
      <c r="P652" s="2" t="n">
        <v>843</v>
      </c>
      <c r="Q652" s="2" t="n">
        <v>0</v>
      </c>
      <c r="R652" s="2" t="n">
        <v>0</v>
      </c>
      <c r="S652" s="2" t="n">
        <v>0</v>
      </c>
      <c r="T652" s="2" t="n">
        <v>0</v>
      </c>
      <c r="U652" s="2" t="n">
        <v>0</v>
      </c>
      <c r="V652" s="2" t="n">
        <v>0</v>
      </c>
      <c r="W652" s="2" t="n">
        <v>0</v>
      </c>
      <c r="X652" s="2" t="n">
        <v>0</v>
      </c>
      <c r="Y652" s="2" t="n">
        <v>0</v>
      </c>
      <c r="Z652" s="2" t="n">
        <v>0</v>
      </c>
      <c r="AA652" s="2" t="n">
        <v>0</v>
      </c>
      <c r="AB652" s="2" t="n">
        <v>0</v>
      </c>
      <c r="AC652" s="2"/>
    </row>
    <row r="653" customFormat="false" ht="15" hidden="false" customHeight="false" outlineLevel="0" collapsed="false">
      <c r="A653" s="2" t="n">
        <v>108</v>
      </c>
      <c r="B653" s="2" t="s">
        <v>1050</v>
      </c>
      <c r="C653" s="2" t="s">
        <v>1055</v>
      </c>
      <c r="D653" s="2" t="s">
        <v>3479</v>
      </c>
      <c r="E653" s="2" t="s">
        <v>1154</v>
      </c>
      <c r="F653" s="2" t="s">
        <v>1178</v>
      </c>
      <c r="G653" s="2" t="s">
        <v>654</v>
      </c>
      <c r="H653" s="2" t="s">
        <v>3480</v>
      </c>
      <c r="I653" s="2" t="s">
        <v>1133</v>
      </c>
      <c r="J653" s="2" t="s">
        <v>3481</v>
      </c>
      <c r="K653" s="2" t="n">
        <v>9</v>
      </c>
      <c r="L653" s="2" t="n">
        <v>2360</v>
      </c>
      <c r="M653" s="2" t="n">
        <v>847</v>
      </c>
      <c r="N653" s="2" t="n">
        <v>680</v>
      </c>
      <c r="O653" s="2" t="n">
        <v>113</v>
      </c>
      <c r="P653" s="2" t="n">
        <v>1400</v>
      </c>
      <c r="Q653" s="2" t="n">
        <v>0</v>
      </c>
      <c r="R653" s="2" t="n">
        <v>0</v>
      </c>
      <c r="S653" s="2" t="n">
        <v>0</v>
      </c>
      <c r="T653" s="2" t="n">
        <v>0</v>
      </c>
      <c r="U653" s="2" t="n">
        <v>0</v>
      </c>
      <c r="V653" s="2" t="n">
        <v>0</v>
      </c>
      <c r="W653" s="2" t="n">
        <v>0</v>
      </c>
      <c r="X653" s="2" t="n">
        <v>0</v>
      </c>
      <c r="Y653" s="2" t="n">
        <v>0</v>
      </c>
      <c r="Z653" s="2" t="n">
        <v>0</v>
      </c>
      <c r="AA653" s="2" t="n">
        <v>0</v>
      </c>
      <c r="AB653" s="2" t="n">
        <v>0</v>
      </c>
      <c r="AC653" s="2"/>
    </row>
    <row r="654" customFormat="false" ht="15" hidden="false" customHeight="false" outlineLevel="0" collapsed="false">
      <c r="A654" s="2" t="n">
        <v>108</v>
      </c>
      <c r="B654" s="2" t="s">
        <v>1050</v>
      </c>
      <c r="C654" s="2" t="s">
        <v>1055</v>
      </c>
      <c r="D654" s="2" t="s">
        <v>3482</v>
      </c>
      <c r="E654" s="2" t="s">
        <v>1154</v>
      </c>
      <c r="F654" s="2" t="s">
        <v>1178</v>
      </c>
      <c r="G654" s="2" t="s">
        <v>3483</v>
      </c>
      <c r="H654" s="2" t="s">
        <v>3484</v>
      </c>
      <c r="I654" s="2" t="s">
        <v>1133</v>
      </c>
      <c r="J654" s="2" t="s">
        <v>3485</v>
      </c>
      <c r="K654" s="2" t="n">
        <v>27</v>
      </c>
      <c r="L654" s="2" t="n">
        <v>11936</v>
      </c>
      <c r="M654" s="2" t="n">
        <v>1683</v>
      </c>
      <c r="N654" s="2" t="n">
        <v>1518</v>
      </c>
      <c r="O654" s="2" t="n">
        <v>203</v>
      </c>
      <c r="P654" s="2" t="n">
        <v>10050</v>
      </c>
      <c r="Q654" s="2" t="n">
        <v>0</v>
      </c>
      <c r="R654" s="2" t="n">
        <v>0</v>
      </c>
      <c r="S654" s="2" t="n">
        <v>14</v>
      </c>
      <c r="T654" s="2" t="n">
        <v>4</v>
      </c>
      <c r="U654" s="2" t="n">
        <v>10</v>
      </c>
      <c r="V654" s="2" t="n">
        <v>0</v>
      </c>
      <c r="W654" s="2" t="n">
        <v>0</v>
      </c>
      <c r="X654" s="2" t="n">
        <v>0</v>
      </c>
      <c r="Y654" s="2" t="n">
        <v>1</v>
      </c>
      <c r="Z654" s="2" t="n">
        <v>0</v>
      </c>
      <c r="AA654" s="2" t="n">
        <v>0</v>
      </c>
      <c r="AB654" s="2" t="n">
        <v>13</v>
      </c>
      <c r="AC654" s="2"/>
    </row>
    <row r="655" customFormat="false" ht="15" hidden="false" customHeight="false" outlineLevel="0" collapsed="false">
      <c r="A655" s="2" t="n">
        <v>108</v>
      </c>
      <c r="B655" s="2" t="s">
        <v>1050</v>
      </c>
      <c r="C655" s="2" t="s">
        <v>1055</v>
      </c>
      <c r="D655" s="2" t="s">
        <v>3486</v>
      </c>
      <c r="E655" s="2" t="s">
        <v>1154</v>
      </c>
      <c r="F655" s="2" t="s">
        <v>1178</v>
      </c>
      <c r="G655" s="2" t="s">
        <v>1959</v>
      </c>
      <c r="H655" s="2" t="s">
        <v>3487</v>
      </c>
      <c r="I655" s="2" t="s">
        <v>1133</v>
      </c>
      <c r="J655" s="2" t="s">
        <v>3488</v>
      </c>
      <c r="K655" s="2" t="n">
        <v>5</v>
      </c>
      <c r="L655" s="2" t="n">
        <v>1989</v>
      </c>
      <c r="M655" s="2" t="n">
        <v>1537</v>
      </c>
      <c r="N655" s="2" t="n">
        <v>1336</v>
      </c>
      <c r="O655" s="2" t="n">
        <v>59</v>
      </c>
      <c r="P655" s="2" t="n">
        <v>393</v>
      </c>
      <c r="Q655" s="2" t="n">
        <v>0</v>
      </c>
      <c r="R655" s="2" t="n">
        <v>0</v>
      </c>
      <c r="S655" s="2" t="n">
        <v>0</v>
      </c>
      <c r="T655" s="2" t="n">
        <v>0</v>
      </c>
      <c r="U655" s="2" t="n">
        <v>0</v>
      </c>
      <c r="V655" s="2" t="n">
        <v>0</v>
      </c>
      <c r="W655" s="2" t="n">
        <v>0</v>
      </c>
      <c r="X655" s="2" t="n">
        <v>0</v>
      </c>
      <c r="Y655" s="2" t="n">
        <v>0</v>
      </c>
      <c r="Z655" s="2" t="n">
        <v>0</v>
      </c>
      <c r="AA655" s="2" t="n">
        <v>0</v>
      </c>
      <c r="AB655" s="2" t="n">
        <v>0</v>
      </c>
      <c r="AC655" s="2"/>
    </row>
    <row r="656" customFormat="false" ht="15" hidden="false" customHeight="false" outlineLevel="0" collapsed="false">
      <c r="A656" s="2" t="n">
        <v>108</v>
      </c>
      <c r="B656" s="2" t="s">
        <v>1050</v>
      </c>
      <c r="C656" s="2" t="s">
        <v>1055</v>
      </c>
      <c r="D656" s="2" t="s">
        <v>3489</v>
      </c>
      <c r="E656" s="2" t="s">
        <v>1154</v>
      </c>
      <c r="F656" s="2" t="s">
        <v>1178</v>
      </c>
      <c r="G656" s="2" t="s">
        <v>3490</v>
      </c>
      <c r="H656" s="2" t="s">
        <v>3491</v>
      </c>
      <c r="I656" s="2" t="s">
        <v>1133</v>
      </c>
      <c r="J656" s="2" t="s">
        <v>3492</v>
      </c>
      <c r="K656" s="2" t="n">
        <v>5</v>
      </c>
      <c r="L656" s="2" t="n">
        <v>1509</v>
      </c>
      <c r="M656" s="2" t="n">
        <v>1156</v>
      </c>
      <c r="N656" s="2" t="n">
        <v>986</v>
      </c>
      <c r="O656" s="2" t="n">
        <v>70</v>
      </c>
      <c r="P656" s="2" t="n">
        <v>283</v>
      </c>
      <c r="Q656" s="2" t="n">
        <v>0</v>
      </c>
      <c r="R656" s="2" t="n">
        <v>0</v>
      </c>
      <c r="S656" s="2" t="n">
        <v>0</v>
      </c>
      <c r="T656" s="2" t="n">
        <v>0</v>
      </c>
      <c r="U656" s="2" t="n">
        <v>0</v>
      </c>
      <c r="V656" s="2" t="n">
        <v>0</v>
      </c>
      <c r="W656" s="2" t="n">
        <v>0</v>
      </c>
      <c r="X656" s="2" t="n">
        <v>0</v>
      </c>
      <c r="Y656" s="2" t="n">
        <v>0</v>
      </c>
      <c r="Z656" s="2" t="n">
        <v>0</v>
      </c>
      <c r="AA656" s="2" t="n">
        <v>0</v>
      </c>
      <c r="AB656" s="2" t="n">
        <v>0</v>
      </c>
      <c r="AC656" s="2"/>
    </row>
    <row r="657" customFormat="false" ht="15" hidden="false" customHeight="false" outlineLevel="0" collapsed="false">
      <c r="A657" s="2" t="n">
        <v>108</v>
      </c>
      <c r="B657" s="2" t="s">
        <v>1050</v>
      </c>
      <c r="C657" s="2" t="s">
        <v>1055</v>
      </c>
      <c r="D657" s="2" t="s">
        <v>3493</v>
      </c>
      <c r="E657" s="2" t="s">
        <v>1154</v>
      </c>
      <c r="F657" s="2" t="s">
        <v>1178</v>
      </c>
      <c r="G657" s="2" t="s">
        <v>3494</v>
      </c>
      <c r="H657" s="2" t="s">
        <v>3495</v>
      </c>
      <c r="I657" s="2" t="s">
        <v>1133</v>
      </c>
      <c r="J657" s="2" t="s">
        <v>3496</v>
      </c>
      <c r="K657" s="2" t="n">
        <v>5</v>
      </c>
      <c r="L657" s="2" t="n">
        <v>1438</v>
      </c>
      <c r="M657" s="2" t="n">
        <v>1140</v>
      </c>
      <c r="N657" s="2" t="n">
        <v>979</v>
      </c>
      <c r="O657" s="2" t="n">
        <v>70</v>
      </c>
      <c r="P657" s="2" t="n">
        <v>228</v>
      </c>
      <c r="Q657" s="2" t="n">
        <v>0</v>
      </c>
      <c r="R657" s="2" t="n">
        <v>0</v>
      </c>
      <c r="S657" s="2" t="n">
        <v>0</v>
      </c>
      <c r="T657" s="2" t="n">
        <v>0</v>
      </c>
      <c r="U657" s="2" t="n">
        <v>0</v>
      </c>
      <c r="V657" s="2" t="n">
        <v>0</v>
      </c>
      <c r="W657" s="2" t="n">
        <v>0</v>
      </c>
      <c r="X657" s="2" t="n">
        <v>0</v>
      </c>
      <c r="Y657" s="2" t="n">
        <v>0</v>
      </c>
      <c r="Z657" s="2" t="n">
        <v>0</v>
      </c>
      <c r="AA657" s="2" t="n">
        <v>0</v>
      </c>
      <c r="AB657" s="2" t="n">
        <v>0</v>
      </c>
      <c r="AC657" s="2"/>
    </row>
    <row r="658" customFormat="false" ht="15" hidden="false" customHeight="false" outlineLevel="0" collapsed="false">
      <c r="A658" s="2" t="n">
        <v>108</v>
      </c>
      <c r="B658" s="2" t="s">
        <v>1050</v>
      </c>
      <c r="C658" s="2" t="s">
        <v>1055</v>
      </c>
      <c r="D658" s="2" t="s">
        <v>3497</v>
      </c>
      <c r="E658" s="2" t="s">
        <v>1154</v>
      </c>
      <c r="F658" s="2" t="s">
        <v>1178</v>
      </c>
      <c r="G658" s="2" t="s">
        <v>3494</v>
      </c>
      <c r="H658" s="2" t="s">
        <v>3498</v>
      </c>
      <c r="I658" s="2" t="s">
        <v>1133</v>
      </c>
      <c r="J658" s="2" t="s">
        <v>3499</v>
      </c>
      <c r="K658" s="2" t="n">
        <v>3</v>
      </c>
      <c r="L658" s="2" t="n">
        <v>996</v>
      </c>
      <c r="M658" s="2" t="n">
        <v>868</v>
      </c>
      <c r="N658" s="2" t="n">
        <v>695</v>
      </c>
      <c r="O658" s="2" t="n">
        <v>53</v>
      </c>
      <c r="P658" s="2" t="n">
        <v>75</v>
      </c>
      <c r="Q658" s="2" t="n">
        <v>0</v>
      </c>
      <c r="R658" s="2" t="n">
        <v>0</v>
      </c>
      <c r="S658" s="2" t="n">
        <v>0</v>
      </c>
      <c r="T658" s="2" t="n">
        <v>0</v>
      </c>
      <c r="U658" s="2" t="n">
        <v>0</v>
      </c>
      <c r="V658" s="2" t="n">
        <v>0</v>
      </c>
      <c r="W658" s="2" t="n">
        <v>0</v>
      </c>
      <c r="X658" s="2" t="n">
        <v>0</v>
      </c>
      <c r="Y658" s="2" t="n">
        <v>0</v>
      </c>
      <c r="Z658" s="2" t="n">
        <v>0</v>
      </c>
      <c r="AA658" s="2" t="n">
        <v>0</v>
      </c>
      <c r="AB658" s="2" t="n">
        <v>0</v>
      </c>
      <c r="AC658" s="2"/>
    </row>
    <row r="659" customFormat="false" ht="15" hidden="false" customHeight="false" outlineLevel="0" collapsed="false">
      <c r="A659" s="2" t="n">
        <v>108</v>
      </c>
      <c r="B659" s="2" t="s">
        <v>1050</v>
      </c>
      <c r="C659" s="2" t="s">
        <v>1055</v>
      </c>
      <c r="D659" s="2" t="s">
        <v>3500</v>
      </c>
      <c r="E659" s="2" t="s">
        <v>1154</v>
      </c>
      <c r="F659" s="2" t="s">
        <v>1178</v>
      </c>
      <c r="G659" s="2" t="s">
        <v>3501</v>
      </c>
      <c r="H659" s="2" t="s">
        <v>3502</v>
      </c>
      <c r="I659" s="2" t="s">
        <v>1133</v>
      </c>
      <c r="J659" s="2" t="s">
        <v>3503</v>
      </c>
      <c r="K659" s="2" t="n">
        <v>4</v>
      </c>
      <c r="L659" s="2" t="n">
        <v>1206</v>
      </c>
      <c r="M659" s="2" t="n">
        <v>884</v>
      </c>
      <c r="N659" s="2" t="n">
        <v>725</v>
      </c>
      <c r="O659" s="2" t="n">
        <v>67</v>
      </c>
      <c r="P659" s="2" t="n">
        <v>255</v>
      </c>
      <c r="Q659" s="2" t="n">
        <v>0</v>
      </c>
      <c r="R659" s="2" t="n">
        <v>0</v>
      </c>
      <c r="S659" s="2" t="n">
        <v>0</v>
      </c>
      <c r="T659" s="2" t="n">
        <v>0</v>
      </c>
      <c r="U659" s="2" t="n">
        <v>0</v>
      </c>
      <c r="V659" s="2" t="n">
        <v>0</v>
      </c>
      <c r="W659" s="2" t="n">
        <v>0</v>
      </c>
      <c r="X659" s="2" t="n">
        <v>0</v>
      </c>
      <c r="Y659" s="2" t="n">
        <v>0</v>
      </c>
      <c r="Z659" s="2" t="n">
        <v>0</v>
      </c>
      <c r="AA659" s="2" t="n">
        <v>0</v>
      </c>
      <c r="AB659" s="2" t="n">
        <v>0</v>
      </c>
      <c r="AC659" s="2"/>
    </row>
    <row r="660" customFormat="false" ht="15" hidden="false" customHeight="false" outlineLevel="0" collapsed="false">
      <c r="A660" s="2" t="n">
        <v>108</v>
      </c>
      <c r="B660" s="2" t="s">
        <v>1050</v>
      </c>
      <c r="C660" s="2" t="s">
        <v>1055</v>
      </c>
      <c r="D660" s="2" t="s">
        <v>3504</v>
      </c>
      <c r="E660" s="2" t="s">
        <v>1154</v>
      </c>
      <c r="F660" s="2" t="s">
        <v>1178</v>
      </c>
      <c r="G660" s="2" t="s">
        <v>3505</v>
      </c>
      <c r="H660" s="2" t="s">
        <v>3506</v>
      </c>
      <c r="I660" s="2" t="s">
        <v>1133</v>
      </c>
      <c r="J660" s="2" t="s">
        <v>3507</v>
      </c>
      <c r="K660" s="2" t="n">
        <v>22</v>
      </c>
      <c r="L660" s="2" t="n">
        <v>5927</v>
      </c>
      <c r="M660" s="2" t="n">
        <v>997</v>
      </c>
      <c r="N660" s="2" t="n">
        <v>832</v>
      </c>
      <c r="O660" s="2" t="n">
        <v>111</v>
      </c>
      <c r="P660" s="2" t="n">
        <v>4819</v>
      </c>
      <c r="Q660" s="2" t="n">
        <v>0</v>
      </c>
      <c r="R660" s="2" t="n">
        <v>0</v>
      </c>
      <c r="S660" s="2" t="n">
        <v>1</v>
      </c>
      <c r="T660" s="2" t="n">
        <v>1</v>
      </c>
      <c r="U660" s="2" t="n">
        <v>0</v>
      </c>
      <c r="V660" s="2" t="n">
        <v>0</v>
      </c>
      <c r="W660" s="2" t="n">
        <v>0</v>
      </c>
      <c r="X660" s="2" t="n">
        <v>0</v>
      </c>
      <c r="Y660" s="2" t="n">
        <v>0</v>
      </c>
      <c r="Z660" s="2" t="n">
        <v>0</v>
      </c>
      <c r="AA660" s="2" t="n">
        <v>0</v>
      </c>
      <c r="AB660" s="2" t="n">
        <v>1</v>
      </c>
      <c r="AC660" s="2"/>
    </row>
    <row r="661" customFormat="false" ht="15" hidden="false" customHeight="false" outlineLevel="0" collapsed="false">
      <c r="A661" s="2" t="n">
        <v>108</v>
      </c>
      <c r="B661" s="2" t="s">
        <v>1050</v>
      </c>
      <c r="C661" s="2" t="s">
        <v>1055</v>
      </c>
      <c r="D661" s="2" t="s">
        <v>3508</v>
      </c>
      <c r="E661" s="2" t="s">
        <v>1154</v>
      </c>
      <c r="F661" s="2" t="s">
        <v>1178</v>
      </c>
      <c r="G661" s="2" t="s">
        <v>3023</v>
      </c>
      <c r="H661" s="2" t="s">
        <v>3509</v>
      </c>
      <c r="I661" s="2" t="s">
        <v>1133</v>
      </c>
      <c r="J661" s="2" t="s">
        <v>3510</v>
      </c>
      <c r="K661" s="2" t="n">
        <v>2</v>
      </c>
      <c r="L661" s="2" t="n">
        <v>552</v>
      </c>
      <c r="M661" s="2" t="n">
        <v>482</v>
      </c>
      <c r="N661" s="2" t="n">
        <v>303</v>
      </c>
      <c r="O661" s="2" t="n">
        <v>70</v>
      </c>
      <c r="P661" s="2" t="n">
        <v>0</v>
      </c>
      <c r="Q661" s="2" t="n">
        <v>0</v>
      </c>
      <c r="R661" s="2" t="n">
        <v>0</v>
      </c>
      <c r="S661" s="2" t="n">
        <v>0</v>
      </c>
      <c r="T661" s="2" t="n">
        <v>0</v>
      </c>
      <c r="U661" s="2" t="n">
        <v>0</v>
      </c>
      <c r="V661" s="2" t="n">
        <v>0</v>
      </c>
      <c r="W661" s="2" t="n">
        <v>0</v>
      </c>
      <c r="X661" s="2" t="n">
        <v>0</v>
      </c>
      <c r="Y661" s="2" t="n">
        <v>0</v>
      </c>
      <c r="Z661" s="2" t="n">
        <v>0</v>
      </c>
      <c r="AA661" s="2" t="n">
        <v>0</v>
      </c>
      <c r="AB661" s="2" t="n">
        <v>0</v>
      </c>
      <c r="AC661" s="2"/>
    </row>
    <row r="662" customFormat="false" ht="15" hidden="false" customHeight="false" outlineLevel="0" collapsed="false">
      <c r="A662" s="2" t="n">
        <v>108</v>
      </c>
      <c r="B662" s="2" t="s">
        <v>1050</v>
      </c>
      <c r="C662" s="2" t="s">
        <v>1055</v>
      </c>
      <c r="D662" s="2" t="s">
        <v>3511</v>
      </c>
      <c r="E662" s="2" t="s">
        <v>1154</v>
      </c>
      <c r="F662" s="2" t="s">
        <v>1178</v>
      </c>
      <c r="G662" s="2" t="s">
        <v>1014</v>
      </c>
      <c r="H662" s="2" t="s">
        <v>3512</v>
      </c>
      <c r="I662" s="2" t="s">
        <v>1133</v>
      </c>
      <c r="J662" s="2" t="s">
        <v>3513</v>
      </c>
      <c r="K662" s="2" t="n">
        <v>3</v>
      </c>
      <c r="L662" s="2" t="n">
        <v>858</v>
      </c>
      <c r="M662" s="2" t="n">
        <v>727</v>
      </c>
      <c r="N662" s="2" t="n">
        <v>567</v>
      </c>
      <c r="O662" s="2" t="n">
        <v>42</v>
      </c>
      <c r="P662" s="2" t="n">
        <v>89</v>
      </c>
      <c r="Q662" s="2" t="n">
        <v>0</v>
      </c>
      <c r="R662" s="2" t="n">
        <v>0</v>
      </c>
      <c r="S662" s="2" t="n">
        <v>0</v>
      </c>
      <c r="T662" s="2" t="n">
        <v>0</v>
      </c>
      <c r="U662" s="2" t="n">
        <v>0</v>
      </c>
      <c r="V662" s="2" t="n">
        <v>0</v>
      </c>
      <c r="W662" s="2" t="n">
        <v>0</v>
      </c>
      <c r="X662" s="2" t="n">
        <v>0</v>
      </c>
      <c r="Y662" s="2" t="n">
        <v>0</v>
      </c>
      <c r="Z662" s="2" t="n">
        <v>0</v>
      </c>
      <c r="AA662" s="2" t="n">
        <v>0</v>
      </c>
      <c r="AB662" s="2" t="n">
        <v>0</v>
      </c>
      <c r="AC662" s="2"/>
    </row>
    <row r="663" customFormat="false" ht="15" hidden="false" customHeight="false" outlineLevel="0" collapsed="false">
      <c r="A663" s="2" t="n">
        <v>108</v>
      </c>
      <c r="B663" s="2" t="s">
        <v>1050</v>
      </c>
      <c r="C663" s="2" t="s">
        <v>1055</v>
      </c>
      <c r="D663" s="2" t="s">
        <v>3514</v>
      </c>
      <c r="E663" s="2" t="s">
        <v>1154</v>
      </c>
      <c r="F663" s="2" t="s">
        <v>1178</v>
      </c>
      <c r="G663" s="2" t="s">
        <v>1014</v>
      </c>
      <c r="H663" s="2" t="s">
        <v>3515</v>
      </c>
      <c r="I663" s="2" t="s">
        <v>1133</v>
      </c>
      <c r="J663" s="2" t="s">
        <v>3516</v>
      </c>
      <c r="K663" s="2" t="n">
        <v>3</v>
      </c>
      <c r="L663" s="2" t="n">
        <v>750</v>
      </c>
      <c r="M663" s="2" t="n">
        <v>653</v>
      </c>
      <c r="N663" s="2" t="n">
        <v>498</v>
      </c>
      <c r="O663" s="2" t="n">
        <v>42</v>
      </c>
      <c r="P663" s="2" t="n">
        <v>55</v>
      </c>
      <c r="Q663" s="2" t="n">
        <v>0</v>
      </c>
      <c r="R663" s="2" t="n">
        <v>0</v>
      </c>
      <c r="S663" s="2" t="n">
        <v>0</v>
      </c>
      <c r="T663" s="2" t="n">
        <v>0</v>
      </c>
      <c r="U663" s="2" t="n">
        <v>0</v>
      </c>
      <c r="V663" s="2" t="n">
        <v>0</v>
      </c>
      <c r="W663" s="2" t="n">
        <v>0</v>
      </c>
      <c r="X663" s="2" t="n">
        <v>0</v>
      </c>
      <c r="Y663" s="2" t="n">
        <v>0</v>
      </c>
      <c r="Z663" s="2" t="n">
        <v>0</v>
      </c>
      <c r="AA663" s="2" t="n">
        <v>0</v>
      </c>
      <c r="AB663" s="2" t="n">
        <v>0</v>
      </c>
      <c r="AC663" s="2"/>
    </row>
    <row r="664" customFormat="false" ht="15" hidden="false" customHeight="false" outlineLevel="0" collapsed="false">
      <c r="A664" s="2" t="n">
        <v>108</v>
      </c>
      <c r="B664" s="2" t="s">
        <v>1050</v>
      </c>
      <c r="C664" s="2" t="s">
        <v>1055</v>
      </c>
      <c r="D664" s="2" t="s">
        <v>3517</v>
      </c>
      <c r="E664" s="2" t="s">
        <v>1154</v>
      </c>
      <c r="F664" s="2" t="s">
        <v>1178</v>
      </c>
      <c r="G664" s="2" t="s">
        <v>3518</v>
      </c>
      <c r="H664" s="2" t="s">
        <v>3519</v>
      </c>
      <c r="I664" s="2" t="s">
        <v>1133</v>
      </c>
      <c r="J664" s="2" t="s">
        <v>3520</v>
      </c>
      <c r="K664" s="2" t="n">
        <v>89</v>
      </c>
      <c r="L664" s="2" t="n">
        <v>23854</v>
      </c>
      <c r="M664" s="2" t="n">
        <v>2580</v>
      </c>
      <c r="N664" s="2" t="n">
        <v>2386</v>
      </c>
      <c r="O664" s="2" t="n">
        <v>157</v>
      </c>
      <c r="P664" s="2" t="n">
        <v>21117</v>
      </c>
      <c r="Q664" s="2" t="n">
        <v>0</v>
      </c>
      <c r="R664" s="2" t="n">
        <v>0</v>
      </c>
      <c r="S664" s="2" t="n">
        <v>2</v>
      </c>
      <c r="T664" s="2" t="n">
        <v>1</v>
      </c>
      <c r="U664" s="2" t="n">
        <v>1</v>
      </c>
      <c r="V664" s="2" t="n">
        <v>0</v>
      </c>
      <c r="W664" s="2" t="n">
        <v>0</v>
      </c>
      <c r="X664" s="2" t="n">
        <v>0</v>
      </c>
      <c r="Y664" s="2" t="n">
        <v>0</v>
      </c>
      <c r="Z664" s="2" t="n">
        <v>0</v>
      </c>
      <c r="AA664" s="2" t="n">
        <v>0</v>
      </c>
      <c r="AB664" s="2" t="n">
        <v>2</v>
      </c>
      <c r="AC664" s="2"/>
    </row>
    <row r="665" customFormat="false" ht="15" hidden="false" customHeight="false" outlineLevel="0" collapsed="false">
      <c r="A665" s="2" t="n">
        <v>108</v>
      </c>
      <c r="B665" s="2" t="s">
        <v>1050</v>
      </c>
      <c r="C665" s="2" t="s">
        <v>1055</v>
      </c>
      <c r="D665" s="2" t="s">
        <v>3521</v>
      </c>
      <c r="E665" s="2" t="s">
        <v>1154</v>
      </c>
      <c r="F665" s="2" t="s">
        <v>1178</v>
      </c>
      <c r="G665" s="2" t="s">
        <v>3522</v>
      </c>
      <c r="H665" s="2" t="s">
        <v>3523</v>
      </c>
      <c r="I665" s="2" t="s">
        <v>1133</v>
      </c>
      <c r="J665" s="2" t="s">
        <v>3524</v>
      </c>
      <c r="K665" s="2" t="n">
        <v>3</v>
      </c>
      <c r="L665" s="2" t="n">
        <v>943</v>
      </c>
      <c r="M665" s="2" t="n">
        <v>849</v>
      </c>
      <c r="N665" s="2" t="n">
        <v>681</v>
      </c>
      <c r="O665" s="2" t="n">
        <v>53</v>
      </c>
      <c r="P665" s="2" t="n">
        <v>41</v>
      </c>
      <c r="Q665" s="2" t="n">
        <v>0</v>
      </c>
      <c r="R665" s="2" t="n">
        <v>0</v>
      </c>
      <c r="S665" s="2" t="n">
        <v>0</v>
      </c>
      <c r="T665" s="2" t="n">
        <v>0</v>
      </c>
      <c r="U665" s="2" t="n">
        <v>0</v>
      </c>
      <c r="V665" s="2" t="n">
        <v>0</v>
      </c>
      <c r="W665" s="2" t="n">
        <v>0</v>
      </c>
      <c r="X665" s="2" t="n">
        <v>0</v>
      </c>
      <c r="Y665" s="2" t="n">
        <v>0</v>
      </c>
      <c r="Z665" s="2" t="n">
        <v>0</v>
      </c>
      <c r="AA665" s="2" t="n">
        <v>0</v>
      </c>
      <c r="AB665" s="2" t="n">
        <v>0</v>
      </c>
      <c r="AC665" s="2"/>
    </row>
    <row r="666" customFormat="false" ht="15" hidden="false" customHeight="false" outlineLevel="0" collapsed="false">
      <c r="A666" s="2" t="n">
        <v>108</v>
      </c>
      <c r="B666" s="2" t="s">
        <v>1050</v>
      </c>
      <c r="C666" s="2" t="s">
        <v>1055</v>
      </c>
      <c r="D666" s="2" t="s">
        <v>3525</v>
      </c>
      <c r="E666" s="2" t="s">
        <v>1154</v>
      </c>
      <c r="F666" s="2" t="s">
        <v>1178</v>
      </c>
      <c r="G666" s="2" t="s">
        <v>496</v>
      </c>
      <c r="H666" s="2" t="s">
        <v>3526</v>
      </c>
      <c r="I666" s="2" t="s">
        <v>1133</v>
      </c>
      <c r="J666" s="2" t="s">
        <v>3527</v>
      </c>
      <c r="K666" s="2" t="n">
        <v>4</v>
      </c>
      <c r="L666" s="2" t="n">
        <v>1211</v>
      </c>
      <c r="M666" s="2" t="n">
        <v>938</v>
      </c>
      <c r="N666" s="2" t="n">
        <v>776</v>
      </c>
      <c r="O666" s="2" t="n">
        <v>58</v>
      </c>
      <c r="P666" s="2" t="n">
        <v>215</v>
      </c>
      <c r="Q666" s="2" t="n">
        <v>0</v>
      </c>
      <c r="R666" s="2" t="n">
        <v>0</v>
      </c>
      <c r="S666" s="2" t="n">
        <v>0</v>
      </c>
      <c r="T666" s="2" t="n">
        <v>0</v>
      </c>
      <c r="U666" s="2" t="n">
        <v>0</v>
      </c>
      <c r="V666" s="2" t="n">
        <v>0</v>
      </c>
      <c r="W666" s="2" t="n">
        <v>0</v>
      </c>
      <c r="X666" s="2" t="n">
        <v>0</v>
      </c>
      <c r="Y666" s="2" t="n">
        <v>0</v>
      </c>
      <c r="Z666" s="2" t="n">
        <v>0</v>
      </c>
      <c r="AA666" s="2" t="n">
        <v>0</v>
      </c>
      <c r="AB666" s="2" t="n">
        <v>0</v>
      </c>
      <c r="AC666" s="2"/>
    </row>
    <row r="667" customFormat="false" ht="15" hidden="false" customHeight="false" outlineLevel="0" collapsed="false">
      <c r="A667" s="2" t="n">
        <v>108</v>
      </c>
      <c r="B667" s="2" t="s">
        <v>1050</v>
      </c>
      <c r="C667" s="2" t="s">
        <v>1055</v>
      </c>
      <c r="D667" s="2" t="s">
        <v>3528</v>
      </c>
      <c r="E667" s="2" t="s">
        <v>1154</v>
      </c>
      <c r="F667" s="2" t="s">
        <v>1178</v>
      </c>
      <c r="G667" s="2" t="s">
        <v>3529</v>
      </c>
      <c r="H667" s="2" t="s">
        <v>3530</v>
      </c>
      <c r="I667" s="2" t="s">
        <v>1133</v>
      </c>
      <c r="J667" s="2" t="s">
        <v>3531</v>
      </c>
      <c r="K667" s="2" t="n">
        <v>5</v>
      </c>
      <c r="L667" s="2" t="n">
        <v>1122</v>
      </c>
      <c r="M667" s="2" t="n">
        <v>926</v>
      </c>
      <c r="N667" s="2" t="n">
        <v>767</v>
      </c>
      <c r="O667" s="2" t="n">
        <v>109</v>
      </c>
      <c r="P667" s="2" t="n">
        <v>87</v>
      </c>
      <c r="Q667" s="2" t="n">
        <v>0</v>
      </c>
      <c r="R667" s="2" t="n">
        <v>0</v>
      </c>
      <c r="S667" s="2" t="n">
        <v>0</v>
      </c>
      <c r="T667" s="2" t="n">
        <v>0</v>
      </c>
      <c r="U667" s="2" t="n">
        <v>0</v>
      </c>
      <c r="V667" s="2" t="n">
        <v>0</v>
      </c>
      <c r="W667" s="2" t="n">
        <v>0</v>
      </c>
      <c r="X667" s="2" t="n">
        <v>0</v>
      </c>
      <c r="Y667" s="2" t="n">
        <v>0</v>
      </c>
      <c r="Z667" s="2" t="n">
        <v>0</v>
      </c>
      <c r="AA667" s="2" t="n">
        <v>0</v>
      </c>
      <c r="AB667" s="2" t="n">
        <v>0</v>
      </c>
      <c r="AC667" s="2"/>
    </row>
    <row r="668" customFormat="false" ht="15" hidden="false" customHeight="false" outlineLevel="0" collapsed="false">
      <c r="A668" s="2" t="n">
        <v>108</v>
      </c>
      <c r="B668" s="2" t="s">
        <v>1050</v>
      </c>
      <c r="C668" s="2" t="s">
        <v>1055</v>
      </c>
      <c r="D668" s="2" t="s">
        <v>3532</v>
      </c>
      <c r="E668" s="2" t="s">
        <v>1154</v>
      </c>
      <c r="F668" s="2" t="s">
        <v>1178</v>
      </c>
      <c r="G668" s="2" t="s">
        <v>3533</v>
      </c>
      <c r="H668" s="2" t="s">
        <v>3534</v>
      </c>
      <c r="I668" s="2" t="s">
        <v>1133</v>
      </c>
      <c r="J668" s="2" t="s">
        <v>3535</v>
      </c>
      <c r="K668" s="2" t="n">
        <v>3</v>
      </c>
      <c r="L668" s="2" t="n">
        <v>1170</v>
      </c>
      <c r="M668" s="2" t="n">
        <v>878</v>
      </c>
      <c r="N668" s="2" t="n">
        <v>694</v>
      </c>
      <c r="O668" s="2" t="n">
        <v>53</v>
      </c>
      <c r="P668" s="2" t="n">
        <v>239</v>
      </c>
      <c r="Q668" s="2" t="n">
        <v>0</v>
      </c>
      <c r="R668" s="2" t="n">
        <v>0</v>
      </c>
      <c r="S668" s="2" t="n">
        <v>0</v>
      </c>
      <c r="T668" s="2" t="n">
        <v>0</v>
      </c>
      <c r="U668" s="2" t="n">
        <v>0</v>
      </c>
      <c r="V668" s="2" t="n">
        <v>0</v>
      </c>
      <c r="W668" s="2" t="n">
        <v>0</v>
      </c>
      <c r="X668" s="2" t="n">
        <v>0</v>
      </c>
      <c r="Y668" s="2" t="n">
        <v>0</v>
      </c>
      <c r="Z668" s="2" t="n">
        <v>0</v>
      </c>
      <c r="AA668" s="2" t="n">
        <v>0</v>
      </c>
      <c r="AB668" s="2" t="n">
        <v>0</v>
      </c>
      <c r="AC668" s="2"/>
    </row>
    <row r="669" customFormat="false" ht="15" hidden="false" customHeight="false" outlineLevel="0" collapsed="false">
      <c r="A669" s="2" t="n">
        <v>108</v>
      </c>
      <c r="B669" s="2" t="s">
        <v>1050</v>
      </c>
      <c r="C669" s="2" t="s">
        <v>1055</v>
      </c>
      <c r="D669" s="2" t="s">
        <v>3536</v>
      </c>
      <c r="E669" s="2" t="s">
        <v>1154</v>
      </c>
      <c r="F669" s="2" t="s">
        <v>1178</v>
      </c>
      <c r="G669" s="2" t="s">
        <v>3537</v>
      </c>
      <c r="H669" s="2" t="s">
        <v>3538</v>
      </c>
      <c r="I669" s="2" t="s">
        <v>1133</v>
      </c>
      <c r="J669" s="2" t="s">
        <v>3539</v>
      </c>
      <c r="K669" s="2" t="n">
        <v>21</v>
      </c>
      <c r="L669" s="2" t="n">
        <v>5633</v>
      </c>
      <c r="M669" s="2" t="n">
        <v>1310</v>
      </c>
      <c r="N669" s="2" t="n">
        <v>1145</v>
      </c>
      <c r="O669" s="2" t="n">
        <v>151</v>
      </c>
      <c r="P669" s="2" t="n">
        <v>4172</v>
      </c>
      <c r="Q669" s="2" t="n">
        <v>0</v>
      </c>
      <c r="R669" s="2" t="n">
        <v>0</v>
      </c>
      <c r="S669" s="2" t="n">
        <v>1</v>
      </c>
      <c r="T669" s="2" t="n">
        <v>0</v>
      </c>
      <c r="U669" s="2" t="n">
        <v>0</v>
      </c>
      <c r="V669" s="2" t="n">
        <v>1</v>
      </c>
      <c r="W669" s="2" t="n">
        <v>0</v>
      </c>
      <c r="X669" s="2" t="n">
        <v>0</v>
      </c>
      <c r="Y669" s="2" t="n">
        <v>0</v>
      </c>
      <c r="Z669" s="2" t="n">
        <v>0</v>
      </c>
      <c r="AA669" s="2" t="n">
        <v>0</v>
      </c>
      <c r="AB669" s="2" t="n">
        <v>1</v>
      </c>
      <c r="AC669" s="2"/>
    </row>
    <row r="670" customFormat="false" ht="15" hidden="false" customHeight="false" outlineLevel="0" collapsed="false">
      <c r="A670" s="2" t="n">
        <v>108</v>
      </c>
      <c r="B670" s="2" t="s">
        <v>1050</v>
      </c>
      <c r="C670" s="2" t="s">
        <v>1055</v>
      </c>
      <c r="D670" s="2" t="s">
        <v>3540</v>
      </c>
      <c r="E670" s="2" t="s">
        <v>1154</v>
      </c>
      <c r="F670" s="2" t="s">
        <v>1178</v>
      </c>
      <c r="G670" s="2" t="s">
        <v>3541</v>
      </c>
      <c r="H670" s="2" t="s">
        <v>3542</v>
      </c>
      <c r="I670" s="2" t="s">
        <v>1133</v>
      </c>
      <c r="J670" s="2" t="s">
        <v>3543</v>
      </c>
      <c r="K670" s="2" t="n">
        <v>3</v>
      </c>
      <c r="L670" s="2" t="n">
        <v>905</v>
      </c>
      <c r="M670" s="2" t="n">
        <v>702</v>
      </c>
      <c r="N670" s="2" t="n">
        <v>532</v>
      </c>
      <c r="O670" s="2" t="n">
        <v>53</v>
      </c>
      <c r="P670" s="2" t="n">
        <v>150</v>
      </c>
      <c r="Q670" s="2" t="n">
        <v>0</v>
      </c>
      <c r="R670" s="2" t="n">
        <v>0</v>
      </c>
      <c r="S670" s="2" t="n">
        <v>0</v>
      </c>
      <c r="T670" s="2" t="n">
        <v>0</v>
      </c>
      <c r="U670" s="2" t="n">
        <v>0</v>
      </c>
      <c r="V670" s="2" t="n">
        <v>0</v>
      </c>
      <c r="W670" s="2" t="n">
        <v>0</v>
      </c>
      <c r="X670" s="2" t="n">
        <v>0</v>
      </c>
      <c r="Y670" s="2" t="n">
        <v>0</v>
      </c>
      <c r="Z670" s="2" t="n">
        <v>0</v>
      </c>
      <c r="AA670" s="2" t="n">
        <v>0</v>
      </c>
      <c r="AB670" s="2" t="n">
        <v>0</v>
      </c>
      <c r="AC670" s="2"/>
    </row>
    <row r="671" customFormat="false" ht="15" hidden="false" customHeight="false" outlineLevel="0" collapsed="false">
      <c r="A671" s="2" t="n">
        <v>108</v>
      </c>
      <c r="B671" s="2" t="s">
        <v>1050</v>
      </c>
      <c r="C671" s="2" t="s">
        <v>1055</v>
      </c>
      <c r="D671" s="2" t="s">
        <v>3544</v>
      </c>
      <c r="E671" s="2" t="s">
        <v>1154</v>
      </c>
      <c r="F671" s="2" t="s">
        <v>1178</v>
      </c>
      <c r="G671" s="2" t="s">
        <v>3545</v>
      </c>
      <c r="H671" s="2" t="s">
        <v>3546</v>
      </c>
      <c r="I671" s="2" t="s">
        <v>1133</v>
      </c>
      <c r="J671" s="2" t="s">
        <v>3547</v>
      </c>
      <c r="K671" s="2" t="n">
        <v>70</v>
      </c>
      <c r="L671" s="2" t="n">
        <v>18551</v>
      </c>
      <c r="M671" s="2" t="n">
        <v>1364</v>
      </c>
      <c r="N671" s="2" t="n">
        <v>1199</v>
      </c>
      <c r="O671" s="2" t="n">
        <v>151</v>
      </c>
      <c r="P671" s="2" t="n">
        <v>17036</v>
      </c>
      <c r="Q671" s="2" t="n">
        <v>0</v>
      </c>
      <c r="R671" s="2" t="n">
        <v>0</v>
      </c>
      <c r="S671" s="2" t="n">
        <v>0</v>
      </c>
      <c r="T671" s="2" t="n">
        <v>0</v>
      </c>
      <c r="U671" s="2" t="n">
        <v>0</v>
      </c>
      <c r="V671" s="2" t="n">
        <v>0</v>
      </c>
      <c r="W671" s="2" t="n">
        <v>0</v>
      </c>
      <c r="X671" s="2" t="n">
        <v>0</v>
      </c>
      <c r="Y671" s="2" t="n">
        <v>0</v>
      </c>
      <c r="Z671" s="2" t="n">
        <v>0</v>
      </c>
      <c r="AA671" s="2" t="n">
        <v>0</v>
      </c>
      <c r="AB671" s="2" t="n">
        <v>0</v>
      </c>
      <c r="AC671" s="2"/>
    </row>
    <row r="672" customFormat="false" ht="15" hidden="false" customHeight="false" outlineLevel="0" collapsed="false">
      <c r="A672" s="2" t="n">
        <v>108</v>
      </c>
      <c r="B672" s="2" t="s">
        <v>1050</v>
      </c>
      <c r="C672" s="2" t="s">
        <v>1055</v>
      </c>
      <c r="D672" s="2" t="s">
        <v>3548</v>
      </c>
      <c r="E672" s="2" t="s">
        <v>1154</v>
      </c>
      <c r="F672" s="2" t="s">
        <v>1178</v>
      </c>
      <c r="G672" s="2" t="s">
        <v>3549</v>
      </c>
      <c r="H672" s="2" t="s">
        <v>3550</v>
      </c>
      <c r="I672" s="2" t="s">
        <v>1133</v>
      </c>
      <c r="J672" s="2" t="s">
        <v>3551</v>
      </c>
      <c r="K672" s="2" t="n">
        <v>3</v>
      </c>
      <c r="L672" s="2" t="n">
        <v>1036</v>
      </c>
      <c r="M672" s="2" t="n">
        <v>843</v>
      </c>
      <c r="N672" s="2" t="n">
        <v>665</v>
      </c>
      <c r="O672" s="2" t="n">
        <v>53</v>
      </c>
      <c r="P672" s="2" t="n">
        <v>140</v>
      </c>
      <c r="Q672" s="2" t="n">
        <v>0</v>
      </c>
      <c r="R672" s="2" t="n">
        <v>0</v>
      </c>
      <c r="S672" s="2" t="n">
        <v>0</v>
      </c>
      <c r="T672" s="2" t="n">
        <v>0</v>
      </c>
      <c r="U672" s="2" t="n">
        <v>0</v>
      </c>
      <c r="V672" s="2" t="n">
        <v>0</v>
      </c>
      <c r="W672" s="2" t="n">
        <v>0</v>
      </c>
      <c r="X672" s="2" t="n">
        <v>0</v>
      </c>
      <c r="Y672" s="2" t="n">
        <v>0</v>
      </c>
      <c r="Z672" s="2" t="n">
        <v>0</v>
      </c>
      <c r="AA672" s="2" t="n">
        <v>0</v>
      </c>
      <c r="AB672" s="2" t="n">
        <v>0</v>
      </c>
      <c r="AC672" s="2"/>
    </row>
    <row r="673" customFormat="false" ht="15" hidden="false" customHeight="false" outlineLevel="0" collapsed="false">
      <c r="A673" s="2" t="n">
        <v>108</v>
      </c>
      <c r="B673" s="2" t="s">
        <v>1050</v>
      </c>
      <c r="C673" s="2" t="s">
        <v>1055</v>
      </c>
      <c r="D673" s="2" t="s">
        <v>3552</v>
      </c>
      <c r="E673" s="2" t="s">
        <v>1154</v>
      </c>
      <c r="F673" s="2" t="s">
        <v>1178</v>
      </c>
      <c r="G673" s="2" t="s">
        <v>3553</v>
      </c>
      <c r="H673" s="2" t="s">
        <v>3554</v>
      </c>
      <c r="I673" s="2" t="s">
        <v>1133</v>
      </c>
      <c r="J673" s="2" t="s">
        <v>3555</v>
      </c>
      <c r="K673" s="2" t="n">
        <v>3</v>
      </c>
      <c r="L673" s="2" t="n">
        <v>915</v>
      </c>
      <c r="M673" s="2" t="n">
        <v>779</v>
      </c>
      <c r="N673" s="2" t="n">
        <v>616</v>
      </c>
      <c r="O673" s="2" t="n">
        <v>53</v>
      </c>
      <c r="P673" s="2" t="n">
        <v>83</v>
      </c>
      <c r="Q673" s="2" t="n">
        <v>0</v>
      </c>
      <c r="R673" s="2" t="n">
        <v>0</v>
      </c>
      <c r="S673" s="2" t="n">
        <v>0</v>
      </c>
      <c r="T673" s="2" t="n">
        <v>0</v>
      </c>
      <c r="U673" s="2" t="n">
        <v>0</v>
      </c>
      <c r="V673" s="2" t="n">
        <v>0</v>
      </c>
      <c r="W673" s="2" t="n">
        <v>0</v>
      </c>
      <c r="X673" s="2" t="n">
        <v>0</v>
      </c>
      <c r="Y673" s="2" t="n">
        <v>0</v>
      </c>
      <c r="Z673" s="2" t="n">
        <v>0</v>
      </c>
      <c r="AA673" s="2" t="n">
        <v>0</v>
      </c>
      <c r="AB673" s="2" t="n">
        <v>0</v>
      </c>
      <c r="AC673" s="2"/>
    </row>
    <row r="674" customFormat="false" ht="15" hidden="false" customHeight="false" outlineLevel="0" collapsed="false">
      <c r="A674" s="2" t="n">
        <v>108</v>
      </c>
      <c r="B674" s="2" t="s">
        <v>1050</v>
      </c>
      <c r="C674" s="2" t="s">
        <v>1055</v>
      </c>
      <c r="D674" s="2" t="s">
        <v>3556</v>
      </c>
      <c r="E674" s="2" t="s">
        <v>1154</v>
      </c>
      <c r="F674" s="2" t="s">
        <v>1178</v>
      </c>
      <c r="G674" s="2" t="s">
        <v>3553</v>
      </c>
      <c r="H674" s="2" t="s">
        <v>3557</v>
      </c>
      <c r="I674" s="2" t="s">
        <v>1133</v>
      </c>
      <c r="J674" s="2" t="s">
        <v>3558</v>
      </c>
      <c r="K674" s="2" t="n">
        <v>5</v>
      </c>
      <c r="L674" s="2" t="n">
        <v>1503</v>
      </c>
      <c r="M674" s="2" t="n">
        <v>1064</v>
      </c>
      <c r="N674" s="2" t="n">
        <v>896</v>
      </c>
      <c r="O674" s="2" t="n">
        <v>62</v>
      </c>
      <c r="P674" s="2" t="n">
        <v>377</v>
      </c>
      <c r="Q674" s="2" t="n">
        <v>0</v>
      </c>
      <c r="R674" s="2" t="n">
        <v>0</v>
      </c>
      <c r="S674" s="2" t="n">
        <v>0</v>
      </c>
      <c r="T674" s="2" t="n">
        <v>0</v>
      </c>
      <c r="U674" s="2" t="n">
        <v>0</v>
      </c>
      <c r="V674" s="2" t="n">
        <v>0</v>
      </c>
      <c r="W674" s="2" t="n">
        <v>0</v>
      </c>
      <c r="X674" s="2" t="n">
        <v>0</v>
      </c>
      <c r="Y674" s="2" t="n">
        <v>0</v>
      </c>
      <c r="Z674" s="2" t="n">
        <v>0</v>
      </c>
      <c r="AA674" s="2" t="n">
        <v>0</v>
      </c>
      <c r="AB674" s="2" t="n">
        <v>0</v>
      </c>
      <c r="AC674" s="2"/>
    </row>
    <row r="675" customFormat="false" ht="15" hidden="false" customHeight="false" outlineLevel="0" collapsed="false">
      <c r="A675" s="2" t="n">
        <v>108</v>
      </c>
      <c r="B675" s="2" t="s">
        <v>1050</v>
      </c>
      <c r="C675" s="2" t="s">
        <v>1055</v>
      </c>
      <c r="D675" s="2" t="s">
        <v>3559</v>
      </c>
      <c r="E675" s="2" t="s">
        <v>1154</v>
      </c>
      <c r="F675" s="2" t="s">
        <v>1178</v>
      </c>
      <c r="G675" s="2" t="s">
        <v>751</v>
      </c>
      <c r="H675" s="2" t="s">
        <v>3560</v>
      </c>
      <c r="I675" s="2" t="s">
        <v>1133</v>
      </c>
      <c r="J675" s="2" t="s">
        <v>3561</v>
      </c>
      <c r="K675" s="2" t="n">
        <v>6</v>
      </c>
      <c r="L675" s="2" t="n">
        <v>1606</v>
      </c>
      <c r="M675" s="2" t="n">
        <v>757</v>
      </c>
      <c r="N675" s="2" t="n">
        <v>593</v>
      </c>
      <c r="O675" s="2" t="n">
        <v>128</v>
      </c>
      <c r="P675" s="2" t="n">
        <v>721</v>
      </c>
      <c r="Q675" s="2" t="n">
        <v>0</v>
      </c>
      <c r="R675" s="2" t="n">
        <v>0</v>
      </c>
      <c r="S675" s="2" t="n">
        <v>0</v>
      </c>
      <c r="T675" s="2" t="n">
        <v>0</v>
      </c>
      <c r="U675" s="2" t="n">
        <v>0</v>
      </c>
      <c r="V675" s="2" t="n">
        <v>0</v>
      </c>
      <c r="W675" s="2" t="n">
        <v>0</v>
      </c>
      <c r="X675" s="2" t="n">
        <v>0</v>
      </c>
      <c r="Y675" s="2" t="n">
        <v>0</v>
      </c>
      <c r="Z675" s="2" t="n">
        <v>0</v>
      </c>
      <c r="AA675" s="2" t="n">
        <v>0</v>
      </c>
      <c r="AB675" s="2" t="n">
        <v>0</v>
      </c>
      <c r="AC675" s="2"/>
    </row>
    <row r="676" customFormat="false" ht="15" hidden="false" customHeight="false" outlineLevel="0" collapsed="false">
      <c r="A676" s="2" t="n">
        <v>108</v>
      </c>
      <c r="B676" s="2" t="s">
        <v>1050</v>
      </c>
      <c r="C676" s="2" t="s">
        <v>1055</v>
      </c>
      <c r="D676" s="2" t="s">
        <v>3562</v>
      </c>
      <c r="E676" s="2" t="s">
        <v>1154</v>
      </c>
      <c r="F676" s="2" t="s">
        <v>1178</v>
      </c>
      <c r="G676" s="2" t="s">
        <v>3563</v>
      </c>
      <c r="H676" s="2" t="s">
        <v>3564</v>
      </c>
      <c r="I676" s="2" t="s">
        <v>1133</v>
      </c>
      <c r="J676" s="2" t="s">
        <v>3565</v>
      </c>
      <c r="K676" s="2" t="n">
        <v>3</v>
      </c>
      <c r="L676" s="2" t="n">
        <v>783</v>
      </c>
      <c r="M676" s="2" t="n">
        <v>578</v>
      </c>
      <c r="N676" s="2" t="n">
        <v>371</v>
      </c>
      <c r="O676" s="2" t="n">
        <v>72</v>
      </c>
      <c r="P676" s="2" t="n">
        <v>133</v>
      </c>
      <c r="Q676" s="2" t="n">
        <v>0</v>
      </c>
      <c r="R676" s="2" t="n">
        <v>0</v>
      </c>
      <c r="S676" s="2" t="n">
        <v>0</v>
      </c>
      <c r="T676" s="2" t="n">
        <v>0</v>
      </c>
      <c r="U676" s="2" t="n">
        <v>0</v>
      </c>
      <c r="V676" s="2" t="n">
        <v>0</v>
      </c>
      <c r="W676" s="2" t="n">
        <v>0</v>
      </c>
      <c r="X676" s="2" t="n">
        <v>0</v>
      </c>
      <c r="Y676" s="2" t="n">
        <v>0</v>
      </c>
      <c r="Z676" s="2" t="n">
        <v>0</v>
      </c>
      <c r="AA676" s="2" t="n">
        <v>0</v>
      </c>
      <c r="AB676" s="2" t="n">
        <v>0</v>
      </c>
      <c r="AC676" s="2"/>
    </row>
    <row r="677" customFormat="false" ht="15" hidden="false" customHeight="false" outlineLevel="0" collapsed="false">
      <c r="A677" s="2" t="n">
        <v>108</v>
      </c>
      <c r="B677" s="2" t="s">
        <v>1050</v>
      </c>
      <c r="C677" s="2" t="s">
        <v>1055</v>
      </c>
      <c r="D677" s="2" t="s">
        <v>3566</v>
      </c>
      <c r="E677" s="2" t="s">
        <v>1154</v>
      </c>
      <c r="F677" s="2" t="s">
        <v>1178</v>
      </c>
      <c r="G677" s="2" t="s">
        <v>3567</v>
      </c>
      <c r="H677" s="2" t="s">
        <v>3568</v>
      </c>
      <c r="I677" s="2" t="s">
        <v>1133</v>
      </c>
      <c r="J677" s="2" t="s">
        <v>3569</v>
      </c>
      <c r="K677" s="2" t="n">
        <v>5</v>
      </c>
      <c r="L677" s="2" t="n">
        <v>1030</v>
      </c>
      <c r="M677" s="2" t="n">
        <v>807</v>
      </c>
      <c r="N677" s="2" t="n">
        <v>629</v>
      </c>
      <c r="O677" s="2" t="n">
        <v>109</v>
      </c>
      <c r="P677" s="2" t="n">
        <v>114</v>
      </c>
      <c r="Q677" s="2" t="n">
        <v>0</v>
      </c>
      <c r="R677" s="2" t="n">
        <v>0</v>
      </c>
      <c r="S677" s="2" t="n">
        <v>0</v>
      </c>
      <c r="T677" s="2" t="n">
        <v>0</v>
      </c>
      <c r="U677" s="2" t="n">
        <v>0</v>
      </c>
      <c r="V677" s="2" t="n">
        <v>0</v>
      </c>
      <c r="W677" s="2" t="n">
        <v>0</v>
      </c>
      <c r="X677" s="2" t="n">
        <v>0</v>
      </c>
      <c r="Y677" s="2" t="n">
        <v>0</v>
      </c>
      <c r="Z677" s="2" t="n">
        <v>0</v>
      </c>
      <c r="AA677" s="2" t="n">
        <v>0</v>
      </c>
      <c r="AB677" s="2" t="n">
        <v>0</v>
      </c>
      <c r="AC677" s="2"/>
    </row>
    <row r="678" customFormat="false" ht="15" hidden="false" customHeight="false" outlineLevel="0" collapsed="false">
      <c r="A678" s="2" t="n">
        <v>108</v>
      </c>
      <c r="B678" s="2" t="s">
        <v>1050</v>
      </c>
      <c r="C678" s="2" t="s">
        <v>1055</v>
      </c>
      <c r="D678" s="2" t="s">
        <v>3570</v>
      </c>
      <c r="E678" s="2" t="s">
        <v>1154</v>
      </c>
      <c r="F678" s="2" t="s">
        <v>1178</v>
      </c>
      <c r="G678" s="2" t="s">
        <v>3571</v>
      </c>
      <c r="H678" s="2" t="s">
        <v>3572</v>
      </c>
      <c r="I678" s="2" t="s">
        <v>1133</v>
      </c>
      <c r="J678" s="2" t="s">
        <v>3573</v>
      </c>
      <c r="K678" s="2" t="n">
        <v>2</v>
      </c>
      <c r="L678" s="2" t="n">
        <v>819</v>
      </c>
      <c r="M678" s="2" t="n">
        <v>706</v>
      </c>
      <c r="N678" s="2" t="n">
        <v>537</v>
      </c>
      <c r="O678" s="2" t="n">
        <v>113</v>
      </c>
      <c r="P678" s="2" t="n">
        <v>0</v>
      </c>
      <c r="Q678" s="2" t="n">
        <v>0</v>
      </c>
      <c r="R678" s="2" t="n">
        <v>0</v>
      </c>
      <c r="S678" s="2" t="n">
        <v>0</v>
      </c>
      <c r="T678" s="2" t="n">
        <v>0</v>
      </c>
      <c r="U678" s="2" t="n">
        <v>0</v>
      </c>
      <c r="V678" s="2" t="n">
        <v>0</v>
      </c>
      <c r="W678" s="2" t="n">
        <v>0</v>
      </c>
      <c r="X678" s="2" t="n">
        <v>0</v>
      </c>
      <c r="Y678" s="2" t="n">
        <v>0</v>
      </c>
      <c r="Z678" s="2" t="n">
        <v>0</v>
      </c>
      <c r="AA678" s="2" t="n">
        <v>0</v>
      </c>
      <c r="AB678" s="2" t="n">
        <v>0</v>
      </c>
      <c r="AC678" s="2"/>
    </row>
    <row r="679" customFormat="false" ht="15" hidden="false" customHeight="false" outlineLevel="0" collapsed="false">
      <c r="A679" s="2" t="n">
        <v>108</v>
      </c>
      <c r="B679" s="2" t="s">
        <v>1050</v>
      </c>
      <c r="C679" s="2" t="s">
        <v>1055</v>
      </c>
      <c r="D679" s="2" t="s">
        <v>3574</v>
      </c>
      <c r="E679" s="2" t="s">
        <v>1154</v>
      </c>
      <c r="F679" s="2" t="s">
        <v>1178</v>
      </c>
      <c r="G679" s="2" t="s">
        <v>3575</v>
      </c>
      <c r="H679" s="2" t="s">
        <v>3576</v>
      </c>
      <c r="I679" s="2" t="s">
        <v>1133</v>
      </c>
      <c r="J679" s="2" t="s">
        <v>3577</v>
      </c>
      <c r="K679" s="2" t="n">
        <v>3</v>
      </c>
      <c r="L679" s="2" t="n">
        <v>1034</v>
      </c>
      <c r="M679" s="2" t="n">
        <v>741</v>
      </c>
      <c r="N679" s="2" t="n">
        <v>560</v>
      </c>
      <c r="O679" s="2" t="n">
        <v>42</v>
      </c>
      <c r="P679" s="2" t="n">
        <v>251</v>
      </c>
      <c r="Q679" s="2" t="n">
        <v>0</v>
      </c>
      <c r="R679" s="2" t="n">
        <v>0</v>
      </c>
      <c r="S679" s="2" t="n">
        <v>0</v>
      </c>
      <c r="T679" s="2" t="n">
        <v>0</v>
      </c>
      <c r="U679" s="2" t="n">
        <v>0</v>
      </c>
      <c r="V679" s="2" t="n">
        <v>0</v>
      </c>
      <c r="W679" s="2" t="n">
        <v>0</v>
      </c>
      <c r="X679" s="2" t="n">
        <v>0</v>
      </c>
      <c r="Y679" s="2" t="n">
        <v>0</v>
      </c>
      <c r="Z679" s="2" t="n">
        <v>0</v>
      </c>
      <c r="AA679" s="2" t="n">
        <v>0</v>
      </c>
      <c r="AB679" s="2" t="n">
        <v>0</v>
      </c>
      <c r="AC679" s="2"/>
    </row>
    <row r="680" customFormat="false" ht="15" hidden="false" customHeight="false" outlineLevel="0" collapsed="false">
      <c r="A680" s="2" t="n">
        <v>108</v>
      </c>
      <c r="B680" s="2" t="s">
        <v>1050</v>
      </c>
      <c r="C680" s="2" t="s">
        <v>1055</v>
      </c>
      <c r="D680" s="2" t="s">
        <v>3578</v>
      </c>
      <c r="E680" s="2" t="s">
        <v>1154</v>
      </c>
      <c r="F680" s="2" t="s">
        <v>1178</v>
      </c>
      <c r="G680" s="2" t="s">
        <v>3575</v>
      </c>
      <c r="H680" s="2" t="s">
        <v>3579</v>
      </c>
      <c r="I680" s="2" t="s">
        <v>1133</v>
      </c>
      <c r="J680" s="2" t="s">
        <v>3580</v>
      </c>
      <c r="K680" s="2" t="n">
        <v>3</v>
      </c>
      <c r="L680" s="2" t="n">
        <v>816</v>
      </c>
      <c r="M680" s="2" t="n">
        <v>652</v>
      </c>
      <c r="N680" s="2" t="n">
        <v>486</v>
      </c>
      <c r="O680" s="2" t="n">
        <v>42</v>
      </c>
      <c r="P680" s="2" t="n">
        <v>122</v>
      </c>
      <c r="Q680" s="2" t="n">
        <v>0</v>
      </c>
      <c r="R680" s="2" t="n">
        <v>0</v>
      </c>
      <c r="S680" s="2" t="n">
        <v>0</v>
      </c>
      <c r="T680" s="2" t="n">
        <v>0</v>
      </c>
      <c r="U680" s="2" t="n">
        <v>0</v>
      </c>
      <c r="V680" s="2" t="n">
        <v>0</v>
      </c>
      <c r="W680" s="2" t="n">
        <v>0</v>
      </c>
      <c r="X680" s="2" t="n">
        <v>0</v>
      </c>
      <c r="Y680" s="2" t="n">
        <v>0</v>
      </c>
      <c r="Z680" s="2" t="n">
        <v>0</v>
      </c>
      <c r="AA680" s="2" t="n">
        <v>0</v>
      </c>
      <c r="AB680" s="2" t="n">
        <v>0</v>
      </c>
      <c r="AC680" s="2"/>
    </row>
    <row r="681" customFormat="false" ht="15" hidden="false" customHeight="false" outlineLevel="0" collapsed="false">
      <c r="A681" s="2" t="n">
        <v>108</v>
      </c>
      <c r="B681" s="2" t="s">
        <v>1050</v>
      </c>
      <c r="C681" s="2" t="s">
        <v>1055</v>
      </c>
      <c r="D681" s="2" t="s">
        <v>3581</v>
      </c>
      <c r="E681" s="2" t="s">
        <v>1154</v>
      </c>
      <c r="F681" s="2" t="s">
        <v>1178</v>
      </c>
      <c r="G681" s="2" t="s">
        <v>3582</v>
      </c>
      <c r="H681" s="2" t="s">
        <v>3583</v>
      </c>
      <c r="I681" s="2" t="s">
        <v>1133</v>
      </c>
      <c r="J681" s="2" t="s">
        <v>3584</v>
      </c>
      <c r="K681" s="2" t="n">
        <v>3</v>
      </c>
      <c r="L681" s="2" t="n">
        <v>1402</v>
      </c>
      <c r="M681" s="2" t="n">
        <v>1090</v>
      </c>
      <c r="N681" s="2" t="n">
        <v>921</v>
      </c>
      <c r="O681" s="2" t="n">
        <v>55</v>
      </c>
      <c r="P681" s="2" t="n">
        <v>257</v>
      </c>
      <c r="Q681" s="2" t="n">
        <v>0</v>
      </c>
      <c r="R681" s="2" t="n">
        <v>0</v>
      </c>
      <c r="S681" s="2" t="n">
        <v>0</v>
      </c>
      <c r="T681" s="2" t="n">
        <v>0</v>
      </c>
      <c r="U681" s="2" t="n">
        <v>0</v>
      </c>
      <c r="V681" s="2" t="n">
        <v>0</v>
      </c>
      <c r="W681" s="2" t="n">
        <v>0</v>
      </c>
      <c r="X681" s="2" t="n">
        <v>0</v>
      </c>
      <c r="Y681" s="2" t="n">
        <v>0</v>
      </c>
      <c r="Z681" s="2" t="n">
        <v>0</v>
      </c>
      <c r="AA681" s="2" t="n">
        <v>0</v>
      </c>
      <c r="AB681" s="2" t="n">
        <v>0</v>
      </c>
      <c r="AC681" s="2"/>
    </row>
    <row r="682" customFormat="false" ht="15" hidden="false" customHeight="false" outlineLevel="0" collapsed="false">
      <c r="A682" s="2" t="n">
        <v>108</v>
      </c>
      <c r="B682" s="2" t="s">
        <v>1050</v>
      </c>
      <c r="C682" s="2" t="s">
        <v>1055</v>
      </c>
      <c r="D682" s="2" t="s">
        <v>3585</v>
      </c>
      <c r="E682" s="2" t="s">
        <v>1154</v>
      </c>
      <c r="F682" s="2" t="s">
        <v>1178</v>
      </c>
      <c r="G682" s="2" t="s">
        <v>3586</v>
      </c>
      <c r="H682" s="2" t="s">
        <v>3587</v>
      </c>
      <c r="I682" s="2" t="s">
        <v>1133</v>
      </c>
      <c r="J682" s="2" t="s">
        <v>3588</v>
      </c>
      <c r="K682" s="2" t="n">
        <v>3</v>
      </c>
      <c r="L682" s="2" t="n">
        <v>1103</v>
      </c>
      <c r="M682" s="2" t="n">
        <v>953</v>
      </c>
      <c r="N682" s="2" t="n">
        <v>793</v>
      </c>
      <c r="O682" s="2" t="n">
        <v>53</v>
      </c>
      <c r="P682" s="2" t="n">
        <v>97</v>
      </c>
      <c r="Q682" s="2" t="n">
        <v>0</v>
      </c>
      <c r="R682" s="2" t="n">
        <v>0</v>
      </c>
      <c r="S682" s="2" t="n">
        <v>0</v>
      </c>
      <c r="T682" s="2" t="n">
        <v>0</v>
      </c>
      <c r="U682" s="2" t="n">
        <v>0</v>
      </c>
      <c r="V682" s="2" t="n">
        <v>0</v>
      </c>
      <c r="W682" s="2" t="n">
        <v>0</v>
      </c>
      <c r="X682" s="2" t="n">
        <v>0</v>
      </c>
      <c r="Y682" s="2" t="n">
        <v>0</v>
      </c>
      <c r="Z682" s="2" t="n">
        <v>0</v>
      </c>
      <c r="AA682" s="2" t="n">
        <v>0</v>
      </c>
      <c r="AB682" s="2" t="n">
        <v>0</v>
      </c>
      <c r="AC682" s="2"/>
    </row>
    <row r="683" customFormat="false" ht="15" hidden="false" customHeight="false" outlineLevel="0" collapsed="false">
      <c r="A683" s="2" t="n">
        <v>108</v>
      </c>
      <c r="B683" s="2" t="s">
        <v>1050</v>
      </c>
      <c r="C683" s="2" t="s">
        <v>1055</v>
      </c>
      <c r="D683" s="2" t="s">
        <v>3589</v>
      </c>
      <c r="E683" s="2" t="s">
        <v>1154</v>
      </c>
      <c r="F683" s="2" t="s">
        <v>1178</v>
      </c>
      <c r="G683" s="2" t="s">
        <v>3129</v>
      </c>
      <c r="H683" s="2" t="s">
        <v>3590</v>
      </c>
      <c r="I683" s="2" t="s">
        <v>1133</v>
      </c>
      <c r="J683" s="2" t="s">
        <v>3591</v>
      </c>
      <c r="K683" s="2" t="n">
        <v>7</v>
      </c>
      <c r="L683" s="2" t="n">
        <v>2649</v>
      </c>
      <c r="M683" s="2" t="n">
        <v>1697</v>
      </c>
      <c r="N683" s="2" t="n">
        <v>1430</v>
      </c>
      <c r="O683" s="2" t="n">
        <v>168</v>
      </c>
      <c r="P683" s="2" t="n">
        <v>784</v>
      </c>
      <c r="Q683" s="2" t="n">
        <v>0</v>
      </c>
      <c r="R683" s="2" t="n">
        <v>0</v>
      </c>
      <c r="S683" s="2" t="n">
        <v>1</v>
      </c>
      <c r="T683" s="2" t="n">
        <v>1</v>
      </c>
      <c r="U683" s="2" t="n">
        <v>0</v>
      </c>
      <c r="V683" s="2" t="n">
        <v>0</v>
      </c>
      <c r="W683" s="2" t="n">
        <v>0</v>
      </c>
      <c r="X683" s="2" t="n">
        <v>0</v>
      </c>
      <c r="Y683" s="2" t="n">
        <v>0</v>
      </c>
      <c r="Z683" s="2" t="n">
        <v>0</v>
      </c>
      <c r="AA683" s="2" t="n">
        <v>0</v>
      </c>
      <c r="AB683" s="2" t="n">
        <v>1</v>
      </c>
      <c r="AC683" s="2"/>
    </row>
    <row r="684" customFormat="false" ht="15" hidden="false" customHeight="false" outlineLevel="0" collapsed="false">
      <c r="A684" s="2" t="n">
        <v>108</v>
      </c>
      <c r="B684" s="2" t="s">
        <v>1050</v>
      </c>
      <c r="C684" s="2" t="s">
        <v>1055</v>
      </c>
      <c r="D684" s="2" t="s">
        <v>3592</v>
      </c>
      <c r="E684" s="2" t="s">
        <v>1154</v>
      </c>
      <c r="F684" s="2" t="s">
        <v>1178</v>
      </c>
      <c r="G684" s="2" t="s">
        <v>3593</v>
      </c>
      <c r="H684" s="2" t="s">
        <v>3594</v>
      </c>
      <c r="I684" s="2" t="s">
        <v>1133</v>
      </c>
      <c r="J684" s="2" t="s">
        <v>3595</v>
      </c>
      <c r="K684" s="2" t="n">
        <v>3</v>
      </c>
      <c r="L684" s="2" t="n">
        <v>696</v>
      </c>
      <c r="M684" s="2" t="n">
        <v>587</v>
      </c>
      <c r="N684" s="2" t="n">
        <v>426</v>
      </c>
      <c r="O684" s="2" t="n">
        <v>69</v>
      </c>
      <c r="P684" s="2" t="n">
        <v>40</v>
      </c>
      <c r="Q684" s="2" t="n">
        <v>0</v>
      </c>
      <c r="R684" s="2" t="n">
        <v>0</v>
      </c>
      <c r="S684" s="2" t="n">
        <v>0</v>
      </c>
      <c r="T684" s="2" t="n">
        <v>0</v>
      </c>
      <c r="U684" s="2" t="n">
        <v>0</v>
      </c>
      <c r="V684" s="2" t="n">
        <v>0</v>
      </c>
      <c r="W684" s="2" t="n">
        <v>0</v>
      </c>
      <c r="X684" s="2" t="n">
        <v>0</v>
      </c>
      <c r="Y684" s="2" t="n">
        <v>0</v>
      </c>
      <c r="Z684" s="2" t="n">
        <v>0</v>
      </c>
      <c r="AA684" s="2" t="n">
        <v>0</v>
      </c>
      <c r="AB684" s="2" t="n">
        <v>0</v>
      </c>
      <c r="AC684" s="2"/>
    </row>
    <row r="685" customFormat="false" ht="15" hidden="false" customHeight="false" outlineLevel="0" collapsed="false">
      <c r="A685" s="2" t="n">
        <v>108</v>
      </c>
      <c r="B685" s="2" t="s">
        <v>1050</v>
      </c>
      <c r="C685" s="2" t="s">
        <v>1055</v>
      </c>
      <c r="D685" s="2" t="s">
        <v>3596</v>
      </c>
      <c r="E685" s="2" t="s">
        <v>1154</v>
      </c>
      <c r="F685" s="2" t="s">
        <v>1178</v>
      </c>
      <c r="G685" s="2" t="s">
        <v>960</v>
      </c>
      <c r="H685" s="2" t="s">
        <v>3597</v>
      </c>
      <c r="I685" s="2" t="s">
        <v>1133</v>
      </c>
      <c r="J685" s="2" t="s">
        <v>3598</v>
      </c>
      <c r="K685" s="2" t="n">
        <v>3</v>
      </c>
      <c r="L685" s="2" t="n">
        <v>638</v>
      </c>
      <c r="M685" s="2" t="n">
        <v>465</v>
      </c>
      <c r="N685" s="2" t="n">
        <v>303</v>
      </c>
      <c r="O685" s="2" t="n">
        <v>67</v>
      </c>
      <c r="P685" s="2" t="n">
        <v>106</v>
      </c>
      <c r="Q685" s="2" t="n">
        <v>0</v>
      </c>
      <c r="R685" s="2" t="n">
        <v>0</v>
      </c>
      <c r="S685" s="2" t="n">
        <v>0</v>
      </c>
      <c r="T685" s="2" t="n">
        <v>0</v>
      </c>
      <c r="U685" s="2" t="n">
        <v>0</v>
      </c>
      <c r="V685" s="2" t="n">
        <v>0</v>
      </c>
      <c r="W685" s="2" t="n">
        <v>0</v>
      </c>
      <c r="X685" s="2" t="n">
        <v>0</v>
      </c>
      <c r="Y685" s="2" t="n">
        <v>0</v>
      </c>
      <c r="Z685" s="2" t="n">
        <v>0</v>
      </c>
      <c r="AA685" s="2" t="n">
        <v>0</v>
      </c>
      <c r="AB685" s="2" t="n">
        <v>0</v>
      </c>
      <c r="AC685" s="2"/>
    </row>
    <row r="686" customFormat="false" ht="15" hidden="false" customHeight="false" outlineLevel="0" collapsed="false">
      <c r="A686" s="2" t="n">
        <v>108</v>
      </c>
      <c r="B686" s="2" t="s">
        <v>1050</v>
      </c>
      <c r="C686" s="2" t="s">
        <v>1055</v>
      </c>
      <c r="D686" s="2" t="s">
        <v>3599</v>
      </c>
      <c r="E686" s="2" t="s">
        <v>1154</v>
      </c>
      <c r="F686" s="2" t="s">
        <v>1178</v>
      </c>
      <c r="G686" s="2" t="s">
        <v>3600</v>
      </c>
      <c r="H686" s="2" t="s">
        <v>3601</v>
      </c>
      <c r="I686" s="2" t="s">
        <v>1133</v>
      </c>
      <c r="J686" s="2" t="s">
        <v>3602</v>
      </c>
      <c r="K686" s="2" t="n">
        <v>3</v>
      </c>
      <c r="L686" s="2" t="n">
        <v>584</v>
      </c>
      <c r="M686" s="2" t="n">
        <v>475</v>
      </c>
      <c r="N686" s="2" t="n">
        <v>309</v>
      </c>
      <c r="O686" s="2" t="n">
        <v>55</v>
      </c>
      <c r="P686" s="2" t="n">
        <v>54</v>
      </c>
      <c r="Q686" s="2" t="n">
        <v>0</v>
      </c>
      <c r="R686" s="2" t="n">
        <v>0</v>
      </c>
      <c r="S686" s="2" t="n">
        <v>0</v>
      </c>
      <c r="T686" s="2" t="n">
        <v>0</v>
      </c>
      <c r="U686" s="2" t="n">
        <v>0</v>
      </c>
      <c r="V686" s="2" t="n">
        <v>0</v>
      </c>
      <c r="W686" s="2" t="n">
        <v>0</v>
      </c>
      <c r="X686" s="2" t="n">
        <v>0</v>
      </c>
      <c r="Y686" s="2" t="n">
        <v>0</v>
      </c>
      <c r="Z686" s="2" t="n">
        <v>0</v>
      </c>
      <c r="AA686" s="2" t="n">
        <v>0</v>
      </c>
      <c r="AB686" s="2" t="n">
        <v>0</v>
      </c>
      <c r="AC686" s="2"/>
    </row>
    <row r="687" customFormat="false" ht="15" hidden="false" customHeight="false" outlineLevel="0" collapsed="false">
      <c r="A687" s="2" t="n">
        <v>108</v>
      </c>
      <c r="B687" s="2" t="s">
        <v>1050</v>
      </c>
      <c r="C687" s="2" t="s">
        <v>1055</v>
      </c>
      <c r="D687" s="2" t="s">
        <v>3603</v>
      </c>
      <c r="E687" s="2" t="s">
        <v>1154</v>
      </c>
      <c r="F687" s="2" t="s">
        <v>1178</v>
      </c>
      <c r="G687" s="2" t="s">
        <v>3604</v>
      </c>
      <c r="H687" s="2" t="s">
        <v>3605</v>
      </c>
      <c r="I687" s="2" t="s">
        <v>1133</v>
      </c>
      <c r="J687" s="2" t="s">
        <v>3606</v>
      </c>
      <c r="K687" s="2" t="n">
        <v>3</v>
      </c>
      <c r="L687" s="2" t="n">
        <v>624</v>
      </c>
      <c r="M687" s="2" t="n">
        <v>452</v>
      </c>
      <c r="N687" s="2" t="n">
        <v>283</v>
      </c>
      <c r="O687" s="2" t="n">
        <v>107</v>
      </c>
      <c r="P687" s="2" t="n">
        <v>65</v>
      </c>
      <c r="Q687" s="2" t="n">
        <v>0</v>
      </c>
      <c r="R687" s="2" t="n">
        <v>0</v>
      </c>
      <c r="S687" s="2" t="n">
        <v>0</v>
      </c>
      <c r="T687" s="2" t="n">
        <v>0</v>
      </c>
      <c r="U687" s="2" t="n">
        <v>0</v>
      </c>
      <c r="V687" s="2" t="n">
        <v>0</v>
      </c>
      <c r="W687" s="2" t="n">
        <v>0</v>
      </c>
      <c r="X687" s="2" t="n">
        <v>0</v>
      </c>
      <c r="Y687" s="2" t="n">
        <v>0</v>
      </c>
      <c r="Z687" s="2" t="n">
        <v>0</v>
      </c>
      <c r="AA687" s="2" t="n">
        <v>0</v>
      </c>
      <c r="AB687" s="2" t="n">
        <v>0</v>
      </c>
      <c r="AC687" s="2"/>
    </row>
    <row r="688" customFormat="false" ht="15" hidden="false" customHeight="false" outlineLevel="0" collapsed="false">
      <c r="A688" s="2" t="n">
        <v>108</v>
      </c>
      <c r="B688" s="2" t="s">
        <v>1050</v>
      </c>
      <c r="C688" s="2" t="s">
        <v>1055</v>
      </c>
      <c r="D688" s="2" t="s">
        <v>3607</v>
      </c>
      <c r="E688" s="2" t="s">
        <v>1154</v>
      </c>
      <c r="F688" s="2" t="s">
        <v>1178</v>
      </c>
      <c r="G688" s="2" t="s">
        <v>3608</v>
      </c>
      <c r="H688" s="2" t="s">
        <v>3609</v>
      </c>
      <c r="I688" s="2" t="s">
        <v>1133</v>
      </c>
      <c r="J688" s="2" t="s">
        <v>3610</v>
      </c>
      <c r="K688" s="2" t="n">
        <v>5</v>
      </c>
      <c r="L688" s="2" t="n">
        <v>1568</v>
      </c>
      <c r="M688" s="2" t="n">
        <v>1316</v>
      </c>
      <c r="N688" s="2" t="n">
        <v>1189</v>
      </c>
      <c r="O688" s="2" t="n">
        <v>56</v>
      </c>
      <c r="P688" s="2" t="n">
        <v>196</v>
      </c>
      <c r="Q688" s="2" t="n">
        <v>0</v>
      </c>
      <c r="R688" s="2" t="n">
        <v>0</v>
      </c>
      <c r="S688" s="2" t="n">
        <v>0</v>
      </c>
      <c r="T688" s="2" t="n">
        <v>0</v>
      </c>
      <c r="U688" s="2" t="n">
        <v>0</v>
      </c>
      <c r="V688" s="2" t="n">
        <v>0</v>
      </c>
      <c r="W688" s="2" t="n">
        <v>0</v>
      </c>
      <c r="X688" s="2" t="n">
        <v>0</v>
      </c>
      <c r="Y688" s="2" t="n">
        <v>0</v>
      </c>
      <c r="Z688" s="2" t="n">
        <v>0</v>
      </c>
      <c r="AA688" s="2" t="n">
        <v>0</v>
      </c>
      <c r="AB688" s="2" t="n">
        <v>0</v>
      </c>
      <c r="AC688" s="2"/>
    </row>
    <row r="689" customFormat="false" ht="15" hidden="false" customHeight="false" outlineLevel="0" collapsed="false">
      <c r="A689" s="2" t="n">
        <v>108</v>
      </c>
      <c r="B689" s="2" t="s">
        <v>1050</v>
      </c>
      <c r="C689" s="2" t="s">
        <v>1055</v>
      </c>
      <c r="D689" s="2" t="s">
        <v>3611</v>
      </c>
      <c r="E689" s="2" t="s">
        <v>1154</v>
      </c>
      <c r="F689" s="2" t="s">
        <v>1178</v>
      </c>
      <c r="G689" s="2" t="s">
        <v>2449</v>
      </c>
      <c r="H689" s="2" t="s">
        <v>3612</v>
      </c>
      <c r="I689" s="2" t="s">
        <v>1133</v>
      </c>
      <c r="J689" s="2" t="s">
        <v>3613</v>
      </c>
      <c r="K689" s="2" t="n">
        <v>3</v>
      </c>
      <c r="L689" s="2" t="n">
        <v>1031</v>
      </c>
      <c r="M689" s="2" t="n">
        <v>855</v>
      </c>
      <c r="N689" s="2" t="n">
        <v>656</v>
      </c>
      <c r="O689" s="2" t="n">
        <v>53</v>
      </c>
      <c r="P689" s="2" t="n">
        <v>123</v>
      </c>
      <c r="Q689" s="2" t="n">
        <v>0</v>
      </c>
      <c r="R689" s="2" t="n">
        <v>0</v>
      </c>
      <c r="S689" s="2" t="n">
        <v>0</v>
      </c>
      <c r="T689" s="2" t="n">
        <v>0</v>
      </c>
      <c r="U689" s="2" t="n">
        <v>0</v>
      </c>
      <c r="V689" s="2" t="n">
        <v>0</v>
      </c>
      <c r="W689" s="2" t="n">
        <v>0</v>
      </c>
      <c r="X689" s="2" t="n">
        <v>0</v>
      </c>
      <c r="Y689" s="2" t="n">
        <v>0</v>
      </c>
      <c r="Z689" s="2" t="n">
        <v>0</v>
      </c>
      <c r="AA689" s="2" t="n">
        <v>0</v>
      </c>
      <c r="AB689" s="2" t="n">
        <v>0</v>
      </c>
      <c r="AC689" s="2"/>
    </row>
    <row r="690" customFormat="false" ht="15" hidden="false" customHeight="false" outlineLevel="0" collapsed="false">
      <c r="A690" s="2" t="n">
        <v>108</v>
      </c>
      <c r="B690" s="2" t="s">
        <v>1050</v>
      </c>
      <c r="C690" s="2" t="s">
        <v>1055</v>
      </c>
      <c r="D690" s="2" t="s">
        <v>3614</v>
      </c>
      <c r="E690" s="2" t="s">
        <v>1154</v>
      </c>
      <c r="F690" s="2" t="s">
        <v>1178</v>
      </c>
      <c r="G690" s="2" t="s">
        <v>3615</v>
      </c>
      <c r="H690" s="2" t="s">
        <v>3616</v>
      </c>
      <c r="I690" s="2" t="s">
        <v>1133</v>
      </c>
      <c r="J690" s="2" t="s">
        <v>3617</v>
      </c>
      <c r="K690" s="2" t="n">
        <v>6</v>
      </c>
      <c r="L690" s="2" t="n">
        <v>1917</v>
      </c>
      <c r="M690" s="2" t="n">
        <v>1487</v>
      </c>
      <c r="N690" s="2" t="n">
        <v>1294</v>
      </c>
      <c r="O690" s="2" t="n">
        <v>89</v>
      </c>
      <c r="P690" s="2" t="n">
        <v>341</v>
      </c>
      <c r="Q690" s="2" t="n">
        <v>0</v>
      </c>
      <c r="R690" s="2" t="n">
        <v>0</v>
      </c>
      <c r="S690" s="2" t="n">
        <v>0</v>
      </c>
      <c r="T690" s="2" t="n">
        <v>0</v>
      </c>
      <c r="U690" s="2" t="n">
        <v>0</v>
      </c>
      <c r="V690" s="2" t="n">
        <v>0</v>
      </c>
      <c r="W690" s="2" t="n">
        <v>0</v>
      </c>
      <c r="X690" s="2" t="n">
        <v>0</v>
      </c>
      <c r="Y690" s="2" t="n">
        <v>0</v>
      </c>
      <c r="Z690" s="2" t="n">
        <v>0</v>
      </c>
      <c r="AA690" s="2" t="n">
        <v>0</v>
      </c>
      <c r="AB690" s="2" t="n">
        <v>0</v>
      </c>
      <c r="AC690" s="2"/>
    </row>
    <row r="691" customFormat="false" ht="15" hidden="false" customHeight="false" outlineLevel="0" collapsed="false">
      <c r="A691" s="2" t="n">
        <v>108</v>
      </c>
      <c r="B691" s="2" t="s">
        <v>1050</v>
      </c>
      <c r="C691" s="2" t="s">
        <v>1055</v>
      </c>
      <c r="D691" s="2" t="s">
        <v>3618</v>
      </c>
      <c r="E691" s="2" t="s">
        <v>1154</v>
      </c>
      <c r="F691" s="2" t="s">
        <v>1178</v>
      </c>
      <c r="G691" s="2" t="s">
        <v>1041</v>
      </c>
      <c r="H691" s="2" t="s">
        <v>3619</v>
      </c>
      <c r="I691" s="2" t="s">
        <v>1133</v>
      </c>
      <c r="J691" s="2" t="s">
        <v>3620</v>
      </c>
      <c r="K691" s="2" t="n">
        <v>3</v>
      </c>
      <c r="L691" s="2" t="n">
        <v>832</v>
      </c>
      <c r="M691" s="2" t="n">
        <v>713</v>
      </c>
      <c r="N691" s="2" t="n">
        <v>544</v>
      </c>
      <c r="O691" s="2" t="n">
        <v>42</v>
      </c>
      <c r="P691" s="2" t="n">
        <v>77</v>
      </c>
      <c r="Q691" s="2" t="n">
        <v>0</v>
      </c>
      <c r="R691" s="2" t="n">
        <v>0</v>
      </c>
      <c r="S691" s="2" t="n">
        <v>0</v>
      </c>
      <c r="T691" s="2" t="n">
        <v>0</v>
      </c>
      <c r="U691" s="2" t="n">
        <v>0</v>
      </c>
      <c r="V691" s="2" t="n">
        <v>0</v>
      </c>
      <c r="W691" s="2" t="n">
        <v>0</v>
      </c>
      <c r="X691" s="2" t="n">
        <v>0</v>
      </c>
      <c r="Y691" s="2" t="n">
        <v>0</v>
      </c>
      <c r="Z691" s="2" t="n">
        <v>0</v>
      </c>
      <c r="AA691" s="2" t="n">
        <v>0</v>
      </c>
      <c r="AB691" s="2" t="n">
        <v>0</v>
      </c>
      <c r="AC691" s="2"/>
    </row>
    <row r="692" customFormat="false" ht="15" hidden="false" customHeight="false" outlineLevel="0" collapsed="false">
      <c r="A692" s="2" t="n">
        <v>108</v>
      </c>
      <c r="B692" s="2" t="s">
        <v>1050</v>
      </c>
      <c r="C692" s="2" t="s">
        <v>1055</v>
      </c>
      <c r="D692" s="2" t="s">
        <v>3621</v>
      </c>
      <c r="E692" s="2" t="s">
        <v>1154</v>
      </c>
      <c r="F692" s="2" t="s">
        <v>1178</v>
      </c>
      <c r="G692" s="2" t="s">
        <v>1041</v>
      </c>
      <c r="H692" s="2" t="s">
        <v>3622</v>
      </c>
      <c r="I692" s="2" t="s">
        <v>1133</v>
      </c>
      <c r="J692" s="2" t="s">
        <v>3623</v>
      </c>
      <c r="K692" s="2" t="n">
        <v>3</v>
      </c>
      <c r="L692" s="2" t="n">
        <v>779</v>
      </c>
      <c r="M692" s="2" t="n">
        <v>684</v>
      </c>
      <c r="N692" s="2" t="n">
        <v>523</v>
      </c>
      <c r="O692" s="2" t="n">
        <v>42</v>
      </c>
      <c r="P692" s="2" t="n">
        <v>53</v>
      </c>
      <c r="Q692" s="2" t="n">
        <v>0</v>
      </c>
      <c r="R692" s="2" t="n">
        <v>0</v>
      </c>
      <c r="S692" s="2" t="n">
        <v>0</v>
      </c>
      <c r="T692" s="2" t="n">
        <v>0</v>
      </c>
      <c r="U692" s="2" t="n">
        <v>0</v>
      </c>
      <c r="V692" s="2" t="n">
        <v>0</v>
      </c>
      <c r="W692" s="2" t="n">
        <v>0</v>
      </c>
      <c r="X692" s="2" t="n">
        <v>0</v>
      </c>
      <c r="Y692" s="2" t="n">
        <v>0</v>
      </c>
      <c r="Z692" s="2" t="n">
        <v>0</v>
      </c>
      <c r="AA692" s="2" t="n">
        <v>0</v>
      </c>
      <c r="AB692" s="2" t="n">
        <v>0</v>
      </c>
      <c r="AC692" s="2"/>
    </row>
    <row r="693" customFormat="false" ht="15" hidden="false" customHeight="false" outlineLevel="0" collapsed="false">
      <c r="A693" s="2" t="n">
        <v>108</v>
      </c>
      <c r="B693" s="2" t="s">
        <v>1050</v>
      </c>
      <c r="C693" s="2" t="s">
        <v>1055</v>
      </c>
      <c r="D693" s="2" t="s">
        <v>3624</v>
      </c>
      <c r="E693" s="2" t="s">
        <v>1154</v>
      </c>
      <c r="F693" s="2" t="s">
        <v>1178</v>
      </c>
      <c r="G693" s="2" t="s">
        <v>711</v>
      </c>
      <c r="H693" s="2" t="s">
        <v>3625</v>
      </c>
      <c r="I693" s="2" t="s">
        <v>1133</v>
      </c>
      <c r="J693" s="2" t="s">
        <v>3626</v>
      </c>
      <c r="K693" s="2" t="n">
        <v>3</v>
      </c>
      <c r="L693" s="2" t="n">
        <v>570</v>
      </c>
      <c r="M693" s="2" t="n">
        <v>473</v>
      </c>
      <c r="N693" s="2" t="n">
        <v>300</v>
      </c>
      <c r="O693" s="2" t="n">
        <v>59</v>
      </c>
      <c r="P693" s="2" t="n">
        <v>38</v>
      </c>
      <c r="Q693" s="2" t="n">
        <v>0</v>
      </c>
      <c r="R693" s="2" t="n">
        <v>0</v>
      </c>
      <c r="S693" s="2" t="n">
        <v>0</v>
      </c>
      <c r="T693" s="2" t="n">
        <v>0</v>
      </c>
      <c r="U693" s="2" t="n">
        <v>0</v>
      </c>
      <c r="V693" s="2" t="n">
        <v>0</v>
      </c>
      <c r="W693" s="2" t="n">
        <v>0</v>
      </c>
      <c r="X693" s="2" t="n">
        <v>0</v>
      </c>
      <c r="Y693" s="2" t="n">
        <v>0</v>
      </c>
      <c r="Z693" s="2" t="n">
        <v>0</v>
      </c>
      <c r="AA693" s="2" t="n">
        <v>0</v>
      </c>
      <c r="AB693" s="2" t="n">
        <v>0</v>
      </c>
      <c r="AC693" s="2"/>
    </row>
    <row r="694" customFormat="false" ht="15" hidden="false" customHeight="false" outlineLevel="0" collapsed="false">
      <c r="A694" s="2" t="n">
        <v>108</v>
      </c>
      <c r="B694" s="2" t="s">
        <v>1050</v>
      </c>
      <c r="C694" s="2" t="s">
        <v>1055</v>
      </c>
      <c r="D694" s="2" t="s">
        <v>3627</v>
      </c>
      <c r="E694" s="2" t="s">
        <v>1154</v>
      </c>
      <c r="F694" s="2" t="s">
        <v>1178</v>
      </c>
      <c r="G694" s="2" t="s">
        <v>3628</v>
      </c>
      <c r="H694" s="2" t="s">
        <v>3629</v>
      </c>
      <c r="I694" s="2" t="s">
        <v>1133</v>
      </c>
      <c r="J694" s="2" t="s">
        <v>3630</v>
      </c>
      <c r="K694" s="2" t="n">
        <v>4</v>
      </c>
      <c r="L694" s="2" t="n">
        <v>1427</v>
      </c>
      <c r="M694" s="2" t="n">
        <v>1181</v>
      </c>
      <c r="N694" s="2" t="n">
        <v>1007</v>
      </c>
      <c r="O694" s="2" t="n">
        <v>53</v>
      </c>
      <c r="P694" s="2" t="n">
        <v>193</v>
      </c>
      <c r="Q694" s="2" t="n">
        <v>0</v>
      </c>
      <c r="R694" s="2" t="n">
        <v>0</v>
      </c>
      <c r="S694" s="2" t="n">
        <v>0</v>
      </c>
      <c r="T694" s="2" t="n">
        <v>0</v>
      </c>
      <c r="U694" s="2" t="n">
        <v>0</v>
      </c>
      <c r="V694" s="2" t="n">
        <v>0</v>
      </c>
      <c r="W694" s="2" t="n">
        <v>0</v>
      </c>
      <c r="X694" s="2" t="n">
        <v>0</v>
      </c>
      <c r="Y694" s="2" t="n">
        <v>0</v>
      </c>
      <c r="Z694" s="2" t="n">
        <v>0</v>
      </c>
      <c r="AA694" s="2" t="n">
        <v>0</v>
      </c>
      <c r="AB694" s="2" t="n">
        <v>0</v>
      </c>
      <c r="AC694" s="2"/>
    </row>
    <row r="695" customFormat="false" ht="15" hidden="false" customHeight="false" outlineLevel="0" collapsed="false">
      <c r="A695" s="2" t="n">
        <v>108</v>
      </c>
      <c r="B695" s="2" t="s">
        <v>1050</v>
      </c>
      <c r="C695" s="2" t="s">
        <v>1055</v>
      </c>
      <c r="D695" s="2" t="s">
        <v>3631</v>
      </c>
      <c r="E695" s="2" t="s">
        <v>1154</v>
      </c>
      <c r="F695" s="2" t="s">
        <v>1178</v>
      </c>
      <c r="G695" s="2" t="s">
        <v>3632</v>
      </c>
      <c r="H695" s="2" t="s">
        <v>3633</v>
      </c>
      <c r="I695" s="2" t="s">
        <v>1133</v>
      </c>
      <c r="J695" s="2" t="s">
        <v>3634</v>
      </c>
      <c r="K695" s="2" t="n">
        <v>4</v>
      </c>
      <c r="L695" s="2" t="n">
        <v>743</v>
      </c>
      <c r="M695" s="2" t="n">
        <v>603</v>
      </c>
      <c r="N695" s="2" t="n">
        <v>436</v>
      </c>
      <c r="O695" s="2" t="n">
        <v>66</v>
      </c>
      <c r="P695" s="2" t="n">
        <v>74</v>
      </c>
      <c r="Q695" s="2" t="n">
        <v>0</v>
      </c>
      <c r="R695" s="2" t="n">
        <v>0</v>
      </c>
      <c r="S695" s="2" t="n">
        <v>0</v>
      </c>
      <c r="T695" s="2" t="n">
        <v>0</v>
      </c>
      <c r="U695" s="2" t="n">
        <v>0</v>
      </c>
      <c r="V695" s="2" t="n">
        <v>0</v>
      </c>
      <c r="W695" s="2" t="n">
        <v>0</v>
      </c>
      <c r="X695" s="2" t="n">
        <v>0</v>
      </c>
      <c r="Y695" s="2" t="n">
        <v>0</v>
      </c>
      <c r="Z695" s="2" t="n">
        <v>0</v>
      </c>
      <c r="AA695" s="2" t="n">
        <v>0</v>
      </c>
      <c r="AB695" s="2" t="n">
        <v>0</v>
      </c>
      <c r="AC695" s="2"/>
    </row>
    <row r="696" customFormat="false" ht="15" hidden="false" customHeight="false" outlineLevel="0" collapsed="false">
      <c r="A696" s="2" t="n">
        <v>108</v>
      </c>
      <c r="B696" s="2" t="s">
        <v>1050</v>
      </c>
      <c r="C696" s="2" t="s">
        <v>1055</v>
      </c>
      <c r="D696" s="2" t="s">
        <v>3635</v>
      </c>
      <c r="E696" s="2" t="s">
        <v>1154</v>
      </c>
      <c r="F696" s="2" t="s">
        <v>1178</v>
      </c>
      <c r="G696" s="2" t="s">
        <v>884</v>
      </c>
      <c r="H696" s="2" t="s">
        <v>3636</v>
      </c>
      <c r="I696" s="2" t="s">
        <v>1133</v>
      </c>
      <c r="J696" s="2" t="s">
        <v>3637</v>
      </c>
      <c r="K696" s="2" t="n">
        <v>3</v>
      </c>
      <c r="L696" s="2" t="n">
        <v>1339</v>
      </c>
      <c r="M696" s="2" t="n">
        <v>859</v>
      </c>
      <c r="N696" s="2" t="n">
        <v>683</v>
      </c>
      <c r="O696" s="2" t="n">
        <v>71</v>
      </c>
      <c r="P696" s="2" t="n">
        <v>409</v>
      </c>
      <c r="Q696" s="2" t="n">
        <v>0</v>
      </c>
      <c r="R696" s="2" t="n">
        <v>0</v>
      </c>
      <c r="S696" s="2" t="n">
        <v>0</v>
      </c>
      <c r="T696" s="2" t="n">
        <v>0</v>
      </c>
      <c r="U696" s="2" t="n">
        <v>0</v>
      </c>
      <c r="V696" s="2" t="n">
        <v>0</v>
      </c>
      <c r="W696" s="2" t="n">
        <v>0</v>
      </c>
      <c r="X696" s="2" t="n">
        <v>0</v>
      </c>
      <c r="Y696" s="2" t="n">
        <v>0</v>
      </c>
      <c r="Z696" s="2" t="n">
        <v>0</v>
      </c>
      <c r="AA696" s="2" t="n">
        <v>0</v>
      </c>
      <c r="AB696" s="2" t="n">
        <v>0</v>
      </c>
      <c r="AC696" s="2"/>
    </row>
    <row r="697" customFormat="false" ht="15" hidden="false" customHeight="false" outlineLevel="0" collapsed="false">
      <c r="A697" s="2" t="n">
        <v>108</v>
      </c>
      <c r="B697" s="2" t="s">
        <v>1050</v>
      </c>
      <c r="C697" s="2" t="s">
        <v>1055</v>
      </c>
      <c r="D697" s="2" t="s">
        <v>3638</v>
      </c>
      <c r="E697" s="2" t="s">
        <v>1154</v>
      </c>
      <c r="F697" s="2" t="s">
        <v>1178</v>
      </c>
      <c r="G697" s="2" t="s">
        <v>969</v>
      </c>
      <c r="H697" s="2" t="s">
        <v>3639</v>
      </c>
      <c r="I697" s="2" t="s">
        <v>1133</v>
      </c>
      <c r="J697" s="2" t="s">
        <v>3640</v>
      </c>
      <c r="K697" s="2" t="n">
        <v>4</v>
      </c>
      <c r="L697" s="2" t="n">
        <v>1068</v>
      </c>
      <c r="M697" s="2" t="n">
        <v>916</v>
      </c>
      <c r="N697" s="2" t="n">
        <v>760</v>
      </c>
      <c r="O697" s="2" t="n">
        <v>44</v>
      </c>
      <c r="P697" s="2" t="n">
        <v>108</v>
      </c>
      <c r="Q697" s="2" t="n">
        <v>0</v>
      </c>
      <c r="R697" s="2" t="n">
        <v>0</v>
      </c>
      <c r="S697" s="2" t="n">
        <v>0</v>
      </c>
      <c r="T697" s="2" t="n">
        <v>0</v>
      </c>
      <c r="U697" s="2" t="n">
        <v>0</v>
      </c>
      <c r="V697" s="2" t="n">
        <v>0</v>
      </c>
      <c r="W697" s="2" t="n">
        <v>0</v>
      </c>
      <c r="X697" s="2" t="n">
        <v>0</v>
      </c>
      <c r="Y697" s="2" t="n">
        <v>0</v>
      </c>
      <c r="Z697" s="2" t="n">
        <v>0</v>
      </c>
      <c r="AA697" s="2" t="n">
        <v>0</v>
      </c>
      <c r="AB697" s="2" t="n">
        <v>0</v>
      </c>
      <c r="AC697" s="2"/>
    </row>
    <row r="698" customFormat="false" ht="15" hidden="false" customHeight="false" outlineLevel="0" collapsed="false">
      <c r="A698" s="2" t="n">
        <v>108</v>
      </c>
      <c r="B698" s="2" t="s">
        <v>1050</v>
      </c>
      <c r="C698" s="2" t="s">
        <v>1055</v>
      </c>
      <c r="D698" s="2" t="s">
        <v>3641</v>
      </c>
      <c r="E698" s="2" t="s">
        <v>1154</v>
      </c>
      <c r="F698" s="2" t="s">
        <v>1178</v>
      </c>
      <c r="G698" s="2" t="s">
        <v>3642</v>
      </c>
      <c r="H698" s="2" t="s">
        <v>3643</v>
      </c>
      <c r="I698" s="2" t="s">
        <v>1133</v>
      </c>
      <c r="J698" s="2" t="s">
        <v>3644</v>
      </c>
      <c r="K698" s="2" t="n">
        <v>4</v>
      </c>
      <c r="L698" s="2" t="n">
        <v>1613</v>
      </c>
      <c r="M698" s="2" t="n">
        <v>1056</v>
      </c>
      <c r="N698" s="2" t="n">
        <v>865</v>
      </c>
      <c r="O698" s="2" t="n">
        <v>42</v>
      </c>
      <c r="P698" s="2" t="n">
        <v>515</v>
      </c>
      <c r="Q698" s="2" t="n">
        <v>0</v>
      </c>
      <c r="R698" s="2" t="n">
        <v>0</v>
      </c>
      <c r="S698" s="2" t="n">
        <v>0</v>
      </c>
      <c r="T698" s="2" t="n">
        <v>0</v>
      </c>
      <c r="U698" s="2" t="n">
        <v>0</v>
      </c>
      <c r="V698" s="2" t="n">
        <v>0</v>
      </c>
      <c r="W698" s="2" t="n">
        <v>0</v>
      </c>
      <c r="X698" s="2" t="n">
        <v>0</v>
      </c>
      <c r="Y698" s="2" t="n">
        <v>0</v>
      </c>
      <c r="Z698" s="2" t="n">
        <v>0</v>
      </c>
      <c r="AA698" s="2" t="n">
        <v>0</v>
      </c>
      <c r="AB698" s="2" t="n">
        <v>0</v>
      </c>
      <c r="AC698" s="2"/>
    </row>
    <row r="699" customFormat="false" ht="15" hidden="false" customHeight="false" outlineLevel="0" collapsed="false">
      <c r="A699" s="2" t="n">
        <v>108</v>
      </c>
      <c r="B699" s="2" t="s">
        <v>1050</v>
      </c>
      <c r="C699" s="2" t="s">
        <v>1055</v>
      </c>
      <c r="D699" s="2" t="s">
        <v>3645</v>
      </c>
      <c r="E699" s="2" t="s">
        <v>1154</v>
      </c>
      <c r="F699" s="2" t="s">
        <v>1178</v>
      </c>
      <c r="G699" s="2" t="s">
        <v>3646</v>
      </c>
      <c r="H699" s="2" t="s">
        <v>3647</v>
      </c>
      <c r="I699" s="2" t="s">
        <v>1133</v>
      </c>
      <c r="J699" s="2" t="s">
        <v>3648</v>
      </c>
      <c r="K699" s="2" t="n">
        <v>18</v>
      </c>
      <c r="L699" s="2" t="n">
        <v>5205</v>
      </c>
      <c r="M699" s="2" t="n">
        <v>894</v>
      </c>
      <c r="N699" s="2" t="n">
        <v>728</v>
      </c>
      <c r="O699" s="2" t="n">
        <v>150</v>
      </c>
      <c r="P699" s="2" t="n">
        <v>4161</v>
      </c>
      <c r="Q699" s="2" t="n">
        <v>0</v>
      </c>
      <c r="R699" s="2" t="n">
        <v>0</v>
      </c>
      <c r="S699" s="2" t="n">
        <v>1</v>
      </c>
      <c r="T699" s="2" t="n">
        <v>0</v>
      </c>
      <c r="U699" s="2" t="n">
        <v>0</v>
      </c>
      <c r="V699" s="2" t="n">
        <v>0</v>
      </c>
      <c r="W699" s="2" t="n">
        <v>1</v>
      </c>
      <c r="X699" s="2" t="n">
        <v>0</v>
      </c>
      <c r="Y699" s="2" t="n">
        <v>0</v>
      </c>
      <c r="Z699" s="2" t="n">
        <v>0</v>
      </c>
      <c r="AA699" s="2" t="n">
        <v>0</v>
      </c>
      <c r="AB699" s="2" t="n">
        <v>1</v>
      </c>
      <c r="AC699" s="2"/>
    </row>
    <row r="700" customFormat="false" ht="15" hidden="false" customHeight="false" outlineLevel="0" collapsed="false">
      <c r="A700" s="2" t="n">
        <v>108</v>
      </c>
      <c r="B700" s="2" t="s">
        <v>1050</v>
      </c>
      <c r="C700" s="2" t="s">
        <v>1055</v>
      </c>
      <c r="D700" s="2" t="s">
        <v>3649</v>
      </c>
      <c r="E700" s="2" t="s">
        <v>1154</v>
      </c>
      <c r="F700" s="2" t="s">
        <v>1178</v>
      </c>
      <c r="G700" s="2" t="s">
        <v>2849</v>
      </c>
      <c r="H700" s="2" t="s">
        <v>3650</v>
      </c>
      <c r="I700" s="2" t="s">
        <v>1133</v>
      </c>
      <c r="J700" s="2" t="s">
        <v>3651</v>
      </c>
      <c r="K700" s="2" t="n">
        <v>4</v>
      </c>
      <c r="L700" s="2" t="n">
        <v>1167</v>
      </c>
      <c r="M700" s="2" t="n">
        <v>968</v>
      </c>
      <c r="N700" s="2" t="n">
        <v>785</v>
      </c>
      <c r="O700" s="2" t="n">
        <v>72</v>
      </c>
      <c r="P700" s="2" t="n">
        <v>127</v>
      </c>
      <c r="Q700" s="2" t="n">
        <v>0</v>
      </c>
      <c r="R700" s="2" t="n">
        <v>0</v>
      </c>
      <c r="S700" s="2" t="n">
        <v>0</v>
      </c>
      <c r="T700" s="2" t="n">
        <v>0</v>
      </c>
      <c r="U700" s="2" t="n">
        <v>0</v>
      </c>
      <c r="V700" s="2" t="n">
        <v>0</v>
      </c>
      <c r="W700" s="2" t="n">
        <v>0</v>
      </c>
      <c r="X700" s="2" t="n">
        <v>0</v>
      </c>
      <c r="Y700" s="2" t="n">
        <v>0</v>
      </c>
      <c r="Z700" s="2" t="n">
        <v>0</v>
      </c>
      <c r="AA700" s="2" t="n">
        <v>0</v>
      </c>
      <c r="AB700" s="2" t="n">
        <v>0</v>
      </c>
      <c r="AC700" s="2"/>
    </row>
    <row r="701" customFormat="false" ht="15" hidden="false" customHeight="false" outlineLevel="0" collapsed="false">
      <c r="A701" s="2" t="n">
        <v>108</v>
      </c>
      <c r="B701" s="2" t="s">
        <v>1050</v>
      </c>
      <c r="C701" s="2" t="s">
        <v>1055</v>
      </c>
      <c r="D701" s="2" t="s">
        <v>3652</v>
      </c>
      <c r="E701" s="2" t="s">
        <v>1154</v>
      </c>
      <c r="F701" s="2" t="s">
        <v>1178</v>
      </c>
      <c r="G701" s="2" t="s">
        <v>3653</v>
      </c>
      <c r="H701" s="2" t="s">
        <v>3654</v>
      </c>
      <c r="I701" s="2" t="s">
        <v>1133</v>
      </c>
      <c r="J701" s="2" t="s">
        <v>3655</v>
      </c>
      <c r="K701" s="2" t="n">
        <v>5</v>
      </c>
      <c r="L701" s="2" t="n">
        <v>1565</v>
      </c>
      <c r="M701" s="2" t="n">
        <v>1024</v>
      </c>
      <c r="N701" s="2" t="n">
        <v>858</v>
      </c>
      <c r="O701" s="2" t="n">
        <v>90</v>
      </c>
      <c r="P701" s="2" t="n">
        <v>451</v>
      </c>
      <c r="Q701" s="2" t="n">
        <v>0</v>
      </c>
      <c r="R701" s="2" t="n">
        <v>0</v>
      </c>
      <c r="S701" s="2" t="n">
        <v>0</v>
      </c>
      <c r="T701" s="2" t="n">
        <v>0</v>
      </c>
      <c r="U701" s="2" t="n">
        <v>0</v>
      </c>
      <c r="V701" s="2" t="n">
        <v>0</v>
      </c>
      <c r="W701" s="2" t="n">
        <v>0</v>
      </c>
      <c r="X701" s="2" t="n">
        <v>0</v>
      </c>
      <c r="Y701" s="2" t="n">
        <v>0</v>
      </c>
      <c r="Z701" s="2" t="n">
        <v>0</v>
      </c>
      <c r="AA701" s="2" t="n">
        <v>0</v>
      </c>
      <c r="AB701" s="2" t="n">
        <v>0</v>
      </c>
      <c r="AC701" s="2"/>
    </row>
    <row r="702" customFormat="false" ht="15" hidden="false" customHeight="false" outlineLevel="0" collapsed="false">
      <c r="A702" s="2" t="n">
        <v>108</v>
      </c>
      <c r="B702" s="2" t="s">
        <v>1050</v>
      </c>
      <c r="C702" s="2" t="s">
        <v>1055</v>
      </c>
      <c r="D702" s="2" t="s">
        <v>3656</v>
      </c>
      <c r="E702" s="2" t="s">
        <v>1154</v>
      </c>
      <c r="F702" s="2" t="s">
        <v>1178</v>
      </c>
      <c r="G702" s="2" t="s">
        <v>3657</v>
      </c>
      <c r="H702" s="2" t="s">
        <v>3658</v>
      </c>
      <c r="I702" s="2" t="s">
        <v>1133</v>
      </c>
      <c r="J702" s="2" t="s">
        <v>3659</v>
      </c>
      <c r="K702" s="2" t="n">
        <v>3</v>
      </c>
      <c r="L702" s="2" t="n">
        <v>791</v>
      </c>
      <c r="M702" s="2" t="n">
        <v>672</v>
      </c>
      <c r="N702" s="2" t="n">
        <v>495</v>
      </c>
      <c r="O702" s="2" t="n">
        <v>53</v>
      </c>
      <c r="P702" s="2" t="n">
        <v>66</v>
      </c>
      <c r="Q702" s="2" t="n">
        <v>0</v>
      </c>
      <c r="R702" s="2" t="n">
        <v>0</v>
      </c>
      <c r="S702" s="2" t="n">
        <v>0</v>
      </c>
      <c r="T702" s="2" t="n">
        <v>0</v>
      </c>
      <c r="U702" s="2" t="n">
        <v>0</v>
      </c>
      <c r="V702" s="2" t="n">
        <v>0</v>
      </c>
      <c r="W702" s="2" t="n">
        <v>0</v>
      </c>
      <c r="X702" s="2" t="n">
        <v>0</v>
      </c>
      <c r="Y702" s="2" t="n">
        <v>0</v>
      </c>
      <c r="Z702" s="2" t="n">
        <v>0</v>
      </c>
      <c r="AA702" s="2" t="n">
        <v>0</v>
      </c>
      <c r="AB702" s="2" t="n">
        <v>0</v>
      </c>
      <c r="AC702" s="2"/>
    </row>
    <row r="703" customFormat="false" ht="15" hidden="false" customHeight="false" outlineLevel="0" collapsed="false">
      <c r="A703" s="2" t="n">
        <v>108</v>
      </c>
      <c r="B703" s="2" t="s">
        <v>1050</v>
      </c>
      <c r="C703" s="2" t="s">
        <v>1055</v>
      </c>
      <c r="D703" s="2" t="s">
        <v>3660</v>
      </c>
      <c r="E703" s="2" t="s">
        <v>1154</v>
      </c>
      <c r="F703" s="2" t="s">
        <v>1178</v>
      </c>
      <c r="G703" s="2" t="s">
        <v>3661</v>
      </c>
      <c r="H703" s="2" t="s">
        <v>3662</v>
      </c>
      <c r="I703" s="2" t="s">
        <v>1133</v>
      </c>
      <c r="J703" s="2" t="s">
        <v>3663</v>
      </c>
      <c r="K703" s="2" t="n">
        <v>5</v>
      </c>
      <c r="L703" s="2" t="n">
        <v>1475</v>
      </c>
      <c r="M703" s="2" t="n">
        <v>758</v>
      </c>
      <c r="N703" s="2" t="n">
        <v>599</v>
      </c>
      <c r="O703" s="2" t="n">
        <v>61</v>
      </c>
      <c r="P703" s="2" t="n">
        <v>656</v>
      </c>
      <c r="Q703" s="2" t="n">
        <v>0</v>
      </c>
      <c r="R703" s="2" t="n">
        <v>0</v>
      </c>
      <c r="S703" s="2" t="n">
        <v>0</v>
      </c>
      <c r="T703" s="2" t="n">
        <v>0</v>
      </c>
      <c r="U703" s="2" t="n">
        <v>0</v>
      </c>
      <c r="V703" s="2" t="n">
        <v>0</v>
      </c>
      <c r="W703" s="2" t="n">
        <v>0</v>
      </c>
      <c r="X703" s="2" t="n">
        <v>0</v>
      </c>
      <c r="Y703" s="2" t="n">
        <v>0</v>
      </c>
      <c r="Z703" s="2" t="n">
        <v>0</v>
      </c>
      <c r="AA703" s="2" t="n">
        <v>0</v>
      </c>
      <c r="AB703" s="2" t="n">
        <v>0</v>
      </c>
      <c r="AC703" s="2"/>
    </row>
    <row r="704" customFormat="false" ht="15" hidden="false" customHeight="false" outlineLevel="0" collapsed="false">
      <c r="A704" s="2" t="n">
        <v>108</v>
      </c>
      <c r="B704" s="2" t="s">
        <v>1050</v>
      </c>
      <c r="C704" s="2" t="s">
        <v>1055</v>
      </c>
      <c r="D704" s="2" t="s">
        <v>3664</v>
      </c>
      <c r="E704" s="2" t="s">
        <v>1154</v>
      </c>
      <c r="F704" s="2" t="s">
        <v>1178</v>
      </c>
      <c r="G704" s="2" t="s">
        <v>852</v>
      </c>
      <c r="H704" s="2" t="s">
        <v>3665</v>
      </c>
      <c r="I704" s="2" t="s">
        <v>1133</v>
      </c>
      <c r="J704" s="2" t="s">
        <v>3666</v>
      </c>
      <c r="K704" s="2" t="n">
        <v>4</v>
      </c>
      <c r="L704" s="2" t="n">
        <v>627</v>
      </c>
      <c r="M704" s="2" t="n">
        <v>455</v>
      </c>
      <c r="N704" s="2" t="n">
        <v>286</v>
      </c>
      <c r="O704" s="2" t="n">
        <v>105</v>
      </c>
      <c r="P704" s="2" t="n">
        <v>67</v>
      </c>
      <c r="Q704" s="2" t="n">
        <v>0</v>
      </c>
      <c r="R704" s="2" t="n">
        <v>0</v>
      </c>
      <c r="S704" s="2" t="n">
        <v>0</v>
      </c>
      <c r="T704" s="2" t="n">
        <v>0</v>
      </c>
      <c r="U704" s="2" t="n">
        <v>0</v>
      </c>
      <c r="V704" s="2" t="n">
        <v>0</v>
      </c>
      <c r="W704" s="2" t="n">
        <v>0</v>
      </c>
      <c r="X704" s="2" t="n">
        <v>0</v>
      </c>
      <c r="Y704" s="2" t="n">
        <v>0</v>
      </c>
      <c r="Z704" s="2" t="n">
        <v>0</v>
      </c>
      <c r="AA704" s="2" t="n">
        <v>0</v>
      </c>
      <c r="AB704" s="2" t="n">
        <v>0</v>
      </c>
      <c r="AC704" s="2"/>
    </row>
    <row r="705" customFormat="false" ht="15" hidden="false" customHeight="false" outlineLevel="0" collapsed="false">
      <c r="A705" s="2" t="n">
        <v>108</v>
      </c>
      <c r="B705" s="2" t="s">
        <v>1050</v>
      </c>
      <c r="C705" s="2" t="s">
        <v>1055</v>
      </c>
      <c r="D705" s="2" t="s">
        <v>3667</v>
      </c>
      <c r="E705" s="2" t="s">
        <v>1154</v>
      </c>
      <c r="F705" s="2" t="s">
        <v>1178</v>
      </c>
      <c r="G705" s="2" t="s">
        <v>3668</v>
      </c>
      <c r="H705" s="2" t="s">
        <v>3669</v>
      </c>
      <c r="I705" s="2" t="s">
        <v>1133</v>
      </c>
      <c r="J705" s="2" t="s">
        <v>3670</v>
      </c>
      <c r="K705" s="2" t="n">
        <v>3</v>
      </c>
      <c r="L705" s="2" t="n">
        <v>780</v>
      </c>
      <c r="M705" s="2" t="n">
        <v>667</v>
      </c>
      <c r="N705" s="2" t="n">
        <v>499</v>
      </c>
      <c r="O705" s="2" t="n">
        <v>56</v>
      </c>
      <c r="P705" s="2" t="n">
        <v>57</v>
      </c>
      <c r="Q705" s="2" t="n">
        <v>0</v>
      </c>
      <c r="R705" s="2" t="n">
        <v>0</v>
      </c>
      <c r="S705" s="2" t="n">
        <v>0</v>
      </c>
      <c r="T705" s="2" t="n">
        <v>0</v>
      </c>
      <c r="U705" s="2" t="n">
        <v>0</v>
      </c>
      <c r="V705" s="2" t="n">
        <v>0</v>
      </c>
      <c r="W705" s="2" t="n">
        <v>0</v>
      </c>
      <c r="X705" s="2" t="n">
        <v>0</v>
      </c>
      <c r="Y705" s="2" t="n">
        <v>0</v>
      </c>
      <c r="Z705" s="2" t="n">
        <v>0</v>
      </c>
      <c r="AA705" s="2" t="n">
        <v>0</v>
      </c>
      <c r="AB705" s="2" t="n">
        <v>0</v>
      </c>
      <c r="AC705" s="2"/>
    </row>
    <row r="706" customFormat="false" ht="15" hidden="false" customHeight="false" outlineLevel="0" collapsed="false">
      <c r="A706" s="2" t="n">
        <v>108</v>
      </c>
      <c r="B706" s="2" t="s">
        <v>1050</v>
      </c>
      <c r="C706" s="2" t="s">
        <v>1055</v>
      </c>
      <c r="D706" s="2" t="s">
        <v>3671</v>
      </c>
      <c r="E706" s="2" t="s">
        <v>1154</v>
      </c>
      <c r="F706" s="2" t="s">
        <v>1178</v>
      </c>
      <c r="G706" s="2" t="s">
        <v>3672</v>
      </c>
      <c r="H706" s="2" t="s">
        <v>3673</v>
      </c>
      <c r="I706" s="2" t="s">
        <v>1133</v>
      </c>
      <c r="J706" s="2" t="s">
        <v>3674</v>
      </c>
      <c r="K706" s="2" t="n">
        <v>3</v>
      </c>
      <c r="L706" s="2" t="n">
        <v>802</v>
      </c>
      <c r="M706" s="2" t="n">
        <v>677</v>
      </c>
      <c r="N706" s="2" t="n">
        <v>519</v>
      </c>
      <c r="O706" s="2" t="n">
        <v>42</v>
      </c>
      <c r="P706" s="2" t="n">
        <v>83</v>
      </c>
      <c r="Q706" s="2" t="n">
        <v>0</v>
      </c>
      <c r="R706" s="2" t="n">
        <v>0</v>
      </c>
      <c r="S706" s="2" t="n">
        <v>0</v>
      </c>
      <c r="T706" s="2" t="n">
        <v>0</v>
      </c>
      <c r="U706" s="2" t="n">
        <v>0</v>
      </c>
      <c r="V706" s="2" t="n">
        <v>0</v>
      </c>
      <c r="W706" s="2" t="n">
        <v>0</v>
      </c>
      <c r="X706" s="2" t="n">
        <v>0</v>
      </c>
      <c r="Y706" s="2" t="n">
        <v>0</v>
      </c>
      <c r="Z706" s="2" t="n">
        <v>0</v>
      </c>
      <c r="AA706" s="2" t="n">
        <v>0</v>
      </c>
      <c r="AB706" s="2" t="n">
        <v>0</v>
      </c>
      <c r="AC706" s="2"/>
    </row>
    <row r="707" customFormat="false" ht="15" hidden="false" customHeight="false" outlineLevel="0" collapsed="false">
      <c r="A707" s="2" t="n">
        <v>108</v>
      </c>
      <c r="B707" s="2" t="s">
        <v>1050</v>
      </c>
      <c r="C707" s="2" t="s">
        <v>1055</v>
      </c>
      <c r="D707" s="2" t="s">
        <v>3675</v>
      </c>
      <c r="E707" s="2" t="s">
        <v>1154</v>
      </c>
      <c r="F707" s="2" t="s">
        <v>1178</v>
      </c>
      <c r="G707" s="2" t="s">
        <v>3672</v>
      </c>
      <c r="H707" s="2" t="s">
        <v>3676</v>
      </c>
      <c r="I707" s="2" t="s">
        <v>1133</v>
      </c>
      <c r="J707" s="2" t="s">
        <v>3677</v>
      </c>
      <c r="K707" s="2" t="n">
        <v>3</v>
      </c>
      <c r="L707" s="2" t="n">
        <v>931</v>
      </c>
      <c r="M707" s="2" t="n">
        <v>740</v>
      </c>
      <c r="N707" s="2" t="n">
        <v>570</v>
      </c>
      <c r="O707" s="2" t="n">
        <v>42</v>
      </c>
      <c r="P707" s="2" t="n">
        <v>149</v>
      </c>
      <c r="Q707" s="2" t="n">
        <v>0</v>
      </c>
      <c r="R707" s="2" t="n">
        <v>0</v>
      </c>
      <c r="S707" s="2" t="n">
        <v>0</v>
      </c>
      <c r="T707" s="2" t="n">
        <v>0</v>
      </c>
      <c r="U707" s="2" t="n">
        <v>0</v>
      </c>
      <c r="V707" s="2" t="n">
        <v>0</v>
      </c>
      <c r="W707" s="2" t="n">
        <v>0</v>
      </c>
      <c r="X707" s="2" t="n">
        <v>0</v>
      </c>
      <c r="Y707" s="2" t="n">
        <v>0</v>
      </c>
      <c r="Z707" s="2" t="n">
        <v>0</v>
      </c>
      <c r="AA707" s="2" t="n">
        <v>0</v>
      </c>
      <c r="AB707" s="2" t="n">
        <v>0</v>
      </c>
      <c r="AC707" s="2"/>
    </row>
    <row r="708" customFormat="false" ht="15" hidden="false" customHeight="false" outlineLevel="0" collapsed="false">
      <c r="A708" s="2" t="n">
        <v>108</v>
      </c>
      <c r="B708" s="2" t="s">
        <v>1050</v>
      </c>
      <c r="C708" s="2" t="s">
        <v>1055</v>
      </c>
      <c r="D708" s="2" t="s">
        <v>3678</v>
      </c>
      <c r="E708" s="2" t="s">
        <v>1154</v>
      </c>
      <c r="F708" s="2" t="s">
        <v>1178</v>
      </c>
      <c r="G708" s="2" t="s">
        <v>3679</v>
      </c>
      <c r="H708" s="2" t="s">
        <v>3680</v>
      </c>
      <c r="I708" s="2" t="s">
        <v>1133</v>
      </c>
      <c r="J708" s="2" t="s">
        <v>3681</v>
      </c>
      <c r="K708" s="2" t="n">
        <v>7</v>
      </c>
      <c r="L708" s="2" t="n">
        <v>3490</v>
      </c>
      <c r="M708" s="2" t="n">
        <v>1798</v>
      </c>
      <c r="N708" s="2" t="n">
        <v>1601</v>
      </c>
      <c r="O708" s="2" t="n">
        <v>64</v>
      </c>
      <c r="P708" s="2" t="n">
        <v>1628</v>
      </c>
      <c r="Q708" s="2" t="n">
        <v>0</v>
      </c>
      <c r="R708" s="2" t="n">
        <v>0</v>
      </c>
      <c r="S708" s="2" t="n">
        <v>0</v>
      </c>
      <c r="T708" s="2" t="n">
        <v>0</v>
      </c>
      <c r="U708" s="2" t="n">
        <v>0</v>
      </c>
      <c r="V708" s="2" t="n">
        <v>0</v>
      </c>
      <c r="W708" s="2" t="n">
        <v>0</v>
      </c>
      <c r="X708" s="2" t="n">
        <v>0</v>
      </c>
      <c r="Y708" s="2" t="n">
        <v>0</v>
      </c>
      <c r="Z708" s="2" t="n">
        <v>0</v>
      </c>
      <c r="AA708" s="2" t="n">
        <v>0</v>
      </c>
      <c r="AB708" s="2" t="n">
        <v>0</v>
      </c>
      <c r="AC708" s="2"/>
    </row>
    <row r="709" customFormat="false" ht="15" hidden="false" customHeight="false" outlineLevel="0" collapsed="false">
      <c r="A709" s="2" t="n">
        <v>108</v>
      </c>
      <c r="B709" s="2" t="s">
        <v>1050</v>
      </c>
      <c r="C709" s="2" t="s">
        <v>1055</v>
      </c>
      <c r="D709" s="2" t="s">
        <v>3682</v>
      </c>
      <c r="E709" s="2" t="s">
        <v>1154</v>
      </c>
      <c r="F709" s="2" t="s">
        <v>1178</v>
      </c>
      <c r="G709" s="2" t="s">
        <v>3679</v>
      </c>
      <c r="H709" s="2" t="s">
        <v>3683</v>
      </c>
      <c r="I709" s="2" t="s">
        <v>1133</v>
      </c>
      <c r="J709" s="2" t="s">
        <v>3684</v>
      </c>
      <c r="K709" s="2" t="n">
        <v>4</v>
      </c>
      <c r="L709" s="2" t="n">
        <v>1710</v>
      </c>
      <c r="M709" s="2" t="n">
        <v>1291</v>
      </c>
      <c r="N709" s="2" t="n">
        <v>1101</v>
      </c>
      <c r="O709" s="2" t="n">
        <v>53</v>
      </c>
      <c r="P709" s="2" t="n">
        <v>366</v>
      </c>
      <c r="Q709" s="2" t="n">
        <v>0</v>
      </c>
      <c r="R709" s="2" t="n">
        <v>0</v>
      </c>
      <c r="S709" s="2" t="n">
        <v>0</v>
      </c>
      <c r="T709" s="2" t="n">
        <v>0</v>
      </c>
      <c r="U709" s="2" t="n">
        <v>0</v>
      </c>
      <c r="V709" s="2" t="n">
        <v>0</v>
      </c>
      <c r="W709" s="2" t="n">
        <v>0</v>
      </c>
      <c r="X709" s="2" t="n">
        <v>0</v>
      </c>
      <c r="Y709" s="2" t="n">
        <v>0</v>
      </c>
      <c r="Z709" s="2" t="n">
        <v>0</v>
      </c>
      <c r="AA709" s="2" t="n">
        <v>0</v>
      </c>
      <c r="AB709" s="2" t="n">
        <v>0</v>
      </c>
      <c r="AC709" s="2"/>
    </row>
    <row r="710" customFormat="false" ht="15" hidden="false" customHeight="false" outlineLevel="0" collapsed="false">
      <c r="A710" s="2" t="n">
        <v>108</v>
      </c>
      <c r="B710" s="2" t="s">
        <v>1050</v>
      </c>
      <c r="C710" s="2" t="s">
        <v>1055</v>
      </c>
      <c r="D710" s="2" t="s">
        <v>3685</v>
      </c>
      <c r="E710" s="2" t="s">
        <v>1154</v>
      </c>
      <c r="F710" s="2" t="s">
        <v>1178</v>
      </c>
      <c r="G710" s="2" t="s">
        <v>3686</v>
      </c>
      <c r="H710" s="2" t="s">
        <v>3687</v>
      </c>
      <c r="I710" s="2" t="s">
        <v>1133</v>
      </c>
      <c r="J710" s="2" t="s">
        <v>3688</v>
      </c>
      <c r="K710" s="2" t="n">
        <v>4</v>
      </c>
      <c r="L710" s="2" t="n">
        <v>1975</v>
      </c>
      <c r="M710" s="2" t="n">
        <v>1634</v>
      </c>
      <c r="N710" s="2" t="n">
        <v>1417</v>
      </c>
      <c r="O710" s="2" t="n">
        <v>54</v>
      </c>
      <c r="P710" s="2" t="n">
        <v>287</v>
      </c>
      <c r="Q710" s="2" t="n">
        <v>0</v>
      </c>
      <c r="R710" s="2" t="n">
        <v>0</v>
      </c>
      <c r="S710" s="2" t="n">
        <v>0</v>
      </c>
      <c r="T710" s="2" t="n">
        <v>0</v>
      </c>
      <c r="U710" s="2" t="n">
        <v>0</v>
      </c>
      <c r="V710" s="2" t="n">
        <v>0</v>
      </c>
      <c r="W710" s="2" t="n">
        <v>0</v>
      </c>
      <c r="X710" s="2" t="n">
        <v>0</v>
      </c>
      <c r="Y710" s="2" t="n">
        <v>0</v>
      </c>
      <c r="Z710" s="2" t="n">
        <v>0</v>
      </c>
      <c r="AA710" s="2" t="n">
        <v>0</v>
      </c>
      <c r="AB710" s="2" t="n">
        <v>0</v>
      </c>
      <c r="AC710" s="2"/>
    </row>
    <row r="711" customFormat="false" ht="15" hidden="false" customHeight="false" outlineLevel="0" collapsed="false">
      <c r="A711" s="2" t="n">
        <v>108</v>
      </c>
      <c r="B711" s="2" t="s">
        <v>1050</v>
      </c>
      <c r="C711" s="2" t="s">
        <v>1055</v>
      </c>
      <c r="D711" s="2" t="s">
        <v>3689</v>
      </c>
      <c r="E711" s="2" t="s">
        <v>1154</v>
      </c>
      <c r="F711" s="2" t="s">
        <v>1178</v>
      </c>
      <c r="G711" s="2" t="s">
        <v>3074</v>
      </c>
      <c r="H711" s="2" t="s">
        <v>3690</v>
      </c>
      <c r="I711" s="2" t="s">
        <v>1133</v>
      </c>
      <c r="J711" s="2" t="s">
        <v>3691</v>
      </c>
      <c r="K711" s="2" t="n">
        <v>2</v>
      </c>
      <c r="L711" s="2" t="n">
        <v>932</v>
      </c>
      <c r="M711" s="2" t="n">
        <v>837</v>
      </c>
      <c r="N711" s="2" t="n">
        <v>649</v>
      </c>
      <c r="O711" s="2" t="n">
        <v>95</v>
      </c>
      <c r="P711" s="2" t="n">
        <v>0</v>
      </c>
      <c r="Q711" s="2" t="n">
        <v>0</v>
      </c>
      <c r="R711" s="2" t="n">
        <v>0</v>
      </c>
      <c r="S711" s="2" t="n">
        <v>0</v>
      </c>
      <c r="T711" s="2" t="n">
        <v>0</v>
      </c>
      <c r="U711" s="2" t="n">
        <v>0</v>
      </c>
      <c r="V711" s="2" t="n">
        <v>0</v>
      </c>
      <c r="W711" s="2" t="n">
        <v>0</v>
      </c>
      <c r="X711" s="2" t="n">
        <v>0</v>
      </c>
      <c r="Y711" s="2" t="n">
        <v>0</v>
      </c>
      <c r="Z711" s="2" t="n">
        <v>0</v>
      </c>
      <c r="AA711" s="2" t="n">
        <v>0</v>
      </c>
      <c r="AB711" s="2" t="n">
        <v>0</v>
      </c>
      <c r="AC711" s="2"/>
    </row>
    <row r="712" customFormat="false" ht="15" hidden="false" customHeight="false" outlineLevel="0" collapsed="false">
      <c r="A712" s="2" t="n">
        <v>108</v>
      </c>
      <c r="B712" s="2" t="s">
        <v>1050</v>
      </c>
      <c r="C712" s="2" t="s">
        <v>1055</v>
      </c>
      <c r="D712" s="2" t="s">
        <v>3692</v>
      </c>
      <c r="E712" s="2" t="s">
        <v>1154</v>
      </c>
      <c r="F712" s="2" t="s">
        <v>1178</v>
      </c>
      <c r="G712" s="2" t="s">
        <v>3693</v>
      </c>
      <c r="H712" s="2" t="s">
        <v>3694</v>
      </c>
      <c r="I712" s="2" t="s">
        <v>1133</v>
      </c>
      <c r="J712" s="2" t="s">
        <v>3695</v>
      </c>
      <c r="K712" s="2" t="n">
        <v>3</v>
      </c>
      <c r="L712" s="2" t="n">
        <v>946</v>
      </c>
      <c r="M712" s="2" t="n">
        <v>816</v>
      </c>
      <c r="N712" s="2" t="n">
        <v>653</v>
      </c>
      <c r="O712" s="2" t="n">
        <v>53</v>
      </c>
      <c r="P712" s="2" t="n">
        <v>77</v>
      </c>
      <c r="Q712" s="2" t="n">
        <v>0</v>
      </c>
      <c r="R712" s="2" t="n">
        <v>0</v>
      </c>
      <c r="S712" s="2" t="n">
        <v>0</v>
      </c>
      <c r="T712" s="2" t="n">
        <v>0</v>
      </c>
      <c r="U712" s="2" t="n">
        <v>0</v>
      </c>
      <c r="V712" s="2" t="n">
        <v>0</v>
      </c>
      <c r="W712" s="2" t="n">
        <v>0</v>
      </c>
      <c r="X712" s="2" t="n">
        <v>0</v>
      </c>
      <c r="Y712" s="2" t="n">
        <v>0</v>
      </c>
      <c r="Z712" s="2" t="n">
        <v>0</v>
      </c>
      <c r="AA712" s="2" t="n">
        <v>0</v>
      </c>
      <c r="AB712" s="2" t="n">
        <v>0</v>
      </c>
      <c r="AC712" s="2"/>
    </row>
    <row r="713" customFormat="false" ht="15" hidden="false" customHeight="false" outlineLevel="0" collapsed="false">
      <c r="A713" s="2" t="n">
        <v>108</v>
      </c>
      <c r="B713" s="2" t="s">
        <v>1050</v>
      </c>
      <c r="C713" s="2" t="s">
        <v>1055</v>
      </c>
      <c r="D713" s="2" t="s">
        <v>3696</v>
      </c>
      <c r="E713" s="2" t="s">
        <v>1154</v>
      </c>
      <c r="F713" s="2" t="s">
        <v>1178</v>
      </c>
      <c r="G713" s="2" t="s">
        <v>3697</v>
      </c>
      <c r="H713" s="2" t="s">
        <v>3698</v>
      </c>
      <c r="I713" s="2" t="s">
        <v>1133</v>
      </c>
      <c r="J713" s="2" t="s">
        <v>3699</v>
      </c>
      <c r="K713" s="2" t="n">
        <v>5</v>
      </c>
      <c r="L713" s="2" t="n">
        <v>1497</v>
      </c>
      <c r="M713" s="2" t="n">
        <v>1080</v>
      </c>
      <c r="N713" s="2" t="n">
        <v>853</v>
      </c>
      <c r="O713" s="2" t="n">
        <v>53</v>
      </c>
      <c r="P713" s="2" t="n">
        <v>364</v>
      </c>
      <c r="Q713" s="2" t="n">
        <v>0</v>
      </c>
      <c r="R713" s="2" t="n">
        <v>0</v>
      </c>
      <c r="S713" s="2" t="n">
        <v>0</v>
      </c>
      <c r="T713" s="2" t="n">
        <v>0</v>
      </c>
      <c r="U713" s="2" t="n">
        <v>0</v>
      </c>
      <c r="V713" s="2" t="n">
        <v>0</v>
      </c>
      <c r="W713" s="2" t="n">
        <v>0</v>
      </c>
      <c r="X713" s="2" t="n">
        <v>0</v>
      </c>
      <c r="Y713" s="2" t="n">
        <v>0</v>
      </c>
      <c r="Z713" s="2" t="n">
        <v>0</v>
      </c>
      <c r="AA713" s="2" t="n">
        <v>0</v>
      </c>
      <c r="AB713" s="2" t="n">
        <v>0</v>
      </c>
      <c r="AC713" s="2"/>
    </row>
    <row r="714" customFormat="false" ht="15" hidden="false" customHeight="false" outlineLevel="0" collapsed="false">
      <c r="A714" s="2" t="n">
        <v>108</v>
      </c>
      <c r="B714" s="2" t="s">
        <v>1050</v>
      </c>
      <c r="C714" s="2" t="s">
        <v>1055</v>
      </c>
      <c r="D714" s="2" t="s">
        <v>3700</v>
      </c>
      <c r="E714" s="2" t="s">
        <v>1154</v>
      </c>
      <c r="F714" s="2" t="s">
        <v>1178</v>
      </c>
      <c r="G714" s="2" t="s">
        <v>3697</v>
      </c>
      <c r="H714" s="2" t="s">
        <v>3701</v>
      </c>
      <c r="I714" s="2" t="s">
        <v>1133</v>
      </c>
      <c r="J714" s="2" t="s">
        <v>3702</v>
      </c>
      <c r="K714" s="2" t="n">
        <v>3</v>
      </c>
      <c r="L714" s="2" t="n">
        <v>1478</v>
      </c>
      <c r="M714" s="2" t="n">
        <v>1022</v>
      </c>
      <c r="N714" s="2" t="n">
        <v>853</v>
      </c>
      <c r="O714" s="2" t="n">
        <v>53</v>
      </c>
      <c r="P714" s="2" t="n">
        <v>403</v>
      </c>
      <c r="Q714" s="2" t="n">
        <v>0</v>
      </c>
      <c r="R714" s="2" t="n">
        <v>0</v>
      </c>
      <c r="S714" s="2" t="n">
        <v>0</v>
      </c>
      <c r="T714" s="2" t="n">
        <v>0</v>
      </c>
      <c r="U714" s="2" t="n">
        <v>0</v>
      </c>
      <c r="V714" s="2" t="n">
        <v>0</v>
      </c>
      <c r="W714" s="2" t="n">
        <v>0</v>
      </c>
      <c r="X714" s="2" t="n">
        <v>0</v>
      </c>
      <c r="Y714" s="2" t="n">
        <v>0</v>
      </c>
      <c r="Z714" s="2" t="n">
        <v>0</v>
      </c>
      <c r="AA714" s="2" t="n">
        <v>0</v>
      </c>
      <c r="AB714" s="2" t="n">
        <v>0</v>
      </c>
      <c r="AC714" s="2"/>
    </row>
    <row r="715" customFormat="false" ht="15" hidden="false" customHeight="false" outlineLevel="0" collapsed="false">
      <c r="A715" s="2" t="n">
        <v>108</v>
      </c>
      <c r="B715" s="2" t="s">
        <v>1050</v>
      </c>
      <c r="C715" s="2" t="s">
        <v>1055</v>
      </c>
      <c r="D715" s="2" t="s">
        <v>3703</v>
      </c>
      <c r="E715" s="2" t="s">
        <v>1154</v>
      </c>
      <c r="F715" s="2" t="s">
        <v>1178</v>
      </c>
      <c r="G715" s="2" t="s">
        <v>3704</v>
      </c>
      <c r="H715" s="2" t="s">
        <v>3705</v>
      </c>
      <c r="I715" s="2" t="s">
        <v>1133</v>
      </c>
      <c r="J715" s="2" t="s">
        <v>3706</v>
      </c>
      <c r="K715" s="2" t="n">
        <v>3</v>
      </c>
      <c r="L715" s="2" t="n">
        <v>1131</v>
      </c>
      <c r="M715" s="2" t="n">
        <v>868</v>
      </c>
      <c r="N715" s="2" t="n">
        <v>679</v>
      </c>
      <c r="O715" s="2" t="n">
        <v>42</v>
      </c>
      <c r="P715" s="2" t="n">
        <v>221</v>
      </c>
      <c r="Q715" s="2" t="n">
        <v>0</v>
      </c>
      <c r="R715" s="2" t="n">
        <v>0</v>
      </c>
      <c r="S715" s="2" t="n">
        <v>0</v>
      </c>
      <c r="T715" s="2" t="n">
        <v>0</v>
      </c>
      <c r="U715" s="2" t="n">
        <v>0</v>
      </c>
      <c r="V715" s="2" t="n">
        <v>0</v>
      </c>
      <c r="W715" s="2" t="n">
        <v>0</v>
      </c>
      <c r="X715" s="2" t="n">
        <v>0</v>
      </c>
      <c r="Y715" s="2" t="n">
        <v>0</v>
      </c>
      <c r="Z715" s="2" t="n">
        <v>0</v>
      </c>
      <c r="AA715" s="2" t="n">
        <v>0</v>
      </c>
      <c r="AB715" s="2" t="n">
        <v>0</v>
      </c>
      <c r="AC715" s="2"/>
    </row>
    <row r="716" customFormat="false" ht="15" hidden="false" customHeight="false" outlineLevel="0" collapsed="false">
      <c r="A716" s="2" t="n">
        <v>108</v>
      </c>
      <c r="B716" s="2" t="s">
        <v>1050</v>
      </c>
      <c r="C716" s="2" t="s">
        <v>1055</v>
      </c>
      <c r="D716" s="2" t="s">
        <v>3707</v>
      </c>
      <c r="E716" s="2" t="s">
        <v>1154</v>
      </c>
      <c r="F716" s="2" t="s">
        <v>1178</v>
      </c>
      <c r="G716" s="2" t="s">
        <v>3708</v>
      </c>
      <c r="H716" s="2" t="s">
        <v>3709</v>
      </c>
      <c r="I716" s="2" t="s">
        <v>1133</v>
      </c>
      <c r="J716" s="2" t="s">
        <v>3710</v>
      </c>
      <c r="K716" s="2" t="n">
        <v>4</v>
      </c>
      <c r="L716" s="2" t="n">
        <v>1073</v>
      </c>
      <c r="M716" s="2" t="n">
        <v>921</v>
      </c>
      <c r="N716" s="2" t="n">
        <v>740</v>
      </c>
      <c r="O716" s="2" t="n">
        <v>56</v>
      </c>
      <c r="P716" s="2" t="n">
        <v>96</v>
      </c>
      <c r="Q716" s="2" t="n">
        <v>0</v>
      </c>
      <c r="R716" s="2" t="n">
        <v>0</v>
      </c>
      <c r="S716" s="2" t="n">
        <v>0</v>
      </c>
      <c r="T716" s="2" t="n">
        <v>0</v>
      </c>
      <c r="U716" s="2" t="n">
        <v>0</v>
      </c>
      <c r="V716" s="2" t="n">
        <v>0</v>
      </c>
      <c r="W716" s="2" t="n">
        <v>0</v>
      </c>
      <c r="X716" s="2" t="n">
        <v>0</v>
      </c>
      <c r="Y716" s="2" t="n">
        <v>0</v>
      </c>
      <c r="Z716" s="2" t="n">
        <v>0</v>
      </c>
      <c r="AA716" s="2" t="n">
        <v>0</v>
      </c>
      <c r="AB716" s="2" t="n">
        <v>0</v>
      </c>
      <c r="AC716" s="2"/>
    </row>
    <row r="717" customFormat="false" ht="15" hidden="false" customHeight="false" outlineLevel="0" collapsed="false">
      <c r="A717" s="2" t="n">
        <v>108</v>
      </c>
      <c r="B717" s="2" t="s">
        <v>1050</v>
      </c>
      <c r="C717" s="2" t="s">
        <v>1055</v>
      </c>
      <c r="D717" s="2" t="s">
        <v>3711</v>
      </c>
      <c r="E717" s="2" t="s">
        <v>1154</v>
      </c>
      <c r="F717" s="2" t="s">
        <v>1178</v>
      </c>
      <c r="G717" s="2" t="s">
        <v>3712</v>
      </c>
      <c r="H717" s="2" t="s">
        <v>3713</v>
      </c>
      <c r="I717" s="2" t="s">
        <v>1133</v>
      </c>
      <c r="J717" s="2" t="s">
        <v>3714</v>
      </c>
      <c r="K717" s="2" t="n">
        <v>3</v>
      </c>
      <c r="L717" s="2" t="n">
        <v>761</v>
      </c>
      <c r="M717" s="2" t="n">
        <v>628</v>
      </c>
      <c r="N717" s="2" t="n">
        <v>455</v>
      </c>
      <c r="O717" s="2" t="n">
        <v>42</v>
      </c>
      <c r="P717" s="2" t="n">
        <v>91</v>
      </c>
      <c r="Q717" s="2" t="n">
        <v>0</v>
      </c>
      <c r="R717" s="2" t="n">
        <v>0</v>
      </c>
      <c r="S717" s="2" t="n">
        <v>0</v>
      </c>
      <c r="T717" s="2" t="n">
        <v>0</v>
      </c>
      <c r="U717" s="2" t="n">
        <v>0</v>
      </c>
      <c r="V717" s="2" t="n">
        <v>0</v>
      </c>
      <c r="W717" s="2" t="n">
        <v>0</v>
      </c>
      <c r="X717" s="2" t="n">
        <v>0</v>
      </c>
      <c r="Y717" s="2" t="n">
        <v>0</v>
      </c>
      <c r="Z717" s="2" t="n">
        <v>0</v>
      </c>
      <c r="AA717" s="2" t="n">
        <v>0</v>
      </c>
      <c r="AB717" s="2" t="n">
        <v>0</v>
      </c>
      <c r="AC717" s="2"/>
    </row>
    <row r="718" customFormat="false" ht="15" hidden="false" customHeight="false" outlineLevel="0" collapsed="false">
      <c r="A718" s="2" t="n">
        <v>108</v>
      </c>
      <c r="B718" s="2" t="s">
        <v>1050</v>
      </c>
      <c r="C718" s="2" t="s">
        <v>1055</v>
      </c>
      <c r="D718" s="2" t="s">
        <v>3715</v>
      </c>
      <c r="E718" s="2" t="s">
        <v>1154</v>
      </c>
      <c r="F718" s="2" t="s">
        <v>1178</v>
      </c>
      <c r="G718" s="2" t="s">
        <v>3716</v>
      </c>
      <c r="H718" s="2" t="s">
        <v>3717</v>
      </c>
      <c r="I718" s="2" t="s">
        <v>1133</v>
      </c>
      <c r="J718" s="2" t="s">
        <v>3718</v>
      </c>
      <c r="K718" s="2" t="n">
        <v>3</v>
      </c>
      <c r="L718" s="2" t="n">
        <v>620</v>
      </c>
      <c r="M718" s="2" t="n">
        <v>527</v>
      </c>
      <c r="N718" s="2" t="n">
        <v>358</v>
      </c>
      <c r="O718" s="2" t="n">
        <v>42</v>
      </c>
      <c r="P718" s="2" t="n">
        <v>51</v>
      </c>
      <c r="Q718" s="2" t="n">
        <v>0</v>
      </c>
      <c r="R718" s="2" t="n">
        <v>0</v>
      </c>
      <c r="S718" s="2" t="n">
        <v>0</v>
      </c>
      <c r="T718" s="2" t="n">
        <v>0</v>
      </c>
      <c r="U718" s="2" t="n">
        <v>0</v>
      </c>
      <c r="V718" s="2" t="n">
        <v>0</v>
      </c>
      <c r="W718" s="2" t="n">
        <v>0</v>
      </c>
      <c r="X718" s="2" t="n">
        <v>0</v>
      </c>
      <c r="Y718" s="2" t="n">
        <v>0</v>
      </c>
      <c r="Z718" s="2" t="n">
        <v>0</v>
      </c>
      <c r="AA718" s="2" t="n">
        <v>0</v>
      </c>
      <c r="AB718" s="2" t="n">
        <v>0</v>
      </c>
      <c r="AC718" s="2"/>
    </row>
    <row r="719" customFormat="false" ht="15" hidden="false" customHeight="false" outlineLevel="0" collapsed="false">
      <c r="A719" s="2" t="n">
        <v>108</v>
      </c>
      <c r="B719" s="2" t="s">
        <v>1050</v>
      </c>
      <c r="C719" s="2" t="s">
        <v>1055</v>
      </c>
      <c r="D719" s="2" t="s">
        <v>3719</v>
      </c>
      <c r="E719" s="2" t="s">
        <v>1154</v>
      </c>
      <c r="F719" s="2" t="s">
        <v>1178</v>
      </c>
      <c r="G719" s="2" t="s">
        <v>3720</v>
      </c>
      <c r="H719" s="2" t="s">
        <v>3721</v>
      </c>
      <c r="I719" s="2" t="s">
        <v>1133</v>
      </c>
      <c r="J719" s="2" t="s">
        <v>3722</v>
      </c>
      <c r="K719" s="2" t="n">
        <v>3</v>
      </c>
      <c r="L719" s="2" t="n">
        <v>847</v>
      </c>
      <c r="M719" s="2" t="n">
        <v>707</v>
      </c>
      <c r="N719" s="2" t="n">
        <v>541</v>
      </c>
      <c r="O719" s="2" t="n">
        <v>42</v>
      </c>
      <c r="P719" s="2" t="n">
        <v>98</v>
      </c>
      <c r="Q719" s="2" t="n">
        <v>0</v>
      </c>
      <c r="R719" s="2" t="n">
        <v>0</v>
      </c>
      <c r="S719" s="2" t="n">
        <v>0</v>
      </c>
      <c r="T719" s="2" t="n">
        <v>0</v>
      </c>
      <c r="U719" s="2" t="n">
        <v>0</v>
      </c>
      <c r="V719" s="2" t="n">
        <v>0</v>
      </c>
      <c r="W719" s="2" t="n">
        <v>0</v>
      </c>
      <c r="X719" s="2" t="n">
        <v>0</v>
      </c>
      <c r="Y719" s="2" t="n">
        <v>0</v>
      </c>
      <c r="Z719" s="2" t="n">
        <v>0</v>
      </c>
      <c r="AA719" s="2" t="n">
        <v>0</v>
      </c>
      <c r="AB719" s="2" t="n">
        <v>0</v>
      </c>
      <c r="AC719" s="2"/>
    </row>
    <row r="720" customFormat="false" ht="15" hidden="false" customHeight="false" outlineLevel="0" collapsed="false">
      <c r="A720" s="2" t="n">
        <v>108</v>
      </c>
      <c r="B720" s="2" t="s">
        <v>1050</v>
      </c>
      <c r="C720" s="2" t="s">
        <v>1055</v>
      </c>
      <c r="D720" s="2" t="s">
        <v>3723</v>
      </c>
      <c r="E720" s="2" t="s">
        <v>1154</v>
      </c>
      <c r="F720" s="2" t="s">
        <v>1178</v>
      </c>
      <c r="G720" s="2" t="s">
        <v>3724</v>
      </c>
      <c r="H720" s="2" t="s">
        <v>3725</v>
      </c>
      <c r="I720" s="2" t="s">
        <v>1133</v>
      </c>
      <c r="J720" s="2" t="s">
        <v>3726</v>
      </c>
      <c r="K720" s="2" t="n">
        <v>3</v>
      </c>
      <c r="L720" s="2" t="n">
        <v>704</v>
      </c>
      <c r="M720" s="2" t="n">
        <v>602</v>
      </c>
      <c r="N720" s="2" t="n">
        <v>429</v>
      </c>
      <c r="O720" s="2" t="n">
        <v>42</v>
      </c>
      <c r="P720" s="2" t="n">
        <v>60</v>
      </c>
      <c r="Q720" s="2" t="n">
        <v>0</v>
      </c>
      <c r="R720" s="2" t="n">
        <v>0</v>
      </c>
      <c r="S720" s="2" t="n">
        <v>0</v>
      </c>
      <c r="T720" s="2" t="n">
        <v>0</v>
      </c>
      <c r="U720" s="2" t="n">
        <v>0</v>
      </c>
      <c r="V720" s="2" t="n">
        <v>0</v>
      </c>
      <c r="W720" s="2" t="n">
        <v>0</v>
      </c>
      <c r="X720" s="2" t="n">
        <v>0</v>
      </c>
      <c r="Y720" s="2" t="n">
        <v>0</v>
      </c>
      <c r="Z720" s="2" t="n">
        <v>0</v>
      </c>
      <c r="AA720" s="2" t="n">
        <v>0</v>
      </c>
      <c r="AB720" s="2" t="n">
        <v>0</v>
      </c>
      <c r="AC720" s="2"/>
    </row>
    <row r="721" customFormat="false" ht="15" hidden="false" customHeight="false" outlineLevel="0" collapsed="false">
      <c r="A721" s="2" t="n">
        <v>108</v>
      </c>
      <c r="B721" s="2" t="s">
        <v>1050</v>
      </c>
      <c r="C721" s="2" t="s">
        <v>1055</v>
      </c>
      <c r="D721" s="2" t="s">
        <v>3727</v>
      </c>
      <c r="E721" s="2" t="s">
        <v>1154</v>
      </c>
      <c r="F721" s="2" t="s">
        <v>1178</v>
      </c>
      <c r="G721" s="2" t="s">
        <v>2542</v>
      </c>
      <c r="H721" s="2" t="s">
        <v>3728</v>
      </c>
      <c r="I721" s="2" t="s">
        <v>1133</v>
      </c>
      <c r="J721" s="2" t="s">
        <v>3729</v>
      </c>
      <c r="K721" s="2" t="n">
        <v>3</v>
      </c>
      <c r="L721" s="2" t="n">
        <v>1163</v>
      </c>
      <c r="M721" s="2" t="n">
        <v>803</v>
      </c>
      <c r="N721" s="2" t="n">
        <v>639</v>
      </c>
      <c r="O721" s="2" t="n">
        <v>53</v>
      </c>
      <c r="P721" s="2" t="n">
        <v>307</v>
      </c>
      <c r="Q721" s="2" t="n">
        <v>0</v>
      </c>
      <c r="R721" s="2" t="n">
        <v>0</v>
      </c>
      <c r="S721" s="2" t="n">
        <v>0</v>
      </c>
      <c r="T721" s="2" t="n">
        <v>0</v>
      </c>
      <c r="U721" s="2" t="n">
        <v>0</v>
      </c>
      <c r="V721" s="2" t="n">
        <v>0</v>
      </c>
      <c r="W721" s="2" t="n">
        <v>0</v>
      </c>
      <c r="X721" s="2" t="n">
        <v>0</v>
      </c>
      <c r="Y721" s="2" t="n">
        <v>0</v>
      </c>
      <c r="Z721" s="2" t="n">
        <v>0</v>
      </c>
      <c r="AA721" s="2" t="n">
        <v>0</v>
      </c>
      <c r="AB721" s="2" t="n">
        <v>0</v>
      </c>
      <c r="AC721" s="2"/>
    </row>
    <row r="722" customFormat="false" ht="15" hidden="false" customHeight="false" outlineLevel="0" collapsed="false">
      <c r="A722" s="2" t="n">
        <v>108</v>
      </c>
      <c r="B722" s="2" t="s">
        <v>1050</v>
      </c>
      <c r="C722" s="2" t="s">
        <v>1055</v>
      </c>
      <c r="D722" s="2" t="s">
        <v>3730</v>
      </c>
      <c r="E722" s="2" t="s">
        <v>1154</v>
      </c>
      <c r="F722" s="2" t="s">
        <v>1178</v>
      </c>
      <c r="G722" s="2" t="s">
        <v>3731</v>
      </c>
      <c r="H722" s="2" t="s">
        <v>3732</v>
      </c>
      <c r="I722" s="2" t="s">
        <v>1133</v>
      </c>
      <c r="J722" s="2" t="s">
        <v>3733</v>
      </c>
      <c r="K722" s="2" t="n">
        <v>3</v>
      </c>
      <c r="L722" s="2" t="n">
        <v>906</v>
      </c>
      <c r="M722" s="2" t="n">
        <v>748</v>
      </c>
      <c r="N722" s="2" t="n">
        <v>582</v>
      </c>
      <c r="O722" s="2" t="n">
        <v>76</v>
      </c>
      <c r="P722" s="2" t="n">
        <v>82</v>
      </c>
      <c r="Q722" s="2" t="n">
        <v>0</v>
      </c>
      <c r="R722" s="2" t="n">
        <v>0</v>
      </c>
      <c r="S722" s="2" t="n">
        <v>0</v>
      </c>
      <c r="T722" s="2" t="n">
        <v>0</v>
      </c>
      <c r="U722" s="2" t="n">
        <v>0</v>
      </c>
      <c r="V722" s="2" t="n">
        <v>0</v>
      </c>
      <c r="W722" s="2" t="n">
        <v>0</v>
      </c>
      <c r="X722" s="2" t="n">
        <v>0</v>
      </c>
      <c r="Y722" s="2" t="n">
        <v>0</v>
      </c>
      <c r="Z722" s="2" t="n">
        <v>0</v>
      </c>
      <c r="AA722" s="2" t="n">
        <v>0</v>
      </c>
      <c r="AB722" s="2" t="n">
        <v>0</v>
      </c>
      <c r="AC722" s="2"/>
    </row>
    <row r="723" customFormat="false" ht="15" hidden="false" customHeight="false" outlineLevel="0" collapsed="false">
      <c r="A723" s="2" t="n">
        <v>108</v>
      </c>
      <c r="B723" s="2" t="s">
        <v>1050</v>
      </c>
      <c r="C723" s="2" t="s">
        <v>1055</v>
      </c>
      <c r="D723" s="2" t="s">
        <v>3734</v>
      </c>
      <c r="E723" s="2" t="s">
        <v>1154</v>
      </c>
      <c r="F723" s="2" t="s">
        <v>1178</v>
      </c>
      <c r="G723" s="2" t="s">
        <v>964</v>
      </c>
      <c r="H723" s="2" t="s">
        <v>3735</v>
      </c>
      <c r="I723" s="2" t="s">
        <v>1133</v>
      </c>
      <c r="J723" s="2" t="s">
        <v>3736</v>
      </c>
      <c r="K723" s="2" t="n">
        <v>4</v>
      </c>
      <c r="L723" s="2" t="n">
        <v>1391</v>
      </c>
      <c r="M723" s="2" t="n">
        <v>974</v>
      </c>
      <c r="N723" s="2" t="n">
        <v>776</v>
      </c>
      <c r="O723" s="2" t="n">
        <v>63</v>
      </c>
      <c r="P723" s="2" t="n">
        <v>354</v>
      </c>
      <c r="Q723" s="2" t="n">
        <v>0</v>
      </c>
      <c r="R723" s="2" t="n">
        <v>0</v>
      </c>
      <c r="S723" s="2" t="n">
        <v>0</v>
      </c>
      <c r="T723" s="2" t="n">
        <v>0</v>
      </c>
      <c r="U723" s="2" t="n">
        <v>0</v>
      </c>
      <c r="V723" s="2" t="n">
        <v>0</v>
      </c>
      <c r="W723" s="2" t="n">
        <v>0</v>
      </c>
      <c r="X723" s="2" t="n">
        <v>0</v>
      </c>
      <c r="Y723" s="2" t="n">
        <v>0</v>
      </c>
      <c r="Z723" s="2" t="n">
        <v>0</v>
      </c>
      <c r="AA723" s="2" t="n">
        <v>0</v>
      </c>
      <c r="AB723" s="2" t="n">
        <v>0</v>
      </c>
      <c r="AC723" s="2"/>
    </row>
    <row r="724" customFormat="false" ht="15" hidden="false" customHeight="false" outlineLevel="0" collapsed="false">
      <c r="A724" s="2" t="n">
        <v>108</v>
      </c>
      <c r="B724" s="2" t="s">
        <v>1050</v>
      </c>
      <c r="C724" s="2" t="s">
        <v>1055</v>
      </c>
      <c r="D724" s="2" t="s">
        <v>3737</v>
      </c>
      <c r="E724" s="2" t="s">
        <v>1154</v>
      </c>
      <c r="F724" s="2" t="s">
        <v>1178</v>
      </c>
      <c r="G724" s="2" t="s">
        <v>2934</v>
      </c>
      <c r="H724" s="2" t="s">
        <v>3738</v>
      </c>
      <c r="I724" s="2" t="s">
        <v>1133</v>
      </c>
      <c r="J724" s="2" t="s">
        <v>3739</v>
      </c>
      <c r="K724" s="2" t="n">
        <v>3</v>
      </c>
      <c r="L724" s="2" t="n">
        <v>744</v>
      </c>
      <c r="M724" s="2" t="n">
        <v>636</v>
      </c>
      <c r="N724" s="2" t="n">
        <v>478</v>
      </c>
      <c r="O724" s="2" t="n">
        <v>56</v>
      </c>
      <c r="P724" s="2" t="n">
        <v>52</v>
      </c>
      <c r="Q724" s="2" t="n">
        <v>0</v>
      </c>
      <c r="R724" s="2" t="n">
        <v>0</v>
      </c>
      <c r="S724" s="2" t="n">
        <v>0</v>
      </c>
      <c r="T724" s="2" t="n">
        <v>0</v>
      </c>
      <c r="U724" s="2" t="n">
        <v>0</v>
      </c>
      <c r="V724" s="2" t="n">
        <v>0</v>
      </c>
      <c r="W724" s="2" t="n">
        <v>0</v>
      </c>
      <c r="X724" s="2" t="n">
        <v>0</v>
      </c>
      <c r="Y724" s="2" t="n">
        <v>0</v>
      </c>
      <c r="Z724" s="2" t="n">
        <v>0</v>
      </c>
      <c r="AA724" s="2" t="n">
        <v>0</v>
      </c>
      <c r="AB724" s="2" t="n">
        <v>0</v>
      </c>
      <c r="AC724" s="2"/>
    </row>
    <row r="725" customFormat="false" ht="15" hidden="false" customHeight="false" outlineLevel="0" collapsed="false">
      <c r="A725" s="2" t="n">
        <v>108</v>
      </c>
      <c r="B725" s="2" t="s">
        <v>1050</v>
      </c>
      <c r="C725" s="2" t="s">
        <v>1055</v>
      </c>
      <c r="D725" s="2" t="s">
        <v>3740</v>
      </c>
      <c r="E725" s="2" t="s">
        <v>1154</v>
      </c>
      <c r="F725" s="2" t="s">
        <v>1178</v>
      </c>
      <c r="G725" s="2" t="s">
        <v>3741</v>
      </c>
      <c r="H725" s="2" t="s">
        <v>3742</v>
      </c>
      <c r="I725" s="2" t="s">
        <v>1133</v>
      </c>
      <c r="J725" s="2" t="s">
        <v>3743</v>
      </c>
      <c r="K725" s="2" t="n">
        <v>3</v>
      </c>
      <c r="L725" s="2" t="n">
        <v>583</v>
      </c>
      <c r="M725" s="2" t="n">
        <v>477</v>
      </c>
      <c r="N725" s="2" t="n">
        <v>319</v>
      </c>
      <c r="O725" s="2" t="n">
        <v>58</v>
      </c>
      <c r="P725" s="2" t="n">
        <v>48</v>
      </c>
      <c r="Q725" s="2" t="n">
        <v>0</v>
      </c>
      <c r="R725" s="2" t="n">
        <v>0</v>
      </c>
      <c r="S725" s="2" t="n">
        <v>0</v>
      </c>
      <c r="T725" s="2" t="n">
        <v>0</v>
      </c>
      <c r="U725" s="2" t="n">
        <v>0</v>
      </c>
      <c r="V725" s="2" t="n">
        <v>0</v>
      </c>
      <c r="W725" s="2" t="n">
        <v>0</v>
      </c>
      <c r="X725" s="2" t="n">
        <v>0</v>
      </c>
      <c r="Y725" s="2" t="n">
        <v>0</v>
      </c>
      <c r="Z725" s="2" t="n">
        <v>0</v>
      </c>
      <c r="AA725" s="2" t="n">
        <v>0</v>
      </c>
      <c r="AB725" s="2" t="n">
        <v>0</v>
      </c>
      <c r="AC725" s="2"/>
    </row>
    <row r="726" customFormat="false" ht="15" hidden="false" customHeight="false" outlineLevel="0" collapsed="false">
      <c r="A726" s="2" t="n">
        <v>108</v>
      </c>
      <c r="B726" s="2" t="s">
        <v>1050</v>
      </c>
      <c r="C726" s="2" t="s">
        <v>1055</v>
      </c>
      <c r="D726" s="2" t="s">
        <v>3744</v>
      </c>
      <c r="E726" s="2" t="s">
        <v>1154</v>
      </c>
      <c r="F726" s="2" t="s">
        <v>1178</v>
      </c>
      <c r="G726" s="2" t="s">
        <v>3741</v>
      </c>
      <c r="H726" s="2" t="s">
        <v>3745</v>
      </c>
      <c r="I726" s="2" t="s">
        <v>1133</v>
      </c>
      <c r="J726" s="2" t="s">
        <v>3746</v>
      </c>
      <c r="K726" s="2" t="n">
        <v>3</v>
      </c>
      <c r="L726" s="2" t="n">
        <v>524</v>
      </c>
      <c r="M726" s="2" t="n">
        <v>433</v>
      </c>
      <c r="N726" s="2" t="n">
        <v>274</v>
      </c>
      <c r="O726" s="2" t="n">
        <v>59</v>
      </c>
      <c r="P726" s="2" t="n">
        <v>32</v>
      </c>
      <c r="Q726" s="2" t="n">
        <v>0</v>
      </c>
      <c r="R726" s="2" t="n">
        <v>0</v>
      </c>
      <c r="S726" s="2" t="n">
        <v>0</v>
      </c>
      <c r="T726" s="2" t="n">
        <v>0</v>
      </c>
      <c r="U726" s="2" t="n">
        <v>0</v>
      </c>
      <c r="V726" s="2" t="n">
        <v>0</v>
      </c>
      <c r="W726" s="2" t="n">
        <v>0</v>
      </c>
      <c r="X726" s="2" t="n">
        <v>0</v>
      </c>
      <c r="Y726" s="2" t="n">
        <v>0</v>
      </c>
      <c r="Z726" s="2" t="n">
        <v>0</v>
      </c>
      <c r="AA726" s="2" t="n">
        <v>0</v>
      </c>
      <c r="AB726" s="2" t="n">
        <v>0</v>
      </c>
      <c r="AC726" s="2"/>
    </row>
    <row r="727" customFormat="false" ht="15" hidden="false" customHeight="false" outlineLevel="0" collapsed="false">
      <c r="A727" s="2" t="n">
        <v>108</v>
      </c>
      <c r="B727" s="2" t="s">
        <v>1050</v>
      </c>
      <c r="C727" s="2" t="s">
        <v>1055</v>
      </c>
      <c r="D727" s="2" t="s">
        <v>3747</v>
      </c>
      <c r="E727" s="2" t="s">
        <v>1154</v>
      </c>
      <c r="F727" s="2" t="s">
        <v>1178</v>
      </c>
      <c r="G727" s="2" t="s">
        <v>263</v>
      </c>
      <c r="H727" s="2" t="s">
        <v>3748</v>
      </c>
      <c r="I727" s="2" t="s">
        <v>1133</v>
      </c>
      <c r="J727" s="2" t="s">
        <v>3749</v>
      </c>
      <c r="K727" s="2" t="n">
        <v>4</v>
      </c>
      <c r="L727" s="2" t="n">
        <v>1151</v>
      </c>
      <c r="M727" s="2" t="n">
        <v>796</v>
      </c>
      <c r="N727" s="2" t="n">
        <v>600</v>
      </c>
      <c r="O727" s="2" t="n">
        <v>42</v>
      </c>
      <c r="P727" s="2" t="n">
        <v>313</v>
      </c>
      <c r="Q727" s="2" t="n">
        <v>0</v>
      </c>
      <c r="R727" s="2" t="n">
        <v>0</v>
      </c>
      <c r="S727" s="2" t="n">
        <v>0</v>
      </c>
      <c r="T727" s="2" t="n">
        <v>0</v>
      </c>
      <c r="U727" s="2" t="n">
        <v>0</v>
      </c>
      <c r="V727" s="2" t="n">
        <v>0</v>
      </c>
      <c r="W727" s="2" t="n">
        <v>0</v>
      </c>
      <c r="X727" s="2" t="n">
        <v>0</v>
      </c>
      <c r="Y727" s="2" t="n">
        <v>0</v>
      </c>
      <c r="Z727" s="2" t="n">
        <v>0</v>
      </c>
      <c r="AA727" s="2" t="n">
        <v>0</v>
      </c>
      <c r="AB727" s="2" t="n">
        <v>0</v>
      </c>
      <c r="AC727" s="2"/>
    </row>
    <row r="728" customFormat="false" ht="15" hidden="false" customHeight="false" outlineLevel="0" collapsed="false">
      <c r="A728" s="2" t="n">
        <v>108</v>
      </c>
      <c r="B728" s="2" t="s">
        <v>1050</v>
      </c>
      <c r="C728" s="2" t="s">
        <v>1055</v>
      </c>
      <c r="D728" s="2" t="s">
        <v>3750</v>
      </c>
      <c r="E728" s="2" t="s">
        <v>1154</v>
      </c>
      <c r="F728" s="2" t="s">
        <v>1178</v>
      </c>
      <c r="G728" s="2" t="s">
        <v>263</v>
      </c>
      <c r="H728" s="2" t="s">
        <v>3751</v>
      </c>
      <c r="I728" s="2" t="s">
        <v>1133</v>
      </c>
      <c r="J728" s="2" t="s">
        <v>3752</v>
      </c>
      <c r="K728" s="2" t="n">
        <v>3</v>
      </c>
      <c r="L728" s="2" t="n">
        <v>896</v>
      </c>
      <c r="M728" s="2" t="n">
        <v>653</v>
      </c>
      <c r="N728" s="2" t="n">
        <v>487</v>
      </c>
      <c r="O728" s="2" t="n">
        <v>42</v>
      </c>
      <c r="P728" s="2" t="n">
        <v>201</v>
      </c>
      <c r="Q728" s="2" t="n">
        <v>0</v>
      </c>
      <c r="R728" s="2" t="n">
        <v>0</v>
      </c>
      <c r="S728" s="2" t="n">
        <v>0</v>
      </c>
      <c r="T728" s="2" t="n">
        <v>0</v>
      </c>
      <c r="U728" s="2" t="n">
        <v>0</v>
      </c>
      <c r="V728" s="2" t="n">
        <v>0</v>
      </c>
      <c r="W728" s="2" t="n">
        <v>0</v>
      </c>
      <c r="X728" s="2" t="n">
        <v>0</v>
      </c>
      <c r="Y728" s="2" t="n">
        <v>0</v>
      </c>
      <c r="Z728" s="2" t="n">
        <v>0</v>
      </c>
      <c r="AA728" s="2" t="n">
        <v>0</v>
      </c>
      <c r="AB728" s="2" t="n">
        <v>0</v>
      </c>
      <c r="AC728" s="2"/>
    </row>
    <row r="729" customFormat="false" ht="15" hidden="false" customHeight="false" outlineLevel="0" collapsed="false">
      <c r="A729" s="2" t="n">
        <v>108</v>
      </c>
      <c r="B729" s="2" t="s">
        <v>1050</v>
      </c>
      <c r="C729" s="2" t="s">
        <v>1055</v>
      </c>
      <c r="D729" s="2" t="s">
        <v>3753</v>
      </c>
      <c r="E729" s="2" t="s">
        <v>1154</v>
      </c>
      <c r="F729" s="2" t="s">
        <v>1178</v>
      </c>
      <c r="G729" s="2" t="s">
        <v>3754</v>
      </c>
      <c r="H729" s="2" t="s">
        <v>3755</v>
      </c>
      <c r="I729" s="2" t="s">
        <v>1133</v>
      </c>
      <c r="J729" s="2" t="s">
        <v>3756</v>
      </c>
      <c r="K729" s="2" t="n">
        <v>2</v>
      </c>
      <c r="L729" s="2" t="n">
        <v>611</v>
      </c>
      <c r="M729" s="2" t="n">
        <v>540</v>
      </c>
      <c r="N729" s="2" t="n">
        <v>371</v>
      </c>
      <c r="O729" s="2" t="n">
        <v>71</v>
      </c>
      <c r="P729" s="2" t="n">
        <v>0</v>
      </c>
      <c r="Q729" s="2" t="n">
        <v>0</v>
      </c>
      <c r="R729" s="2" t="n">
        <v>0</v>
      </c>
      <c r="S729" s="2" t="n">
        <v>0</v>
      </c>
      <c r="T729" s="2" t="n">
        <v>0</v>
      </c>
      <c r="U729" s="2" t="n">
        <v>0</v>
      </c>
      <c r="V729" s="2" t="n">
        <v>0</v>
      </c>
      <c r="W729" s="2" t="n">
        <v>0</v>
      </c>
      <c r="X729" s="2" t="n">
        <v>0</v>
      </c>
      <c r="Y729" s="2" t="n">
        <v>0</v>
      </c>
      <c r="Z729" s="2" t="n">
        <v>0</v>
      </c>
      <c r="AA729" s="2" t="n">
        <v>0</v>
      </c>
      <c r="AB729" s="2" t="n">
        <v>0</v>
      </c>
      <c r="AC729" s="2"/>
    </row>
    <row r="730" customFormat="false" ht="15" hidden="false" customHeight="false" outlineLevel="0" collapsed="false">
      <c r="A730" s="2" t="n">
        <v>108</v>
      </c>
      <c r="B730" s="2" t="s">
        <v>1050</v>
      </c>
      <c r="C730" s="2" t="s">
        <v>1055</v>
      </c>
      <c r="D730" s="2" t="s">
        <v>3757</v>
      </c>
      <c r="E730" s="2" t="s">
        <v>1154</v>
      </c>
      <c r="F730" s="2" t="s">
        <v>1178</v>
      </c>
      <c r="G730" s="2" t="s">
        <v>3758</v>
      </c>
      <c r="H730" s="2" t="s">
        <v>3759</v>
      </c>
      <c r="I730" s="2" t="s">
        <v>1133</v>
      </c>
      <c r="J730" s="2" t="s">
        <v>3760</v>
      </c>
      <c r="K730" s="2" t="n">
        <v>6</v>
      </c>
      <c r="L730" s="2" t="n">
        <v>2652</v>
      </c>
      <c r="M730" s="2" t="n">
        <v>1791</v>
      </c>
      <c r="N730" s="2" t="n">
        <v>1565</v>
      </c>
      <c r="O730" s="2" t="n">
        <v>176</v>
      </c>
      <c r="P730" s="2" t="n">
        <v>685</v>
      </c>
      <c r="Q730" s="2" t="n">
        <v>0</v>
      </c>
      <c r="R730" s="2" t="n">
        <v>0</v>
      </c>
      <c r="S730" s="2" t="n">
        <v>2</v>
      </c>
      <c r="T730" s="2" t="n">
        <v>2</v>
      </c>
      <c r="U730" s="2" t="n">
        <v>0</v>
      </c>
      <c r="V730" s="2" t="n">
        <v>0</v>
      </c>
      <c r="W730" s="2" t="n">
        <v>0</v>
      </c>
      <c r="X730" s="2" t="n">
        <v>0</v>
      </c>
      <c r="Y730" s="2" t="n">
        <v>0</v>
      </c>
      <c r="Z730" s="2" t="n">
        <v>0</v>
      </c>
      <c r="AA730" s="2" t="n">
        <v>0</v>
      </c>
      <c r="AB730" s="2" t="n">
        <v>2</v>
      </c>
      <c r="AC730" s="2"/>
    </row>
    <row r="731" customFormat="false" ht="15" hidden="false" customHeight="false" outlineLevel="0" collapsed="false">
      <c r="A731" s="2" t="n">
        <v>108</v>
      </c>
      <c r="B731" s="2" t="s">
        <v>1050</v>
      </c>
      <c r="C731" s="2" t="s">
        <v>1055</v>
      </c>
      <c r="D731" s="2" t="s">
        <v>3761</v>
      </c>
      <c r="E731" s="2" t="s">
        <v>1154</v>
      </c>
      <c r="F731" s="2" t="s">
        <v>1178</v>
      </c>
      <c r="G731" s="2" t="s">
        <v>3758</v>
      </c>
      <c r="H731" s="2" t="s">
        <v>3762</v>
      </c>
      <c r="I731" s="2" t="s">
        <v>1133</v>
      </c>
      <c r="J731" s="2" t="s">
        <v>3763</v>
      </c>
      <c r="K731" s="2" t="n">
        <v>3</v>
      </c>
      <c r="L731" s="2" t="n">
        <v>938</v>
      </c>
      <c r="M731" s="2" t="n">
        <v>802</v>
      </c>
      <c r="N731" s="2" t="n">
        <v>630</v>
      </c>
      <c r="O731" s="2" t="n">
        <v>53</v>
      </c>
      <c r="P731" s="2" t="n">
        <v>83</v>
      </c>
      <c r="Q731" s="2" t="n">
        <v>0</v>
      </c>
      <c r="R731" s="2" t="n">
        <v>0</v>
      </c>
      <c r="S731" s="2" t="n">
        <v>0</v>
      </c>
      <c r="T731" s="2" t="n">
        <v>0</v>
      </c>
      <c r="U731" s="2" t="n">
        <v>0</v>
      </c>
      <c r="V731" s="2" t="n">
        <v>0</v>
      </c>
      <c r="W731" s="2" t="n">
        <v>0</v>
      </c>
      <c r="X731" s="2" t="n">
        <v>0</v>
      </c>
      <c r="Y731" s="2" t="n">
        <v>0</v>
      </c>
      <c r="Z731" s="2" t="n">
        <v>0</v>
      </c>
      <c r="AA731" s="2" t="n">
        <v>0</v>
      </c>
      <c r="AB731" s="2" t="n">
        <v>0</v>
      </c>
      <c r="AC731" s="2"/>
    </row>
    <row r="732" customFormat="false" ht="15" hidden="false" customHeight="false" outlineLevel="0" collapsed="false">
      <c r="A732" s="2" t="n">
        <v>108</v>
      </c>
      <c r="B732" s="2" t="s">
        <v>1050</v>
      </c>
      <c r="C732" s="2" t="s">
        <v>1055</v>
      </c>
      <c r="D732" s="2" t="s">
        <v>3764</v>
      </c>
      <c r="E732" s="2" t="s">
        <v>1154</v>
      </c>
      <c r="F732" s="2" t="s">
        <v>1178</v>
      </c>
      <c r="G732" s="2" t="s">
        <v>3765</v>
      </c>
      <c r="H732" s="2" t="s">
        <v>3766</v>
      </c>
      <c r="I732" s="2" t="s">
        <v>1133</v>
      </c>
      <c r="J732" s="2" t="s">
        <v>3767</v>
      </c>
      <c r="K732" s="2" t="n">
        <v>3</v>
      </c>
      <c r="L732" s="2" t="n">
        <v>665</v>
      </c>
      <c r="M732" s="2" t="n">
        <v>546</v>
      </c>
      <c r="N732" s="2" t="n">
        <v>377</v>
      </c>
      <c r="O732" s="2" t="n">
        <v>42</v>
      </c>
      <c r="P732" s="2" t="n">
        <v>77</v>
      </c>
      <c r="Q732" s="2" t="n">
        <v>0</v>
      </c>
      <c r="R732" s="2" t="n">
        <v>0</v>
      </c>
      <c r="S732" s="2" t="n">
        <v>0</v>
      </c>
      <c r="T732" s="2" t="n">
        <v>0</v>
      </c>
      <c r="U732" s="2" t="n">
        <v>0</v>
      </c>
      <c r="V732" s="2" t="n">
        <v>0</v>
      </c>
      <c r="W732" s="2" t="n">
        <v>0</v>
      </c>
      <c r="X732" s="2" t="n">
        <v>0</v>
      </c>
      <c r="Y732" s="2" t="n">
        <v>0</v>
      </c>
      <c r="Z732" s="2" t="n">
        <v>0</v>
      </c>
      <c r="AA732" s="2" t="n">
        <v>0</v>
      </c>
      <c r="AB732" s="2" t="n">
        <v>0</v>
      </c>
      <c r="AC732" s="2"/>
    </row>
    <row r="733" customFormat="false" ht="15" hidden="false" customHeight="false" outlineLevel="0" collapsed="false">
      <c r="A733" s="2" t="n">
        <v>108</v>
      </c>
      <c r="B733" s="2" t="s">
        <v>1050</v>
      </c>
      <c r="C733" s="2" t="s">
        <v>1055</v>
      </c>
      <c r="D733" s="2" t="s">
        <v>3768</v>
      </c>
      <c r="E733" s="2" t="s">
        <v>1154</v>
      </c>
      <c r="F733" s="2" t="s">
        <v>1178</v>
      </c>
      <c r="G733" s="2" t="s">
        <v>3769</v>
      </c>
      <c r="H733" s="2" t="s">
        <v>3770</v>
      </c>
      <c r="I733" s="2" t="s">
        <v>1133</v>
      </c>
      <c r="J733" s="2" t="s">
        <v>3771</v>
      </c>
      <c r="K733" s="2" t="n">
        <v>6</v>
      </c>
      <c r="L733" s="2" t="n">
        <v>2301</v>
      </c>
      <c r="M733" s="2" t="n">
        <v>1247</v>
      </c>
      <c r="N733" s="2" t="n">
        <v>1087</v>
      </c>
      <c r="O733" s="2" t="n">
        <v>61</v>
      </c>
      <c r="P733" s="2" t="n">
        <v>993</v>
      </c>
      <c r="Q733" s="2" t="n">
        <v>0</v>
      </c>
      <c r="R733" s="2" t="n">
        <v>0</v>
      </c>
      <c r="S733" s="2" t="n">
        <v>0</v>
      </c>
      <c r="T733" s="2" t="n">
        <v>0</v>
      </c>
      <c r="U733" s="2" t="n">
        <v>0</v>
      </c>
      <c r="V733" s="2" t="n">
        <v>0</v>
      </c>
      <c r="W733" s="2" t="n">
        <v>0</v>
      </c>
      <c r="X733" s="2" t="n">
        <v>0</v>
      </c>
      <c r="Y733" s="2" t="n">
        <v>0</v>
      </c>
      <c r="Z733" s="2" t="n">
        <v>0</v>
      </c>
      <c r="AA733" s="2" t="n">
        <v>0</v>
      </c>
      <c r="AB733" s="2" t="n">
        <v>0</v>
      </c>
      <c r="AC733" s="2"/>
    </row>
    <row r="734" customFormat="false" ht="15" hidden="false" customHeight="false" outlineLevel="0" collapsed="false">
      <c r="A734" s="2" t="n">
        <v>108</v>
      </c>
      <c r="B734" s="2" t="s">
        <v>1050</v>
      </c>
      <c r="C734" s="2" t="s">
        <v>1055</v>
      </c>
      <c r="D734" s="2" t="s">
        <v>3772</v>
      </c>
      <c r="E734" s="2" t="s">
        <v>1154</v>
      </c>
      <c r="F734" s="2" t="s">
        <v>1178</v>
      </c>
      <c r="G734" s="2" t="s">
        <v>3773</v>
      </c>
      <c r="H734" s="2" t="s">
        <v>3774</v>
      </c>
      <c r="I734" s="2" t="s">
        <v>1133</v>
      </c>
      <c r="J734" s="2" t="s">
        <v>3775</v>
      </c>
      <c r="K734" s="2" t="n">
        <v>9</v>
      </c>
      <c r="L734" s="2" t="n">
        <v>2701</v>
      </c>
      <c r="M734" s="2" t="n">
        <v>1032</v>
      </c>
      <c r="N734" s="2" t="n">
        <v>861</v>
      </c>
      <c r="O734" s="2" t="n">
        <v>96</v>
      </c>
      <c r="P734" s="2" t="n">
        <v>1573</v>
      </c>
      <c r="Q734" s="2" t="n">
        <v>0</v>
      </c>
      <c r="R734" s="2" t="n">
        <v>0</v>
      </c>
      <c r="S734" s="2" t="n">
        <v>0</v>
      </c>
      <c r="T734" s="2" t="n">
        <v>0</v>
      </c>
      <c r="U734" s="2" t="n">
        <v>0</v>
      </c>
      <c r="V734" s="2" t="n">
        <v>0</v>
      </c>
      <c r="W734" s="2" t="n">
        <v>0</v>
      </c>
      <c r="X734" s="2" t="n">
        <v>0</v>
      </c>
      <c r="Y734" s="2" t="n">
        <v>0</v>
      </c>
      <c r="Z734" s="2" t="n">
        <v>0</v>
      </c>
      <c r="AA734" s="2" t="n">
        <v>0</v>
      </c>
      <c r="AB734" s="2" t="n">
        <v>0</v>
      </c>
      <c r="AC734" s="2"/>
    </row>
    <row r="735" customFormat="false" ht="15" hidden="false" customHeight="false" outlineLevel="0" collapsed="false">
      <c r="A735" s="2" t="n">
        <v>108</v>
      </c>
      <c r="B735" s="2" t="s">
        <v>1050</v>
      </c>
      <c r="C735" s="2" t="s">
        <v>1055</v>
      </c>
      <c r="D735" s="2" t="s">
        <v>3776</v>
      </c>
      <c r="E735" s="2" t="s">
        <v>1154</v>
      </c>
      <c r="F735" s="2" t="s">
        <v>1178</v>
      </c>
      <c r="G735" s="2" t="s">
        <v>2685</v>
      </c>
      <c r="H735" s="2" t="s">
        <v>3777</v>
      </c>
      <c r="I735" s="2" t="s">
        <v>1133</v>
      </c>
      <c r="J735" s="2" t="s">
        <v>3778</v>
      </c>
      <c r="K735" s="2" t="n">
        <v>3</v>
      </c>
      <c r="L735" s="2" t="n">
        <v>794</v>
      </c>
      <c r="M735" s="2" t="n">
        <v>677</v>
      </c>
      <c r="N735" s="2" t="n">
        <v>505</v>
      </c>
      <c r="O735" s="2" t="n">
        <v>56</v>
      </c>
      <c r="P735" s="2" t="n">
        <v>61</v>
      </c>
      <c r="Q735" s="2" t="n">
        <v>0</v>
      </c>
      <c r="R735" s="2" t="n">
        <v>0</v>
      </c>
      <c r="S735" s="2" t="n">
        <v>0</v>
      </c>
      <c r="T735" s="2" t="n">
        <v>0</v>
      </c>
      <c r="U735" s="2" t="n">
        <v>0</v>
      </c>
      <c r="V735" s="2" t="n">
        <v>0</v>
      </c>
      <c r="W735" s="2" t="n">
        <v>0</v>
      </c>
      <c r="X735" s="2" t="n">
        <v>0</v>
      </c>
      <c r="Y735" s="2" t="n">
        <v>0</v>
      </c>
      <c r="Z735" s="2" t="n">
        <v>0</v>
      </c>
      <c r="AA735" s="2" t="n">
        <v>0</v>
      </c>
      <c r="AB735" s="2" t="n">
        <v>0</v>
      </c>
      <c r="AC735" s="2"/>
    </row>
    <row r="736" customFormat="false" ht="15" hidden="false" customHeight="false" outlineLevel="0" collapsed="false">
      <c r="A736" s="2" t="n">
        <v>108</v>
      </c>
      <c r="B736" s="2" t="s">
        <v>1050</v>
      </c>
      <c r="C736" s="2" t="s">
        <v>1055</v>
      </c>
      <c r="D736" s="2" t="s">
        <v>3779</v>
      </c>
      <c r="E736" s="2" t="s">
        <v>1154</v>
      </c>
      <c r="F736" s="2" t="s">
        <v>1178</v>
      </c>
      <c r="G736" s="2" t="s">
        <v>3780</v>
      </c>
      <c r="H736" s="2" t="s">
        <v>3781</v>
      </c>
      <c r="I736" s="2" t="s">
        <v>1133</v>
      </c>
      <c r="J736" s="2" t="s">
        <v>3782</v>
      </c>
      <c r="K736" s="2" t="n">
        <v>5</v>
      </c>
      <c r="L736" s="2" t="n">
        <v>1737</v>
      </c>
      <c r="M736" s="2" t="n">
        <v>1100</v>
      </c>
      <c r="N736" s="2" t="n">
        <v>910</v>
      </c>
      <c r="O736" s="2" t="n">
        <v>68</v>
      </c>
      <c r="P736" s="2" t="n">
        <v>569</v>
      </c>
      <c r="Q736" s="2" t="n">
        <v>0</v>
      </c>
      <c r="R736" s="2" t="n">
        <v>0</v>
      </c>
      <c r="S736" s="2" t="n">
        <v>0</v>
      </c>
      <c r="T736" s="2" t="n">
        <v>0</v>
      </c>
      <c r="U736" s="2" t="n">
        <v>0</v>
      </c>
      <c r="V736" s="2" t="n">
        <v>0</v>
      </c>
      <c r="W736" s="2" t="n">
        <v>0</v>
      </c>
      <c r="X736" s="2" t="n">
        <v>0</v>
      </c>
      <c r="Y736" s="2" t="n">
        <v>0</v>
      </c>
      <c r="Z736" s="2" t="n">
        <v>0</v>
      </c>
      <c r="AA736" s="2" t="n">
        <v>0</v>
      </c>
      <c r="AB736" s="2" t="n">
        <v>0</v>
      </c>
      <c r="AC736" s="2"/>
    </row>
    <row r="737" customFormat="false" ht="15" hidden="false" customHeight="false" outlineLevel="0" collapsed="false">
      <c r="A737" s="2" t="n">
        <v>108</v>
      </c>
      <c r="B737" s="2" t="s">
        <v>1050</v>
      </c>
      <c r="C737" s="2" t="s">
        <v>1055</v>
      </c>
      <c r="D737" s="2" t="s">
        <v>3783</v>
      </c>
      <c r="E737" s="2" t="s">
        <v>1154</v>
      </c>
      <c r="F737" s="2" t="s">
        <v>1178</v>
      </c>
      <c r="G737" s="2" t="s">
        <v>3784</v>
      </c>
      <c r="H737" s="2" t="s">
        <v>3785</v>
      </c>
      <c r="I737" s="2" t="s">
        <v>1133</v>
      </c>
      <c r="J737" s="2" t="s">
        <v>3786</v>
      </c>
      <c r="K737" s="2" t="n">
        <v>18</v>
      </c>
      <c r="L737" s="2" t="n">
        <v>6619</v>
      </c>
      <c r="M737" s="2" t="n">
        <v>1225</v>
      </c>
      <c r="N737" s="2" t="n">
        <v>1051</v>
      </c>
      <c r="O737" s="2" t="n">
        <v>102</v>
      </c>
      <c r="P737" s="2" t="n">
        <v>5292</v>
      </c>
      <c r="Q737" s="2" t="n">
        <v>0</v>
      </c>
      <c r="R737" s="2" t="n">
        <v>0</v>
      </c>
      <c r="S737" s="2" t="n">
        <v>2</v>
      </c>
      <c r="T737" s="2" t="n">
        <v>2</v>
      </c>
      <c r="U737" s="2" t="n">
        <v>0</v>
      </c>
      <c r="V737" s="2" t="n">
        <v>0</v>
      </c>
      <c r="W737" s="2" t="n">
        <v>0</v>
      </c>
      <c r="X737" s="2" t="n">
        <v>0</v>
      </c>
      <c r="Y737" s="2" t="n">
        <v>0</v>
      </c>
      <c r="Z737" s="2" t="n">
        <v>0</v>
      </c>
      <c r="AA737" s="2" t="n">
        <v>0</v>
      </c>
      <c r="AB737" s="2" t="n">
        <v>2</v>
      </c>
      <c r="AC737" s="2"/>
    </row>
    <row r="738" customFormat="false" ht="15" hidden="false" customHeight="false" outlineLevel="0" collapsed="false">
      <c r="A738" s="2" t="n">
        <v>108</v>
      </c>
      <c r="B738" s="2" t="s">
        <v>1050</v>
      </c>
      <c r="C738" s="2" t="s">
        <v>1055</v>
      </c>
      <c r="D738" s="2" t="s">
        <v>3787</v>
      </c>
      <c r="E738" s="2" t="s">
        <v>1154</v>
      </c>
      <c r="F738" s="2" t="s">
        <v>1178</v>
      </c>
      <c r="G738" s="2" t="s">
        <v>3122</v>
      </c>
      <c r="H738" s="2" t="s">
        <v>3788</v>
      </c>
      <c r="I738" s="2" t="s">
        <v>1133</v>
      </c>
      <c r="J738" s="2" t="s">
        <v>3789</v>
      </c>
      <c r="K738" s="2" t="n">
        <v>3</v>
      </c>
      <c r="L738" s="2" t="n">
        <v>826</v>
      </c>
      <c r="M738" s="2" t="n">
        <v>701</v>
      </c>
      <c r="N738" s="2" t="n">
        <v>534</v>
      </c>
      <c r="O738" s="2" t="n">
        <v>53</v>
      </c>
      <c r="P738" s="2" t="n">
        <v>72</v>
      </c>
      <c r="Q738" s="2" t="n">
        <v>0</v>
      </c>
      <c r="R738" s="2" t="n">
        <v>0</v>
      </c>
      <c r="S738" s="2" t="n">
        <v>0</v>
      </c>
      <c r="T738" s="2" t="n">
        <v>0</v>
      </c>
      <c r="U738" s="2" t="n">
        <v>0</v>
      </c>
      <c r="V738" s="2" t="n">
        <v>0</v>
      </c>
      <c r="W738" s="2" t="n">
        <v>0</v>
      </c>
      <c r="X738" s="2" t="n">
        <v>0</v>
      </c>
      <c r="Y738" s="2" t="n">
        <v>0</v>
      </c>
      <c r="Z738" s="2" t="n">
        <v>0</v>
      </c>
      <c r="AA738" s="2" t="n">
        <v>0</v>
      </c>
      <c r="AB738" s="2" t="n">
        <v>0</v>
      </c>
      <c r="AC738" s="2"/>
    </row>
    <row r="739" customFormat="false" ht="15" hidden="false" customHeight="false" outlineLevel="0" collapsed="false">
      <c r="A739" s="2" t="n">
        <v>108</v>
      </c>
      <c r="B739" s="2" t="s">
        <v>1050</v>
      </c>
      <c r="C739" s="2" t="s">
        <v>1055</v>
      </c>
      <c r="D739" s="2" t="s">
        <v>3790</v>
      </c>
      <c r="E739" s="2" t="s">
        <v>1154</v>
      </c>
      <c r="F739" s="2" t="s">
        <v>1178</v>
      </c>
      <c r="G739" s="2" t="s">
        <v>3791</v>
      </c>
      <c r="H739" s="2" t="s">
        <v>3792</v>
      </c>
      <c r="I739" s="2" t="s">
        <v>1133</v>
      </c>
      <c r="J739" s="2" t="s">
        <v>3793</v>
      </c>
      <c r="K739" s="2" t="n">
        <v>3</v>
      </c>
      <c r="L739" s="2" t="n">
        <v>643</v>
      </c>
      <c r="M739" s="2" t="n">
        <v>496</v>
      </c>
      <c r="N739" s="2" t="n">
        <v>330</v>
      </c>
      <c r="O739" s="2" t="n">
        <v>59</v>
      </c>
      <c r="P739" s="2" t="n">
        <v>88</v>
      </c>
      <c r="Q739" s="2" t="n">
        <v>0</v>
      </c>
      <c r="R739" s="2" t="n">
        <v>0</v>
      </c>
      <c r="S739" s="2" t="n">
        <v>0</v>
      </c>
      <c r="T739" s="2" t="n">
        <v>0</v>
      </c>
      <c r="U739" s="2" t="n">
        <v>0</v>
      </c>
      <c r="V739" s="2" t="n">
        <v>0</v>
      </c>
      <c r="W739" s="2" t="n">
        <v>0</v>
      </c>
      <c r="X739" s="2" t="n">
        <v>0</v>
      </c>
      <c r="Y739" s="2" t="n">
        <v>0</v>
      </c>
      <c r="Z739" s="2" t="n">
        <v>0</v>
      </c>
      <c r="AA739" s="2" t="n">
        <v>0</v>
      </c>
      <c r="AB739" s="2" t="n">
        <v>0</v>
      </c>
      <c r="AC739" s="2"/>
    </row>
    <row r="740" customFormat="false" ht="15" hidden="false" customHeight="false" outlineLevel="0" collapsed="false">
      <c r="A740" s="2" t="n">
        <v>108</v>
      </c>
      <c r="B740" s="2" t="s">
        <v>1050</v>
      </c>
      <c r="C740" s="2" t="s">
        <v>1055</v>
      </c>
      <c r="D740" s="2" t="s">
        <v>3794</v>
      </c>
      <c r="E740" s="2" t="s">
        <v>1154</v>
      </c>
      <c r="F740" s="2" t="s">
        <v>1178</v>
      </c>
      <c r="G740" s="2" t="s">
        <v>2916</v>
      </c>
      <c r="H740" s="2" t="s">
        <v>3795</v>
      </c>
      <c r="I740" s="2" t="s">
        <v>1133</v>
      </c>
      <c r="J740" s="2" t="s">
        <v>3796</v>
      </c>
      <c r="K740" s="2" t="n">
        <v>4</v>
      </c>
      <c r="L740" s="2" t="n">
        <v>633</v>
      </c>
      <c r="M740" s="2" t="n">
        <v>485</v>
      </c>
      <c r="N740" s="2" t="n">
        <v>321</v>
      </c>
      <c r="O740" s="2" t="n">
        <v>66</v>
      </c>
      <c r="P740" s="2" t="n">
        <v>82</v>
      </c>
      <c r="Q740" s="2" t="n">
        <v>0</v>
      </c>
      <c r="R740" s="2" t="n">
        <v>0</v>
      </c>
      <c r="S740" s="2" t="n">
        <v>1</v>
      </c>
      <c r="T740" s="2" t="n">
        <v>1</v>
      </c>
      <c r="U740" s="2" t="n">
        <v>0</v>
      </c>
      <c r="V740" s="2" t="n">
        <v>0</v>
      </c>
      <c r="W740" s="2" t="n">
        <v>0</v>
      </c>
      <c r="X740" s="2" t="n">
        <v>0</v>
      </c>
      <c r="Y740" s="2" t="n">
        <v>0</v>
      </c>
      <c r="Z740" s="2" t="n">
        <v>0</v>
      </c>
      <c r="AA740" s="2" t="n">
        <v>0</v>
      </c>
      <c r="AB740" s="2" t="n">
        <v>1</v>
      </c>
      <c r="AC740" s="2"/>
    </row>
    <row r="741" customFormat="false" ht="15" hidden="false" customHeight="false" outlineLevel="0" collapsed="false">
      <c r="A741" s="2" t="n">
        <v>108</v>
      </c>
      <c r="B741" s="2" t="s">
        <v>1050</v>
      </c>
      <c r="C741" s="2" t="s">
        <v>1055</v>
      </c>
      <c r="D741" s="2" t="s">
        <v>3797</v>
      </c>
      <c r="E741" s="2" t="s">
        <v>1154</v>
      </c>
      <c r="F741" s="2" t="s">
        <v>1178</v>
      </c>
      <c r="G741" s="2" t="s">
        <v>2916</v>
      </c>
      <c r="H741" s="2" t="s">
        <v>3798</v>
      </c>
      <c r="I741" s="2" t="s">
        <v>1133</v>
      </c>
      <c r="J741" s="2" t="s">
        <v>3799</v>
      </c>
      <c r="K741" s="2" t="n">
        <v>3</v>
      </c>
      <c r="L741" s="2" t="n">
        <v>1253</v>
      </c>
      <c r="M741" s="2" t="n">
        <v>1190</v>
      </c>
      <c r="N741" s="2" t="n">
        <v>985</v>
      </c>
      <c r="O741" s="2" t="n">
        <v>63</v>
      </c>
      <c r="P741" s="2" t="n">
        <v>0</v>
      </c>
      <c r="Q741" s="2" t="n">
        <v>0</v>
      </c>
      <c r="R741" s="2" t="n">
        <v>0</v>
      </c>
      <c r="S741" s="2" t="n">
        <v>0</v>
      </c>
      <c r="T741" s="2" t="n">
        <v>0</v>
      </c>
      <c r="U741" s="2" t="n">
        <v>0</v>
      </c>
      <c r="V741" s="2" t="n">
        <v>0</v>
      </c>
      <c r="W741" s="2" t="n">
        <v>0</v>
      </c>
      <c r="X741" s="2" t="n">
        <v>0</v>
      </c>
      <c r="Y741" s="2" t="n">
        <v>0</v>
      </c>
      <c r="Z741" s="2" t="n">
        <v>0</v>
      </c>
      <c r="AA741" s="2" t="n">
        <v>0</v>
      </c>
      <c r="AB741" s="2" t="n">
        <v>0</v>
      </c>
      <c r="AC741" s="2"/>
    </row>
    <row r="742" customFormat="false" ht="15" hidden="false" customHeight="false" outlineLevel="0" collapsed="false">
      <c r="A742" s="2" t="n">
        <v>108</v>
      </c>
      <c r="B742" s="2" t="s">
        <v>1050</v>
      </c>
      <c r="C742" s="2" t="s">
        <v>1055</v>
      </c>
      <c r="D742" s="2" t="s">
        <v>3800</v>
      </c>
      <c r="E742" s="2" t="s">
        <v>1154</v>
      </c>
      <c r="F742" s="2" t="s">
        <v>1178</v>
      </c>
      <c r="G742" s="2" t="s">
        <v>3801</v>
      </c>
      <c r="H742" s="2" t="s">
        <v>3802</v>
      </c>
      <c r="I742" s="2" t="s">
        <v>1133</v>
      </c>
      <c r="J742" s="2" t="s">
        <v>3803</v>
      </c>
      <c r="K742" s="2" t="n">
        <v>3</v>
      </c>
      <c r="L742" s="2" t="n">
        <v>783</v>
      </c>
      <c r="M742" s="2" t="n">
        <v>669</v>
      </c>
      <c r="N742" s="2" t="n">
        <v>501</v>
      </c>
      <c r="O742" s="2" t="n">
        <v>56</v>
      </c>
      <c r="P742" s="2" t="n">
        <v>58</v>
      </c>
      <c r="Q742" s="2" t="n">
        <v>0</v>
      </c>
      <c r="R742" s="2" t="n">
        <v>0</v>
      </c>
      <c r="S742" s="2" t="n">
        <v>0</v>
      </c>
      <c r="T742" s="2" t="n">
        <v>0</v>
      </c>
      <c r="U742" s="2" t="n">
        <v>0</v>
      </c>
      <c r="V742" s="2" t="n">
        <v>0</v>
      </c>
      <c r="W742" s="2" t="n">
        <v>0</v>
      </c>
      <c r="X742" s="2" t="n">
        <v>0</v>
      </c>
      <c r="Y742" s="2" t="n">
        <v>0</v>
      </c>
      <c r="Z742" s="2" t="n">
        <v>0</v>
      </c>
      <c r="AA742" s="2" t="n">
        <v>0</v>
      </c>
      <c r="AB742" s="2" t="n">
        <v>0</v>
      </c>
      <c r="AC742" s="2"/>
    </row>
    <row r="743" customFormat="false" ht="15" hidden="false" customHeight="false" outlineLevel="0" collapsed="false">
      <c r="A743" s="2" t="n">
        <v>108</v>
      </c>
      <c r="B743" s="2" t="s">
        <v>1050</v>
      </c>
      <c r="C743" s="2" t="s">
        <v>1055</v>
      </c>
      <c r="D743" s="2" t="s">
        <v>3804</v>
      </c>
      <c r="E743" s="2" t="s">
        <v>1154</v>
      </c>
      <c r="F743" s="2" t="s">
        <v>1178</v>
      </c>
      <c r="G743" s="2" t="s">
        <v>3801</v>
      </c>
      <c r="H743" s="2" t="s">
        <v>3805</v>
      </c>
      <c r="I743" s="2" t="s">
        <v>1133</v>
      </c>
      <c r="J743" s="2" t="s">
        <v>3806</v>
      </c>
      <c r="K743" s="2" t="n">
        <v>5</v>
      </c>
      <c r="L743" s="2" t="n">
        <v>1703</v>
      </c>
      <c r="M743" s="2" t="n">
        <v>1386</v>
      </c>
      <c r="N743" s="2" t="n">
        <v>1199</v>
      </c>
      <c r="O743" s="2" t="n">
        <v>59</v>
      </c>
      <c r="P743" s="2" t="n">
        <v>258</v>
      </c>
      <c r="Q743" s="2" t="n">
        <v>0</v>
      </c>
      <c r="R743" s="2" t="n">
        <v>0</v>
      </c>
      <c r="S743" s="2" t="n">
        <v>0</v>
      </c>
      <c r="T743" s="2" t="n">
        <v>0</v>
      </c>
      <c r="U743" s="2" t="n">
        <v>0</v>
      </c>
      <c r="V743" s="2" t="n">
        <v>0</v>
      </c>
      <c r="W743" s="2" t="n">
        <v>0</v>
      </c>
      <c r="X743" s="2" t="n">
        <v>0</v>
      </c>
      <c r="Y743" s="2" t="n">
        <v>0</v>
      </c>
      <c r="Z743" s="2" t="n">
        <v>0</v>
      </c>
      <c r="AA743" s="2" t="n">
        <v>0</v>
      </c>
      <c r="AB743" s="2" t="n">
        <v>0</v>
      </c>
      <c r="AC743" s="2"/>
    </row>
    <row r="744" customFormat="false" ht="15" hidden="false" customHeight="false" outlineLevel="0" collapsed="false">
      <c r="A744" s="2" t="n">
        <v>108</v>
      </c>
      <c r="B744" s="2" t="s">
        <v>1050</v>
      </c>
      <c r="C744" s="2" t="s">
        <v>1055</v>
      </c>
      <c r="D744" s="2" t="s">
        <v>3807</v>
      </c>
      <c r="E744" s="2" t="s">
        <v>1154</v>
      </c>
      <c r="F744" s="2" t="s">
        <v>1178</v>
      </c>
      <c r="G744" s="2" t="s">
        <v>3808</v>
      </c>
      <c r="H744" s="2" t="s">
        <v>3809</v>
      </c>
      <c r="I744" s="2" t="s">
        <v>1133</v>
      </c>
      <c r="J744" s="2" t="s">
        <v>3810</v>
      </c>
      <c r="K744" s="2" t="n">
        <v>5</v>
      </c>
      <c r="L744" s="2" t="n">
        <v>2245</v>
      </c>
      <c r="M744" s="2" t="n">
        <v>1400</v>
      </c>
      <c r="N744" s="2" t="n">
        <v>1204</v>
      </c>
      <c r="O744" s="2" t="n">
        <v>90</v>
      </c>
      <c r="P744" s="2" t="n">
        <v>755</v>
      </c>
      <c r="Q744" s="2" t="n">
        <v>0</v>
      </c>
      <c r="R744" s="2" t="n">
        <v>0</v>
      </c>
      <c r="S744" s="2" t="n">
        <v>0</v>
      </c>
      <c r="T744" s="2" t="n">
        <v>0</v>
      </c>
      <c r="U744" s="2" t="n">
        <v>0</v>
      </c>
      <c r="V744" s="2" t="n">
        <v>0</v>
      </c>
      <c r="W744" s="2" t="n">
        <v>0</v>
      </c>
      <c r="X744" s="2" t="n">
        <v>0</v>
      </c>
      <c r="Y744" s="2" t="n">
        <v>0</v>
      </c>
      <c r="Z744" s="2" t="n">
        <v>0</v>
      </c>
      <c r="AA744" s="2" t="n">
        <v>0</v>
      </c>
      <c r="AB744" s="2" t="n">
        <v>0</v>
      </c>
      <c r="AC744" s="2"/>
    </row>
    <row r="745" customFormat="false" ht="15" hidden="false" customHeight="false" outlineLevel="0" collapsed="false">
      <c r="A745" s="2" t="n">
        <v>108</v>
      </c>
      <c r="B745" s="2" t="s">
        <v>1050</v>
      </c>
      <c r="C745" s="2" t="s">
        <v>1055</v>
      </c>
      <c r="D745" s="2" t="s">
        <v>3811</v>
      </c>
      <c r="E745" s="2" t="s">
        <v>1154</v>
      </c>
      <c r="F745" s="2" t="s">
        <v>1178</v>
      </c>
      <c r="G745" s="2" t="s">
        <v>3808</v>
      </c>
      <c r="H745" s="2" t="s">
        <v>3812</v>
      </c>
      <c r="I745" s="2" t="s">
        <v>1133</v>
      </c>
      <c r="J745" s="2" t="s">
        <v>3813</v>
      </c>
      <c r="K745" s="2" t="n">
        <v>10</v>
      </c>
      <c r="L745" s="2" t="n">
        <v>4200</v>
      </c>
      <c r="M745" s="2" t="n">
        <v>2364</v>
      </c>
      <c r="N745" s="2" t="n">
        <v>2155</v>
      </c>
      <c r="O745" s="2" t="n">
        <v>57</v>
      </c>
      <c r="P745" s="2" t="n">
        <v>1779</v>
      </c>
      <c r="Q745" s="2" t="n">
        <v>0</v>
      </c>
      <c r="R745" s="2" t="n">
        <v>0</v>
      </c>
      <c r="S745" s="2" t="n">
        <v>0</v>
      </c>
      <c r="T745" s="2" t="n">
        <v>0</v>
      </c>
      <c r="U745" s="2" t="n">
        <v>0</v>
      </c>
      <c r="V745" s="2" t="n">
        <v>0</v>
      </c>
      <c r="W745" s="2" t="n">
        <v>0</v>
      </c>
      <c r="X745" s="2" t="n">
        <v>0</v>
      </c>
      <c r="Y745" s="2" t="n">
        <v>0</v>
      </c>
      <c r="Z745" s="2" t="n">
        <v>0</v>
      </c>
      <c r="AA745" s="2" t="n">
        <v>0</v>
      </c>
      <c r="AB745" s="2" t="n">
        <v>0</v>
      </c>
      <c r="AC745" s="2"/>
    </row>
    <row r="746" customFormat="false" ht="15" hidden="false" customHeight="false" outlineLevel="0" collapsed="false">
      <c r="A746" s="2" t="n">
        <v>108</v>
      </c>
      <c r="B746" s="2" t="s">
        <v>1050</v>
      </c>
      <c r="C746" s="2" t="s">
        <v>1055</v>
      </c>
      <c r="D746" s="2" t="s">
        <v>3814</v>
      </c>
      <c r="E746" s="2" t="s">
        <v>1154</v>
      </c>
      <c r="F746" s="2" t="s">
        <v>1178</v>
      </c>
      <c r="G746" s="2" t="s">
        <v>3815</v>
      </c>
      <c r="H746" s="2" t="s">
        <v>3816</v>
      </c>
      <c r="I746" s="2" t="s">
        <v>1133</v>
      </c>
      <c r="J746" s="2" t="s">
        <v>3817</v>
      </c>
      <c r="K746" s="2" t="n">
        <v>3</v>
      </c>
      <c r="L746" s="2" t="n">
        <v>865</v>
      </c>
      <c r="M746" s="2" t="n">
        <v>705</v>
      </c>
      <c r="N746" s="2" t="n">
        <v>534</v>
      </c>
      <c r="O746" s="2" t="n">
        <v>53</v>
      </c>
      <c r="P746" s="2" t="n">
        <v>107</v>
      </c>
      <c r="Q746" s="2" t="n">
        <v>0</v>
      </c>
      <c r="R746" s="2" t="n">
        <v>0</v>
      </c>
      <c r="S746" s="2" t="n">
        <v>0</v>
      </c>
      <c r="T746" s="2" t="n">
        <v>0</v>
      </c>
      <c r="U746" s="2" t="n">
        <v>0</v>
      </c>
      <c r="V746" s="2" t="n">
        <v>0</v>
      </c>
      <c r="W746" s="2" t="n">
        <v>0</v>
      </c>
      <c r="X746" s="2" t="n">
        <v>0</v>
      </c>
      <c r="Y746" s="2" t="n">
        <v>0</v>
      </c>
      <c r="Z746" s="2" t="n">
        <v>0</v>
      </c>
      <c r="AA746" s="2" t="n">
        <v>0</v>
      </c>
      <c r="AB746" s="2" t="n">
        <v>0</v>
      </c>
      <c r="AC746" s="2"/>
    </row>
    <row r="747" customFormat="false" ht="15" hidden="false" customHeight="false" outlineLevel="0" collapsed="false">
      <c r="A747" s="2" t="n">
        <v>108</v>
      </c>
      <c r="B747" s="2" t="s">
        <v>1050</v>
      </c>
      <c r="C747" s="2" t="s">
        <v>1055</v>
      </c>
      <c r="D747" s="2" t="s">
        <v>3818</v>
      </c>
      <c r="E747" s="2" t="s">
        <v>1154</v>
      </c>
      <c r="F747" s="2" t="s">
        <v>1178</v>
      </c>
      <c r="G747" s="2" t="s">
        <v>3819</v>
      </c>
      <c r="H747" s="2" t="s">
        <v>3820</v>
      </c>
      <c r="I747" s="2" t="s">
        <v>1133</v>
      </c>
      <c r="J747" s="2" t="s">
        <v>3821</v>
      </c>
      <c r="K747" s="2" t="n">
        <v>3</v>
      </c>
      <c r="L747" s="2" t="n">
        <v>558</v>
      </c>
      <c r="M747" s="2" t="n">
        <v>451</v>
      </c>
      <c r="N747" s="2" t="n">
        <v>294</v>
      </c>
      <c r="O747" s="2" t="n">
        <v>58</v>
      </c>
      <c r="P747" s="2" t="n">
        <v>49</v>
      </c>
      <c r="Q747" s="2" t="n">
        <v>0</v>
      </c>
      <c r="R747" s="2" t="n">
        <v>0</v>
      </c>
      <c r="S747" s="2" t="n">
        <v>0</v>
      </c>
      <c r="T747" s="2" t="n">
        <v>0</v>
      </c>
      <c r="U747" s="2" t="n">
        <v>0</v>
      </c>
      <c r="V747" s="2" t="n">
        <v>0</v>
      </c>
      <c r="W747" s="2" t="n">
        <v>0</v>
      </c>
      <c r="X747" s="2" t="n">
        <v>0</v>
      </c>
      <c r="Y747" s="2" t="n">
        <v>0</v>
      </c>
      <c r="Z747" s="2" t="n">
        <v>0</v>
      </c>
      <c r="AA747" s="2" t="n">
        <v>0</v>
      </c>
      <c r="AB747" s="2" t="n">
        <v>0</v>
      </c>
      <c r="AC747" s="2"/>
    </row>
    <row r="748" customFormat="false" ht="15" hidden="false" customHeight="false" outlineLevel="0" collapsed="false">
      <c r="A748" s="2" t="n">
        <v>108</v>
      </c>
      <c r="B748" s="2" t="s">
        <v>1050</v>
      </c>
      <c r="C748" s="2" t="s">
        <v>1055</v>
      </c>
      <c r="D748" s="2" t="s">
        <v>3822</v>
      </c>
      <c r="E748" s="2" t="s">
        <v>1154</v>
      </c>
      <c r="F748" s="2" t="s">
        <v>1178</v>
      </c>
      <c r="G748" s="2" t="s">
        <v>3823</v>
      </c>
      <c r="H748" s="2" t="s">
        <v>3824</v>
      </c>
      <c r="I748" s="2" t="s">
        <v>1133</v>
      </c>
      <c r="J748" s="2" t="s">
        <v>3825</v>
      </c>
      <c r="K748" s="2" t="n">
        <v>5</v>
      </c>
      <c r="L748" s="2" t="n">
        <v>2174</v>
      </c>
      <c r="M748" s="2" t="n">
        <v>1467</v>
      </c>
      <c r="N748" s="2" t="n">
        <v>1283</v>
      </c>
      <c r="O748" s="2" t="n">
        <v>56</v>
      </c>
      <c r="P748" s="2" t="n">
        <v>651</v>
      </c>
      <c r="Q748" s="2" t="n">
        <v>0</v>
      </c>
      <c r="R748" s="2" t="n">
        <v>0</v>
      </c>
      <c r="S748" s="2" t="n">
        <v>0</v>
      </c>
      <c r="T748" s="2" t="n">
        <v>0</v>
      </c>
      <c r="U748" s="2" t="n">
        <v>0</v>
      </c>
      <c r="V748" s="2" t="n">
        <v>0</v>
      </c>
      <c r="W748" s="2" t="n">
        <v>0</v>
      </c>
      <c r="X748" s="2" t="n">
        <v>0</v>
      </c>
      <c r="Y748" s="2" t="n">
        <v>0</v>
      </c>
      <c r="Z748" s="2" t="n">
        <v>0</v>
      </c>
      <c r="AA748" s="2" t="n">
        <v>0</v>
      </c>
      <c r="AB748" s="2" t="n">
        <v>0</v>
      </c>
      <c r="AC748" s="2"/>
    </row>
    <row r="749" customFormat="false" ht="15" hidden="false" customHeight="false" outlineLevel="0" collapsed="false">
      <c r="A749" s="2" t="n">
        <v>110</v>
      </c>
      <c r="B749" s="2" t="s">
        <v>1071</v>
      </c>
      <c r="C749" s="2" t="s">
        <v>1077</v>
      </c>
      <c r="D749" s="2" t="s">
        <v>3826</v>
      </c>
      <c r="E749" s="2" t="s">
        <v>1154</v>
      </c>
      <c r="F749" s="2" t="s">
        <v>1155</v>
      </c>
      <c r="G749" s="2" t="s">
        <v>379</v>
      </c>
      <c r="H749" s="2" t="s">
        <v>3827</v>
      </c>
      <c r="I749" s="2" t="s">
        <v>1133</v>
      </c>
      <c r="J749" s="2" t="s">
        <v>3828</v>
      </c>
      <c r="K749" s="2" t="n">
        <v>4</v>
      </c>
      <c r="L749" s="2" t="n">
        <v>788</v>
      </c>
      <c r="M749" s="2" t="n">
        <v>290</v>
      </c>
      <c r="N749" s="2" t="n">
        <v>166</v>
      </c>
      <c r="O749" s="2" t="n">
        <v>322</v>
      </c>
      <c r="P749" s="2" t="n">
        <v>176</v>
      </c>
      <c r="Q749" s="2" t="n">
        <v>0</v>
      </c>
      <c r="R749" s="2" t="n">
        <v>0</v>
      </c>
      <c r="S749" s="2" t="n">
        <v>5</v>
      </c>
      <c r="T749" s="2" t="n">
        <v>5</v>
      </c>
      <c r="U749" s="2" t="n">
        <v>0</v>
      </c>
      <c r="V749" s="2" t="n">
        <v>0</v>
      </c>
      <c r="W749" s="2" t="n">
        <v>0</v>
      </c>
      <c r="X749" s="2" t="n">
        <v>0</v>
      </c>
      <c r="Y749" s="2" t="n">
        <v>1</v>
      </c>
      <c r="Z749" s="2" t="n">
        <v>1</v>
      </c>
      <c r="AA749" s="2" t="n">
        <v>0</v>
      </c>
      <c r="AB749" s="2" t="n">
        <v>3</v>
      </c>
      <c r="AC749" s="2"/>
    </row>
    <row r="750" customFormat="false" ht="15" hidden="false" customHeight="false" outlineLevel="0" collapsed="false">
      <c r="A750" s="2" t="n">
        <v>110</v>
      </c>
      <c r="B750" s="2" t="s">
        <v>1071</v>
      </c>
      <c r="C750" s="2" t="s">
        <v>1077</v>
      </c>
      <c r="D750" s="2" t="s">
        <v>3829</v>
      </c>
      <c r="E750" s="2" t="s">
        <v>1160</v>
      </c>
      <c r="F750" s="2" t="s">
        <v>1161</v>
      </c>
      <c r="G750" s="2" t="s">
        <v>3830</v>
      </c>
      <c r="H750" s="2" t="s">
        <v>3831</v>
      </c>
      <c r="I750" s="2" t="s">
        <v>1133</v>
      </c>
      <c r="J750" s="2" t="s">
        <v>3832</v>
      </c>
      <c r="K750" s="2" t="n">
        <v>3</v>
      </c>
      <c r="L750" s="2" t="n">
        <v>1055</v>
      </c>
      <c r="M750" s="2" t="n">
        <v>912</v>
      </c>
      <c r="N750" s="2" t="n">
        <v>775</v>
      </c>
      <c r="O750" s="2" t="n">
        <v>143</v>
      </c>
      <c r="P750" s="2" t="n">
        <v>0</v>
      </c>
      <c r="Q750" s="2" t="n">
        <v>0</v>
      </c>
      <c r="R750" s="2" t="n">
        <v>0</v>
      </c>
      <c r="S750" s="2" t="n">
        <v>1</v>
      </c>
      <c r="T750" s="2" t="n">
        <v>1</v>
      </c>
      <c r="U750" s="2" t="n">
        <v>0</v>
      </c>
      <c r="V750" s="2" t="n">
        <v>0</v>
      </c>
      <c r="W750" s="2" t="n">
        <v>0</v>
      </c>
      <c r="X750" s="2" t="n">
        <v>0</v>
      </c>
      <c r="Y750" s="2" t="n">
        <v>0</v>
      </c>
      <c r="Z750" s="2" t="n">
        <v>0</v>
      </c>
      <c r="AA750" s="2" t="n">
        <v>0</v>
      </c>
      <c r="AB750" s="2" t="n">
        <v>1</v>
      </c>
      <c r="AC750" s="2"/>
    </row>
    <row r="751" customFormat="false" ht="15" hidden="false" customHeight="false" outlineLevel="0" collapsed="false">
      <c r="A751" s="2" t="n">
        <v>110</v>
      </c>
      <c r="B751" s="2" t="s">
        <v>1071</v>
      </c>
      <c r="C751" s="2" t="s">
        <v>1077</v>
      </c>
      <c r="D751" s="2" t="s">
        <v>3833</v>
      </c>
      <c r="E751" s="2" t="s">
        <v>1160</v>
      </c>
      <c r="F751" s="2" t="s">
        <v>1161</v>
      </c>
      <c r="G751" s="2" t="s">
        <v>3834</v>
      </c>
      <c r="H751" s="2" t="s">
        <v>3835</v>
      </c>
      <c r="I751" s="2" t="s">
        <v>1133</v>
      </c>
      <c r="J751" s="2" t="s">
        <v>3836</v>
      </c>
      <c r="K751" s="2" t="n">
        <v>5</v>
      </c>
      <c r="L751" s="2" t="n">
        <v>2635</v>
      </c>
      <c r="M751" s="2" t="n">
        <v>2206</v>
      </c>
      <c r="N751" s="2" t="n">
        <v>2058</v>
      </c>
      <c r="O751" s="2" t="n">
        <v>429</v>
      </c>
      <c r="P751" s="2" t="n">
        <v>0</v>
      </c>
      <c r="Q751" s="2" t="n">
        <v>0</v>
      </c>
      <c r="R751" s="2" t="n">
        <v>0</v>
      </c>
      <c r="S751" s="2" t="n">
        <v>0</v>
      </c>
      <c r="T751" s="2" t="n">
        <v>0</v>
      </c>
      <c r="U751" s="2" t="n">
        <v>0</v>
      </c>
      <c r="V751" s="2" t="n">
        <v>0</v>
      </c>
      <c r="W751" s="2" t="n">
        <v>0</v>
      </c>
      <c r="X751" s="2" t="n">
        <v>0</v>
      </c>
      <c r="Y751" s="2" t="n">
        <v>0</v>
      </c>
      <c r="Z751" s="2" t="n">
        <v>0</v>
      </c>
      <c r="AA751" s="2" t="n">
        <v>0</v>
      </c>
      <c r="AB751" s="2" t="n">
        <v>0</v>
      </c>
      <c r="AC751" s="2"/>
    </row>
    <row r="752" customFormat="false" ht="15" hidden="false" customHeight="false" outlineLevel="0" collapsed="false">
      <c r="A752" s="2" t="n">
        <v>110</v>
      </c>
      <c r="B752" s="2" t="s">
        <v>1071</v>
      </c>
      <c r="C752" s="2" t="s">
        <v>1077</v>
      </c>
      <c r="D752" s="2" t="s">
        <v>3837</v>
      </c>
      <c r="E752" s="2" t="s">
        <v>1160</v>
      </c>
      <c r="F752" s="2" t="s">
        <v>1161</v>
      </c>
      <c r="G752" s="2" t="s">
        <v>3838</v>
      </c>
      <c r="H752" s="2" t="s">
        <v>3839</v>
      </c>
      <c r="I752" s="2" t="s">
        <v>1133</v>
      </c>
      <c r="J752" s="2" t="s">
        <v>3840</v>
      </c>
      <c r="K752" s="2" t="n">
        <v>3</v>
      </c>
      <c r="L752" s="2" t="n">
        <v>898</v>
      </c>
      <c r="M752" s="2" t="n">
        <v>782</v>
      </c>
      <c r="N752" s="2" t="n">
        <v>641</v>
      </c>
      <c r="O752" s="2" t="n">
        <v>116</v>
      </c>
      <c r="P752" s="2" t="n">
        <v>0</v>
      </c>
      <c r="Q752" s="2" t="n">
        <v>0</v>
      </c>
      <c r="R752" s="2" t="n">
        <v>0</v>
      </c>
      <c r="S752" s="2" t="n">
        <v>0</v>
      </c>
      <c r="T752" s="2" t="n">
        <v>0</v>
      </c>
      <c r="U752" s="2" t="n">
        <v>0</v>
      </c>
      <c r="V752" s="2" t="n">
        <v>0</v>
      </c>
      <c r="W752" s="2" t="n">
        <v>0</v>
      </c>
      <c r="X752" s="2" t="n">
        <v>0</v>
      </c>
      <c r="Y752" s="2" t="n">
        <v>0</v>
      </c>
      <c r="Z752" s="2" t="n">
        <v>0</v>
      </c>
      <c r="AA752" s="2" t="n">
        <v>0</v>
      </c>
      <c r="AB752" s="2" t="n">
        <v>0</v>
      </c>
      <c r="AC752" s="2"/>
    </row>
    <row r="753" customFormat="false" ht="15" hidden="false" customHeight="false" outlineLevel="0" collapsed="false">
      <c r="A753" s="2" t="n">
        <v>110</v>
      </c>
      <c r="B753" s="2" t="s">
        <v>1071</v>
      </c>
      <c r="C753" s="2" t="s">
        <v>1077</v>
      </c>
      <c r="D753" s="2" t="s">
        <v>3841</v>
      </c>
      <c r="E753" s="2" t="s">
        <v>1160</v>
      </c>
      <c r="F753" s="2" t="s">
        <v>1161</v>
      </c>
      <c r="G753" s="2" t="s">
        <v>3842</v>
      </c>
      <c r="H753" s="2" t="s">
        <v>3843</v>
      </c>
      <c r="I753" s="2" t="s">
        <v>1133</v>
      </c>
      <c r="J753" s="2" t="s">
        <v>3844</v>
      </c>
      <c r="K753" s="2" t="n">
        <v>2</v>
      </c>
      <c r="L753" s="2" t="n">
        <v>803</v>
      </c>
      <c r="M753" s="2" t="n">
        <v>624</v>
      </c>
      <c r="N753" s="2" t="n">
        <v>489</v>
      </c>
      <c r="O753" s="2" t="n">
        <v>179</v>
      </c>
      <c r="P753" s="2" t="n">
        <v>0</v>
      </c>
      <c r="Q753" s="2" t="n">
        <v>0</v>
      </c>
      <c r="R753" s="2" t="n">
        <v>0</v>
      </c>
      <c r="S753" s="2" t="n">
        <v>0</v>
      </c>
      <c r="T753" s="2" t="n">
        <v>0</v>
      </c>
      <c r="U753" s="2" t="n">
        <v>0</v>
      </c>
      <c r="V753" s="2" t="n">
        <v>0</v>
      </c>
      <c r="W753" s="2" t="n">
        <v>0</v>
      </c>
      <c r="X753" s="2" t="n">
        <v>0</v>
      </c>
      <c r="Y753" s="2" t="n">
        <v>0</v>
      </c>
      <c r="Z753" s="2" t="n">
        <v>0</v>
      </c>
      <c r="AA753" s="2" t="n">
        <v>0</v>
      </c>
      <c r="AB753" s="2" t="n">
        <v>0</v>
      </c>
      <c r="AC753" s="2"/>
    </row>
    <row r="754" customFormat="false" ht="15" hidden="false" customHeight="false" outlineLevel="0" collapsed="false">
      <c r="A754" s="2" t="n">
        <v>110</v>
      </c>
      <c r="B754" s="2" t="s">
        <v>1071</v>
      </c>
      <c r="C754" s="2" t="s">
        <v>1077</v>
      </c>
      <c r="D754" s="2" t="s">
        <v>3845</v>
      </c>
      <c r="E754" s="2" t="s">
        <v>1154</v>
      </c>
      <c r="F754" s="2" t="s">
        <v>1178</v>
      </c>
      <c r="G754" s="2" t="s">
        <v>3846</v>
      </c>
      <c r="H754" s="2" t="s">
        <v>3847</v>
      </c>
      <c r="I754" s="2" t="s">
        <v>1133</v>
      </c>
      <c r="J754" s="2" t="s">
        <v>3848</v>
      </c>
      <c r="K754" s="2" t="n">
        <v>13</v>
      </c>
      <c r="L754" s="2" t="n">
        <v>7391</v>
      </c>
      <c r="M754" s="2" t="n">
        <v>7315</v>
      </c>
      <c r="N754" s="2" t="n">
        <v>7179</v>
      </c>
      <c r="O754" s="2" t="n">
        <v>76</v>
      </c>
      <c r="P754" s="2" t="n">
        <v>0</v>
      </c>
      <c r="Q754" s="2" t="n">
        <v>0</v>
      </c>
      <c r="R754" s="2" t="n">
        <v>0</v>
      </c>
      <c r="S754" s="2" t="n">
        <v>0</v>
      </c>
      <c r="T754" s="2" t="n">
        <v>0</v>
      </c>
      <c r="U754" s="2" t="n">
        <v>0</v>
      </c>
      <c r="V754" s="2" t="n">
        <v>0</v>
      </c>
      <c r="W754" s="2" t="n">
        <v>0</v>
      </c>
      <c r="X754" s="2" t="n">
        <v>0</v>
      </c>
      <c r="Y754" s="2" t="n">
        <v>0</v>
      </c>
      <c r="Z754" s="2" t="n">
        <v>0</v>
      </c>
      <c r="AA754" s="2" t="n">
        <v>0</v>
      </c>
      <c r="AB754" s="2" t="n">
        <v>0</v>
      </c>
      <c r="AC754" s="2"/>
    </row>
    <row r="755" customFormat="false" ht="15" hidden="false" customHeight="false" outlineLevel="0" collapsed="false">
      <c r="A755" s="2" t="n">
        <v>110</v>
      </c>
      <c r="B755" s="2" t="s">
        <v>1071</v>
      </c>
      <c r="C755" s="2" t="s">
        <v>1077</v>
      </c>
      <c r="D755" s="2" t="s">
        <v>3849</v>
      </c>
      <c r="E755" s="2" t="s">
        <v>1160</v>
      </c>
      <c r="F755" s="2" t="s">
        <v>1161</v>
      </c>
      <c r="G755" s="2" t="s">
        <v>3850</v>
      </c>
      <c r="H755" s="2" t="s">
        <v>3851</v>
      </c>
      <c r="I755" s="2" t="s">
        <v>1133</v>
      </c>
      <c r="J755" s="2" t="s">
        <v>3852</v>
      </c>
      <c r="K755" s="2" t="n">
        <v>2</v>
      </c>
      <c r="L755" s="2" t="n">
        <v>601</v>
      </c>
      <c r="M755" s="2" t="n">
        <v>546</v>
      </c>
      <c r="N755" s="2" t="n">
        <v>428</v>
      </c>
      <c r="O755" s="2" t="n">
        <v>55</v>
      </c>
      <c r="P755" s="2" t="n">
        <v>0</v>
      </c>
      <c r="Q755" s="2" t="n">
        <v>0</v>
      </c>
      <c r="R755" s="2" t="n">
        <v>0</v>
      </c>
      <c r="S755" s="2" t="n">
        <v>0</v>
      </c>
      <c r="T755" s="2" t="n">
        <v>0</v>
      </c>
      <c r="U755" s="2" t="n">
        <v>0</v>
      </c>
      <c r="V755" s="2" t="n">
        <v>0</v>
      </c>
      <c r="W755" s="2" t="n">
        <v>0</v>
      </c>
      <c r="X755" s="2" t="n">
        <v>0</v>
      </c>
      <c r="Y755" s="2" t="n">
        <v>0</v>
      </c>
      <c r="Z755" s="2" t="n">
        <v>0</v>
      </c>
      <c r="AA755" s="2" t="n">
        <v>0</v>
      </c>
      <c r="AB755" s="2" t="n">
        <v>0</v>
      </c>
      <c r="AC755" s="2"/>
    </row>
    <row r="756" customFormat="false" ht="15" hidden="false" customHeight="false" outlineLevel="0" collapsed="false">
      <c r="A756" s="2" t="n">
        <v>111</v>
      </c>
      <c r="B756" s="2" t="s">
        <v>1081</v>
      </c>
      <c r="C756" s="2" t="s">
        <v>1086</v>
      </c>
      <c r="D756" s="2" t="s">
        <v>3853</v>
      </c>
      <c r="E756" s="2" t="s">
        <v>1154</v>
      </c>
      <c r="F756" s="2" t="s">
        <v>1178</v>
      </c>
      <c r="G756" s="2" t="s">
        <v>3854</v>
      </c>
      <c r="H756" s="2" t="s">
        <v>3855</v>
      </c>
      <c r="I756" s="2" t="s">
        <v>1133</v>
      </c>
      <c r="J756" s="2" t="s">
        <v>3856</v>
      </c>
      <c r="K756" s="2" t="n">
        <v>3</v>
      </c>
      <c r="L756" s="2" t="n">
        <v>777</v>
      </c>
      <c r="M756" s="2" t="n">
        <v>538</v>
      </c>
      <c r="N756" s="2" t="n">
        <v>422</v>
      </c>
      <c r="O756" s="2" t="n">
        <v>120</v>
      </c>
      <c r="P756" s="2" t="n">
        <v>119</v>
      </c>
      <c r="Q756" s="2" t="n">
        <v>0</v>
      </c>
      <c r="R756" s="2" t="n">
        <v>0</v>
      </c>
      <c r="S756" s="2" t="n">
        <v>0</v>
      </c>
      <c r="T756" s="2" t="n">
        <v>0</v>
      </c>
      <c r="U756" s="2" t="n">
        <v>0</v>
      </c>
      <c r="V756" s="2" t="n">
        <v>0</v>
      </c>
      <c r="W756" s="2" t="n">
        <v>0</v>
      </c>
      <c r="X756" s="2" t="n">
        <v>0</v>
      </c>
      <c r="Y756" s="2" t="n">
        <v>0</v>
      </c>
      <c r="Z756" s="2" t="n">
        <v>0</v>
      </c>
      <c r="AA756" s="2" t="n">
        <v>0</v>
      </c>
      <c r="AB756" s="2" t="n">
        <v>0</v>
      </c>
      <c r="AC756" s="2"/>
    </row>
    <row r="757" customFormat="false" ht="15" hidden="false" customHeight="false" outlineLevel="0" collapsed="false">
      <c r="A757" s="2" t="n">
        <v>113</v>
      </c>
      <c r="B757" s="2" t="s">
        <v>1096</v>
      </c>
      <c r="C757" s="2" t="s">
        <v>1101</v>
      </c>
      <c r="D757" s="2" t="s">
        <v>3857</v>
      </c>
      <c r="E757" s="2" t="s">
        <v>1160</v>
      </c>
      <c r="F757" s="2" t="s">
        <v>1161</v>
      </c>
      <c r="G757" s="2" t="s">
        <v>3858</v>
      </c>
      <c r="H757" s="2" t="s">
        <v>3859</v>
      </c>
      <c r="I757" s="2" t="s">
        <v>1133</v>
      </c>
      <c r="J757" s="2" t="s">
        <v>3860</v>
      </c>
      <c r="K757" s="2" t="n">
        <v>5</v>
      </c>
      <c r="L757" s="2" t="n">
        <v>2066</v>
      </c>
      <c r="M757" s="2" t="n">
        <v>667</v>
      </c>
      <c r="N757" s="2" t="n">
        <v>535</v>
      </c>
      <c r="O757" s="2" t="n">
        <v>1399</v>
      </c>
      <c r="P757" s="2" t="n">
        <v>0</v>
      </c>
      <c r="Q757" s="2" t="n">
        <v>0</v>
      </c>
      <c r="R757" s="2" t="n">
        <v>0</v>
      </c>
      <c r="S757" s="2" t="n">
        <v>42</v>
      </c>
      <c r="T757" s="2" t="n">
        <v>42</v>
      </c>
      <c r="U757" s="2" t="n">
        <v>0</v>
      </c>
      <c r="V757" s="2" t="n">
        <v>0</v>
      </c>
      <c r="W757" s="2" t="n">
        <v>0</v>
      </c>
      <c r="X757" s="2" t="n">
        <v>0</v>
      </c>
      <c r="Y757" s="2" t="n">
        <v>20</v>
      </c>
      <c r="Z757" s="2" t="n">
        <v>0</v>
      </c>
      <c r="AA757" s="2" t="n">
        <v>15</v>
      </c>
      <c r="AB757" s="2" t="n">
        <v>7</v>
      </c>
      <c r="AC757" s="2"/>
    </row>
    <row r="758" customFormat="false" ht="15" hidden="false" customHeight="false" outlineLevel="0" collapsed="false">
      <c r="A758" s="2" t="n">
        <v>113</v>
      </c>
      <c r="B758" s="2" t="s">
        <v>1096</v>
      </c>
      <c r="C758" s="2" t="s">
        <v>1101</v>
      </c>
      <c r="D758" s="2" t="s">
        <v>3861</v>
      </c>
      <c r="E758" s="2" t="s">
        <v>1154</v>
      </c>
      <c r="F758" s="2" t="s">
        <v>1155</v>
      </c>
      <c r="G758" s="2" t="s">
        <v>3862</v>
      </c>
      <c r="H758" s="2" t="s">
        <v>3863</v>
      </c>
      <c r="I758" s="2" t="s">
        <v>1133</v>
      </c>
      <c r="J758" s="2" t="s">
        <v>3864</v>
      </c>
      <c r="K758" s="2" t="n">
        <v>5</v>
      </c>
      <c r="L758" s="2" t="n">
        <v>2305</v>
      </c>
      <c r="M758" s="2" t="n">
        <v>726</v>
      </c>
      <c r="N758" s="2" t="n">
        <v>594</v>
      </c>
      <c r="O758" s="2" t="n">
        <v>1579</v>
      </c>
      <c r="P758" s="2" t="n">
        <v>0</v>
      </c>
      <c r="Q758" s="2" t="n">
        <v>0</v>
      </c>
      <c r="R758" s="2" t="n">
        <v>0</v>
      </c>
      <c r="S758" s="2" t="n">
        <v>55</v>
      </c>
      <c r="T758" s="2" t="n">
        <v>50</v>
      </c>
      <c r="U758" s="2" t="n">
        <v>0</v>
      </c>
      <c r="V758" s="2" t="n">
        <v>0</v>
      </c>
      <c r="W758" s="2" t="n">
        <v>0</v>
      </c>
      <c r="X758" s="2" t="n">
        <v>5</v>
      </c>
      <c r="Y758" s="2" t="n">
        <v>52</v>
      </c>
      <c r="Z758" s="2" t="n">
        <v>0</v>
      </c>
      <c r="AA758" s="2" t="n">
        <v>0</v>
      </c>
      <c r="AB758" s="2" t="n">
        <v>3</v>
      </c>
      <c r="AC758" s="2"/>
    </row>
    <row r="759" customFormat="false" ht="15" hidden="false" customHeight="false" outlineLevel="0" collapsed="false">
      <c r="A759" s="2" t="n">
        <v>113</v>
      </c>
      <c r="B759" s="2" t="s">
        <v>1096</v>
      </c>
      <c r="C759" s="2" t="s">
        <v>1101</v>
      </c>
      <c r="D759" s="2" t="s">
        <v>3865</v>
      </c>
      <c r="E759" s="2" t="s">
        <v>1154</v>
      </c>
      <c r="F759" s="2" t="s">
        <v>1178</v>
      </c>
      <c r="G759" s="2" t="s">
        <v>3866</v>
      </c>
      <c r="H759" s="2" t="s">
        <v>3867</v>
      </c>
      <c r="I759" s="2" t="s">
        <v>1133</v>
      </c>
      <c r="J759" s="2" t="s">
        <v>3868</v>
      </c>
      <c r="K759" s="2" t="n">
        <v>2</v>
      </c>
      <c r="L759" s="2" t="n">
        <v>828</v>
      </c>
      <c r="M759" s="2" t="n">
        <v>630</v>
      </c>
      <c r="N759" s="2" t="n">
        <v>469</v>
      </c>
      <c r="O759" s="2" t="n">
        <v>198</v>
      </c>
      <c r="P759" s="2" t="n">
        <v>0</v>
      </c>
      <c r="Q759" s="2" t="n">
        <v>0</v>
      </c>
      <c r="R759" s="2" t="n">
        <v>0</v>
      </c>
      <c r="S759" s="2" t="n">
        <v>3</v>
      </c>
      <c r="T759" s="2" t="n">
        <v>3</v>
      </c>
      <c r="U759" s="2" t="n">
        <v>0</v>
      </c>
      <c r="V759" s="2" t="n">
        <v>0</v>
      </c>
      <c r="W759" s="2" t="n">
        <v>0</v>
      </c>
      <c r="X759" s="2" t="n">
        <v>0</v>
      </c>
      <c r="Y759" s="2" t="n">
        <v>1</v>
      </c>
      <c r="Z759" s="2" t="n">
        <v>0</v>
      </c>
      <c r="AA759" s="2" t="n">
        <v>1</v>
      </c>
      <c r="AB759" s="2" t="n">
        <v>1</v>
      </c>
      <c r="AC759" s="2"/>
    </row>
    <row r="760" customFormat="false" ht="15" hidden="false" customHeight="false" outlineLevel="0" collapsed="false">
      <c r="A760" s="2" t="n">
        <v>113</v>
      </c>
      <c r="B760" s="2" t="s">
        <v>1096</v>
      </c>
      <c r="C760" s="2" t="s">
        <v>1101</v>
      </c>
      <c r="D760" s="2" t="s">
        <v>3869</v>
      </c>
      <c r="E760" s="2" t="s">
        <v>1154</v>
      </c>
      <c r="F760" s="2" t="s">
        <v>1155</v>
      </c>
      <c r="G760" s="2" t="s">
        <v>3870</v>
      </c>
      <c r="H760" s="2" t="s">
        <v>3871</v>
      </c>
      <c r="I760" s="2" t="s">
        <v>1133</v>
      </c>
      <c r="J760" s="2" t="s">
        <v>3872</v>
      </c>
      <c r="K760" s="2" t="n">
        <v>184</v>
      </c>
      <c r="L760" s="2" t="n">
        <v>13906</v>
      </c>
      <c r="M760" s="2" t="n">
        <v>480</v>
      </c>
      <c r="N760" s="2" t="n">
        <v>354</v>
      </c>
      <c r="O760" s="2" t="n">
        <v>110</v>
      </c>
      <c r="P760" s="2" t="n">
        <v>13316</v>
      </c>
      <c r="Q760" s="2" t="n">
        <v>0</v>
      </c>
      <c r="R760" s="2" t="n">
        <v>0</v>
      </c>
      <c r="S760" s="2" t="n">
        <v>3</v>
      </c>
      <c r="T760" s="2" t="n">
        <v>0</v>
      </c>
      <c r="U760" s="2" t="n">
        <v>2</v>
      </c>
      <c r="V760" s="2" t="n">
        <v>1</v>
      </c>
      <c r="W760" s="2" t="n">
        <v>0</v>
      </c>
      <c r="X760" s="2" t="n">
        <v>0</v>
      </c>
      <c r="Y760" s="2" t="n">
        <v>0</v>
      </c>
      <c r="Z760" s="2" t="n">
        <v>0</v>
      </c>
      <c r="AA760" s="2" t="n">
        <v>0</v>
      </c>
      <c r="AB760" s="2" t="n">
        <v>3</v>
      </c>
      <c r="AC760" s="2"/>
    </row>
    <row r="761" customFormat="false" ht="15" hidden="false" customHeight="false" outlineLevel="0" collapsed="false">
      <c r="A761" s="2" t="n">
        <v>114</v>
      </c>
      <c r="B761" s="2" t="s">
        <v>1105</v>
      </c>
      <c r="C761" s="2" t="s">
        <v>1107</v>
      </c>
      <c r="D761" s="2" t="s">
        <v>3873</v>
      </c>
      <c r="E761" s="2" t="s">
        <v>1160</v>
      </c>
      <c r="F761" s="2" t="s">
        <v>1161</v>
      </c>
      <c r="G761" s="2" t="s">
        <v>3874</v>
      </c>
      <c r="H761" s="2" t="s">
        <v>3875</v>
      </c>
      <c r="I761" s="2" t="s">
        <v>1133</v>
      </c>
      <c r="J761" s="2" t="s">
        <v>3876</v>
      </c>
      <c r="K761" s="2" t="n">
        <v>7</v>
      </c>
      <c r="L761" s="2" t="n">
        <v>2685</v>
      </c>
      <c r="M761" s="2" t="n">
        <v>955</v>
      </c>
      <c r="N761" s="2" t="n">
        <v>803</v>
      </c>
      <c r="O761" s="2" t="n">
        <v>1596</v>
      </c>
      <c r="P761" s="2" t="n">
        <v>134</v>
      </c>
      <c r="Q761" s="2" t="n">
        <v>0</v>
      </c>
      <c r="R761" s="2" t="n">
        <v>0</v>
      </c>
      <c r="S761" s="2" t="n">
        <v>49</v>
      </c>
      <c r="T761" s="2" t="n">
        <v>46</v>
      </c>
      <c r="U761" s="2" t="n">
        <v>2</v>
      </c>
      <c r="V761" s="2" t="n">
        <v>0</v>
      </c>
      <c r="W761" s="2" t="n">
        <v>0</v>
      </c>
      <c r="X761" s="2" t="n">
        <v>1</v>
      </c>
      <c r="Y761" s="2" t="n">
        <v>4</v>
      </c>
      <c r="Z761" s="2" t="n">
        <v>4</v>
      </c>
      <c r="AA761" s="2" t="n">
        <v>9</v>
      </c>
      <c r="AB761" s="2" t="n">
        <v>32</v>
      </c>
      <c r="AC761" s="2"/>
    </row>
    <row r="762" customFormat="false" ht="15" hidden="false" customHeight="false" outlineLevel="0" collapsed="false">
      <c r="A762" s="2" t="n">
        <v>114</v>
      </c>
      <c r="B762" s="2" t="s">
        <v>1105</v>
      </c>
      <c r="C762" s="2" t="s">
        <v>1107</v>
      </c>
      <c r="D762" s="2" t="s">
        <v>3877</v>
      </c>
      <c r="E762" s="2" t="s">
        <v>1154</v>
      </c>
      <c r="F762" s="2" t="s">
        <v>1155</v>
      </c>
      <c r="G762" s="2" t="s">
        <v>3878</v>
      </c>
      <c r="H762" s="2" t="s">
        <v>3879</v>
      </c>
      <c r="I762" s="2" t="s">
        <v>1133</v>
      </c>
      <c r="J762" s="2" t="s">
        <v>3880</v>
      </c>
      <c r="K762" s="2" t="n">
        <v>9</v>
      </c>
      <c r="L762" s="2" t="n">
        <v>3946</v>
      </c>
      <c r="M762" s="2" t="n">
        <v>1065</v>
      </c>
      <c r="N762" s="2" t="n">
        <v>897</v>
      </c>
      <c r="O762" s="2" t="n">
        <v>1624</v>
      </c>
      <c r="P762" s="2" t="n">
        <v>1257</v>
      </c>
      <c r="Q762" s="2" t="n">
        <v>0</v>
      </c>
      <c r="R762" s="2" t="n">
        <v>0</v>
      </c>
      <c r="S762" s="2" t="n">
        <v>53</v>
      </c>
      <c r="T762" s="2" t="n">
        <v>48</v>
      </c>
      <c r="U762" s="2" t="n">
        <v>2</v>
      </c>
      <c r="V762" s="2" t="n">
        <v>0</v>
      </c>
      <c r="W762" s="2" t="n">
        <v>3</v>
      </c>
      <c r="X762" s="2" t="n">
        <v>0</v>
      </c>
      <c r="Y762" s="2" t="n">
        <v>0</v>
      </c>
      <c r="Z762" s="2" t="n">
        <v>0</v>
      </c>
      <c r="AA762" s="2" t="n">
        <v>14</v>
      </c>
      <c r="AB762" s="2" t="n">
        <v>39</v>
      </c>
      <c r="AC762" s="2"/>
    </row>
    <row r="763" customFormat="false" ht="15" hidden="false" customHeight="false" outlineLevel="0" collapsed="false">
      <c r="A763" s="2" t="n">
        <v>114</v>
      </c>
      <c r="B763" s="2" t="s">
        <v>1105</v>
      </c>
      <c r="C763" s="2" t="s">
        <v>1107</v>
      </c>
      <c r="D763" s="2" t="s">
        <v>3881</v>
      </c>
      <c r="E763" s="2" t="s">
        <v>1160</v>
      </c>
      <c r="F763" s="2" t="s">
        <v>1161</v>
      </c>
      <c r="G763" s="2" t="s">
        <v>3882</v>
      </c>
      <c r="H763" s="2" t="s">
        <v>3883</v>
      </c>
      <c r="I763" s="2" t="s">
        <v>1133</v>
      </c>
      <c r="J763" s="2" t="s">
        <v>3884</v>
      </c>
      <c r="K763" s="2" t="n">
        <v>7</v>
      </c>
      <c r="L763" s="2" t="n">
        <v>2927</v>
      </c>
      <c r="M763" s="2" t="n">
        <v>980</v>
      </c>
      <c r="N763" s="2" t="n">
        <v>830</v>
      </c>
      <c r="O763" s="2" t="n">
        <v>1947</v>
      </c>
      <c r="P763" s="2" t="n">
        <v>0</v>
      </c>
      <c r="Q763" s="2" t="n">
        <v>0</v>
      </c>
      <c r="R763" s="2" t="n">
        <v>0</v>
      </c>
      <c r="S763" s="2" t="n">
        <v>43</v>
      </c>
      <c r="T763" s="2" t="n">
        <v>41</v>
      </c>
      <c r="U763" s="2" t="n">
        <v>1</v>
      </c>
      <c r="V763" s="2" t="n">
        <v>0</v>
      </c>
      <c r="W763" s="2" t="n">
        <v>1</v>
      </c>
      <c r="X763" s="2" t="n">
        <v>0</v>
      </c>
      <c r="Y763" s="2" t="n">
        <v>3</v>
      </c>
      <c r="Z763" s="2" t="n">
        <v>1</v>
      </c>
      <c r="AA763" s="2" t="n">
        <v>5</v>
      </c>
      <c r="AB763" s="2" t="n">
        <v>34</v>
      </c>
      <c r="AC763" s="2"/>
    </row>
    <row r="764" customFormat="false" ht="15" hidden="false" customHeight="false" outlineLevel="0" collapsed="false">
      <c r="A764" s="2" t="n">
        <v>114</v>
      </c>
      <c r="B764" s="2" t="s">
        <v>1105</v>
      </c>
      <c r="C764" s="2" t="s">
        <v>1107</v>
      </c>
      <c r="D764" s="2" t="s">
        <v>3885</v>
      </c>
      <c r="E764" s="2" t="s">
        <v>1160</v>
      </c>
      <c r="F764" s="2" t="s">
        <v>1161</v>
      </c>
      <c r="G764" s="2" t="s">
        <v>3466</v>
      </c>
      <c r="H764" s="2" t="s">
        <v>3886</v>
      </c>
      <c r="I764" s="2" t="s">
        <v>1133</v>
      </c>
      <c r="J764" s="2" t="s">
        <v>3887</v>
      </c>
      <c r="K764" s="2" t="n">
        <v>12</v>
      </c>
      <c r="L764" s="2" t="n">
        <v>3572</v>
      </c>
      <c r="M764" s="2" t="n">
        <v>950</v>
      </c>
      <c r="N764" s="2" t="n">
        <v>793</v>
      </c>
      <c r="O764" s="2" t="n">
        <v>738</v>
      </c>
      <c r="P764" s="2" t="n">
        <v>1884</v>
      </c>
      <c r="Q764" s="2" t="n">
        <v>0</v>
      </c>
      <c r="R764" s="2" t="n">
        <v>0</v>
      </c>
      <c r="S764" s="2" t="n">
        <v>16</v>
      </c>
      <c r="T764" s="2" t="n">
        <v>13</v>
      </c>
      <c r="U764" s="2" t="n">
        <v>0</v>
      </c>
      <c r="V764" s="2" t="n">
        <v>0</v>
      </c>
      <c r="W764" s="2" t="n">
        <v>3</v>
      </c>
      <c r="X764" s="2" t="n">
        <v>0</v>
      </c>
      <c r="Y764" s="2" t="n">
        <v>5</v>
      </c>
      <c r="Z764" s="2" t="n">
        <v>0</v>
      </c>
      <c r="AA764" s="2" t="n">
        <v>2</v>
      </c>
      <c r="AB764" s="2" t="n">
        <v>9</v>
      </c>
      <c r="AC764" s="2"/>
    </row>
    <row r="765" customFormat="false" ht="15" hidden="false" customHeight="false" outlineLevel="0" collapsed="false">
      <c r="A765" s="2" t="n">
        <v>114</v>
      </c>
      <c r="B765" s="2" t="s">
        <v>1105</v>
      </c>
      <c r="C765" s="2" t="s">
        <v>1107</v>
      </c>
      <c r="D765" s="2" t="s">
        <v>3888</v>
      </c>
      <c r="E765" s="2" t="s">
        <v>1154</v>
      </c>
      <c r="F765" s="2" t="s">
        <v>1178</v>
      </c>
      <c r="G765" s="2" t="s">
        <v>3889</v>
      </c>
      <c r="H765" s="2" t="s">
        <v>3890</v>
      </c>
      <c r="I765" s="2" t="s">
        <v>1133</v>
      </c>
      <c r="J765" s="2" t="s">
        <v>3891</v>
      </c>
      <c r="K765" s="2" t="n">
        <v>8</v>
      </c>
      <c r="L765" s="2" t="n">
        <v>2026</v>
      </c>
      <c r="M765" s="2" t="n">
        <v>767</v>
      </c>
      <c r="N765" s="2" t="n">
        <v>620</v>
      </c>
      <c r="O765" s="2" t="n">
        <v>394</v>
      </c>
      <c r="P765" s="2" t="n">
        <v>865</v>
      </c>
      <c r="Q765" s="2" t="n">
        <v>0</v>
      </c>
      <c r="R765" s="2" t="n">
        <v>0</v>
      </c>
      <c r="S765" s="2" t="n">
        <v>7</v>
      </c>
      <c r="T765" s="2" t="n">
        <v>6</v>
      </c>
      <c r="U765" s="2" t="n">
        <v>1</v>
      </c>
      <c r="V765" s="2" t="n">
        <v>0</v>
      </c>
      <c r="W765" s="2" t="n">
        <v>0</v>
      </c>
      <c r="X765" s="2" t="n">
        <v>0</v>
      </c>
      <c r="Y765" s="2" t="n">
        <v>0</v>
      </c>
      <c r="Z765" s="2" t="n">
        <v>1</v>
      </c>
      <c r="AA765" s="2" t="n">
        <v>0</v>
      </c>
      <c r="AB765" s="2" t="n">
        <v>6</v>
      </c>
      <c r="AC765" s="2"/>
    </row>
    <row r="766" customFormat="false" ht="15" hidden="false" customHeight="false" outlineLevel="0" collapsed="false">
      <c r="A766" s="2" t="n">
        <v>114</v>
      </c>
      <c r="B766" s="2" t="s">
        <v>1105</v>
      </c>
      <c r="C766" s="2" t="s">
        <v>1107</v>
      </c>
      <c r="D766" s="2" t="s">
        <v>3892</v>
      </c>
      <c r="E766" s="2" t="s">
        <v>1154</v>
      </c>
      <c r="F766" s="2" t="s">
        <v>1155</v>
      </c>
      <c r="G766" s="2" t="s">
        <v>3893</v>
      </c>
      <c r="H766" s="2" t="s">
        <v>3894</v>
      </c>
      <c r="I766" s="2" t="s">
        <v>1133</v>
      </c>
      <c r="J766" s="2" t="s">
        <v>3895</v>
      </c>
      <c r="K766" s="2" t="n">
        <v>24</v>
      </c>
      <c r="L766" s="2" t="n">
        <v>7066</v>
      </c>
      <c r="M766" s="2" t="n">
        <v>994</v>
      </c>
      <c r="N766" s="2" t="n">
        <v>836</v>
      </c>
      <c r="O766" s="2" t="n">
        <v>65</v>
      </c>
      <c r="P766" s="2" t="n">
        <v>6007</v>
      </c>
      <c r="Q766" s="2" t="n">
        <v>0</v>
      </c>
      <c r="R766" s="2" t="n">
        <v>0</v>
      </c>
      <c r="S766" s="2" t="n">
        <v>2</v>
      </c>
      <c r="T766" s="2" t="n">
        <v>1</v>
      </c>
      <c r="U766" s="2" t="n">
        <v>0</v>
      </c>
      <c r="V766" s="2" t="n">
        <v>0</v>
      </c>
      <c r="W766" s="2" t="n">
        <v>1</v>
      </c>
      <c r="X766" s="2" t="n">
        <v>0</v>
      </c>
      <c r="Y766" s="2" t="n">
        <v>0</v>
      </c>
      <c r="Z766" s="2" t="n">
        <v>0</v>
      </c>
      <c r="AA766" s="2" t="n">
        <v>2</v>
      </c>
      <c r="AB766" s="2" t="n">
        <v>0</v>
      </c>
      <c r="AC766" s="2"/>
    </row>
    <row r="767" customFormat="false" ht="15" hidden="false" customHeight="false" outlineLevel="0" collapsed="false">
      <c r="A767" s="2" t="n">
        <v>114</v>
      </c>
      <c r="B767" s="2" t="s">
        <v>1105</v>
      </c>
      <c r="C767" s="2" t="s">
        <v>1107</v>
      </c>
      <c r="D767" s="2" t="s">
        <v>3896</v>
      </c>
      <c r="E767" s="2" t="s">
        <v>1154</v>
      </c>
      <c r="F767" s="2" t="s">
        <v>1178</v>
      </c>
      <c r="G767" s="2" t="s">
        <v>3897</v>
      </c>
      <c r="H767" s="2" t="s">
        <v>3898</v>
      </c>
      <c r="I767" s="2" t="s">
        <v>1133</v>
      </c>
      <c r="J767" s="2" t="s">
        <v>3899</v>
      </c>
      <c r="K767" s="2" t="n">
        <v>3</v>
      </c>
      <c r="L767" s="2" t="n">
        <v>1151</v>
      </c>
      <c r="M767" s="2" t="n">
        <v>1103</v>
      </c>
      <c r="N767" s="2" t="n">
        <v>887</v>
      </c>
      <c r="O767" s="2" t="n">
        <v>48</v>
      </c>
      <c r="P767" s="2" t="n">
        <v>0</v>
      </c>
      <c r="Q767" s="2" t="n">
        <v>0</v>
      </c>
      <c r="R767" s="2" t="n">
        <v>0</v>
      </c>
      <c r="S767" s="2" t="n">
        <v>1</v>
      </c>
      <c r="T767" s="2" t="n">
        <v>1</v>
      </c>
      <c r="U767" s="2" t="n">
        <v>0</v>
      </c>
      <c r="V767" s="2" t="n">
        <v>0</v>
      </c>
      <c r="W767" s="2" t="n">
        <v>0</v>
      </c>
      <c r="X767" s="2" t="n">
        <v>0</v>
      </c>
      <c r="Y767" s="2" t="n">
        <v>0</v>
      </c>
      <c r="Z767" s="2" t="n">
        <v>0</v>
      </c>
      <c r="AA767" s="2" t="n">
        <v>0</v>
      </c>
      <c r="AB767" s="2" t="n">
        <v>1</v>
      </c>
      <c r="AC767" s="2"/>
    </row>
    <row r="768" customFormat="false" ht="15" hidden="false" customHeight="false" outlineLevel="0" collapsed="false">
      <c r="A768" s="2" t="n">
        <v>114</v>
      </c>
      <c r="B768" s="2" t="s">
        <v>1105</v>
      </c>
      <c r="C768" s="2" t="s">
        <v>1107</v>
      </c>
      <c r="D768" s="2" t="s">
        <v>3900</v>
      </c>
      <c r="E768" s="2" t="s">
        <v>1160</v>
      </c>
      <c r="F768" s="2" t="s">
        <v>1161</v>
      </c>
      <c r="G768" s="2" t="s">
        <v>3901</v>
      </c>
      <c r="H768" s="2" t="s">
        <v>3902</v>
      </c>
      <c r="I768" s="2" t="s">
        <v>1133</v>
      </c>
      <c r="J768" s="2" t="s">
        <v>3903</v>
      </c>
      <c r="K768" s="2" t="n">
        <v>9</v>
      </c>
      <c r="L768" s="2" t="n">
        <v>2233</v>
      </c>
      <c r="M768" s="2" t="n">
        <v>950</v>
      </c>
      <c r="N768" s="2" t="n">
        <v>786</v>
      </c>
      <c r="O768" s="2" t="n">
        <v>319</v>
      </c>
      <c r="P768" s="2" t="n">
        <v>964</v>
      </c>
      <c r="Q768" s="2" t="n">
        <v>0</v>
      </c>
      <c r="R768" s="2" t="n">
        <v>0</v>
      </c>
      <c r="S768" s="2" t="n">
        <v>0</v>
      </c>
      <c r="T768" s="2" t="n">
        <v>0</v>
      </c>
      <c r="U768" s="2" t="n">
        <v>0</v>
      </c>
      <c r="V768" s="2" t="n">
        <v>0</v>
      </c>
      <c r="W768" s="2" t="n">
        <v>0</v>
      </c>
      <c r="X768" s="2" t="n">
        <v>0</v>
      </c>
      <c r="Y768" s="2" t="n">
        <v>0</v>
      </c>
      <c r="Z768" s="2" t="n">
        <v>0</v>
      </c>
      <c r="AA768" s="2" t="n">
        <v>0</v>
      </c>
      <c r="AB768" s="2" t="n">
        <v>0</v>
      </c>
      <c r="AC768" s="2"/>
    </row>
    <row r="769" customFormat="false" ht="15" hidden="false" customHeight="false" outlineLevel="0" collapsed="false">
      <c r="A769" s="2" t="n">
        <v>114</v>
      </c>
      <c r="B769" s="2" t="s">
        <v>1105</v>
      </c>
      <c r="C769" s="2" t="s">
        <v>1107</v>
      </c>
      <c r="D769" s="2" t="s">
        <v>3904</v>
      </c>
      <c r="E769" s="2" t="s">
        <v>1160</v>
      </c>
      <c r="F769" s="2" t="s">
        <v>1161</v>
      </c>
      <c r="G769" s="2" t="s">
        <v>3066</v>
      </c>
      <c r="H769" s="2" t="s">
        <v>3905</v>
      </c>
      <c r="I769" s="2" t="s">
        <v>1133</v>
      </c>
      <c r="J769" s="2" t="s">
        <v>3906</v>
      </c>
      <c r="K769" s="2" t="n">
        <v>5</v>
      </c>
      <c r="L769" s="2" t="n">
        <v>1933</v>
      </c>
      <c r="M769" s="2" t="n">
        <v>820</v>
      </c>
      <c r="N769" s="2" t="n">
        <v>663</v>
      </c>
      <c r="O769" s="2" t="n">
        <v>1113</v>
      </c>
      <c r="P769" s="2" t="n">
        <v>0</v>
      </c>
      <c r="Q769" s="2" t="n">
        <v>0</v>
      </c>
      <c r="R769" s="2" t="n">
        <v>0</v>
      </c>
      <c r="S769" s="2" t="n">
        <v>2</v>
      </c>
      <c r="T769" s="2" t="n">
        <v>2</v>
      </c>
      <c r="U769" s="2" t="n">
        <v>0</v>
      </c>
      <c r="V769" s="2" t="n">
        <v>0</v>
      </c>
      <c r="W769" s="2" t="n">
        <v>0</v>
      </c>
      <c r="X769" s="2" t="n">
        <v>0</v>
      </c>
      <c r="Y769" s="2" t="n">
        <v>0</v>
      </c>
      <c r="Z769" s="2" t="n">
        <v>0</v>
      </c>
      <c r="AA769" s="2" t="n">
        <v>0</v>
      </c>
      <c r="AB769" s="2" t="n">
        <v>2</v>
      </c>
      <c r="AC769" s="2"/>
    </row>
    <row r="770" customFormat="false" ht="15" hidden="false" customHeight="false" outlineLevel="0" collapsed="false">
      <c r="A770" s="2" t="n">
        <v>114</v>
      </c>
      <c r="B770" s="2" t="s">
        <v>1105</v>
      </c>
      <c r="C770" s="2" t="s">
        <v>1107</v>
      </c>
      <c r="D770" s="2" t="s">
        <v>3907</v>
      </c>
      <c r="E770" s="2" t="s">
        <v>1154</v>
      </c>
      <c r="F770" s="2" t="s">
        <v>1178</v>
      </c>
      <c r="G770" s="2" t="s">
        <v>3908</v>
      </c>
      <c r="H770" s="2" t="s">
        <v>3909</v>
      </c>
      <c r="I770" s="2" t="s">
        <v>1133</v>
      </c>
      <c r="J770" s="2" t="s">
        <v>3910</v>
      </c>
      <c r="K770" s="2" t="n">
        <v>3</v>
      </c>
      <c r="L770" s="2" t="n">
        <v>1031</v>
      </c>
      <c r="M770" s="2" t="n">
        <v>991</v>
      </c>
      <c r="N770" s="2" t="n">
        <v>775</v>
      </c>
      <c r="O770" s="2" t="n">
        <v>40</v>
      </c>
      <c r="P770" s="2" t="n">
        <v>0</v>
      </c>
      <c r="Q770" s="2" t="n">
        <v>0</v>
      </c>
      <c r="R770" s="2" t="n">
        <v>0</v>
      </c>
      <c r="S770" s="2" t="n">
        <v>1</v>
      </c>
      <c r="T770" s="2" t="n">
        <v>1</v>
      </c>
      <c r="U770" s="2" t="n">
        <v>0</v>
      </c>
      <c r="V770" s="2" t="n">
        <v>0</v>
      </c>
      <c r="W770" s="2" t="n">
        <v>0</v>
      </c>
      <c r="X770" s="2" t="n">
        <v>0</v>
      </c>
      <c r="Y770" s="2" t="n">
        <v>0</v>
      </c>
      <c r="Z770" s="2" t="n">
        <v>0</v>
      </c>
      <c r="AA770" s="2" t="n">
        <v>0</v>
      </c>
      <c r="AB770" s="2" t="n">
        <v>1</v>
      </c>
      <c r="AC770" s="2"/>
    </row>
    <row r="771" customFormat="false" ht="15" hidden="false" customHeight="false" outlineLevel="0" collapsed="false">
      <c r="A771" s="2" t="n">
        <v>114</v>
      </c>
      <c r="B771" s="2" t="s">
        <v>1105</v>
      </c>
      <c r="C771" s="2" t="s">
        <v>1107</v>
      </c>
      <c r="D771" s="2" t="s">
        <v>3911</v>
      </c>
      <c r="E771" s="2" t="s">
        <v>1154</v>
      </c>
      <c r="F771" s="2" t="s">
        <v>1178</v>
      </c>
      <c r="G771" s="2" t="s">
        <v>3908</v>
      </c>
      <c r="H771" s="2" t="s">
        <v>3912</v>
      </c>
      <c r="I771" s="2" t="s">
        <v>1133</v>
      </c>
      <c r="J771" s="2" t="s">
        <v>3913</v>
      </c>
      <c r="K771" s="2" t="n">
        <v>3</v>
      </c>
      <c r="L771" s="2" t="n">
        <v>1058</v>
      </c>
      <c r="M771" s="2" t="n">
        <v>1018</v>
      </c>
      <c r="N771" s="2" t="n">
        <v>802</v>
      </c>
      <c r="O771" s="2" t="n">
        <v>40</v>
      </c>
      <c r="P771" s="2" t="n">
        <v>0</v>
      </c>
      <c r="Q771" s="2" t="n">
        <v>0</v>
      </c>
      <c r="R771" s="2" t="n">
        <v>0</v>
      </c>
      <c r="S771" s="2" t="n">
        <v>1</v>
      </c>
      <c r="T771" s="2" t="n">
        <v>1</v>
      </c>
      <c r="U771" s="2" t="n">
        <v>0</v>
      </c>
      <c r="V771" s="2" t="n">
        <v>0</v>
      </c>
      <c r="W771" s="2" t="n">
        <v>0</v>
      </c>
      <c r="X771" s="2" t="n">
        <v>0</v>
      </c>
      <c r="Y771" s="2" t="n">
        <v>1</v>
      </c>
      <c r="Z771" s="2" t="n">
        <v>0</v>
      </c>
      <c r="AA771" s="2" t="n">
        <v>0</v>
      </c>
      <c r="AB771" s="2" t="n">
        <v>0</v>
      </c>
      <c r="AC771" s="2"/>
    </row>
  </sheetData>
  <autoFilter ref="A1:AC7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3"/>
    <col collapsed="false" customWidth="true" hidden="false" outlineLevel="0" max="4" min="4" style="0" width="18"/>
    <col collapsed="false" customWidth="true" hidden="false" outlineLevel="0" max="5" min="5" style="0" width="12"/>
    <col collapsed="false" customWidth="true" hidden="false" outlineLevel="0" max="6" min="6" style="0" width="11"/>
    <col collapsed="false" customWidth="true" hidden="false" outlineLevel="0" max="7" min="7" style="0" width="80"/>
    <col collapsed="false" customWidth="true" hidden="false" outlineLevel="0" max="8" min="8" style="0" width="40"/>
  </cols>
  <sheetData>
    <row r="1" customFormat="false" ht="45" hidden="false" customHeight="true" outlineLevel="0" collapsed="false">
      <c r="A1" s="1" t="s">
        <v>1119</v>
      </c>
      <c r="B1" s="1" t="s">
        <v>1120</v>
      </c>
      <c r="C1" s="1" t="s">
        <v>1121</v>
      </c>
      <c r="D1" s="1" t="s">
        <v>1122</v>
      </c>
      <c r="E1" s="1" t="s">
        <v>1123</v>
      </c>
      <c r="F1" s="1" t="s">
        <v>1125</v>
      </c>
      <c r="G1" s="1" t="s">
        <v>1126</v>
      </c>
      <c r="H1" s="1" t="s">
        <v>14</v>
      </c>
    </row>
    <row r="2" customFormat="false" ht="15" hidden="false" customHeight="false" outlineLevel="0" collapsed="false">
      <c r="A2" s="2" t="n">
        <v>1</v>
      </c>
      <c r="B2" s="2" t="s">
        <v>62</v>
      </c>
      <c r="C2" s="2" t="s">
        <v>71</v>
      </c>
      <c r="D2" s="2" t="s">
        <v>3914</v>
      </c>
      <c r="E2" s="2" t="s">
        <v>3915</v>
      </c>
      <c r="F2" s="2" t="s">
        <v>75</v>
      </c>
      <c r="G2" s="2" t="s">
        <v>3916</v>
      </c>
      <c r="H2" s="2" t="s">
        <v>3917</v>
      </c>
    </row>
    <row r="3" customFormat="false" ht="15" hidden="false" customHeight="false" outlineLevel="0" collapsed="false">
      <c r="A3" s="2" t="n">
        <v>1</v>
      </c>
      <c r="B3" s="2" t="s">
        <v>62</v>
      </c>
      <c r="C3" s="2" t="s">
        <v>71</v>
      </c>
      <c r="D3" s="2" t="s">
        <v>3918</v>
      </c>
      <c r="E3" s="2" t="s">
        <v>3919</v>
      </c>
      <c r="F3" s="2" t="s">
        <v>3920</v>
      </c>
      <c r="G3" s="2"/>
      <c r="H3" s="2" t="s">
        <v>3921</v>
      </c>
    </row>
    <row r="4" customFormat="false" ht="15" hidden="false" customHeight="false" outlineLevel="0" collapsed="false">
      <c r="A4" s="2" t="n">
        <v>1</v>
      </c>
      <c r="B4" s="2" t="s">
        <v>62</v>
      </c>
      <c r="C4" s="2" t="s">
        <v>71</v>
      </c>
      <c r="D4" s="2" t="s">
        <v>3922</v>
      </c>
      <c r="E4" s="2" t="s">
        <v>3919</v>
      </c>
      <c r="F4" s="2" t="s">
        <v>3923</v>
      </c>
      <c r="G4" s="2" t="s">
        <v>3924</v>
      </c>
      <c r="H4" s="2" t="s">
        <v>3925</v>
      </c>
    </row>
    <row r="5" customFormat="false" ht="15" hidden="false" customHeight="false" outlineLevel="0" collapsed="false">
      <c r="A5" s="2" t="n">
        <v>2</v>
      </c>
      <c r="B5" s="2" t="s">
        <v>78</v>
      </c>
      <c r="C5" s="2" t="s">
        <v>86</v>
      </c>
      <c r="D5" s="2" t="s">
        <v>270</v>
      </c>
      <c r="E5" s="2" t="s">
        <v>3915</v>
      </c>
      <c r="F5" s="2" t="s">
        <v>89</v>
      </c>
      <c r="G5" s="2" t="s">
        <v>3926</v>
      </c>
      <c r="H5" s="2" t="s">
        <v>271</v>
      </c>
    </row>
    <row r="6" customFormat="false" ht="15" hidden="false" customHeight="false" outlineLevel="0" collapsed="false">
      <c r="A6" s="2" t="n">
        <v>2</v>
      </c>
      <c r="B6" s="2" t="s">
        <v>78</v>
      </c>
      <c r="C6" s="2" t="s">
        <v>86</v>
      </c>
      <c r="D6" s="2" t="s">
        <v>3927</v>
      </c>
      <c r="E6" s="2" t="s">
        <v>3915</v>
      </c>
      <c r="F6" s="2" t="s">
        <v>90</v>
      </c>
      <c r="G6" s="2" t="s">
        <v>3928</v>
      </c>
      <c r="H6" s="2" t="s">
        <v>3929</v>
      </c>
    </row>
    <row r="7" customFormat="false" ht="15" hidden="false" customHeight="false" outlineLevel="0" collapsed="false">
      <c r="A7" s="2" t="n">
        <v>2</v>
      </c>
      <c r="B7" s="2" t="s">
        <v>78</v>
      </c>
      <c r="C7" s="2" t="s">
        <v>86</v>
      </c>
      <c r="D7" s="2" t="s">
        <v>3930</v>
      </c>
      <c r="E7" s="2" t="s">
        <v>3919</v>
      </c>
      <c r="F7" s="2" t="s">
        <v>3931</v>
      </c>
      <c r="G7" s="2"/>
      <c r="H7" s="2" t="s">
        <v>3932</v>
      </c>
    </row>
    <row r="8" customFormat="false" ht="15" hidden="false" customHeight="false" outlineLevel="0" collapsed="false">
      <c r="A8" s="2" t="n">
        <v>2</v>
      </c>
      <c r="B8" s="2" t="s">
        <v>78</v>
      </c>
      <c r="C8" s="2" t="s">
        <v>86</v>
      </c>
      <c r="D8" s="2" t="s">
        <v>3933</v>
      </c>
      <c r="E8" s="2" t="s">
        <v>3919</v>
      </c>
      <c r="F8" s="2" t="s">
        <v>3934</v>
      </c>
      <c r="G8" s="2"/>
      <c r="H8" s="2" t="s">
        <v>3935</v>
      </c>
    </row>
    <row r="9" customFormat="false" ht="15" hidden="false" customHeight="false" outlineLevel="0" collapsed="false">
      <c r="A9" s="2" t="n">
        <v>2</v>
      </c>
      <c r="B9" s="2" t="s">
        <v>78</v>
      </c>
      <c r="C9" s="2" t="s">
        <v>86</v>
      </c>
      <c r="D9" s="2" t="s">
        <v>3936</v>
      </c>
      <c r="E9" s="2" t="s">
        <v>3919</v>
      </c>
      <c r="F9" s="2" t="s">
        <v>3937</v>
      </c>
      <c r="G9" s="2"/>
      <c r="H9" s="2" t="s">
        <v>3938</v>
      </c>
    </row>
    <row r="10" customFormat="false" ht="15" hidden="false" customHeight="false" outlineLevel="0" collapsed="false">
      <c r="A10" s="2" t="n">
        <v>2</v>
      </c>
      <c r="B10" s="2" t="s">
        <v>78</v>
      </c>
      <c r="C10" s="2" t="s">
        <v>86</v>
      </c>
      <c r="D10" s="2" t="s">
        <v>3939</v>
      </c>
      <c r="E10" s="2" t="s">
        <v>3919</v>
      </c>
      <c r="F10" s="2" t="s">
        <v>3940</v>
      </c>
      <c r="G10" s="2"/>
      <c r="H10" s="2" t="s">
        <v>3941</v>
      </c>
    </row>
    <row r="11" customFormat="false" ht="15" hidden="false" customHeight="false" outlineLevel="0" collapsed="false">
      <c r="A11" s="2" t="n">
        <v>2</v>
      </c>
      <c r="B11" s="2" t="s">
        <v>78</v>
      </c>
      <c r="C11" s="2" t="s">
        <v>86</v>
      </c>
      <c r="D11" s="2" t="s">
        <v>3942</v>
      </c>
      <c r="E11" s="2" t="s">
        <v>3919</v>
      </c>
      <c r="F11" s="2" t="s">
        <v>3943</v>
      </c>
      <c r="G11" s="2"/>
      <c r="H11" s="2" t="s">
        <v>3944</v>
      </c>
    </row>
    <row r="12" customFormat="false" ht="15" hidden="false" customHeight="false" outlineLevel="0" collapsed="false">
      <c r="A12" s="2" t="n">
        <v>2</v>
      </c>
      <c r="B12" s="2" t="s">
        <v>78</v>
      </c>
      <c r="C12" s="2" t="s">
        <v>86</v>
      </c>
      <c r="D12" s="2" t="s">
        <v>3945</v>
      </c>
      <c r="E12" s="2" t="s">
        <v>3919</v>
      </c>
      <c r="F12" s="2" t="s">
        <v>3946</v>
      </c>
      <c r="G12" s="2"/>
      <c r="H12" s="2" t="s">
        <v>3947</v>
      </c>
    </row>
    <row r="13" customFormat="false" ht="15" hidden="false" customHeight="false" outlineLevel="0" collapsed="false">
      <c r="A13" s="2" t="n">
        <v>2</v>
      </c>
      <c r="B13" s="2" t="s">
        <v>78</v>
      </c>
      <c r="C13" s="2" t="s">
        <v>86</v>
      </c>
      <c r="D13" s="2" t="s">
        <v>3948</v>
      </c>
      <c r="E13" s="2" t="s">
        <v>3919</v>
      </c>
      <c r="F13" s="2" t="s">
        <v>3949</v>
      </c>
      <c r="G13" s="2"/>
      <c r="H13" s="2" t="s">
        <v>3950</v>
      </c>
    </row>
    <row r="14" customFormat="false" ht="15" hidden="false" customHeight="false" outlineLevel="0" collapsed="false">
      <c r="A14" s="2" t="n">
        <v>2</v>
      </c>
      <c r="B14" s="2" t="s">
        <v>78</v>
      </c>
      <c r="C14" s="2" t="s">
        <v>86</v>
      </c>
      <c r="D14" s="2" t="s">
        <v>3951</v>
      </c>
      <c r="E14" s="2" t="s">
        <v>3919</v>
      </c>
      <c r="F14" s="2" t="s">
        <v>3952</v>
      </c>
      <c r="G14" s="2"/>
      <c r="H14" s="2" t="s">
        <v>3953</v>
      </c>
    </row>
    <row r="15" customFormat="false" ht="15" hidden="false" customHeight="false" outlineLevel="0" collapsed="false">
      <c r="A15" s="2" t="n">
        <v>2</v>
      </c>
      <c r="B15" s="2" t="s">
        <v>78</v>
      </c>
      <c r="C15" s="2" t="s">
        <v>86</v>
      </c>
      <c r="D15" s="2" t="s">
        <v>3954</v>
      </c>
      <c r="E15" s="2" t="s">
        <v>3919</v>
      </c>
      <c r="F15" s="2" t="s">
        <v>3955</v>
      </c>
      <c r="G15" s="2"/>
      <c r="H15" s="2" t="s">
        <v>3956</v>
      </c>
    </row>
    <row r="16" customFormat="false" ht="15" hidden="false" customHeight="false" outlineLevel="0" collapsed="false">
      <c r="A16" s="2" t="n">
        <v>2</v>
      </c>
      <c r="B16" s="2" t="s">
        <v>78</v>
      </c>
      <c r="C16" s="2" t="s">
        <v>86</v>
      </c>
      <c r="D16" s="2" t="s">
        <v>3957</v>
      </c>
      <c r="E16" s="2" t="s">
        <v>3919</v>
      </c>
      <c r="F16" s="2" t="s">
        <v>3958</v>
      </c>
      <c r="G16" s="2"/>
      <c r="H16" s="2" t="s">
        <v>3959</v>
      </c>
    </row>
    <row r="17" customFormat="false" ht="15" hidden="false" customHeight="false" outlineLevel="0" collapsed="false">
      <c r="A17" s="2" t="n">
        <v>2</v>
      </c>
      <c r="B17" s="2" t="s">
        <v>78</v>
      </c>
      <c r="C17" s="2" t="s">
        <v>86</v>
      </c>
      <c r="D17" s="2" t="s">
        <v>3960</v>
      </c>
      <c r="E17" s="2" t="s">
        <v>3919</v>
      </c>
      <c r="F17" s="2" t="s">
        <v>3961</v>
      </c>
      <c r="G17" s="2"/>
      <c r="H17" s="2" t="s">
        <v>3962</v>
      </c>
    </row>
    <row r="18" customFormat="false" ht="15" hidden="false" customHeight="false" outlineLevel="0" collapsed="false">
      <c r="A18" s="2" t="n">
        <v>2</v>
      </c>
      <c r="B18" s="2" t="s">
        <v>78</v>
      </c>
      <c r="C18" s="2" t="s">
        <v>86</v>
      </c>
      <c r="D18" s="2" t="s">
        <v>3963</v>
      </c>
      <c r="E18" s="2" t="s">
        <v>3919</v>
      </c>
      <c r="F18" s="2" t="s">
        <v>954</v>
      </c>
      <c r="G18" s="2"/>
      <c r="H18" s="2" t="s">
        <v>3964</v>
      </c>
    </row>
    <row r="19" customFormat="false" ht="15" hidden="false" customHeight="false" outlineLevel="0" collapsed="false">
      <c r="A19" s="2" t="n">
        <v>2</v>
      </c>
      <c r="B19" s="2" t="s">
        <v>78</v>
      </c>
      <c r="C19" s="2" t="s">
        <v>86</v>
      </c>
      <c r="D19" s="2" t="s">
        <v>3965</v>
      </c>
      <c r="E19" s="2" t="s">
        <v>3919</v>
      </c>
      <c r="F19" s="2" t="s">
        <v>3966</v>
      </c>
      <c r="G19" s="2"/>
      <c r="H19" s="2" t="s">
        <v>3967</v>
      </c>
    </row>
    <row r="20" customFormat="false" ht="15" hidden="false" customHeight="false" outlineLevel="0" collapsed="false">
      <c r="A20" s="2" t="n">
        <v>3</v>
      </c>
      <c r="B20" s="2" t="s">
        <v>92</v>
      </c>
      <c r="C20" s="2" t="s">
        <v>99</v>
      </c>
      <c r="D20" s="2" t="s">
        <v>424</v>
      </c>
      <c r="E20" s="2" t="s">
        <v>3915</v>
      </c>
      <c r="F20" s="2" t="s">
        <v>102</v>
      </c>
      <c r="G20" s="2" t="s">
        <v>3968</v>
      </c>
      <c r="H20" s="2" t="s">
        <v>425</v>
      </c>
    </row>
    <row r="21" customFormat="false" ht="15" hidden="false" customHeight="false" outlineLevel="0" collapsed="false">
      <c r="A21" s="2" t="n">
        <v>3</v>
      </c>
      <c r="B21" s="2" t="s">
        <v>92</v>
      </c>
      <c r="C21" s="2" t="s">
        <v>99</v>
      </c>
      <c r="D21" s="2" t="s">
        <v>3969</v>
      </c>
      <c r="E21" s="2" t="s">
        <v>3919</v>
      </c>
      <c r="F21" s="2" t="s">
        <v>3970</v>
      </c>
      <c r="G21" s="2"/>
      <c r="H21" s="2" t="s">
        <v>3971</v>
      </c>
    </row>
    <row r="22" customFormat="false" ht="15" hidden="false" customHeight="false" outlineLevel="0" collapsed="false">
      <c r="A22" s="2" t="n">
        <v>4</v>
      </c>
      <c r="B22" s="2" t="s">
        <v>105</v>
      </c>
      <c r="C22" s="2" t="s">
        <v>112</v>
      </c>
      <c r="D22" s="2" t="s">
        <v>418</v>
      </c>
      <c r="E22" s="2" t="s">
        <v>3915</v>
      </c>
      <c r="F22" s="2" t="s">
        <v>102</v>
      </c>
      <c r="G22" s="2" t="s">
        <v>3972</v>
      </c>
      <c r="H22" s="2" t="s">
        <v>419</v>
      </c>
    </row>
    <row r="23" customFormat="false" ht="15" hidden="false" customHeight="false" outlineLevel="0" collapsed="false">
      <c r="A23" s="2" t="n">
        <v>4</v>
      </c>
      <c r="B23" s="2" t="s">
        <v>105</v>
      </c>
      <c r="C23" s="2" t="s">
        <v>112</v>
      </c>
      <c r="D23" s="2" t="s">
        <v>3973</v>
      </c>
      <c r="E23" s="2" t="s">
        <v>3919</v>
      </c>
      <c r="F23" s="2" t="s">
        <v>3974</v>
      </c>
      <c r="G23" s="2"/>
      <c r="H23" s="2" t="s">
        <v>3975</v>
      </c>
    </row>
    <row r="24" customFormat="false" ht="15" hidden="false" customHeight="false" outlineLevel="0" collapsed="false">
      <c r="A24" s="2" t="n">
        <v>5</v>
      </c>
      <c r="B24" s="2" t="s">
        <v>116</v>
      </c>
      <c r="C24" s="2" t="s">
        <v>122</v>
      </c>
      <c r="D24" s="2" t="s">
        <v>3976</v>
      </c>
      <c r="E24" s="2" t="s">
        <v>3915</v>
      </c>
      <c r="F24" s="2" t="s">
        <v>125</v>
      </c>
      <c r="G24" s="2" t="s">
        <v>3977</v>
      </c>
      <c r="H24" s="2" t="s">
        <v>3978</v>
      </c>
    </row>
    <row r="25" customFormat="false" ht="15" hidden="false" customHeight="false" outlineLevel="0" collapsed="false">
      <c r="A25" s="2" t="n">
        <v>5</v>
      </c>
      <c r="B25" s="2" t="s">
        <v>116</v>
      </c>
      <c r="C25" s="2" t="s">
        <v>122</v>
      </c>
      <c r="D25" s="2" t="s">
        <v>3979</v>
      </c>
      <c r="E25" s="2" t="s">
        <v>3915</v>
      </c>
      <c r="F25" s="2" t="s">
        <v>126</v>
      </c>
      <c r="G25" s="2" t="s">
        <v>3980</v>
      </c>
      <c r="H25" s="2" t="s">
        <v>3981</v>
      </c>
    </row>
    <row r="26" customFormat="false" ht="15" hidden="false" customHeight="false" outlineLevel="0" collapsed="false">
      <c r="A26" s="2" t="n">
        <v>5</v>
      </c>
      <c r="B26" s="2" t="s">
        <v>116</v>
      </c>
      <c r="C26" s="2" t="s">
        <v>122</v>
      </c>
      <c r="D26" s="2" t="s">
        <v>3982</v>
      </c>
      <c r="E26" s="2" t="s">
        <v>3919</v>
      </c>
      <c r="F26" s="2" t="s">
        <v>3983</v>
      </c>
      <c r="G26" s="2"/>
      <c r="H26" s="2" t="s">
        <v>3984</v>
      </c>
    </row>
    <row r="27" customFormat="false" ht="15" hidden="false" customHeight="false" outlineLevel="0" collapsed="false">
      <c r="A27" s="2" t="n">
        <v>5</v>
      </c>
      <c r="B27" s="2" t="s">
        <v>116</v>
      </c>
      <c r="C27" s="2" t="s">
        <v>122</v>
      </c>
      <c r="D27" s="2" t="s">
        <v>3985</v>
      </c>
      <c r="E27" s="2" t="s">
        <v>3919</v>
      </c>
      <c r="F27" s="2" t="s">
        <v>3986</v>
      </c>
      <c r="G27" s="2"/>
      <c r="H27" s="2" t="s">
        <v>3987</v>
      </c>
    </row>
    <row r="28" customFormat="false" ht="15" hidden="false" customHeight="false" outlineLevel="0" collapsed="false">
      <c r="A28" s="2" t="n">
        <v>5</v>
      </c>
      <c r="B28" s="2" t="s">
        <v>116</v>
      </c>
      <c r="C28" s="2" t="s">
        <v>122</v>
      </c>
      <c r="D28" s="2" t="s">
        <v>3988</v>
      </c>
      <c r="E28" s="2" t="s">
        <v>3919</v>
      </c>
      <c r="F28" s="2" t="s">
        <v>3989</v>
      </c>
      <c r="G28" s="2"/>
      <c r="H28" s="2" t="s">
        <v>3990</v>
      </c>
    </row>
    <row r="29" customFormat="false" ht="15" hidden="false" customHeight="false" outlineLevel="0" collapsed="false">
      <c r="A29" s="2" t="n">
        <v>5</v>
      </c>
      <c r="B29" s="2" t="s">
        <v>116</v>
      </c>
      <c r="C29" s="2" t="s">
        <v>122</v>
      </c>
      <c r="D29" s="2" t="s">
        <v>3991</v>
      </c>
      <c r="E29" s="2" t="s">
        <v>3919</v>
      </c>
      <c r="F29" s="2" t="s">
        <v>3992</v>
      </c>
      <c r="G29" s="2"/>
      <c r="H29" s="2" t="s">
        <v>3993</v>
      </c>
    </row>
    <row r="30" customFormat="false" ht="15" hidden="false" customHeight="false" outlineLevel="0" collapsed="false">
      <c r="A30" s="2" t="n">
        <v>5</v>
      </c>
      <c r="B30" s="2" t="s">
        <v>116</v>
      </c>
      <c r="C30" s="2" t="s">
        <v>122</v>
      </c>
      <c r="D30" s="2" t="s">
        <v>3994</v>
      </c>
      <c r="E30" s="2" t="s">
        <v>3919</v>
      </c>
      <c r="F30" s="2" t="s">
        <v>3995</v>
      </c>
      <c r="G30" s="2"/>
      <c r="H30" s="2" t="s">
        <v>3996</v>
      </c>
    </row>
    <row r="31" customFormat="false" ht="15" hidden="false" customHeight="false" outlineLevel="0" collapsed="false">
      <c r="A31" s="2" t="n">
        <v>5</v>
      </c>
      <c r="B31" s="2" t="s">
        <v>116</v>
      </c>
      <c r="C31" s="2" t="s">
        <v>122</v>
      </c>
      <c r="D31" s="2" t="s">
        <v>3997</v>
      </c>
      <c r="E31" s="2" t="s">
        <v>3919</v>
      </c>
      <c r="F31" s="2" t="s">
        <v>3998</v>
      </c>
      <c r="G31" s="2"/>
      <c r="H31" s="2" t="s">
        <v>3999</v>
      </c>
    </row>
    <row r="32" customFormat="false" ht="15" hidden="false" customHeight="false" outlineLevel="0" collapsed="false">
      <c r="A32" s="2" t="n">
        <v>5</v>
      </c>
      <c r="B32" s="2" t="s">
        <v>116</v>
      </c>
      <c r="C32" s="2" t="s">
        <v>122</v>
      </c>
      <c r="D32" s="2" t="s">
        <v>4000</v>
      </c>
      <c r="E32" s="2" t="s">
        <v>3919</v>
      </c>
      <c r="F32" s="2" t="s">
        <v>2546</v>
      </c>
      <c r="G32" s="2"/>
      <c r="H32" s="2" t="s">
        <v>4001</v>
      </c>
    </row>
    <row r="33" customFormat="false" ht="15" hidden="false" customHeight="false" outlineLevel="0" collapsed="false">
      <c r="A33" s="2" t="n">
        <v>5</v>
      </c>
      <c r="B33" s="2" t="s">
        <v>116</v>
      </c>
      <c r="C33" s="2" t="s">
        <v>122</v>
      </c>
      <c r="D33" s="2" t="s">
        <v>4002</v>
      </c>
      <c r="E33" s="2" t="s">
        <v>3919</v>
      </c>
      <c r="F33" s="2" t="s">
        <v>4003</v>
      </c>
      <c r="G33" s="2"/>
      <c r="H33" s="2" t="s">
        <v>4004</v>
      </c>
    </row>
    <row r="34" customFormat="false" ht="15" hidden="false" customHeight="false" outlineLevel="0" collapsed="false">
      <c r="A34" s="2" t="n">
        <v>5</v>
      </c>
      <c r="B34" s="2" t="s">
        <v>116</v>
      </c>
      <c r="C34" s="2" t="s">
        <v>122</v>
      </c>
      <c r="D34" s="2" t="s">
        <v>4005</v>
      </c>
      <c r="E34" s="2" t="s">
        <v>3919</v>
      </c>
      <c r="F34" s="2" t="s">
        <v>4006</v>
      </c>
      <c r="G34" s="2"/>
      <c r="H34" s="2" t="s">
        <v>4007</v>
      </c>
    </row>
    <row r="35" customFormat="false" ht="15" hidden="false" customHeight="false" outlineLevel="0" collapsed="false">
      <c r="A35" s="2" t="n">
        <v>5</v>
      </c>
      <c r="B35" s="2" t="s">
        <v>116</v>
      </c>
      <c r="C35" s="2" t="s">
        <v>122</v>
      </c>
      <c r="D35" s="2" t="s">
        <v>4008</v>
      </c>
      <c r="E35" s="2" t="s">
        <v>3919</v>
      </c>
      <c r="F35" s="2" t="s">
        <v>4009</v>
      </c>
      <c r="G35" s="2"/>
      <c r="H35" s="2" t="s">
        <v>4010</v>
      </c>
    </row>
    <row r="36" customFormat="false" ht="15" hidden="false" customHeight="false" outlineLevel="0" collapsed="false">
      <c r="A36" s="2" t="n">
        <v>5</v>
      </c>
      <c r="B36" s="2" t="s">
        <v>116</v>
      </c>
      <c r="C36" s="2" t="s">
        <v>122</v>
      </c>
      <c r="D36" s="2" t="s">
        <v>4011</v>
      </c>
      <c r="E36" s="2" t="s">
        <v>3919</v>
      </c>
      <c r="F36" s="2" t="s">
        <v>2206</v>
      </c>
      <c r="G36" s="2"/>
      <c r="H36" s="2" t="s">
        <v>4012</v>
      </c>
    </row>
    <row r="37" customFormat="false" ht="15" hidden="false" customHeight="false" outlineLevel="0" collapsed="false">
      <c r="A37" s="2" t="n">
        <v>5</v>
      </c>
      <c r="B37" s="2" t="s">
        <v>116</v>
      </c>
      <c r="C37" s="2" t="s">
        <v>122</v>
      </c>
      <c r="D37" s="2" t="s">
        <v>4013</v>
      </c>
      <c r="E37" s="2" t="s">
        <v>3919</v>
      </c>
      <c r="F37" s="2" t="s">
        <v>4014</v>
      </c>
      <c r="G37" s="2"/>
      <c r="H37" s="2" t="s">
        <v>4015</v>
      </c>
    </row>
    <row r="38" customFormat="false" ht="15" hidden="false" customHeight="false" outlineLevel="0" collapsed="false">
      <c r="A38" s="2" t="n">
        <v>5</v>
      </c>
      <c r="B38" s="2" t="s">
        <v>116</v>
      </c>
      <c r="C38" s="2" t="s">
        <v>122</v>
      </c>
      <c r="D38" s="2" t="s">
        <v>4016</v>
      </c>
      <c r="E38" s="2" t="s">
        <v>3919</v>
      </c>
      <c r="F38" s="2" t="s">
        <v>3133</v>
      </c>
      <c r="G38" s="2"/>
      <c r="H38" s="2" t="s">
        <v>4017</v>
      </c>
    </row>
    <row r="39" customFormat="false" ht="15" hidden="false" customHeight="false" outlineLevel="0" collapsed="false">
      <c r="A39" s="2" t="n">
        <v>5</v>
      </c>
      <c r="B39" s="2" t="s">
        <v>116</v>
      </c>
      <c r="C39" s="2" t="s">
        <v>122</v>
      </c>
      <c r="D39" s="2" t="s">
        <v>4018</v>
      </c>
      <c r="E39" s="2" t="s">
        <v>3919</v>
      </c>
      <c r="F39" s="2" t="s">
        <v>4019</v>
      </c>
      <c r="G39" s="2"/>
      <c r="H39" s="2" t="s">
        <v>4020</v>
      </c>
    </row>
    <row r="40" customFormat="false" ht="15" hidden="false" customHeight="false" outlineLevel="0" collapsed="false">
      <c r="A40" s="2" t="n">
        <v>5</v>
      </c>
      <c r="B40" s="2" t="s">
        <v>116</v>
      </c>
      <c r="C40" s="2" t="s">
        <v>122</v>
      </c>
      <c r="D40" s="2" t="s">
        <v>4021</v>
      </c>
      <c r="E40" s="2" t="s">
        <v>3919</v>
      </c>
      <c r="F40" s="2" t="s">
        <v>4019</v>
      </c>
      <c r="G40" s="2"/>
      <c r="H40" s="2" t="s">
        <v>4022</v>
      </c>
    </row>
    <row r="41" customFormat="false" ht="15" hidden="false" customHeight="false" outlineLevel="0" collapsed="false">
      <c r="A41" s="2" t="n">
        <v>5</v>
      </c>
      <c r="B41" s="2" t="s">
        <v>116</v>
      </c>
      <c r="C41" s="2" t="s">
        <v>122</v>
      </c>
      <c r="D41" s="2" t="s">
        <v>4023</v>
      </c>
      <c r="E41" s="2" t="s">
        <v>3919</v>
      </c>
      <c r="F41" s="2" t="s">
        <v>4024</v>
      </c>
      <c r="G41" s="2"/>
      <c r="H41" s="2" t="s">
        <v>4025</v>
      </c>
    </row>
    <row r="42" customFormat="false" ht="15" hidden="false" customHeight="false" outlineLevel="0" collapsed="false">
      <c r="A42" s="2" t="n">
        <v>5</v>
      </c>
      <c r="B42" s="2" t="s">
        <v>116</v>
      </c>
      <c r="C42" s="2" t="s">
        <v>122</v>
      </c>
      <c r="D42" s="2" t="s">
        <v>4026</v>
      </c>
      <c r="E42" s="2" t="s">
        <v>3919</v>
      </c>
      <c r="F42" s="2" t="s">
        <v>4027</v>
      </c>
      <c r="G42" s="2"/>
      <c r="H42" s="2" t="s">
        <v>4028</v>
      </c>
    </row>
    <row r="43" customFormat="false" ht="15" hidden="false" customHeight="false" outlineLevel="0" collapsed="false">
      <c r="A43" s="2" t="n">
        <v>5</v>
      </c>
      <c r="B43" s="2" t="s">
        <v>116</v>
      </c>
      <c r="C43" s="2" t="s">
        <v>122</v>
      </c>
      <c r="D43" s="2" t="s">
        <v>4029</v>
      </c>
      <c r="E43" s="2" t="s">
        <v>3919</v>
      </c>
      <c r="F43" s="2" t="s">
        <v>1348</v>
      </c>
      <c r="G43" s="2"/>
      <c r="H43" s="2" t="s">
        <v>4030</v>
      </c>
    </row>
    <row r="44" customFormat="false" ht="15" hidden="false" customHeight="false" outlineLevel="0" collapsed="false">
      <c r="A44" s="2" t="n">
        <v>5</v>
      </c>
      <c r="B44" s="2" t="s">
        <v>116</v>
      </c>
      <c r="C44" s="2" t="s">
        <v>122</v>
      </c>
      <c r="D44" s="2" t="s">
        <v>4031</v>
      </c>
      <c r="E44" s="2" t="s">
        <v>3919</v>
      </c>
      <c r="F44" s="2" t="s">
        <v>4032</v>
      </c>
      <c r="G44" s="2"/>
      <c r="H44" s="2" t="s">
        <v>4033</v>
      </c>
    </row>
    <row r="45" customFormat="false" ht="15" hidden="false" customHeight="false" outlineLevel="0" collapsed="false">
      <c r="A45" s="2" t="n">
        <v>5</v>
      </c>
      <c r="B45" s="2" t="s">
        <v>116</v>
      </c>
      <c r="C45" s="2" t="s">
        <v>122</v>
      </c>
      <c r="D45" s="2" t="s">
        <v>4034</v>
      </c>
      <c r="E45" s="2" t="s">
        <v>3919</v>
      </c>
      <c r="F45" s="2" t="s">
        <v>4035</v>
      </c>
      <c r="G45" s="2"/>
      <c r="H45" s="2" t="s">
        <v>4036</v>
      </c>
    </row>
    <row r="46" customFormat="false" ht="15" hidden="false" customHeight="false" outlineLevel="0" collapsed="false">
      <c r="A46" s="2" t="n">
        <v>6</v>
      </c>
      <c r="B46" s="2" t="s">
        <v>129</v>
      </c>
      <c r="C46" s="2" t="s">
        <v>135</v>
      </c>
      <c r="D46" s="2" t="s">
        <v>3927</v>
      </c>
      <c r="E46" s="2" t="s">
        <v>3915</v>
      </c>
      <c r="F46" s="2" t="s">
        <v>90</v>
      </c>
      <c r="G46" s="2" t="s">
        <v>3928</v>
      </c>
      <c r="H46" s="2" t="s">
        <v>3929</v>
      </c>
    </row>
    <row r="47" customFormat="false" ht="15" hidden="false" customHeight="false" outlineLevel="0" collapsed="false">
      <c r="A47" s="2" t="n">
        <v>6</v>
      </c>
      <c r="B47" s="2" t="s">
        <v>129</v>
      </c>
      <c r="C47" s="2" t="s">
        <v>135</v>
      </c>
      <c r="D47" s="2" t="s">
        <v>4037</v>
      </c>
      <c r="E47" s="2" t="s">
        <v>3919</v>
      </c>
      <c r="F47" s="2" t="s">
        <v>4038</v>
      </c>
      <c r="G47" s="2"/>
      <c r="H47" s="2" t="s">
        <v>4039</v>
      </c>
    </row>
    <row r="48" customFormat="false" ht="15" hidden="false" customHeight="false" outlineLevel="0" collapsed="false">
      <c r="A48" s="2" t="n">
        <v>7</v>
      </c>
      <c r="B48" s="2" t="s">
        <v>140</v>
      </c>
      <c r="C48" s="2" t="s">
        <v>147</v>
      </c>
      <c r="D48" s="2" t="s">
        <v>4040</v>
      </c>
      <c r="E48" s="2" t="s">
        <v>3915</v>
      </c>
      <c r="F48" s="2" t="s">
        <v>150</v>
      </c>
      <c r="G48" s="2" t="s">
        <v>4041</v>
      </c>
      <c r="H48" s="2" t="s">
        <v>4042</v>
      </c>
    </row>
    <row r="49" customFormat="false" ht="15" hidden="false" customHeight="false" outlineLevel="0" collapsed="false">
      <c r="A49" s="2" t="n">
        <v>7</v>
      </c>
      <c r="B49" s="2" t="s">
        <v>140</v>
      </c>
      <c r="C49" s="2" t="s">
        <v>147</v>
      </c>
      <c r="D49" s="2" t="s">
        <v>418</v>
      </c>
      <c r="E49" s="2" t="s">
        <v>3915</v>
      </c>
      <c r="F49" s="2" t="s">
        <v>102</v>
      </c>
      <c r="G49" s="2" t="s">
        <v>3972</v>
      </c>
      <c r="H49" s="2" t="s">
        <v>419</v>
      </c>
    </row>
    <row r="50" customFormat="false" ht="15" hidden="false" customHeight="false" outlineLevel="0" collapsed="false">
      <c r="A50" s="2" t="n">
        <v>7</v>
      </c>
      <c r="B50" s="2" t="s">
        <v>140</v>
      </c>
      <c r="C50" s="2" t="s">
        <v>147</v>
      </c>
      <c r="D50" s="2" t="s">
        <v>4043</v>
      </c>
      <c r="E50" s="2" t="s">
        <v>3919</v>
      </c>
      <c r="F50" s="2" t="s">
        <v>4044</v>
      </c>
      <c r="G50" s="2"/>
      <c r="H50" s="2" t="s">
        <v>4045</v>
      </c>
    </row>
    <row r="51" customFormat="false" ht="15" hidden="false" customHeight="false" outlineLevel="0" collapsed="false">
      <c r="A51" s="2" t="n">
        <v>7</v>
      </c>
      <c r="B51" s="2" t="s">
        <v>140</v>
      </c>
      <c r="C51" s="2" t="s">
        <v>147</v>
      </c>
      <c r="D51" s="2" t="s">
        <v>4046</v>
      </c>
      <c r="E51" s="2" t="s">
        <v>3919</v>
      </c>
      <c r="F51" s="2" t="s">
        <v>4044</v>
      </c>
      <c r="G51" s="2" t="s">
        <v>4047</v>
      </c>
      <c r="H51" s="2" t="s">
        <v>4048</v>
      </c>
    </row>
    <row r="52" customFormat="false" ht="15" hidden="false" customHeight="false" outlineLevel="0" collapsed="false">
      <c r="A52" s="2" t="n">
        <v>7</v>
      </c>
      <c r="B52" s="2" t="s">
        <v>140</v>
      </c>
      <c r="C52" s="2" t="s">
        <v>147</v>
      </c>
      <c r="D52" s="2" t="s">
        <v>4049</v>
      </c>
      <c r="E52" s="2" t="s">
        <v>3919</v>
      </c>
      <c r="F52" s="2" t="s">
        <v>4050</v>
      </c>
      <c r="G52" s="2"/>
      <c r="H52" s="2" t="s">
        <v>4051</v>
      </c>
    </row>
    <row r="53" customFormat="false" ht="15" hidden="false" customHeight="false" outlineLevel="0" collapsed="false">
      <c r="A53" s="2" t="n">
        <v>7</v>
      </c>
      <c r="B53" s="2" t="s">
        <v>140</v>
      </c>
      <c r="C53" s="2" t="s">
        <v>147</v>
      </c>
      <c r="D53" s="2" t="s">
        <v>4052</v>
      </c>
      <c r="E53" s="2" t="s">
        <v>3919</v>
      </c>
      <c r="F53" s="2" t="s">
        <v>4053</v>
      </c>
      <c r="G53" s="2"/>
      <c r="H53" s="2" t="s">
        <v>4054</v>
      </c>
    </row>
    <row r="54" customFormat="false" ht="15" hidden="false" customHeight="false" outlineLevel="0" collapsed="false">
      <c r="A54" s="2" t="n">
        <v>7</v>
      </c>
      <c r="B54" s="2" t="s">
        <v>140</v>
      </c>
      <c r="C54" s="2" t="s">
        <v>147</v>
      </c>
      <c r="D54" s="2" t="s">
        <v>4055</v>
      </c>
      <c r="E54" s="2" t="s">
        <v>3919</v>
      </c>
      <c r="F54" s="2" t="s">
        <v>4056</v>
      </c>
      <c r="G54" s="2"/>
      <c r="H54" s="2" t="s">
        <v>4057</v>
      </c>
    </row>
    <row r="55" customFormat="false" ht="15" hidden="false" customHeight="false" outlineLevel="0" collapsed="false">
      <c r="A55" s="2" t="n">
        <v>7</v>
      </c>
      <c r="B55" s="2" t="s">
        <v>140</v>
      </c>
      <c r="C55" s="2" t="s">
        <v>147</v>
      </c>
      <c r="D55" s="2" t="s">
        <v>4058</v>
      </c>
      <c r="E55" s="2" t="s">
        <v>3919</v>
      </c>
      <c r="F55" s="2" t="s">
        <v>4059</v>
      </c>
      <c r="G55" s="2"/>
      <c r="H55" s="2" t="s">
        <v>4060</v>
      </c>
    </row>
    <row r="56" customFormat="false" ht="15" hidden="false" customHeight="false" outlineLevel="0" collapsed="false">
      <c r="A56" s="2" t="n">
        <v>7</v>
      </c>
      <c r="B56" s="2" t="s">
        <v>140</v>
      </c>
      <c r="C56" s="2" t="s">
        <v>147</v>
      </c>
      <c r="D56" s="2" t="s">
        <v>4061</v>
      </c>
      <c r="E56" s="2" t="s">
        <v>3919</v>
      </c>
      <c r="F56" s="2" t="s">
        <v>4062</v>
      </c>
      <c r="G56" s="2"/>
      <c r="H56" s="2" t="s">
        <v>4063</v>
      </c>
    </row>
    <row r="57" customFormat="false" ht="15" hidden="false" customHeight="false" outlineLevel="0" collapsed="false">
      <c r="A57" s="2" t="n">
        <v>7</v>
      </c>
      <c r="B57" s="2" t="s">
        <v>140</v>
      </c>
      <c r="C57" s="2" t="s">
        <v>147</v>
      </c>
      <c r="D57" s="2" t="s">
        <v>4064</v>
      </c>
      <c r="E57" s="2" t="s">
        <v>3919</v>
      </c>
      <c r="F57" s="2" t="s">
        <v>4065</v>
      </c>
      <c r="G57" s="2"/>
      <c r="H57" s="2" t="s">
        <v>4066</v>
      </c>
    </row>
    <row r="58" customFormat="false" ht="15" hidden="false" customHeight="false" outlineLevel="0" collapsed="false">
      <c r="A58" s="2" t="n">
        <v>8</v>
      </c>
      <c r="B58" s="2" t="s">
        <v>152</v>
      </c>
      <c r="C58" s="2" t="s">
        <v>157</v>
      </c>
      <c r="D58" s="2" t="s">
        <v>664</v>
      </c>
      <c r="E58" s="2" t="s">
        <v>3915</v>
      </c>
      <c r="F58" s="2" t="s">
        <v>160</v>
      </c>
      <c r="G58" s="2" t="s">
        <v>4067</v>
      </c>
      <c r="H58" s="2" t="s">
        <v>665</v>
      </c>
    </row>
    <row r="59" customFormat="false" ht="15" hidden="false" customHeight="false" outlineLevel="0" collapsed="false">
      <c r="A59" s="2" t="n">
        <v>8</v>
      </c>
      <c r="B59" s="2" t="s">
        <v>152</v>
      </c>
      <c r="C59" s="2" t="s">
        <v>157</v>
      </c>
      <c r="D59" s="2" t="s">
        <v>4068</v>
      </c>
      <c r="E59" s="2" t="s">
        <v>3919</v>
      </c>
      <c r="F59" s="2" t="s">
        <v>4069</v>
      </c>
      <c r="G59" s="2"/>
      <c r="H59" s="2" t="s">
        <v>4070</v>
      </c>
    </row>
    <row r="60" customFormat="false" ht="15" hidden="false" customHeight="false" outlineLevel="0" collapsed="false">
      <c r="A60" s="2" t="n">
        <v>8</v>
      </c>
      <c r="B60" s="2" t="s">
        <v>152</v>
      </c>
      <c r="C60" s="2" t="s">
        <v>157</v>
      </c>
      <c r="D60" s="2" t="s">
        <v>4071</v>
      </c>
      <c r="E60" s="2" t="s">
        <v>3919</v>
      </c>
      <c r="F60" s="2" t="s">
        <v>1875</v>
      </c>
      <c r="G60" s="2"/>
      <c r="H60" s="2" t="s">
        <v>4072</v>
      </c>
    </row>
    <row r="61" customFormat="false" ht="15" hidden="false" customHeight="false" outlineLevel="0" collapsed="false">
      <c r="A61" s="2" t="n">
        <v>8</v>
      </c>
      <c r="B61" s="2" t="s">
        <v>152</v>
      </c>
      <c r="C61" s="2" t="s">
        <v>157</v>
      </c>
      <c r="D61" s="2" t="s">
        <v>4073</v>
      </c>
      <c r="E61" s="2" t="s">
        <v>3919</v>
      </c>
      <c r="F61" s="2" t="s">
        <v>4074</v>
      </c>
      <c r="G61" s="2"/>
      <c r="H61" s="2" t="s">
        <v>4075</v>
      </c>
    </row>
    <row r="62" customFormat="false" ht="15" hidden="false" customHeight="false" outlineLevel="0" collapsed="false">
      <c r="A62" s="2" t="n">
        <v>8</v>
      </c>
      <c r="B62" s="2" t="s">
        <v>152</v>
      </c>
      <c r="C62" s="2" t="s">
        <v>157</v>
      </c>
      <c r="D62" s="2" t="s">
        <v>4076</v>
      </c>
      <c r="E62" s="2" t="s">
        <v>3919</v>
      </c>
      <c r="F62" s="2" t="s">
        <v>4077</v>
      </c>
      <c r="G62" s="2"/>
      <c r="H62" s="2" t="s">
        <v>4078</v>
      </c>
    </row>
    <row r="63" customFormat="false" ht="15" hidden="false" customHeight="false" outlineLevel="0" collapsed="false">
      <c r="A63" s="2" t="n">
        <v>9</v>
      </c>
      <c r="B63" s="2" t="s">
        <v>162</v>
      </c>
      <c r="C63" s="2" t="s">
        <v>169</v>
      </c>
      <c r="D63" s="2" t="s">
        <v>4079</v>
      </c>
      <c r="E63" s="2" t="s">
        <v>3915</v>
      </c>
      <c r="F63" s="2" t="s">
        <v>172</v>
      </c>
      <c r="G63" s="2" t="s">
        <v>4080</v>
      </c>
      <c r="H63" s="2" t="s">
        <v>4081</v>
      </c>
    </row>
    <row r="64" customFormat="false" ht="15" hidden="false" customHeight="false" outlineLevel="0" collapsed="false">
      <c r="A64" s="2" t="n">
        <v>9</v>
      </c>
      <c r="B64" s="2" t="s">
        <v>162</v>
      </c>
      <c r="C64" s="2" t="s">
        <v>169</v>
      </c>
      <c r="D64" s="2" t="s">
        <v>4082</v>
      </c>
      <c r="E64" s="2" t="s">
        <v>3915</v>
      </c>
      <c r="F64" s="2" t="s">
        <v>173</v>
      </c>
      <c r="G64" s="2" t="s">
        <v>4083</v>
      </c>
      <c r="H64" s="2" t="s">
        <v>4084</v>
      </c>
    </row>
    <row r="65" customFormat="false" ht="15" hidden="false" customHeight="false" outlineLevel="0" collapsed="false">
      <c r="A65" s="2" t="n">
        <v>9</v>
      </c>
      <c r="B65" s="2" t="s">
        <v>162</v>
      </c>
      <c r="C65" s="2" t="s">
        <v>169</v>
      </c>
      <c r="D65" s="2" t="s">
        <v>4085</v>
      </c>
      <c r="E65" s="2" t="s">
        <v>3919</v>
      </c>
      <c r="F65" s="2" t="s">
        <v>4086</v>
      </c>
      <c r="G65" s="2"/>
      <c r="H65" s="2" t="s">
        <v>4087</v>
      </c>
    </row>
    <row r="66" customFormat="false" ht="15" hidden="false" customHeight="false" outlineLevel="0" collapsed="false">
      <c r="A66" s="2" t="n">
        <v>9</v>
      </c>
      <c r="B66" s="2" t="s">
        <v>162</v>
      </c>
      <c r="C66" s="2" t="s">
        <v>169</v>
      </c>
      <c r="D66" s="2" t="s">
        <v>4088</v>
      </c>
      <c r="E66" s="2" t="s">
        <v>3919</v>
      </c>
      <c r="F66" s="2" t="s">
        <v>4089</v>
      </c>
      <c r="G66" s="2"/>
      <c r="H66" s="2" t="s">
        <v>4090</v>
      </c>
    </row>
    <row r="67" customFormat="false" ht="15" hidden="false" customHeight="false" outlineLevel="0" collapsed="false">
      <c r="A67" s="2" t="n">
        <v>9</v>
      </c>
      <c r="B67" s="2" t="s">
        <v>162</v>
      </c>
      <c r="C67" s="2" t="s">
        <v>169</v>
      </c>
      <c r="D67" s="2" t="s">
        <v>4091</v>
      </c>
      <c r="E67" s="2" t="s">
        <v>3919</v>
      </c>
      <c r="F67" s="2" t="s">
        <v>4092</v>
      </c>
      <c r="G67" s="2"/>
      <c r="H67" s="2" t="s">
        <v>4093</v>
      </c>
    </row>
    <row r="68" customFormat="false" ht="15" hidden="false" customHeight="false" outlineLevel="0" collapsed="false">
      <c r="A68" s="2" t="n">
        <v>9</v>
      </c>
      <c r="B68" s="2" t="s">
        <v>162</v>
      </c>
      <c r="C68" s="2" t="s">
        <v>169</v>
      </c>
      <c r="D68" s="2" t="s">
        <v>4094</v>
      </c>
      <c r="E68" s="2" t="s">
        <v>3919</v>
      </c>
      <c r="F68" s="2" t="s">
        <v>3537</v>
      </c>
      <c r="G68" s="2"/>
      <c r="H68" s="2" t="s">
        <v>4095</v>
      </c>
    </row>
    <row r="69" customFormat="false" ht="15" hidden="false" customHeight="false" outlineLevel="0" collapsed="false">
      <c r="A69" s="2" t="n">
        <v>10</v>
      </c>
      <c r="B69" s="2" t="s">
        <v>175</v>
      </c>
      <c r="C69" s="2" t="s">
        <v>180</v>
      </c>
      <c r="D69" s="2" t="s">
        <v>4096</v>
      </c>
      <c r="E69" s="2" t="s">
        <v>3919</v>
      </c>
      <c r="F69" s="2" t="s">
        <v>4097</v>
      </c>
      <c r="G69" s="2"/>
      <c r="H69" s="2" t="s">
        <v>4098</v>
      </c>
    </row>
    <row r="70" customFormat="false" ht="15" hidden="false" customHeight="false" outlineLevel="0" collapsed="false">
      <c r="A70" s="2" t="n">
        <v>11</v>
      </c>
      <c r="B70" s="2" t="s">
        <v>184</v>
      </c>
      <c r="C70" s="2" t="s">
        <v>191</v>
      </c>
      <c r="D70" s="2" t="s">
        <v>4099</v>
      </c>
      <c r="E70" s="2" t="s">
        <v>3919</v>
      </c>
      <c r="F70" s="2" t="s">
        <v>4100</v>
      </c>
      <c r="G70" s="2"/>
      <c r="H70" s="2" t="s">
        <v>4101</v>
      </c>
    </row>
    <row r="71" customFormat="false" ht="15" hidden="false" customHeight="false" outlineLevel="0" collapsed="false">
      <c r="A71" s="2" t="n">
        <v>11</v>
      </c>
      <c r="B71" s="2" t="s">
        <v>184</v>
      </c>
      <c r="C71" s="2" t="s">
        <v>191</v>
      </c>
      <c r="D71" s="2" t="s">
        <v>4102</v>
      </c>
      <c r="E71" s="2" t="s">
        <v>3919</v>
      </c>
      <c r="F71" s="2" t="s">
        <v>4103</v>
      </c>
      <c r="G71" s="2"/>
      <c r="H71" s="2" t="s">
        <v>4104</v>
      </c>
    </row>
    <row r="72" customFormat="false" ht="15" hidden="false" customHeight="false" outlineLevel="0" collapsed="false">
      <c r="A72" s="2" t="n">
        <v>11</v>
      </c>
      <c r="B72" s="2" t="s">
        <v>184</v>
      </c>
      <c r="C72" s="2" t="s">
        <v>191</v>
      </c>
      <c r="D72" s="2" t="s">
        <v>4105</v>
      </c>
      <c r="E72" s="2" t="s">
        <v>3919</v>
      </c>
      <c r="F72" s="2" t="s">
        <v>4106</v>
      </c>
      <c r="G72" s="2"/>
      <c r="H72" s="2" t="s">
        <v>4107</v>
      </c>
    </row>
    <row r="73" customFormat="false" ht="15" hidden="false" customHeight="false" outlineLevel="0" collapsed="false">
      <c r="A73" s="2" t="n">
        <v>11</v>
      </c>
      <c r="B73" s="2" t="s">
        <v>184</v>
      </c>
      <c r="C73" s="2" t="s">
        <v>191</v>
      </c>
      <c r="D73" s="2" t="s">
        <v>4108</v>
      </c>
      <c r="E73" s="2" t="s">
        <v>3919</v>
      </c>
      <c r="F73" s="2" t="s">
        <v>4109</v>
      </c>
      <c r="G73" s="2"/>
      <c r="H73" s="2" t="s">
        <v>4110</v>
      </c>
    </row>
    <row r="74" customFormat="false" ht="15" hidden="false" customHeight="false" outlineLevel="0" collapsed="false">
      <c r="A74" s="2" t="n">
        <v>11</v>
      </c>
      <c r="B74" s="2" t="s">
        <v>184</v>
      </c>
      <c r="C74" s="2" t="s">
        <v>191</v>
      </c>
      <c r="D74" s="2" t="s">
        <v>4111</v>
      </c>
      <c r="E74" s="2" t="s">
        <v>3919</v>
      </c>
      <c r="F74" s="2" t="s">
        <v>4112</v>
      </c>
      <c r="G74" s="2"/>
      <c r="H74" s="2" t="s">
        <v>4113</v>
      </c>
    </row>
    <row r="75" customFormat="false" ht="15" hidden="false" customHeight="false" outlineLevel="0" collapsed="false">
      <c r="A75" s="2" t="n">
        <v>11</v>
      </c>
      <c r="B75" s="2" t="s">
        <v>184</v>
      </c>
      <c r="C75" s="2" t="s">
        <v>191</v>
      </c>
      <c r="D75" s="2" t="s">
        <v>4114</v>
      </c>
      <c r="E75" s="2" t="s">
        <v>3919</v>
      </c>
      <c r="F75" s="2" t="s">
        <v>4115</v>
      </c>
      <c r="G75" s="2"/>
      <c r="H75" s="2" t="s">
        <v>4116</v>
      </c>
    </row>
    <row r="76" customFormat="false" ht="15" hidden="false" customHeight="false" outlineLevel="0" collapsed="false">
      <c r="A76" s="2" t="n">
        <v>11</v>
      </c>
      <c r="B76" s="2" t="s">
        <v>184</v>
      </c>
      <c r="C76" s="2" t="s">
        <v>191</v>
      </c>
      <c r="D76" s="2" t="s">
        <v>4117</v>
      </c>
      <c r="E76" s="2" t="s">
        <v>3919</v>
      </c>
      <c r="F76" s="2" t="s">
        <v>4118</v>
      </c>
      <c r="G76" s="2"/>
      <c r="H76" s="2" t="s">
        <v>4119</v>
      </c>
    </row>
    <row r="77" customFormat="false" ht="15" hidden="false" customHeight="false" outlineLevel="0" collapsed="false">
      <c r="A77" s="2" t="n">
        <v>11</v>
      </c>
      <c r="B77" s="2" t="s">
        <v>184</v>
      </c>
      <c r="C77" s="2" t="s">
        <v>191</v>
      </c>
      <c r="D77" s="2" t="s">
        <v>4120</v>
      </c>
      <c r="E77" s="2" t="s">
        <v>3919</v>
      </c>
      <c r="F77" s="2" t="s">
        <v>4121</v>
      </c>
      <c r="G77" s="2"/>
      <c r="H77" s="2" t="s">
        <v>4122</v>
      </c>
    </row>
    <row r="78" customFormat="false" ht="15" hidden="false" customHeight="false" outlineLevel="0" collapsed="false">
      <c r="A78" s="2" t="n">
        <v>12</v>
      </c>
      <c r="B78" s="2" t="s">
        <v>195</v>
      </c>
      <c r="C78" s="2" t="s">
        <v>201</v>
      </c>
      <c r="D78" s="2" t="s">
        <v>4123</v>
      </c>
      <c r="E78" s="2" t="s">
        <v>3919</v>
      </c>
      <c r="F78" s="2" t="s">
        <v>4124</v>
      </c>
      <c r="G78" s="2" t="s">
        <v>4125</v>
      </c>
      <c r="H78" s="2" t="s">
        <v>4126</v>
      </c>
    </row>
    <row r="79" customFormat="false" ht="15" hidden="false" customHeight="false" outlineLevel="0" collapsed="false">
      <c r="A79" s="2" t="n">
        <v>12</v>
      </c>
      <c r="B79" s="2" t="s">
        <v>195</v>
      </c>
      <c r="C79" s="2" t="s">
        <v>201</v>
      </c>
      <c r="D79" s="2" t="s">
        <v>4127</v>
      </c>
      <c r="E79" s="2" t="s">
        <v>3919</v>
      </c>
      <c r="F79" s="2" t="s">
        <v>4128</v>
      </c>
      <c r="G79" s="2"/>
      <c r="H79" s="2" t="s">
        <v>4129</v>
      </c>
    </row>
    <row r="80" customFormat="false" ht="15" hidden="false" customHeight="false" outlineLevel="0" collapsed="false">
      <c r="A80" s="2" t="n">
        <v>12</v>
      </c>
      <c r="B80" s="2" t="s">
        <v>195</v>
      </c>
      <c r="C80" s="2" t="s">
        <v>201</v>
      </c>
      <c r="D80" s="2" t="s">
        <v>4130</v>
      </c>
      <c r="E80" s="2" t="s">
        <v>3919</v>
      </c>
      <c r="F80" s="2" t="s">
        <v>4131</v>
      </c>
      <c r="G80" s="2" t="s">
        <v>4132</v>
      </c>
      <c r="H80" s="2" t="s">
        <v>4133</v>
      </c>
    </row>
    <row r="81" customFormat="false" ht="15" hidden="false" customHeight="false" outlineLevel="0" collapsed="false">
      <c r="A81" s="2" t="n">
        <v>12</v>
      </c>
      <c r="B81" s="2" t="s">
        <v>195</v>
      </c>
      <c r="C81" s="2" t="s">
        <v>201</v>
      </c>
      <c r="D81" s="2" t="s">
        <v>4134</v>
      </c>
      <c r="E81" s="2" t="s">
        <v>3919</v>
      </c>
      <c r="F81" s="2" t="s">
        <v>979</v>
      </c>
      <c r="G81" s="2"/>
      <c r="H81" s="2" t="s">
        <v>4135</v>
      </c>
    </row>
    <row r="82" customFormat="false" ht="15" hidden="false" customHeight="false" outlineLevel="0" collapsed="false">
      <c r="A82" s="2" t="n">
        <v>13</v>
      </c>
      <c r="B82" s="2" t="s">
        <v>205</v>
      </c>
      <c r="C82" s="2" t="s">
        <v>211</v>
      </c>
      <c r="D82" s="2" t="s">
        <v>3927</v>
      </c>
      <c r="E82" s="2" t="s">
        <v>3915</v>
      </c>
      <c r="F82" s="2" t="s">
        <v>90</v>
      </c>
      <c r="G82" s="2" t="s">
        <v>3928</v>
      </c>
      <c r="H82" s="2" t="s">
        <v>3929</v>
      </c>
    </row>
    <row r="83" customFormat="false" ht="15" hidden="false" customHeight="false" outlineLevel="0" collapsed="false">
      <c r="A83" s="2" t="n">
        <v>13</v>
      </c>
      <c r="B83" s="2" t="s">
        <v>205</v>
      </c>
      <c r="C83" s="2" t="s">
        <v>211</v>
      </c>
      <c r="D83" s="2" t="s">
        <v>4136</v>
      </c>
      <c r="E83" s="2" t="s">
        <v>3915</v>
      </c>
      <c r="F83" s="2" t="s">
        <v>214</v>
      </c>
      <c r="G83" s="2" t="s">
        <v>4137</v>
      </c>
      <c r="H83" s="2" t="s">
        <v>4138</v>
      </c>
    </row>
    <row r="84" customFormat="false" ht="15" hidden="false" customHeight="false" outlineLevel="0" collapsed="false">
      <c r="A84" s="2" t="n">
        <v>13</v>
      </c>
      <c r="B84" s="2" t="s">
        <v>205</v>
      </c>
      <c r="C84" s="2" t="s">
        <v>211</v>
      </c>
      <c r="D84" s="2" t="s">
        <v>4139</v>
      </c>
      <c r="E84" s="2" t="s">
        <v>3919</v>
      </c>
      <c r="F84" s="2" t="s">
        <v>4140</v>
      </c>
      <c r="G84" s="2"/>
      <c r="H84" s="2" t="s">
        <v>4141</v>
      </c>
    </row>
    <row r="85" customFormat="false" ht="15" hidden="false" customHeight="false" outlineLevel="0" collapsed="false">
      <c r="A85" s="2" t="n">
        <v>13</v>
      </c>
      <c r="B85" s="2" t="s">
        <v>205</v>
      </c>
      <c r="C85" s="2" t="s">
        <v>211</v>
      </c>
      <c r="D85" s="2" t="s">
        <v>4142</v>
      </c>
      <c r="E85" s="2" t="s">
        <v>3919</v>
      </c>
      <c r="F85" s="2" t="s">
        <v>4143</v>
      </c>
      <c r="G85" s="2"/>
      <c r="H85" s="2" t="s">
        <v>4144</v>
      </c>
    </row>
    <row r="86" customFormat="false" ht="15" hidden="false" customHeight="false" outlineLevel="0" collapsed="false">
      <c r="A86" s="2" t="n">
        <v>13</v>
      </c>
      <c r="B86" s="2" t="s">
        <v>205</v>
      </c>
      <c r="C86" s="2" t="s">
        <v>211</v>
      </c>
      <c r="D86" s="2" t="s">
        <v>4145</v>
      </c>
      <c r="E86" s="2" t="s">
        <v>3919</v>
      </c>
      <c r="F86" s="2" t="s">
        <v>1537</v>
      </c>
      <c r="G86" s="2"/>
      <c r="H86" s="2" t="s">
        <v>4146</v>
      </c>
    </row>
    <row r="87" customFormat="false" ht="15" hidden="false" customHeight="false" outlineLevel="0" collapsed="false">
      <c r="A87" s="2" t="n">
        <v>13</v>
      </c>
      <c r="B87" s="2" t="s">
        <v>205</v>
      </c>
      <c r="C87" s="2" t="s">
        <v>211</v>
      </c>
      <c r="D87" s="2" t="s">
        <v>4147</v>
      </c>
      <c r="E87" s="2" t="s">
        <v>3919</v>
      </c>
      <c r="F87" s="2" t="s">
        <v>4148</v>
      </c>
      <c r="G87" s="2"/>
      <c r="H87" s="2" t="s">
        <v>4149</v>
      </c>
    </row>
    <row r="88" customFormat="false" ht="15" hidden="false" customHeight="false" outlineLevel="0" collapsed="false">
      <c r="A88" s="2" t="n">
        <v>14</v>
      </c>
      <c r="B88" s="2" t="s">
        <v>216</v>
      </c>
      <c r="C88" s="2" t="s">
        <v>223</v>
      </c>
      <c r="D88" s="2" t="s">
        <v>4150</v>
      </c>
      <c r="E88" s="2" t="s">
        <v>3915</v>
      </c>
      <c r="F88" s="2" t="s">
        <v>226</v>
      </c>
      <c r="G88" s="2" t="s">
        <v>4151</v>
      </c>
      <c r="H88" s="2" t="s">
        <v>4152</v>
      </c>
    </row>
    <row r="89" customFormat="false" ht="15" hidden="false" customHeight="false" outlineLevel="0" collapsed="false">
      <c r="A89" s="2" t="n">
        <v>14</v>
      </c>
      <c r="B89" s="2" t="s">
        <v>216</v>
      </c>
      <c r="C89" s="2" t="s">
        <v>223</v>
      </c>
      <c r="D89" s="2" t="s">
        <v>4153</v>
      </c>
      <c r="E89" s="2" t="s">
        <v>3915</v>
      </c>
      <c r="F89" s="2" t="s">
        <v>4154</v>
      </c>
      <c r="G89" s="2" t="s">
        <v>4155</v>
      </c>
      <c r="H89" s="2" t="s">
        <v>4156</v>
      </c>
    </row>
    <row r="90" customFormat="false" ht="15" hidden="false" customHeight="false" outlineLevel="0" collapsed="false">
      <c r="A90" s="2" t="n">
        <v>14</v>
      </c>
      <c r="B90" s="2" t="s">
        <v>216</v>
      </c>
      <c r="C90" s="2" t="s">
        <v>223</v>
      </c>
      <c r="D90" s="2" t="s">
        <v>4157</v>
      </c>
      <c r="E90" s="2" t="s">
        <v>3915</v>
      </c>
      <c r="F90" s="2" t="s">
        <v>4158</v>
      </c>
      <c r="G90" s="2" t="s">
        <v>4159</v>
      </c>
      <c r="H90" s="2" t="s">
        <v>4160</v>
      </c>
    </row>
    <row r="91" customFormat="false" ht="15" hidden="false" customHeight="false" outlineLevel="0" collapsed="false">
      <c r="A91" s="2" t="n">
        <v>14</v>
      </c>
      <c r="B91" s="2" t="s">
        <v>216</v>
      </c>
      <c r="C91" s="2" t="s">
        <v>223</v>
      </c>
      <c r="D91" s="2" t="s">
        <v>4161</v>
      </c>
      <c r="E91" s="2" t="s">
        <v>3915</v>
      </c>
      <c r="F91" s="2" t="s">
        <v>4162</v>
      </c>
      <c r="G91" s="2" t="s">
        <v>4163</v>
      </c>
      <c r="H91" s="2" t="s">
        <v>4164</v>
      </c>
    </row>
    <row r="92" customFormat="false" ht="15" hidden="false" customHeight="false" outlineLevel="0" collapsed="false">
      <c r="A92" s="2" t="n">
        <v>14</v>
      </c>
      <c r="B92" s="2" t="s">
        <v>216</v>
      </c>
      <c r="C92" s="2" t="s">
        <v>223</v>
      </c>
      <c r="D92" s="2" t="s">
        <v>4165</v>
      </c>
      <c r="E92" s="2" t="s">
        <v>3915</v>
      </c>
      <c r="F92" s="2" t="s">
        <v>4166</v>
      </c>
      <c r="G92" s="2" t="s">
        <v>4167</v>
      </c>
      <c r="H92" s="2" t="s">
        <v>4168</v>
      </c>
    </row>
    <row r="93" customFormat="false" ht="15" hidden="false" customHeight="false" outlineLevel="0" collapsed="false">
      <c r="A93" s="2" t="n">
        <v>14</v>
      </c>
      <c r="B93" s="2" t="s">
        <v>216</v>
      </c>
      <c r="C93" s="2" t="s">
        <v>223</v>
      </c>
      <c r="D93" s="2" t="s">
        <v>4169</v>
      </c>
      <c r="E93" s="2" t="s">
        <v>3915</v>
      </c>
      <c r="F93" s="2" t="s">
        <v>4170</v>
      </c>
      <c r="G93" s="2" t="s">
        <v>4171</v>
      </c>
      <c r="H93" s="2" t="s">
        <v>4172</v>
      </c>
    </row>
    <row r="94" customFormat="false" ht="15" hidden="false" customHeight="false" outlineLevel="0" collapsed="false">
      <c r="A94" s="2" t="n">
        <v>14</v>
      </c>
      <c r="B94" s="2" t="s">
        <v>216</v>
      </c>
      <c r="C94" s="2" t="s">
        <v>223</v>
      </c>
      <c r="D94" s="2" t="s">
        <v>1411</v>
      </c>
      <c r="E94" s="2" t="s">
        <v>3915</v>
      </c>
      <c r="F94" s="2" t="s">
        <v>1404</v>
      </c>
      <c r="G94" s="2" t="s">
        <v>1412</v>
      </c>
      <c r="H94" s="2" t="s">
        <v>1413</v>
      </c>
    </row>
    <row r="95" customFormat="false" ht="15" hidden="false" customHeight="false" outlineLevel="0" collapsed="false">
      <c r="A95" s="2" t="n">
        <v>14</v>
      </c>
      <c r="B95" s="2" t="s">
        <v>216</v>
      </c>
      <c r="C95" s="2" t="s">
        <v>223</v>
      </c>
      <c r="D95" s="2" t="s">
        <v>4173</v>
      </c>
      <c r="E95" s="2" t="s">
        <v>3915</v>
      </c>
      <c r="F95" s="2" t="s">
        <v>1419</v>
      </c>
      <c r="G95" s="2" t="s">
        <v>4174</v>
      </c>
      <c r="H95" s="2" t="s">
        <v>4175</v>
      </c>
    </row>
    <row r="96" customFormat="false" ht="15" hidden="false" customHeight="false" outlineLevel="0" collapsed="false">
      <c r="A96" s="2" t="n">
        <v>14</v>
      </c>
      <c r="B96" s="2" t="s">
        <v>216</v>
      </c>
      <c r="C96" s="2" t="s">
        <v>223</v>
      </c>
      <c r="D96" s="2" t="s">
        <v>4176</v>
      </c>
      <c r="E96" s="2" t="s">
        <v>3915</v>
      </c>
      <c r="F96" s="2" t="s">
        <v>4177</v>
      </c>
      <c r="G96" s="2" t="s">
        <v>4178</v>
      </c>
      <c r="H96" s="2" t="s">
        <v>4179</v>
      </c>
    </row>
    <row r="97" customFormat="false" ht="15" hidden="false" customHeight="false" outlineLevel="0" collapsed="false">
      <c r="A97" s="2" t="n">
        <v>14</v>
      </c>
      <c r="B97" s="2" t="s">
        <v>216</v>
      </c>
      <c r="C97" s="2" t="s">
        <v>223</v>
      </c>
      <c r="D97" s="2" t="s">
        <v>4180</v>
      </c>
      <c r="E97" s="2" t="s">
        <v>3915</v>
      </c>
      <c r="F97" s="2" t="s">
        <v>4181</v>
      </c>
      <c r="G97" s="2" t="s">
        <v>4182</v>
      </c>
      <c r="H97" s="2" t="s">
        <v>4183</v>
      </c>
    </row>
    <row r="98" customFormat="false" ht="15" hidden="false" customHeight="false" outlineLevel="0" collapsed="false">
      <c r="A98" s="2" t="n">
        <v>14</v>
      </c>
      <c r="B98" s="2" t="s">
        <v>216</v>
      </c>
      <c r="C98" s="2" t="s">
        <v>223</v>
      </c>
      <c r="D98" s="2" t="s">
        <v>4184</v>
      </c>
      <c r="E98" s="2" t="s">
        <v>3915</v>
      </c>
      <c r="F98" s="2" t="s">
        <v>4185</v>
      </c>
      <c r="G98" s="2" t="s">
        <v>4186</v>
      </c>
      <c r="H98" s="2" t="s">
        <v>4187</v>
      </c>
    </row>
    <row r="99" customFormat="false" ht="15" hidden="false" customHeight="false" outlineLevel="0" collapsed="false">
      <c r="A99" s="2" t="n">
        <v>14</v>
      </c>
      <c r="B99" s="2" t="s">
        <v>216</v>
      </c>
      <c r="C99" s="2" t="s">
        <v>223</v>
      </c>
      <c r="D99" s="2" t="s">
        <v>4188</v>
      </c>
      <c r="E99" s="2" t="s">
        <v>3915</v>
      </c>
      <c r="F99" s="2" t="s">
        <v>4189</v>
      </c>
      <c r="G99" s="2" t="s">
        <v>4190</v>
      </c>
      <c r="H99" s="2" t="s">
        <v>4191</v>
      </c>
    </row>
    <row r="100" customFormat="false" ht="15" hidden="false" customHeight="false" outlineLevel="0" collapsed="false">
      <c r="A100" s="2" t="n">
        <v>14</v>
      </c>
      <c r="B100" s="2" t="s">
        <v>216</v>
      </c>
      <c r="C100" s="2" t="s">
        <v>223</v>
      </c>
      <c r="D100" s="2" t="s">
        <v>4192</v>
      </c>
      <c r="E100" s="2" t="s">
        <v>3915</v>
      </c>
      <c r="F100" s="2" t="s">
        <v>4189</v>
      </c>
      <c r="G100" s="2" t="s">
        <v>4193</v>
      </c>
      <c r="H100" s="2" t="s">
        <v>4194</v>
      </c>
    </row>
    <row r="101" customFormat="false" ht="15" hidden="false" customHeight="false" outlineLevel="0" collapsed="false">
      <c r="A101" s="2" t="n">
        <v>14</v>
      </c>
      <c r="B101" s="2" t="s">
        <v>216</v>
      </c>
      <c r="C101" s="2" t="s">
        <v>223</v>
      </c>
      <c r="D101" s="2" t="s">
        <v>4195</v>
      </c>
      <c r="E101" s="2" t="s">
        <v>3915</v>
      </c>
      <c r="F101" s="2" t="s">
        <v>1567</v>
      </c>
      <c r="G101" s="2" t="s">
        <v>4196</v>
      </c>
      <c r="H101" s="2" t="s">
        <v>4197</v>
      </c>
    </row>
    <row r="102" customFormat="false" ht="15" hidden="false" customHeight="false" outlineLevel="0" collapsed="false">
      <c r="A102" s="2" t="n">
        <v>14</v>
      </c>
      <c r="B102" s="2" t="s">
        <v>216</v>
      </c>
      <c r="C102" s="2" t="s">
        <v>223</v>
      </c>
      <c r="D102" s="2" t="s">
        <v>4198</v>
      </c>
      <c r="E102" s="2" t="s">
        <v>3915</v>
      </c>
      <c r="F102" s="2" t="s">
        <v>388</v>
      </c>
      <c r="G102" s="2" t="s">
        <v>4199</v>
      </c>
      <c r="H102" s="2" t="s">
        <v>4200</v>
      </c>
    </row>
    <row r="103" customFormat="false" ht="15" hidden="false" customHeight="false" outlineLevel="0" collapsed="false">
      <c r="A103" s="2" t="n">
        <v>14</v>
      </c>
      <c r="B103" s="2" t="s">
        <v>216</v>
      </c>
      <c r="C103" s="2" t="s">
        <v>223</v>
      </c>
      <c r="D103" s="2" t="s">
        <v>4201</v>
      </c>
      <c r="E103" s="2" t="s">
        <v>3915</v>
      </c>
      <c r="F103" s="2" t="s">
        <v>4202</v>
      </c>
      <c r="G103" s="2" t="s">
        <v>4203</v>
      </c>
      <c r="H103" s="2" t="s">
        <v>4204</v>
      </c>
    </row>
    <row r="104" customFormat="false" ht="15" hidden="false" customHeight="false" outlineLevel="0" collapsed="false">
      <c r="A104" s="2" t="n">
        <v>14</v>
      </c>
      <c r="B104" s="2" t="s">
        <v>216</v>
      </c>
      <c r="C104" s="2" t="s">
        <v>223</v>
      </c>
      <c r="D104" s="2" t="s">
        <v>4205</v>
      </c>
      <c r="E104" s="2" t="s">
        <v>3915</v>
      </c>
      <c r="F104" s="2" t="s">
        <v>1696</v>
      </c>
      <c r="G104" s="2" t="s">
        <v>4206</v>
      </c>
      <c r="H104" s="2" t="s">
        <v>4207</v>
      </c>
    </row>
    <row r="105" customFormat="false" ht="15" hidden="false" customHeight="false" outlineLevel="0" collapsed="false">
      <c r="A105" s="2" t="n">
        <v>14</v>
      </c>
      <c r="B105" s="2" t="s">
        <v>216</v>
      </c>
      <c r="C105" s="2" t="s">
        <v>223</v>
      </c>
      <c r="D105" s="2" t="s">
        <v>4208</v>
      </c>
      <c r="E105" s="2" t="s">
        <v>3915</v>
      </c>
      <c r="F105" s="2" t="s">
        <v>1727</v>
      </c>
      <c r="G105" s="2" t="s">
        <v>4209</v>
      </c>
      <c r="H105" s="2" t="s">
        <v>4210</v>
      </c>
    </row>
    <row r="106" customFormat="false" ht="15" hidden="false" customHeight="false" outlineLevel="0" collapsed="false">
      <c r="A106" s="2" t="n">
        <v>14</v>
      </c>
      <c r="B106" s="2" t="s">
        <v>216</v>
      </c>
      <c r="C106" s="2" t="s">
        <v>223</v>
      </c>
      <c r="D106" s="2" t="s">
        <v>4211</v>
      </c>
      <c r="E106" s="2" t="s">
        <v>3915</v>
      </c>
      <c r="F106" s="2" t="s">
        <v>1743</v>
      </c>
      <c r="G106" s="2" t="s">
        <v>4212</v>
      </c>
      <c r="H106" s="2" t="s">
        <v>4213</v>
      </c>
    </row>
    <row r="107" customFormat="false" ht="15" hidden="false" customHeight="false" outlineLevel="0" collapsed="false">
      <c r="A107" s="2" t="n">
        <v>14</v>
      </c>
      <c r="B107" s="2" t="s">
        <v>216</v>
      </c>
      <c r="C107" s="2" t="s">
        <v>223</v>
      </c>
      <c r="D107" s="2" t="s">
        <v>4214</v>
      </c>
      <c r="E107" s="2" t="s">
        <v>3915</v>
      </c>
      <c r="F107" s="2" t="s">
        <v>1743</v>
      </c>
      <c r="G107" s="2" t="s">
        <v>4215</v>
      </c>
      <c r="H107" s="2" t="s">
        <v>4216</v>
      </c>
    </row>
    <row r="108" customFormat="false" ht="15" hidden="false" customHeight="false" outlineLevel="0" collapsed="false">
      <c r="A108" s="2" t="n">
        <v>14</v>
      </c>
      <c r="B108" s="2" t="s">
        <v>216</v>
      </c>
      <c r="C108" s="2" t="s">
        <v>223</v>
      </c>
      <c r="D108" s="2" t="s">
        <v>4217</v>
      </c>
      <c r="E108" s="2" t="s">
        <v>3915</v>
      </c>
      <c r="F108" s="2" t="s">
        <v>1747</v>
      </c>
      <c r="G108" s="2" t="s">
        <v>4218</v>
      </c>
      <c r="H108" s="2" t="s">
        <v>4219</v>
      </c>
    </row>
    <row r="109" customFormat="false" ht="15" hidden="false" customHeight="false" outlineLevel="0" collapsed="false">
      <c r="A109" s="2" t="n">
        <v>14</v>
      </c>
      <c r="B109" s="2" t="s">
        <v>216</v>
      </c>
      <c r="C109" s="2" t="s">
        <v>223</v>
      </c>
      <c r="D109" s="2" t="s">
        <v>4220</v>
      </c>
      <c r="E109" s="2" t="s">
        <v>3915</v>
      </c>
      <c r="F109" s="2" t="s">
        <v>409</v>
      </c>
      <c r="G109" s="2" t="s">
        <v>4221</v>
      </c>
      <c r="H109" s="2" t="s">
        <v>4222</v>
      </c>
    </row>
    <row r="110" customFormat="false" ht="15" hidden="false" customHeight="false" outlineLevel="0" collapsed="false">
      <c r="A110" s="2" t="n">
        <v>14</v>
      </c>
      <c r="B110" s="2" t="s">
        <v>216</v>
      </c>
      <c r="C110" s="2" t="s">
        <v>223</v>
      </c>
      <c r="D110" s="2" t="s">
        <v>4223</v>
      </c>
      <c r="E110" s="2" t="s">
        <v>3915</v>
      </c>
      <c r="F110" s="2" t="s">
        <v>1778</v>
      </c>
      <c r="G110" s="2" t="s">
        <v>4224</v>
      </c>
      <c r="H110" s="2" t="s">
        <v>4225</v>
      </c>
    </row>
    <row r="111" customFormat="false" ht="15" hidden="false" customHeight="false" outlineLevel="0" collapsed="false">
      <c r="A111" s="2" t="n">
        <v>14</v>
      </c>
      <c r="B111" s="2" t="s">
        <v>216</v>
      </c>
      <c r="C111" s="2" t="s">
        <v>223</v>
      </c>
      <c r="D111" s="2" t="s">
        <v>4226</v>
      </c>
      <c r="E111" s="2" t="s">
        <v>3915</v>
      </c>
      <c r="F111" s="2" t="s">
        <v>1799</v>
      </c>
      <c r="G111" s="2" t="s">
        <v>4227</v>
      </c>
      <c r="H111" s="2" t="s">
        <v>4228</v>
      </c>
    </row>
    <row r="112" customFormat="false" ht="15" hidden="false" customHeight="false" outlineLevel="0" collapsed="false">
      <c r="A112" s="2" t="n">
        <v>14</v>
      </c>
      <c r="B112" s="2" t="s">
        <v>216</v>
      </c>
      <c r="C112" s="2" t="s">
        <v>223</v>
      </c>
      <c r="D112" s="2" t="s">
        <v>4229</v>
      </c>
      <c r="E112" s="2" t="s">
        <v>3915</v>
      </c>
      <c r="F112" s="2" t="s">
        <v>1807</v>
      </c>
      <c r="G112" s="2" t="s">
        <v>4230</v>
      </c>
      <c r="H112" s="2" t="s">
        <v>4231</v>
      </c>
    </row>
    <row r="113" customFormat="false" ht="15" hidden="false" customHeight="false" outlineLevel="0" collapsed="false">
      <c r="A113" s="2" t="n">
        <v>14</v>
      </c>
      <c r="B113" s="2" t="s">
        <v>216</v>
      </c>
      <c r="C113" s="2" t="s">
        <v>223</v>
      </c>
      <c r="D113" s="2" t="s">
        <v>4232</v>
      </c>
      <c r="E113" s="2" t="s">
        <v>3915</v>
      </c>
      <c r="F113" s="2" t="s">
        <v>4233</v>
      </c>
      <c r="G113" s="2" t="s">
        <v>4234</v>
      </c>
      <c r="H113" s="2" t="s">
        <v>4235</v>
      </c>
    </row>
    <row r="114" customFormat="false" ht="15" hidden="false" customHeight="false" outlineLevel="0" collapsed="false">
      <c r="A114" s="2" t="n">
        <v>14</v>
      </c>
      <c r="B114" s="2" t="s">
        <v>216</v>
      </c>
      <c r="C114" s="2" t="s">
        <v>223</v>
      </c>
      <c r="D114" s="2" t="s">
        <v>4236</v>
      </c>
      <c r="E114" s="2" t="s">
        <v>3915</v>
      </c>
      <c r="F114" s="2" t="s">
        <v>4233</v>
      </c>
      <c r="G114" s="2" t="s">
        <v>4237</v>
      </c>
      <c r="H114" s="2" t="s">
        <v>4238</v>
      </c>
    </row>
    <row r="115" customFormat="false" ht="15" hidden="false" customHeight="false" outlineLevel="0" collapsed="false">
      <c r="A115" s="2" t="n">
        <v>14</v>
      </c>
      <c r="B115" s="2" t="s">
        <v>216</v>
      </c>
      <c r="C115" s="2" t="s">
        <v>223</v>
      </c>
      <c r="D115" s="2" t="s">
        <v>4239</v>
      </c>
      <c r="E115" s="2" t="s">
        <v>3915</v>
      </c>
      <c r="F115" s="2" t="s">
        <v>4240</v>
      </c>
      <c r="G115" s="2" t="s">
        <v>4241</v>
      </c>
      <c r="H115" s="2" t="s">
        <v>4242</v>
      </c>
    </row>
    <row r="116" customFormat="false" ht="15" hidden="false" customHeight="false" outlineLevel="0" collapsed="false">
      <c r="A116" s="2" t="n">
        <v>14</v>
      </c>
      <c r="B116" s="2" t="s">
        <v>216</v>
      </c>
      <c r="C116" s="2" t="s">
        <v>223</v>
      </c>
      <c r="D116" s="2" t="s">
        <v>4243</v>
      </c>
      <c r="E116" s="2" t="s">
        <v>3915</v>
      </c>
      <c r="F116" s="2" t="s">
        <v>4244</v>
      </c>
      <c r="G116" s="2" t="s">
        <v>4245</v>
      </c>
      <c r="H116" s="2" t="s">
        <v>4246</v>
      </c>
    </row>
    <row r="117" customFormat="false" ht="15" hidden="false" customHeight="false" outlineLevel="0" collapsed="false">
      <c r="A117" s="2" t="n">
        <v>14</v>
      </c>
      <c r="B117" s="2" t="s">
        <v>216</v>
      </c>
      <c r="C117" s="2" t="s">
        <v>223</v>
      </c>
      <c r="D117" s="2" t="s">
        <v>4247</v>
      </c>
      <c r="E117" s="2" t="s">
        <v>3915</v>
      </c>
      <c r="F117" s="2" t="s">
        <v>605</v>
      </c>
      <c r="G117" s="2" t="s">
        <v>4248</v>
      </c>
      <c r="H117" s="2" t="s">
        <v>4249</v>
      </c>
    </row>
    <row r="118" customFormat="false" ht="15" hidden="false" customHeight="false" outlineLevel="0" collapsed="false">
      <c r="A118" s="2" t="n">
        <v>14</v>
      </c>
      <c r="B118" s="2" t="s">
        <v>216</v>
      </c>
      <c r="C118" s="2" t="s">
        <v>223</v>
      </c>
      <c r="D118" s="2" t="s">
        <v>4250</v>
      </c>
      <c r="E118" s="2" t="s">
        <v>3915</v>
      </c>
      <c r="F118" s="2" t="s">
        <v>1939</v>
      </c>
      <c r="G118" s="2" t="s">
        <v>4251</v>
      </c>
      <c r="H118" s="2" t="s">
        <v>4252</v>
      </c>
    </row>
    <row r="119" customFormat="false" ht="15" hidden="false" customHeight="false" outlineLevel="0" collapsed="false">
      <c r="A119" s="2" t="n">
        <v>14</v>
      </c>
      <c r="B119" s="2" t="s">
        <v>216</v>
      </c>
      <c r="C119" s="2" t="s">
        <v>223</v>
      </c>
      <c r="D119" s="2" t="s">
        <v>4253</v>
      </c>
      <c r="E119" s="2" t="s">
        <v>3915</v>
      </c>
      <c r="F119" s="2" t="s">
        <v>644</v>
      </c>
      <c r="G119" s="2" t="s">
        <v>4254</v>
      </c>
      <c r="H119" s="2" t="s">
        <v>4255</v>
      </c>
    </row>
    <row r="120" customFormat="false" ht="15" hidden="false" customHeight="false" outlineLevel="0" collapsed="false">
      <c r="A120" s="2" t="n">
        <v>14</v>
      </c>
      <c r="B120" s="2" t="s">
        <v>216</v>
      </c>
      <c r="C120" s="2" t="s">
        <v>223</v>
      </c>
      <c r="D120" s="2" t="s">
        <v>4256</v>
      </c>
      <c r="E120" s="2" t="s">
        <v>3915</v>
      </c>
      <c r="F120" s="2" t="s">
        <v>2030</v>
      </c>
      <c r="G120" s="2" t="s">
        <v>4257</v>
      </c>
      <c r="H120" s="2" t="s">
        <v>4258</v>
      </c>
    </row>
    <row r="121" customFormat="false" ht="15" hidden="false" customHeight="false" outlineLevel="0" collapsed="false">
      <c r="A121" s="2" t="n">
        <v>14</v>
      </c>
      <c r="B121" s="2" t="s">
        <v>216</v>
      </c>
      <c r="C121" s="2" t="s">
        <v>223</v>
      </c>
      <c r="D121" s="2" t="s">
        <v>925</v>
      </c>
      <c r="E121" s="2" t="s">
        <v>3915</v>
      </c>
      <c r="F121" s="2" t="s">
        <v>924</v>
      </c>
      <c r="G121" s="2" t="s">
        <v>4259</v>
      </c>
      <c r="H121" s="2" t="s">
        <v>926</v>
      </c>
    </row>
    <row r="122" customFormat="false" ht="15" hidden="false" customHeight="false" outlineLevel="0" collapsed="false">
      <c r="A122" s="2" t="n">
        <v>14</v>
      </c>
      <c r="B122" s="2" t="s">
        <v>216</v>
      </c>
      <c r="C122" s="2" t="s">
        <v>223</v>
      </c>
      <c r="D122" s="2" t="s">
        <v>4260</v>
      </c>
      <c r="E122" s="2" t="s">
        <v>3915</v>
      </c>
      <c r="F122" s="2" t="s">
        <v>227</v>
      </c>
      <c r="G122" s="2" t="s">
        <v>4261</v>
      </c>
      <c r="H122" s="2" t="s">
        <v>4262</v>
      </c>
    </row>
    <row r="123" customFormat="false" ht="15" hidden="false" customHeight="false" outlineLevel="0" collapsed="false">
      <c r="A123" s="2" t="n">
        <v>14</v>
      </c>
      <c r="B123" s="2" t="s">
        <v>216</v>
      </c>
      <c r="C123" s="2" t="s">
        <v>223</v>
      </c>
      <c r="D123" s="2" t="s">
        <v>4263</v>
      </c>
      <c r="E123" s="2" t="s">
        <v>3919</v>
      </c>
      <c r="F123" s="2" t="s">
        <v>4154</v>
      </c>
      <c r="G123" s="2"/>
      <c r="H123" s="2" t="s">
        <v>4264</v>
      </c>
    </row>
    <row r="124" customFormat="false" ht="15" hidden="false" customHeight="false" outlineLevel="0" collapsed="false">
      <c r="A124" s="2" t="n">
        <v>14</v>
      </c>
      <c r="B124" s="2" t="s">
        <v>216</v>
      </c>
      <c r="C124" s="2" t="s">
        <v>223</v>
      </c>
      <c r="D124" s="2" t="s">
        <v>4265</v>
      </c>
      <c r="E124" s="2" t="s">
        <v>3919</v>
      </c>
      <c r="F124" s="2" t="s">
        <v>4154</v>
      </c>
      <c r="G124" s="2"/>
      <c r="H124" s="2" t="s">
        <v>4266</v>
      </c>
    </row>
    <row r="125" customFormat="false" ht="15" hidden="false" customHeight="false" outlineLevel="0" collapsed="false">
      <c r="A125" s="2" t="n">
        <v>14</v>
      </c>
      <c r="B125" s="2" t="s">
        <v>216</v>
      </c>
      <c r="C125" s="2" t="s">
        <v>223</v>
      </c>
      <c r="D125" s="2" t="s">
        <v>4267</v>
      </c>
      <c r="E125" s="2" t="s">
        <v>3919</v>
      </c>
      <c r="F125" s="2" t="s">
        <v>4154</v>
      </c>
      <c r="G125" s="2"/>
      <c r="H125" s="2" t="s">
        <v>4268</v>
      </c>
    </row>
    <row r="126" customFormat="false" ht="15" hidden="false" customHeight="false" outlineLevel="0" collapsed="false">
      <c r="A126" s="2" t="n">
        <v>14</v>
      </c>
      <c r="B126" s="2" t="s">
        <v>216</v>
      </c>
      <c r="C126" s="2" t="s">
        <v>223</v>
      </c>
      <c r="D126" s="2" t="s">
        <v>4269</v>
      </c>
      <c r="E126" s="2" t="s">
        <v>3919</v>
      </c>
      <c r="F126" s="2" t="s">
        <v>4154</v>
      </c>
      <c r="G126" s="2"/>
      <c r="H126" s="2" t="s">
        <v>4270</v>
      </c>
    </row>
    <row r="127" customFormat="false" ht="15" hidden="false" customHeight="false" outlineLevel="0" collapsed="false">
      <c r="A127" s="2" t="n">
        <v>14</v>
      </c>
      <c r="B127" s="2" t="s">
        <v>216</v>
      </c>
      <c r="C127" s="2" t="s">
        <v>223</v>
      </c>
      <c r="D127" s="2" t="s">
        <v>4271</v>
      </c>
      <c r="E127" s="2" t="s">
        <v>3919</v>
      </c>
      <c r="F127" s="2" t="s">
        <v>4154</v>
      </c>
      <c r="G127" s="2"/>
      <c r="H127" s="2" t="s">
        <v>4272</v>
      </c>
    </row>
    <row r="128" customFormat="false" ht="15" hidden="false" customHeight="false" outlineLevel="0" collapsed="false">
      <c r="A128" s="2" t="n">
        <v>14</v>
      </c>
      <c r="B128" s="2" t="s">
        <v>216</v>
      </c>
      <c r="C128" s="2" t="s">
        <v>223</v>
      </c>
      <c r="D128" s="2" t="s">
        <v>4273</v>
      </c>
      <c r="E128" s="2" t="s">
        <v>3919</v>
      </c>
      <c r="F128" s="2" t="s">
        <v>4154</v>
      </c>
      <c r="G128" s="2" t="s">
        <v>4274</v>
      </c>
      <c r="H128" s="2" t="s">
        <v>4275</v>
      </c>
    </row>
    <row r="129" customFormat="false" ht="15" hidden="false" customHeight="false" outlineLevel="0" collapsed="false">
      <c r="A129" s="2" t="n">
        <v>14</v>
      </c>
      <c r="B129" s="2" t="s">
        <v>216</v>
      </c>
      <c r="C129" s="2" t="s">
        <v>223</v>
      </c>
      <c r="D129" s="2" t="s">
        <v>4276</v>
      </c>
      <c r="E129" s="2" t="s">
        <v>3919</v>
      </c>
      <c r="F129" s="2" t="s">
        <v>4277</v>
      </c>
      <c r="G129" s="2"/>
      <c r="H129" s="2" t="s">
        <v>4278</v>
      </c>
    </row>
    <row r="130" customFormat="false" ht="15" hidden="false" customHeight="false" outlineLevel="0" collapsed="false">
      <c r="A130" s="2" t="n">
        <v>14</v>
      </c>
      <c r="B130" s="2" t="s">
        <v>216</v>
      </c>
      <c r="C130" s="2" t="s">
        <v>223</v>
      </c>
      <c r="D130" s="2" t="s">
        <v>4279</v>
      </c>
      <c r="E130" s="2" t="s">
        <v>3919</v>
      </c>
      <c r="F130" s="2" t="s">
        <v>4280</v>
      </c>
      <c r="G130" s="2"/>
      <c r="H130" s="2" t="s">
        <v>4281</v>
      </c>
    </row>
    <row r="131" customFormat="false" ht="15" hidden="false" customHeight="false" outlineLevel="0" collapsed="false">
      <c r="A131" s="2" t="n">
        <v>14</v>
      </c>
      <c r="B131" s="2" t="s">
        <v>216</v>
      </c>
      <c r="C131" s="2" t="s">
        <v>223</v>
      </c>
      <c r="D131" s="2" t="s">
        <v>4282</v>
      </c>
      <c r="E131" s="2" t="s">
        <v>3919</v>
      </c>
      <c r="F131" s="2" t="s">
        <v>4280</v>
      </c>
      <c r="G131" s="2"/>
      <c r="H131" s="2" t="s">
        <v>4283</v>
      </c>
    </row>
    <row r="132" customFormat="false" ht="15" hidden="false" customHeight="false" outlineLevel="0" collapsed="false">
      <c r="A132" s="2" t="n">
        <v>14</v>
      </c>
      <c r="B132" s="2" t="s">
        <v>216</v>
      </c>
      <c r="C132" s="2" t="s">
        <v>223</v>
      </c>
      <c r="D132" s="2" t="s">
        <v>4284</v>
      </c>
      <c r="E132" s="2" t="s">
        <v>3919</v>
      </c>
      <c r="F132" s="2" t="s">
        <v>4285</v>
      </c>
      <c r="G132" s="2"/>
      <c r="H132" s="2" t="s">
        <v>4286</v>
      </c>
    </row>
    <row r="133" customFormat="false" ht="15" hidden="false" customHeight="false" outlineLevel="0" collapsed="false">
      <c r="A133" s="2" t="n">
        <v>14</v>
      </c>
      <c r="B133" s="2" t="s">
        <v>216</v>
      </c>
      <c r="C133" s="2" t="s">
        <v>223</v>
      </c>
      <c r="D133" s="2" t="s">
        <v>4287</v>
      </c>
      <c r="E133" s="2" t="s">
        <v>3919</v>
      </c>
      <c r="F133" s="2" t="s">
        <v>4285</v>
      </c>
      <c r="G133" s="2" t="s">
        <v>4288</v>
      </c>
      <c r="H133" s="2" t="s">
        <v>4289</v>
      </c>
    </row>
    <row r="134" customFormat="false" ht="15" hidden="false" customHeight="false" outlineLevel="0" collapsed="false">
      <c r="A134" s="2" t="n">
        <v>14</v>
      </c>
      <c r="B134" s="2" t="s">
        <v>216</v>
      </c>
      <c r="C134" s="2" t="s">
        <v>223</v>
      </c>
      <c r="D134" s="2" t="s">
        <v>4290</v>
      </c>
      <c r="E134" s="2" t="s">
        <v>3919</v>
      </c>
      <c r="F134" s="2" t="s">
        <v>359</v>
      </c>
      <c r="G134" s="2"/>
      <c r="H134" s="2" t="s">
        <v>4291</v>
      </c>
    </row>
    <row r="135" customFormat="false" ht="15" hidden="false" customHeight="false" outlineLevel="0" collapsed="false">
      <c r="A135" s="2" t="n">
        <v>14</v>
      </c>
      <c r="B135" s="2" t="s">
        <v>216</v>
      </c>
      <c r="C135" s="2" t="s">
        <v>223</v>
      </c>
      <c r="D135" s="2" t="s">
        <v>4292</v>
      </c>
      <c r="E135" s="2" t="s">
        <v>3919</v>
      </c>
      <c r="F135" s="2" t="s">
        <v>4293</v>
      </c>
      <c r="G135" s="2"/>
      <c r="H135" s="2" t="s">
        <v>4294</v>
      </c>
    </row>
    <row r="136" customFormat="false" ht="15" hidden="false" customHeight="false" outlineLevel="0" collapsed="false">
      <c r="A136" s="2" t="n">
        <v>14</v>
      </c>
      <c r="B136" s="2" t="s">
        <v>216</v>
      </c>
      <c r="C136" s="2" t="s">
        <v>223</v>
      </c>
      <c r="D136" s="2" t="s">
        <v>4295</v>
      </c>
      <c r="E136" s="2" t="s">
        <v>3919</v>
      </c>
      <c r="F136" s="2" t="s">
        <v>4296</v>
      </c>
      <c r="G136" s="2"/>
      <c r="H136" s="2" t="s">
        <v>4297</v>
      </c>
    </row>
    <row r="137" customFormat="false" ht="15" hidden="false" customHeight="false" outlineLevel="0" collapsed="false">
      <c r="A137" s="2" t="n">
        <v>14</v>
      </c>
      <c r="B137" s="2" t="s">
        <v>216</v>
      </c>
      <c r="C137" s="2" t="s">
        <v>223</v>
      </c>
      <c r="D137" s="2" t="s">
        <v>4298</v>
      </c>
      <c r="E137" s="2" t="s">
        <v>3919</v>
      </c>
      <c r="F137" s="2" t="s">
        <v>4296</v>
      </c>
      <c r="G137" s="2"/>
      <c r="H137" s="2" t="s">
        <v>4299</v>
      </c>
    </row>
    <row r="138" customFormat="false" ht="15" hidden="false" customHeight="false" outlineLevel="0" collapsed="false">
      <c r="A138" s="2" t="n">
        <v>14</v>
      </c>
      <c r="B138" s="2" t="s">
        <v>216</v>
      </c>
      <c r="C138" s="2" t="s">
        <v>223</v>
      </c>
      <c r="D138" s="2" t="s">
        <v>4300</v>
      </c>
      <c r="E138" s="2" t="s">
        <v>3919</v>
      </c>
      <c r="F138" s="2" t="s">
        <v>4301</v>
      </c>
      <c r="G138" s="2"/>
      <c r="H138" s="2" t="s">
        <v>4302</v>
      </c>
    </row>
    <row r="139" customFormat="false" ht="15" hidden="false" customHeight="false" outlineLevel="0" collapsed="false">
      <c r="A139" s="2" t="n">
        <v>14</v>
      </c>
      <c r="B139" s="2" t="s">
        <v>216</v>
      </c>
      <c r="C139" s="2" t="s">
        <v>223</v>
      </c>
      <c r="D139" s="2" t="s">
        <v>4303</v>
      </c>
      <c r="E139" s="2" t="s">
        <v>3919</v>
      </c>
      <c r="F139" s="2" t="s">
        <v>522</v>
      </c>
      <c r="G139" s="2"/>
      <c r="H139" s="2" t="s">
        <v>4304</v>
      </c>
    </row>
    <row r="140" customFormat="false" ht="15" hidden="false" customHeight="false" outlineLevel="0" collapsed="false">
      <c r="A140" s="2" t="n">
        <v>14</v>
      </c>
      <c r="B140" s="2" t="s">
        <v>216</v>
      </c>
      <c r="C140" s="2" t="s">
        <v>223</v>
      </c>
      <c r="D140" s="2" t="s">
        <v>4305</v>
      </c>
      <c r="E140" s="2" t="s">
        <v>3919</v>
      </c>
      <c r="F140" s="2" t="s">
        <v>4306</v>
      </c>
      <c r="G140" s="2"/>
      <c r="H140" s="2" t="s">
        <v>4307</v>
      </c>
    </row>
    <row r="141" customFormat="false" ht="15" hidden="false" customHeight="false" outlineLevel="0" collapsed="false">
      <c r="A141" s="2" t="n">
        <v>14</v>
      </c>
      <c r="B141" s="2" t="s">
        <v>216</v>
      </c>
      <c r="C141" s="2" t="s">
        <v>223</v>
      </c>
      <c r="D141" s="2" t="s">
        <v>4308</v>
      </c>
      <c r="E141" s="2" t="s">
        <v>3919</v>
      </c>
      <c r="F141" s="2" t="s">
        <v>4009</v>
      </c>
      <c r="G141" s="2"/>
      <c r="H141" s="2" t="s">
        <v>4309</v>
      </c>
    </row>
    <row r="142" customFormat="false" ht="15" hidden="false" customHeight="false" outlineLevel="0" collapsed="false">
      <c r="A142" s="2" t="n">
        <v>14</v>
      </c>
      <c r="B142" s="2" t="s">
        <v>216</v>
      </c>
      <c r="C142" s="2" t="s">
        <v>223</v>
      </c>
      <c r="D142" s="2" t="s">
        <v>4310</v>
      </c>
      <c r="E142" s="2" t="s">
        <v>3919</v>
      </c>
      <c r="F142" s="2" t="s">
        <v>4311</v>
      </c>
      <c r="G142" s="2"/>
      <c r="H142" s="2" t="s">
        <v>4312</v>
      </c>
    </row>
    <row r="143" customFormat="false" ht="15" hidden="false" customHeight="false" outlineLevel="0" collapsed="false">
      <c r="A143" s="2" t="n">
        <v>14</v>
      </c>
      <c r="B143" s="2" t="s">
        <v>216</v>
      </c>
      <c r="C143" s="2" t="s">
        <v>223</v>
      </c>
      <c r="D143" s="2" t="s">
        <v>4313</v>
      </c>
      <c r="E143" s="2" t="s">
        <v>3919</v>
      </c>
      <c r="F143" s="2" t="s">
        <v>4314</v>
      </c>
      <c r="G143" s="2"/>
      <c r="H143" s="2" t="s">
        <v>4315</v>
      </c>
    </row>
    <row r="144" customFormat="false" ht="15" hidden="false" customHeight="false" outlineLevel="0" collapsed="false">
      <c r="A144" s="2" t="n">
        <v>14</v>
      </c>
      <c r="B144" s="2" t="s">
        <v>216</v>
      </c>
      <c r="C144" s="2" t="s">
        <v>223</v>
      </c>
      <c r="D144" s="2" t="s">
        <v>4316</v>
      </c>
      <c r="E144" s="2" t="s">
        <v>3919</v>
      </c>
      <c r="F144" s="2" t="s">
        <v>2263</v>
      </c>
      <c r="G144" s="2"/>
      <c r="H144" s="2" t="s">
        <v>4317</v>
      </c>
    </row>
    <row r="145" customFormat="false" ht="15" hidden="false" customHeight="false" outlineLevel="0" collapsed="false">
      <c r="A145" s="2" t="n">
        <v>14</v>
      </c>
      <c r="B145" s="2" t="s">
        <v>216</v>
      </c>
      <c r="C145" s="2" t="s">
        <v>223</v>
      </c>
      <c r="D145" s="2" t="s">
        <v>4318</v>
      </c>
      <c r="E145" s="2" t="s">
        <v>3919</v>
      </c>
      <c r="F145" s="2" t="s">
        <v>4319</v>
      </c>
      <c r="G145" s="2"/>
      <c r="H145" s="2" t="s">
        <v>4320</v>
      </c>
    </row>
    <row r="146" customFormat="false" ht="15" hidden="false" customHeight="false" outlineLevel="0" collapsed="false">
      <c r="A146" s="2" t="n">
        <v>15</v>
      </c>
      <c r="B146" s="2" t="s">
        <v>230</v>
      </c>
      <c r="C146" s="2" t="s">
        <v>235</v>
      </c>
      <c r="D146" s="2" t="s">
        <v>4321</v>
      </c>
      <c r="E146" s="2" t="s">
        <v>3915</v>
      </c>
      <c r="F146" s="2" t="s">
        <v>238</v>
      </c>
      <c r="G146" s="2" t="s">
        <v>4322</v>
      </c>
      <c r="H146" s="2" t="s">
        <v>4323</v>
      </c>
    </row>
    <row r="147" customFormat="false" ht="15" hidden="false" customHeight="false" outlineLevel="0" collapsed="false">
      <c r="A147" s="2" t="n">
        <v>15</v>
      </c>
      <c r="B147" s="2" t="s">
        <v>230</v>
      </c>
      <c r="C147" s="2" t="s">
        <v>235</v>
      </c>
      <c r="D147" s="2" t="s">
        <v>876</v>
      </c>
      <c r="E147" s="2" t="s">
        <v>3915</v>
      </c>
      <c r="F147" s="2" t="s">
        <v>239</v>
      </c>
      <c r="G147" s="2" t="s">
        <v>4324</v>
      </c>
      <c r="H147" s="2" t="s">
        <v>877</v>
      </c>
    </row>
    <row r="148" customFormat="false" ht="15" hidden="false" customHeight="false" outlineLevel="0" collapsed="false">
      <c r="A148" s="2" t="n">
        <v>15</v>
      </c>
      <c r="B148" s="2" t="s">
        <v>230</v>
      </c>
      <c r="C148" s="2" t="s">
        <v>235</v>
      </c>
      <c r="D148" s="2" t="s">
        <v>4325</v>
      </c>
      <c r="E148" s="2" t="s">
        <v>3919</v>
      </c>
      <c r="F148" s="2" t="s">
        <v>4056</v>
      </c>
      <c r="G148" s="2" t="s">
        <v>4326</v>
      </c>
      <c r="H148" s="2" t="s">
        <v>4327</v>
      </c>
    </row>
    <row r="149" customFormat="false" ht="15" hidden="false" customHeight="false" outlineLevel="0" collapsed="false">
      <c r="A149" s="2" t="n">
        <v>15</v>
      </c>
      <c r="B149" s="2" t="s">
        <v>230</v>
      </c>
      <c r="C149" s="2" t="s">
        <v>235</v>
      </c>
      <c r="D149" s="2" t="s">
        <v>4328</v>
      </c>
      <c r="E149" s="2" t="s">
        <v>3919</v>
      </c>
      <c r="F149" s="2" t="s">
        <v>4329</v>
      </c>
      <c r="G149" s="2"/>
      <c r="H149" s="2" t="s">
        <v>4330</v>
      </c>
    </row>
    <row r="150" customFormat="false" ht="15" hidden="false" customHeight="false" outlineLevel="0" collapsed="false">
      <c r="A150" s="2" t="n">
        <v>15</v>
      </c>
      <c r="B150" s="2" t="s">
        <v>230</v>
      </c>
      <c r="C150" s="2" t="s">
        <v>235</v>
      </c>
      <c r="D150" s="2" t="s">
        <v>4331</v>
      </c>
      <c r="E150" s="2" t="s">
        <v>3919</v>
      </c>
      <c r="F150" s="2" t="s">
        <v>4332</v>
      </c>
      <c r="G150" s="2"/>
      <c r="H150" s="2" t="s">
        <v>4333</v>
      </c>
    </row>
    <row r="151" customFormat="false" ht="15" hidden="false" customHeight="false" outlineLevel="0" collapsed="false">
      <c r="A151" s="2" t="n">
        <v>16</v>
      </c>
      <c r="B151" s="2" t="s">
        <v>241</v>
      </c>
      <c r="C151" s="2" t="s">
        <v>247</v>
      </c>
      <c r="D151" s="2" t="s">
        <v>4334</v>
      </c>
      <c r="E151" s="2" t="s">
        <v>3915</v>
      </c>
      <c r="F151" s="2" t="s">
        <v>250</v>
      </c>
      <c r="G151" s="2" t="s">
        <v>4335</v>
      </c>
      <c r="H151" s="2" t="s">
        <v>4336</v>
      </c>
    </row>
    <row r="152" customFormat="false" ht="15" hidden="false" customHeight="false" outlineLevel="0" collapsed="false">
      <c r="A152" s="2" t="n">
        <v>16</v>
      </c>
      <c r="B152" s="2" t="s">
        <v>241</v>
      </c>
      <c r="C152" s="2" t="s">
        <v>247</v>
      </c>
      <c r="D152" s="2" t="s">
        <v>4337</v>
      </c>
      <c r="E152" s="2" t="s">
        <v>3915</v>
      </c>
      <c r="F152" s="2" t="s">
        <v>251</v>
      </c>
      <c r="G152" s="2" t="s">
        <v>4338</v>
      </c>
      <c r="H152" s="2" t="s">
        <v>4339</v>
      </c>
    </row>
    <row r="153" customFormat="false" ht="15" hidden="false" customHeight="false" outlineLevel="0" collapsed="false">
      <c r="A153" s="2" t="n">
        <v>16</v>
      </c>
      <c r="B153" s="2" t="s">
        <v>241</v>
      </c>
      <c r="C153" s="2" t="s">
        <v>247</v>
      </c>
      <c r="D153" s="2" t="s">
        <v>4340</v>
      </c>
      <c r="E153" s="2" t="s">
        <v>3919</v>
      </c>
      <c r="F153" s="2" t="s">
        <v>238</v>
      </c>
      <c r="G153" s="2"/>
      <c r="H153" s="2" t="s">
        <v>4341</v>
      </c>
    </row>
    <row r="154" customFormat="false" ht="15" hidden="false" customHeight="false" outlineLevel="0" collapsed="false">
      <c r="A154" s="2" t="n">
        <v>16</v>
      </c>
      <c r="B154" s="2" t="s">
        <v>241</v>
      </c>
      <c r="C154" s="2" t="s">
        <v>247</v>
      </c>
      <c r="D154" s="2" t="s">
        <v>4342</v>
      </c>
      <c r="E154" s="2" t="s">
        <v>3919</v>
      </c>
      <c r="F154" s="2" t="s">
        <v>4343</v>
      </c>
      <c r="G154" s="2"/>
      <c r="H154" s="2" t="s">
        <v>4344</v>
      </c>
    </row>
    <row r="155" customFormat="false" ht="15" hidden="false" customHeight="false" outlineLevel="0" collapsed="false">
      <c r="A155" s="2" t="n">
        <v>17</v>
      </c>
      <c r="B155" s="2" t="s">
        <v>253</v>
      </c>
      <c r="C155" s="2" t="s">
        <v>259</v>
      </c>
      <c r="D155" s="2" t="s">
        <v>2082</v>
      </c>
      <c r="E155" s="2" t="s">
        <v>3915</v>
      </c>
      <c r="F155" s="2" t="s">
        <v>262</v>
      </c>
      <c r="G155" s="2" t="s">
        <v>2084</v>
      </c>
      <c r="H155" s="2" t="s">
        <v>2085</v>
      </c>
    </row>
    <row r="156" customFormat="false" ht="15" hidden="false" customHeight="false" outlineLevel="0" collapsed="false">
      <c r="A156" s="2" t="n">
        <v>17</v>
      </c>
      <c r="B156" s="2" t="s">
        <v>253</v>
      </c>
      <c r="C156" s="2" t="s">
        <v>259</v>
      </c>
      <c r="D156" s="2" t="s">
        <v>2086</v>
      </c>
      <c r="E156" s="2" t="s">
        <v>3915</v>
      </c>
      <c r="F156" s="2" t="s">
        <v>2087</v>
      </c>
      <c r="G156" s="2" t="s">
        <v>2088</v>
      </c>
      <c r="H156" s="2" t="s">
        <v>2089</v>
      </c>
    </row>
    <row r="157" customFormat="false" ht="15" hidden="false" customHeight="false" outlineLevel="0" collapsed="false">
      <c r="A157" s="2" t="n">
        <v>17</v>
      </c>
      <c r="B157" s="2" t="s">
        <v>253</v>
      </c>
      <c r="C157" s="2" t="s">
        <v>259</v>
      </c>
      <c r="D157" s="2" t="s">
        <v>2090</v>
      </c>
      <c r="E157" s="2" t="s">
        <v>3915</v>
      </c>
      <c r="F157" s="2" t="s">
        <v>2091</v>
      </c>
      <c r="G157" s="2" t="s">
        <v>2092</v>
      </c>
      <c r="H157" s="2" t="s">
        <v>2093</v>
      </c>
    </row>
    <row r="158" customFormat="false" ht="15" hidden="false" customHeight="false" outlineLevel="0" collapsed="false">
      <c r="A158" s="2" t="n">
        <v>17</v>
      </c>
      <c r="B158" s="2" t="s">
        <v>253</v>
      </c>
      <c r="C158" s="2" t="s">
        <v>259</v>
      </c>
      <c r="D158" s="2" t="s">
        <v>2094</v>
      </c>
      <c r="E158" s="2" t="s">
        <v>3915</v>
      </c>
      <c r="F158" s="2" t="s">
        <v>2095</v>
      </c>
      <c r="G158" s="2" t="s">
        <v>2096</v>
      </c>
      <c r="H158" s="2" t="s">
        <v>2097</v>
      </c>
    </row>
    <row r="159" customFormat="false" ht="15" hidden="false" customHeight="false" outlineLevel="0" collapsed="false">
      <c r="A159" s="2" t="n">
        <v>17</v>
      </c>
      <c r="B159" s="2" t="s">
        <v>253</v>
      </c>
      <c r="C159" s="2" t="s">
        <v>259</v>
      </c>
      <c r="D159" s="2" t="s">
        <v>2098</v>
      </c>
      <c r="E159" s="2" t="s">
        <v>3915</v>
      </c>
      <c r="F159" s="2" t="s">
        <v>2099</v>
      </c>
      <c r="G159" s="2" t="s">
        <v>2100</v>
      </c>
      <c r="H159" s="2" t="s">
        <v>2101</v>
      </c>
    </row>
    <row r="160" customFormat="false" ht="15" hidden="false" customHeight="false" outlineLevel="0" collapsed="false">
      <c r="A160" s="2" t="n">
        <v>17</v>
      </c>
      <c r="B160" s="2" t="s">
        <v>253</v>
      </c>
      <c r="C160" s="2" t="s">
        <v>259</v>
      </c>
      <c r="D160" s="2" t="s">
        <v>2106</v>
      </c>
      <c r="E160" s="2" t="s">
        <v>3915</v>
      </c>
      <c r="F160" s="2" t="s">
        <v>2103</v>
      </c>
      <c r="G160" s="2" t="s">
        <v>2107</v>
      </c>
      <c r="H160" s="2" t="s">
        <v>2108</v>
      </c>
    </row>
    <row r="161" customFormat="false" ht="15" hidden="false" customHeight="false" outlineLevel="0" collapsed="false">
      <c r="A161" s="2" t="n">
        <v>17</v>
      </c>
      <c r="B161" s="2" t="s">
        <v>253</v>
      </c>
      <c r="C161" s="2" t="s">
        <v>259</v>
      </c>
      <c r="D161" s="2" t="s">
        <v>2109</v>
      </c>
      <c r="E161" s="2" t="s">
        <v>3915</v>
      </c>
      <c r="F161" s="2" t="s">
        <v>2103</v>
      </c>
      <c r="G161" s="2" t="s">
        <v>2110</v>
      </c>
      <c r="H161" s="2" t="s">
        <v>2111</v>
      </c>
    </row>
    <row r="162" customFormat="false" ht="15" hidden="false" customHeight="false" outlineLevel="0" collapsed="false">
      <c r="A162" s="2" t="n">
        <v>17</v>
      </c>
      <c r="B162" s="2" t="s">
        <v>253</v>
      </c>
      <c r="C162" s="2" t="s">
        <v>259</v>
      </c>
      <c r="D162" s="2" t="s">
        <v>2102</v>
      </c>
      <c r="E162" s="2" t="s">
        <v>3915</v>
      </c>
      <c r="F162" s="2" t="s">
        <v>2103</v>
      </c>
      <c r="G162" s="2" t="s">
        <v>2104</v>
      </c>
      <c r="H162" s="2" t="s">
        <v>2105</v>
      </c>
    </row>
    <row r="163" customFormat="false" ht="15" hidden="false" customHeight="false" outlineLevel="0" collapsed="false">
      <c r="A163" s="2" t="n">
        <v>17</v>
      </c>
      <c r="B163" s="2" t="s">
        <v>253</v>
      </c>
      <c r="C163" s="2" t="s">
        <v>259</v>
      </c>
      <c r="D163" s="2" t="s">
        <v>2112</v>
      </c>
      <c r="E163" s="2" t="s">
        <v>3915</v>
      </c>
      <c r="F163" s="2" t="s">
        <v>2113</v>
      </c>
      <c r="G163" s="2" t="s">
        <v>2114</v>
      </c>
      <c r="H163" s="2" t="s">
        <v>2115</v>
      </c>
    </row>
    <row r="164" customFormat="false" ht="15" hidden="false" customHeight="false" outlineLevel="0" collapsed="false">
      <c r="A164" s="2" t="n">
        <v>17</v>
      </c>
      <c r="B164" s="2" t="s">
        <v>253</v>
      </c>
      <c r="C164" s="2" t="s">
        <v>259</v>
      </c>
      <c r="D164" s="2" t="s">
        <v>2116</v>
      </c>
      <c r="E164" s="2" t="s">
        <v>3915</v>
      </c>
      <c r="F164" s="2" t="s">
        <v>2117</v>
      </c>
      <c r="G164" s="2" t="s">
        <v>2118</v>
      </c>
      <c r="H164" s="2" t="s">
        <v>2119</v>
      </c>
    </row>
    <row r="165" customFormat="false" ht="15" hidden="false" customHeight="false" outlineLevel="0" collapsed="false">
      <c r="A165" s="2" t="n">
        <v>17</v>
      </c>
      <c r="B165" s="2" t="s">
        <v>253</v>
      </c>
      <c r="C165" s="2" t="s">
        <v>259</v>
      </c>
      <c r="D165" s="2" t="s">
        <v>2120</v>
      </c>
      <c r="E165" s="2" t="s">
        <v>3915</v>
      </c>
      <c r="F165" s="2" t="s">
        <v>2121</v>
      </c>
      <c r="G165" s="2" t="s">
        <v>2122</v>
      </c>
      <c r="H165" s="2" t="s">
        <v>2123</v>
      </c>
    </row>
    <row r="166" customFormat="false" ht="15" hidden="false" customHeight="false" outlineLevel="0" collapsed="false">
      <c r="A166" s="2" t="n">
        <v>17</v>
      </c>
      <c r="B166" s="2" t="s">
        <v>253</v>
      </c>
      <c r="C166" s="2" t="s">
        <v>259</v>
      </c>
      <c r="D166" s="2" t="s">
        <v>2124</v>
      </c>
      <c r="E166" s="2" t="s">
        <v>3915</v>
      </c>
      <c r="F166" s="2" t="s">
        <v>2125</v>
      </c>
      <c r="G166" s="2" t="s">
        <v>2126</v>
      </c>
      <c r="H166" s="2" t="s">
        <v>2127</v>
      </c>
    </row>
    <row r="167" customFormat="false" ht="15" hidden="false" customHeight="false" outlineLevel="0" collapsed="false">
      <c r="A167" s="2" t="n">
        <v>17</v>
      </c>
      <c r="B167" s="2" t="s">
        <v>253</v>
      </c>
      <c r="C167" s="2" t="s">
        <v>259</v>
      </c>
      <c r="D167" s="2" t="s">
        <v>2128</v>
      </c>
      <c r="E167" s="2" t="s">
        <v>3915</v>
      </c>
      <c r="F167" s="2" t="s">
        <v>2129</v>
      </c>
      <c r="G167" s="2" t="s">
        <v>2130</v>
      </c>
      <c r="H167" s="2" t="s">
        <v>2131</v>
      </c>
    </row>
    <row r="168" customFormat="false" ht="15" hidden="false" customHeight="false" outlineLevel="0" collapsed="false">
      <c r="A168" s="2" t="n">
        <v>17</v>
      </c>
      <c r="B168" s="2" t="s">
        <v>253</v>
      </c>
      <c r="C168" s="2" t="s">
        <v>259</v>
      </c>
      <c r="D168" s="2" t="s">
        <v>2132</v>
      </c>
      <c r="E168" s="2" t="s">
        <v>3915</v>
      </c>
      <c r="F168" s="2" t="s">
        <v>2133</v>
      </c>
      <c r="G168" s="2" t="s">
        <v>2134</v>
      </c>
      <c r="H168" s="2" t="s">
        <v>2135</v>
      </c>
    </row>
    <row r="169" customFormat="false" ht="15" hidden="false" customHeight="false" outlineLevel="0" collapsed="false">
      <c r="A169" s="2" t="n">
        <v>17</v>
      </c>
      <c r="B169" s="2" t="s">
        <v>253</v>
      </c>
      <c r="C169" s="2" t="s">
        <v>259</v>
      </c>
      <c r="D169" s="2" t="s">
        <v>2136</v>
      </c>
      <c r="E169" s="2" t="s">
        <v>3915</v>
      </c>
      <c r="F169" s="2" t="s">
        <v>2137</v>
      </c>
      <c r="G169" s="2" t="s">
        <v>2138</v>
      </c>
      <c r="H169" s="2" t="s">
        <v>2139</v>
      </c>
    </row>
    <row r="170" customFormat="false" ht="15" hidden="false" customHeight="false" outlineLevel="0" collapsed="false">
      <c r="A170" s="2" t="n">
        <v>17</v>
      </c>
      <c r="B170" s="2" t="s">
        <v>253</v>
      </c>
      <c r="C170" s="2" t="s">
        <v>259</v>
      </c>
      <c r="D170" s="2" t="s">
        <v>2140</v>
      </c>
      <c r="E170" s="2" t="s">
        <v>3915</v>
      </c>
      <c r="F170" s="2" t="s">
        <v>2137</v>
      </c>
      <c r="G170" s="2" t="s">
        <v>2141</v>
      </c>
      <c r="H170" s="2" t="s">
        <v>2142</v>
      </c>
    </row>
    <row r="171" customFormat="false" ht="15" hidden="false" customHeight="false" outlineLevel="0" collapsed="false">
      <c r="A171" s="2" t="n">
        <v>17</v>
      </c>
      <c r="B171" s="2" t="s">
        <v>253</v>
      </c>
      <c r="C171" s="2" t="s">
        <v>259</v>
      </c>
      <c r="D171" s="2" t="s">
        <v>2143</v>
      </c>
      <c r="E171" s="2" t="s">
        <v>3915</v>
      </c>
      <c r="F171" s="2" t="s">
        <v>2144</v>
      </c>
      <c r="G171" s="2" t="s">
        <v>2145</v>
      </c>
      <c r="H171" s="2" t="s">
        <v>2146</v>
      </c>
    </row>
    <row r="172" customFormat="false" ht="15" hidden="false" customHeight="false" outlineLevel="0" collapsed="false">
      <c r="A172" s="2" t="n">
        <v>17</v>
      </c>
      <c r="B172" s="2" t="s">
        <v>253</v>
      </c>
      <c r="C172" s="2" t="s">
        <v>259</v>
      </c>
      <c r="D172" s="2" t="s">
        <v>2151</v>
      </c>
      <c r="E172" s="2" t="s">
        <v>3915</v>
      </c>
      <c r="F172" s="2" t="s">
        <v>263</v>
      </c>
      <c r="G172" s="2" t="s">
        <v>2152</v>
      </c>
      <c r="H172" s="2" t="s">
        <v>2153</v>
      </c>
    </row>
    <row r="173" customFormat="false" ht="15" hidden="false" customHeight="false" outlineLevel="0" collapsed="false">
      <c r="A173" s="2" t="n">
        <v>17</v>
      </c>
      <c r="B173" s="2" t="s">
        <v>253</v>
      </c>
      <c r="C173" s="2" t="s">
        <v>259</v>
      </c>
      <c r="D173" s="2" t="s">
        <v>4345</v>
      </c>
      <c r="E173" s="2" t="s">
        <v>3919</v>
      </c>
      <c r="F173" s="2" t="s">
        <v>3986</v>
      </c>
      <c r="G173" s="2" t="s">
        <v>4346</v>
      </c>
      <c r="H173" s="2" t="s">
        <v>4347</v>
      </c>
    </row>
    <row r="174" customFormat="false" ht="15" hidden="false" customHeight="false" outlineLevel="0" collapsed="false">
      <c r="A174" s="2" t="n">
        <v>17</v>
      </c>
      <c r="B174" s="2" t="s">
        <v>253</v>
      </c>
      <c r="C174" s="2" t="s">
        <v>259</v>
      </c>
      <c r="D174" s="2" t="s">
        <v>4348</v>
      </c>
      <c r="E174" s="2" t="s">
        <v>3919</v>
      </c>
      <c r="F174" s="2" t="s">
        <v>4349</v>
      </c>
      <c r="G174" s="2"/>
      <c r="H174" s="2" t="s">
        <v>4350</v>
      </c>
    </row>
    <row r="175" customFormat="false" ht="15" hidden="false" customHeight="false" outlineLevel="0" collapsed="false">
      <c r="A175" s="2" t="n">
        <v>17</v>
      </c>
      <c r="B175" s="2" t="s">
        <v>253</v>
      </c>
      <c r="C175" s="2" t="s">
        <v>259</v>
      </c>
      <c r="D175" s="2" t="s">
        <v>4351</v>
      </c>
      <c r="E175" s="2" t="s">
        <v>3919</v>
      </c>
      <c r="F175" s="2" t="s">
        <v>4352</v>
      </c>
      <c r="G175" s="2"/>
      <c r="H175" s="2" t="s">
        <v>4353</v>
      </c>
    </row>
    <row r="176" customFormat="false" ht="15" hidden="false" customHeight="false" outlineLevel="0" collapsed="false">
      <c r="A176" s="2" t="n">
        <v>17</v>
      </c>
      <c r="B176" s="2" t="s">
        <v>253</v>
      </c>
      <c r="C176" s="2" t="s">
        <v>259</v>
      </c>
      <c r="D176" s="2" t="s">
        <v>4354</v>
      </c>
      <c r="E176" s="2" t="s">
        <v>3919</v>
      </c>
      <c r="F176" s="2" t="s">
        <v>1289</v>
      </c>
      <c r="G176" s="2"/>
      <c r="H176" s="2" t="s">
        <v>4355</v>
      </c>
    </row>
    <row r="177" customFormat="false" ht="15" hidden="false" customHeight="false" outlineLevel="0" collapsed="false">
      <c r="A177" s="2" t="n">
        <v>17</v>
      </c>
      <c r="B177" s="2" t="s">
        <v>253</v>
      </c>
      <c r="C177" s="2" t="s">
        <v>259</v>
      </c>
      <c r="D177" s="2" t="s">
        <v>4356</v>
      </c>
      <c r="E177" s="2" t="s">
        <v>3919</v>
      </c>
      <c r="F177" s="2" t="s">
        <v>2965</v>
      </c>
      <c r="G177" s="2"/>
      <c r="H177" s="2" t="s">
        <v>4357</v>
      </c>
    </row>
    <row r="178" customFormat="false" ht="15" hidden="false" customHeight="false" outlineLevel="0" collapsed="false">
      <c r="A178" s="2" t="n">
        <v>18</v>
      </c>
      <c r="B178" s="2" t="s">
        <v>265</v>
      </c>
      <c r="C178" s="2" t="s">
        <v>270</v>
      </c>
      <c r="D178" s="2" t="s">
        <v>4358</v>
      </c>
      <c r="E178" s="2" t="s">
        <v>3915</v>
      </c>
      <c r="F178" s="2" t="s">
        <v>273</v>
      </c>
      <c r="G178" s="2" t="s">
        <v>4359</v>
      </c>
      <c r="H178" s="2" t="s">
        <v>4360</v>
      </c>
    </row>
    <row r="179" customFormat="false" ht="15" hidden="false" customHeight="false" outlineLevel="0" collapsed="false">
      <c r="A179" s="2" t="n">
        <v>18</v>
      </c>
      <c r="B179" s="2" t="s">
        <v>265</v>
      </c>
      <c r="C179" s="2" t="s">
        <v>270</v>
      </c>
      <c r="D179" s="2" t="s">
        <v>3927</v>
      </c>
      <c r="E179" s="2" t="s">
        <v>3915</v>
      </c>
      <c r="F179" s="2" t="s">
        <v>90</v>
      </c>
      <c r="G179" s="2" t="s">
        <v>3928</v>
      </c>
      <c r="H179" s="2" t="s">
        <v>3929</v>
      </c>
    </row>
    <row r="180" customFormat="false" ht="15" hidden="false" customHeight="false" outlineLevel="0" collapsed="false">
      <c r="A180" s="2" t="n">
        <v>18</v>
      </c>
      <c r="B180" s="2" t="s">
        <v>265</v>
      </c>
      <c r="C180" s="2" t="s">
        <v>270</v>
      </c>
      <c r="D180" s="2" t="s">
        <v>4361</v>
      </c>
      <c r="E180" s="2" t="s">
        <v>3915</v>
      </c>
      <c r="F180" s="2" t="s">
        <v>4362</v>
      </c>
      <c r="G180" s="2" t="s">
        <v>4363</v>
      </c>
      <c r="H180" s="2" t="s">
        <v>4364</v>
      </c>
    </row>
    <row r="181" customFormat="false" ht="15" hidden="false" customHeight="false" outlineLevel="0" collapsed="false">
      <c r="A181" s="2" t="n">
        <v>18</v>
      </c>
      <c r="B181" s="2" t="s">
        <v>265</v>
      </c>
      <c r="C181" s="2" t="s">
        <v>270</v>
      </c>
      <c r="D181" s="2" t="s">
        <v>4136</v>
      </c>
      <c r="E181" s="2" t="s">
        <v>3915</v>
      </c>
      <c r="F181" s="2" t="s">
        <v>214</v>
      </c>
      <c r="G181" s="2" t="s">
        <v>4137</v>
      </c>
      <c r="H181" s="2" t="s">
        <v>4138</v>
      </c>
    </row>
    <row r="182" customFormat="false" ht="15" hidden="false" customHeight="false" outlineLevel="0" collapsed="false">
      <c r="A182" s="2" t="n">
        <v>18</v>
      </c>
      <c r="B182" s="2" t="s">
        <v>265</v>
      </c>
      <c r="C182" s="2" t="s">
        <v>270</v>
      </c>
      <c r="D182" s="2" t="s">
        <v>4365</v>
      </c>
      <c r="E182" s="2" t="s">
        <v>3919</v>
      </c>
      <c r="F182" s="2" t="s">
        <v>4366</v>
      </c>
      <c r="G182" s="2"/>
      <c r="H182" s="2" t="s">
        <v>4367</v>
      </c>
    </row>
    <row r="183" customFormat="false" ht="15" hidden="false" customHeight="false" outlineLevel="0" collapsed="false">
      <c r="A183" s="2" t="n">
        <v>18</v>
      </c>
      <c r="B183" s="2" t="s">
        <v>265</v>
      </c>
      <c r="C183" s="2" t="s">
        <v>270</v>
      </c>
      <c r="D183" s="2" t="s">
        <v>4368</v>
      </c>
      <c r="E183" s="2" t="s">
        <v>3919</v>
      </c>
      <c r="F183" s="2" t="s">
        <v>4369</v>
      </c>
      <c r="G183" s="2"/>
      <c r="H183" s="2" t="s">
        <v>4370</v>
      </c>
    </row>
    <row r="184" customFormat="false" ht="15" hidden="false" customHeight="false" outlineLevel="0" collapsed="false">
      <c r="A184" s="2" t="n">
        <v>18</v>
      </c>
      <c r="B184" s="2" t="s">
        <v>265</v>
      </c>
      <c r="C184" s="2" t="s">
        <v>270</v>
      </c>
      <c r="D184" s="2" t="s">
        <v>4371</v>
      </c>
      <c r="E184" s="2" t="s">
        <v>3919</v>
      </c>
      <c r="F184" s="2" t="s">
        <v>4372</v>
      </c>
      <c r="G184" s="2"/>
      <c r="H184" s="2" t="s">
        <v>4373</v>
      </c>
    </row>
    <row r="185" customFormat="false" ht="15" hidden="false" customHeight="false" outlineLevel="0" collapsed="false">
      <c r="A185" s="2" t="n">
        <v>18</v>
      </c>
      <c r="B185" s="2" t="s">
        <v>265</v>
      </c>
      <c r="C185" s="2" t="s">
        <v>270</v>
      </c>
      <c r="D185" s="2" t="s">
        <v>4374</v>
      </c>
      <c r="E185" s="2" t="s">
        <v>3919</v>
      </c>
      <c r="F185" s="2" t="s">
        <v>4375</v>
      </c>
      <c r="G185" s="2"/>
      <c r="H185" s="2" t="s">
        <v>4376</v>
      </c>
    </row>
    <row r="186" customFormat="false" ht="15" hidden="false" customHeight="false" outlineLevel="0" collapsed="false">
      <c r="A186" s="2" t="n">
        <v>18</v>
      </c>
      <c r="B186" s="2" t="s">
        <v>265</v>
      </c>
      <c r="C186" s="2" t="s">
        <v>270</v>
      </c>
      <c r="D186" s="2" t="s">
        <v>4377</v>
      </c>
      <c r="E186" s="2" t="s">
        <v>3919</v>
      </c>
      <c r="F186" s="2" t="s">
        <v>4378</v>
      </c>
      <c r="G186" s="2"/>
      <c r="H186" s="2" t="s">
        <v>4379</v>
      </c>
    </row>
    <row r="187" customFormat="false" ht="15" hidden="false" customHeight="false" outlineLevel="0" collapsed="false">
      <c r="A187" s="2" t="n">
        <v>18</v>
      </c>
      <c r="B187" s="2" t="s">
        <v>265</v>
      </c>
      <c r="C187" s="2" t="s">
        <v>270</v>
      </c>
      <c r="D187" s="2" t="s">
        <v>4380</v>
      </c>
      <c r="E187" s="2" t="s">
        <v>3919</v>
      </c>
      <c r="F187" s="2" t="s">
        <v>2916</v>
      </c>
      <c r="G187" s="2"/>
      <c r="H187" s="2" t="s">
        <v>4381</v>
      </c>
    </row>
    <row r="188" customFormat="false" ht="15" hidden="false" customHeight="false" outlineLevel="0" collapsed="false">
      <c r="A188" s="2" t="n">
        <v>19</v>
      </c>
      <c r="B188" s="2" t="s">
        <v>275</v>
      </c>
      <c r="C188" s="2" t="s">
        <v>280</v>
      </c>
      <c r="D188" s="2" t="s">
        <v>4382</v>
      </c>
      <c r="E188" s="2" t="s">
        <v>3915</v>
      </c>
      <c r="F188" s="2" t="s">
        <v>283</v>
      </c>
      <c r="G188" s="2" t="s">
        <v>4383</v>
      </c>
      <c r="H188" s="2" t="s">
        <v>4384</v>
      </c>
    </row>
    <row r="189" customFormat="false" ht="15" hidden="false" customHeight="false" outlineLevel="0" collapsed="false">
      <c r="A189" s="2" t="n">
        <v>19</v>
      </c>
      <c r="B189" s="2" t="s">
        <v>275</v>
      </c>
      <c r="C189" s="2" t="s">
        <v>280</v>
      </c>
      <c r="D189" s="2" t="s">
        <v>4385</v>
      </c>
      <c r="E189" s="2" t="s">
        <v>3915</v>
      </c>
      <c r="F189" s="2" t="s">
        <v>4386</v>
      </c>
      <c r="G189" s="2" t="s">
        <v>4387</v>
      </c>
      <c r="H189" s="2" t="s">
        <v>4388</v>
      </c>
    </row>
    <row r="190" customFormat="false" ht="15" hidden="false" customHeight="false" outlineLevel="0" collapsed="false">
      <c r="A190" s="2" t="n">
        <v>19</v>
      </c>
      <c r="B190" s="2" t="s">
        <v>275</v>
      </c>
      <c r="C190" s="2" t="s">
        <v>280</v>
      </c>
      <c r="D190" s="2" t="s">
        <v>4389</v>
      </c>
      <c r="E190" s="2" t="s">
        <v>3915</v>
      </c>
      <c r="F190" s="2" t="s">
        <v>388</v>
      </c>
      <c r="G190" s="2" t="s">
        <v>4390</v>
      </c>
      <c r="H190" s="2" t="s">
        <v>4391</v>
      </c>
    </row>
    <row r="191" customFormat="false" ht="15" hidden="false" customHeight="false" outlineLevel="0" collapsed="false">
      <c r="A191" s="2" t="n">
        <v>19</v>
      </c>
      <c r="B191" s="2" t="s">
        <v>275</v>
      </c>
      <c r="C191" s="2" t="s">
        <v>280</v>
      </c>
      <c r="D191" s="2" t="s">
        <v>4392</v>
      </c>
      <c r="E191" s="2" t="s">
        <v>3915</v>
      </c>
      <c r="F191" s="2" t="s">
        <v>1650</v>
      </c>
      <c r="G191" s="2" t="s">
        <v>4393</v>
      </c>
      <c r="H191" s="2" t="s">
        <v>4394</v>
      </c>
    </row>
    <row r="192" customFormat="false" ht="15" hidden="false" customHeight="false" outlineLevel="0" collapsed="false">
      <c r="A192" s="2" t="n">
        <v>19</v>
      </c>
      <c r="B192" s="2" t="s">
        <v>275</v>
      </c>
      <c r="C192" s="2" t="s">
        <v>280</v>
      </c>
      <c r="D192" s="2" t="s">
        <v>4395</v>
      </c>
      <c r="E192" s="2" t="s">
        <v>3915</v>
      </c>
      <c r="F192" s="2" t="s">
        <v>1723</v>
      </c>
      <c r="G192" s="2" t="s">
        <v>4396</v>
      </c>
      <c r="H192" s="2" t="s">
        <v>4397</v>
      </c>
    </row>
    <row r="193" customFormat="false" ht="15" hidden="false" customHeight="false" outlineLevel="0" collapsed="false">
      <c r="A193" s="2" t="n">
        <v>19</v>
      </c>
      <c r="B193" s="2" t="s">
        <v>275</v>
      </c>
      <c r="C193" s="2" t="s">
        <v>280</v>
      </c>
      <c r="D193" s="2" t="s">
        <v>4398</v>
      </c>
      <c r="E193" s="2" t="s">
        <v>3915</v>
      </c>
      <c r="F193" s="2" t="s">
        <v>2226</v>
      </c>
      <c r="G193" s="2" t="s">
        <v>4399</v>
      </c>
      <c r="H193" s="2" t="s">
        <v>4400</v>
      </c>
    </row>
    <row r="194" customFormat="false" ht="15" hidden="false" customHeight="false" outlineLevel="0" collapsed="false">
      <c r="A194" s="2" t="n">
        <v>19</v>
      </c>
      <c r="B194" s="2" t="s">
        <v>275</v>
      </c>
      <c r="C194" s="2" t="s">
        <v>280</v>
      </c>
      <c r="D194" s="2" t="s">
        <v>4401</v>
      </c>
      <c r="E194" s="2" t="s">
        <v>3915</v>
      </c>
      <c r="F194" s="2" t="s">
        <v>1871</v>
      </c>
      <c r="G194" s="2" t="s">
        <v>4402</v>
      </c>
      <c r="H194" s="2" t="s">
        <v>4403</v>
      </c>
    </row>
    <row r="195" customFormat="false" ht="15" hidden="false" customHeight="false" outlineLevel="0" collapsed="false">
      <c r="A195" s="2" t="n">
        <v>19</v>
      </c>
      <c r="B195" s="2" t="s">
        <v>275</v>
      </c>
      <c r="C195" s="2" t="s">
        <v>280</v>
      </c>
      <c r="D195" s="2" t="s">
        <v>4404</v>
      </c>
      <c r="E195" s="2" t="s">
        <v>3915</v>
      </c>
      <c r="F195" s="2" t="s">
        <v>4405</v>
      </c>
      <c r="G195" s="2" t="s">
        <v>4406</v>
      </c>
      <c r="H195" s="2" t="s">
        <v>4407</v>
      </c>
    </row>
    <row r="196" customFormat="false" ht="15" hidden="false" customHeight="false" outlineLevel="0" collapsed="false">
      <c r="A196" s="2" t="n">
        <v>19</v>
      </c>
      <c r="B196" s="2" t="s">
        <v>275</v>
      </c>
      <c r="C196" s="2" t="s">
        <v>280</v>
      </c>
      <c r="D196" s="2" t="s">
        <v>4408</v>
      </c>
      <c r="E196" s="2" t="s">
        <v>3915</v>
      </c>
      <c r="F196" s="2" t="s">
        <v>284</v>
      </c>
      <c r="G196" s="2" t="s">
        <v>4409</v>
      </c>
      <c r="H196" s="2" t="s">
        <v>4410</v>
      </c>
    </row>
    <row r="197" customFormat="false" ht="15" hidden="false" customHeight="false" outlineLevel="0" collapsed="false">
      <c r="A197" s="2" t="n">
        <v>19</v>
      </c>
      <c r="B197" s="2" t="s">
        <v>275</v>
      </c>
      <c r="C197" s="2" t="s">
        <v>280</v>
      </c>
      <c r="D197" s="2" t="s">
        <v>4411</v>
      </c>
      <c r="E197" s="2" t="s">
        <v>3919</v>
      </c>
      <c r="F197" s="2" t="s">
        <v>4412</v>
      </c>
      <c r="G197" s="2"/>
      <c r="H197" s="2" t="s">
        <v>4413</v>
      </c>
    </row>
    <row r="198" customFormat="false" ht="15" hidden="false" customHeight="false" outlineLevel="0" collapsed="false">
      <c r="A198" s="2" t="n">
        <v>19</v>
      </c>
      <c r="B198" s="2" t="s">
        <v>275</v>
      </c>
      <c r="C198" s="2" t="s">
        <v>280</v>
      </c>
      <c r="D198" s="2" t="s">
        <v>4414</v>
      </c>
      <c r="E198" s="2" t="s">
        <v>3919</v>
      </c>
      <c r="F198" s="2" t="s">
        <v>4415</v>
      </c>
      <c r="G198" s="2"/>
      <c r="H198" s="2" t="s">
        <v>4416</v>
      </c>
    </row>
    <row r="199" customFormat="false" ht="15" hidden="false" customHeight="false" outlineLevel="0" collapsed="false">
      <c r="A199" s="2" t="n">
        <v>19</v>
      </c>
      <c r="B199" s="2" t="s">
        <v>275</v>
      </c>
      <c r="C199" s="2" t="s">
        <v>280</v>
      </c>
      <c r="D199" s="2" t="s">
        <v>4417</v>
      </c>
      <c r="E199" s="2" t="s">
        <v>3919</v>
      </c>
      <c r="F199" s="2" t="s">
        <v>1589</v>
      </c>
      <c r="G199" s="2"/>
      <c r="H199" s="2" t="s">
        <v>4418</v>
      </c>
    </row>
    <row r="200" customFormat="false" ht="15" hidden="false" customHeight="false" outlineLevel="0" collapsed="false">
      <c r="A200" s="2" t="n">
        <v>19</v>
      </c>
      <c r="B200" s="2" t="s">
        <v>275</v>
      </c>
      <c r="C200" s="2" t="s">
        <v>280</v>
      </c>
      <c r="D200" s="2" t="s">
        <v>4419</v>
      </c>
      <c r="E200" s="2" t="s">
        <v>3919</v>
      </c>
      <c r="F200" s="2" t="s">
        <v>4420</v>
      </c>
      <c r="G200" s="2"/>
      <c r="H200" s="2" t="s">
        <v>4421</v>
      </c>
    </row>
    <row r="201" customFormat="false" ht="15" hidden="false" customHeight="false" outlineLevel="0" collapsed="false">
      <c r="A201" s="2" t="n">
        <v>19</v>
      </c>
      <c r="B201" s="2" t="s">
        <v>275</v>
      </c>
      <c r="C201" s="2" t="s">
        <v>280</v>
      </c>
      <c r="D201" s="2" t="s">
        <v>4422</v>
      </c>
      <c r="E201" s="2" t="s">
        <v>3919</v>
      </c>
      <c r="F201" s="2" t="s">
        <v>4423</v>
      </c>
      <c r="G201" s="2"/>
      <c r="H201" s="2" t="s">
        <v>4424</v>
      </c>
    </row>
    <row r="202" customFormat="false" ht="15" hidden="false" customHeight="false" outlineLevel="0" collapsed="false">
      <c r="A202" s="2" t="n">
        <v>20</v>
      </c>
      <c r="B202" s="2" t="s">
        <v>286</v>
      </c>
      <c r="C202" s="2" t="s">
        <v>292</v>
      </c>
      <c r="D202" s="2" t="s">
        <v>4425</v>
      </c>
      <c r="E202" s="2" t="s">
        <v>3919</v>
      </c>
      <c r="F202" s="2" t="s">
        <v>4426</v>
      </c>
      <c r="G202" s="2"/>
      <c r="H202" s="2" t="s">
        <v>4427</v>
      </c>
    </row>
    <row r="203" customFormat="false" ht="15" hidden="false" customHeight="false" outlineLevel="0" collapsed="false">
      <c r="A203" s="2" t="n">
        <v>20</v>
      </c>
      <c r="B203" s="2" t="s">
        <v>286</v>
      </c>
      <c r="C203" s="2" t="s">
        <v>292</v>
      </c>
      <c r="D203" s="2" t="s">
        <v>4428</v>
      </c>
      <c r="E203" s="2" t="s">
        <v>3919</v>
      </c>
      <c r="F203" s="2" t="s">
        <v>4372</v>
      </c>
      <c r="G203" s="2" t="s">
        <v>4429</v>
      </c>
      <c r="H203" s="2" t="s">
        <v>4430</v>
      </c>
    </row>
    <row r="204" customFormat="false" ht="15" hidden="false" customHeight="false" outlineLevel="0" collapsed="false">
      <c r="A204" s="2" t="n">
        <v>20</v>
      </c>
      <c r="B204" s="2" t="s">
        <v>286</v>
      </c>
      <c r="C204" s="2" t="s">
        <v>292</v>
      </c>
      <c r="D204" s="2" t="s">
        <v>4431</v>
      </c>
      <c r="E204" s="2" t="s">
        <v>3919</v>
      </c>
      <c r="F204" s="2" t="s">
        <v>3324</v>
      </c>
      <c r="G204" s="2"/>
      <c r="H204" s="2" t="s">
        <v>4432</v>
      </c>
    </row>
    <row r="205" customFormat="false" ht="15" hidden="false" customHeight="false" outlineLevel="0" collapsed="false">
      <c r="A205" s="2" t="n">
        <v>21</v>
      </c>
      <c r="B205" s="2" t="s">
        <v>296</v>
      </c>
      <c r="C205" s="2" t="s">
        <v>300</v>
      </c>
      <c r="D205" s="2" t="s">
        <v>4433</v>
      </c>
      <c r="E205" s="2" t="s">
        <v>3919</v>
      </c>
      <c r="F205" s="2" t="s">
        <v>4372</v>
      </c>
      <c r="G205" s="2" t="s">
        <v>4434</v>
      </c>
      <c r="H205" s="2" t="s">
        <v>4435</v>
      </c>
    </row>
    <row r="206" customFormat="false" ht="15" hidden="false" customHeight="false" outlineLevel="0" collapsed="false">
      <c r="A206" s="2" t="n">
        <v>21</v>
      </c>
      <c r="B206" s="2" t="s">
        <v>296</v>
      </c>
      <c r="C206" s="2" t="s">
        <v>300</v>
      </c>
      <c r="D206" s="2" t="s">
        <v>4436</v>
      </c>
      <c r="E206" s="2" t="s">
        <v>3919</v>
      </c>
      <c r="F206" s="2" t="s">
        <v>4437</v>
      </c>
      <c r="G206" s="2"/>
      <c r="H206" s="2" t="s">
        <v>4438</v>
      </c>
    </row>
    <row r="207" customFormat="false" ht="15" hidden="false" customHeight="false" outlineLevel="0" collapsed="false">
      <c r="A207" s="2" t="n">
        <v>21</v>
      </c>
      <c r="B207" s="2" t="s">
        <v>296</v>
      </c>
      <c r="C207" s="2" t="s">
        <v>300</v>
      </c>
      <c r="D207" s="2" t="s">
        <v>4439</v>
      </c>
      <c r="E207" s="2" t="s">
        <v>3919</v>
      </c>
      <c r="F207" s="2" t="s">
        <v>3324</v>
      </c>
      <c r="G207" s="2"/>
      <c r="H207" s="2" t="s">
        <v>4440</v>
      </c>
    </row>
    <row r="208" customFormat="false" ht="15" hidden="false" customHeight="false" outlineLevel="0" collapsed="false">
      <c r="A208" s="2" t="n">
        <v>22</v>
      </c>
      <c r="B208" s="2" t="s">
        <v>304</v>
      </c>
      <c r="C208" s="2" t="s">
        <v>310</v>
      </c>
      <c r="D208" s="2" t="s">
        <v>671</v>
      </c>
      <c r="E208" s="2" t="s">
        <v>3915</v>
      </c>
      <c r="F208" s="2" t="s">
        <v>313</v>
      </c>
      <c r="G208" s="2" t="s">
        <v>4441</v>
      </c>
      <c r="H208" s="2" t="s">
        <v>672</v>
      </c>
    </row>
    <row r="209" customFormat="false" ht="15" hidden="false" customHeight="false" outlineLevel="0" collapsed="false">
      <c r="A209" s="2" t="n">
        <v>22</v>
      </c>
      <c r="B209" s="2" t="s">
        <v>304</v>
      </c>
      <c r="C209" s="2" t="s">
        <v>310</v>
      </c>
      <c r="D209" s="2" t="s">
        <v>4442</v>
      </c>
      <c r="E209" s="2" t="s">
        <v>3915</v>
      </c>
      <c r="F209" s="2" t="s">
        <v>239</v>
      </c>
      <c r="G209" s="2" t="s">
        <v>4443</v>
      </c>
      <c r="H209" s="2" t="s">
        <v>4444</v>
      </c>
    </row>
    <row r="210" customFormat="false" ht="15" hidden="false" customHeight="false" outlineLevel="0" collapsed="false">
      <c r="A210" s="2" t="n">
        <v>22</v>
      </c>
      <c r="B210" s="2" t="s">
        <v>304</v>
      </c>
      <c r="C210" s="2" t="s">
        <v>310</v>
      </c>
      <c r="D210" s="2" t="s">
        <v>4445</v>
      </c>
      <c r="E210" s="2" t="s">
        <v>3919</v>
      </c>
      <c r="F210" s="2" t="s">
        <v>4446</v>
      </c>
      <c r="G210" s="2"/>
      <c r="H210" s="2" t="s">
        <v>4447</v>
      </c>
    </row>
    <row r="211" customFormat="false" ht="15" hidden="false" customHeight="false" outlineLevel="0" collapsed="false">
      <c r="A211" s="2" t="n">
        <v>22</v>
      </c>
      <c r="B211" s="2" t="s">
        <v>304</v>
      </c>
      <c r="C211" s="2" t="s">
        <v>310</v>
      </c>
      <c r="D211" s="2" t="s">
        <v>4448</v>
      </c>
      <c r="E211" s="2" t="s">
        <v>3919</v>
      </c>
      <c r="F211" s="2" t="s">
        <v>4449</v>
      </c>
      <c r="G211" s="2"/>
      <c r="H211" s="2" t="s">
        <v>4450</v>
      </c>
    </row>
    <row r="212" customFormat="false" ht="15" hidden="false" customHeight="false" outlineLevel="0" collapsed="false">
      <c r="A212" s="2" t="n">
        <v>22</v>
      </c>
      <c r="B212" s="2" t="s">
        <v>304</v>
      </c>
      <c r="C212" s="2" t="s">
        <v>310</v>
      </c>
      <c r="D212" s="2" t="s">
        <v>4451</v>
      </c>
      <c r="E212" s="2" t="s">
        <v>3919</v>
      </c>
      <c r="F212" s="2" t="s">
        <v>4452</v>
      </c>
      <c r="G212" s="2"/>
      <c r="H212" s="2" t="s">
        <v>4453</v>
      </c>
    </row>
    <row r="213" customFormat="false" ht="15" hidden="false" customHeight="false" outlineLevel="0" collapsed="false">
      <c r="A213" s="2" t="n">
        <v>22</v>
      </c>
      <c r="B213" s="2" t="s">
        <v>304</v>
      </c>
      <c r="C213" s="2" t="s">
        <v>310</v>
      </c>
      <c r="D213" s="2" t="s">
        <v>4454</v>
      </c>
      <c r="E213" s="2" t="s">
        <v>3919</v>
      </c>
      <c r="F213" s="2" t="s">
        <v>4455</v>
      </c>
      <c r="G213" s="2"/>
      <c r="H213" s="2" t="s">
        <v>4456</v>
      </c>
    </row>
    <row r="214" customFormat="false" ht="15" hidden="false" customHeight="false" outlineLevel="0" collapsed="false">
      <c r="A214" s="2" t="n">
        <v>22</v>
      </c>
      <c r="B214" s="2" t="s">
        <v>304</v>
      </c>
      <c r="C214" s="2" t="s">
        <v>310</v>
      </c>
      <c r="D214" s="2" t="s">
        <v>4457</v>
      </c>
      <c r="E214" s="2" t="s">
        <v>3919</v>
      </c>
      <c r="F214" s="2" t="s">
        <v>4458</v>
      </c>
      <c r="G214" s="2"/>
      <c r="H214" s="2" t="s">
        <v>4459</v>
      </c>
    </row>
    <row r="215" customFormat="false" ht="15" hidden="false" customHeight="false" outlineLevel="0" collapsed="false">
      <c r="A215" s="2" t="n">
        <v>22</v>
      </c>
      <c r="B215" s="2" t="s">
        <v>304</v>
      </c>
      <c r="C215" s="2" t="s">
        <v>310</v>
      </c>
      <c r="D215" s="2" t="s">
        <v>4460</v>
      </c>
      <c r="E215" s="2" t="s">
        <v>3919</v>
      </c>
      <c r="F215" s="2" t="s">
        <v>4461</v>
      </c>
      <c r="G215" s="2"/>
      <c r="H215" s="2" t="s">
        <v>4462</v>
      </c>
    </row>
    <row r="216" customFormat="false" ht="15" hidden="false" customHeight="false" outlineLevel="0" collapsed="false">
      <c r="A216" s="2" t="n">
        <v>22</v>
      </c>
      <c r="B216" s="2" t="s">
        <v>304</v>
      </c>
      <c r="C216" s="2" t="s">
        <v>310</v>
      </c>
      <c r="D216" s="2" t="s">
        <v>4463</v>
      </c>
      <c r="E216" s="2" t="s">
        <v>3919</v>
      </c>
      <c r="F216" s="2" t="s">
        <v>4464</v>
      </c>
      <c r="G216" s="2"/>
      <c r="H216" s="2" t="s">
        <v>4465</v>
      </c>
    </row>
    <row r="217" customFormat="false" ht="15" hidden="false" customHeight="false" outlineLevel="0" collapsed="false">
      <c r="A217" s="2" t="n">
        <v>22</v>
      </c>
      <c r="B217" s="2" t="s">
        <v>304</v>
      </c>
      <c r="C217" s="2" t="s">
        <v>310</v>
      </c>
      <c r="D217" s="2" t="s">
        <v>4466</v>
      </c>
      <c r="E217" s="2" t="s">
        <v>3919</v>
      </c>
      <c r="F217" s="2" t="s">
        <v>4467</v>
      </c>
      <c r="G217" s="2"/>
      <c r="H217" s="2" t="s">
        <v>4468</v>
      </c>
    </row>
    <row r="218" customFormat="false" ht="15" hidden="false" customHeight="false" outlineLevel="0" collapsed="false">
      <c r="A218" s="2" t="n">
        <v>22</v>
      </c>
      <c r="B218" s="2" t="s">
        <v>304</v>
      </c>
      <c r="C218" s="2" t="s">
        <v>310</v>
      </c>
      <c r="D218" s="2" t="s">
        <v>4469</v>
      </c>
      <c r="E218" s="2" t="s">
        <v>3919</v>
      </c>
      <c r="F218" s="2" t="s">
        <v>4470</v>
      </c>
      <c r="G218" s="2"/>
      <c r="H218" s="2" t="s">
        <v>4471</v>
      </c>
    </row>
    <row r="219" customFormat="false" ht="15" hidden="false" customHeight="false" outlineLevel="0" collapsed="false">
      <c r="A219" s="2" t="n">
        <v>22</v>
      </c>
      <c r="B219" s="2" t="s">
        <v>304</v>
      </c>
      <c r="C219" s="2" t="s">
        <v>310</v>
      </c>
      <c r="D219" s="2" t="s">
        <v>4472</v>
      </c>
      <c r="E219" s="2" t="s">
        <v>3919</v>
      </c>
      <c r="F219" s="2" t="s">
        <v>4473</v>
      </c>
      <c r="G219" s="2"/>
      <c r="H219" s="2" t="s">
        <v>4474</v>
      </c>
    </row>
    <row r="220" customFormat="false" ht="15" hidden="false" customHeight="false" outlineLevel="0" collapsed="false">
      <c r="A220" s="2" t="n">
        <v>22</v>
      </c>
      <c r="B220" s="2" t="s">
        <v>304</v>
      </c>
      <c r="C220" s="2" t="s">
        <v>310</v>
      </c>
      <c r="D220" s="2" t="s">
        <v>4475</v>
      </c>
      <c r="E220" s="2" t="s">
        <v>3919</v>
      </c>
      <c r="F220" s="2" t="s">
        <v>4476</v>
      </c>
      <c r="G220" s="2"/>
      <c r="H220" s="2" t="s">
        <v>4477</v>
      </c>
    </row>
    <row r="221" customFormat="false" ht="15" hidden="false" customHeight="false" outlineLevel="0" collapsed="false">
      <c r="A221" s="2" t="n">
        <v>22</v>
      </c>
      <c r="B221" s="2" t="s">
        <v>304</v>
      </c>
      <c r="C221" s="2" t="s">
        <v>310</v>
      </c>
      <c r="D221" s="2" t="s">
        <v>4478</v>
      </c>
      <c r="E221" s="2" t="s">
        <v>3919</v>
      </c>
      <c r="F221" s="2" t="s">
        <v>4479</v>
      </c>
      <c r="G221" s="2"/>
      <c r="H221" s="2" t="s">
        <v>4480</v>
      </c>
    </row>
    <row r="222" customFormat="false" ht="15" hidden="false" customHeight="false" outlineLevel="0" collapsed="false">
      <c r="A222" s="2" t="n">
        <v>23</v>
      </c>
      <c r="B222" s="2" t="s">
        <v>315</v>
      </c>
      <c r="C222" s="2" t="s">
        <v>320</v>
      </c>
      <c r="D222" s="2" t="s">
        <v>4481</v>
      </c>
      <c r="E222" s="2" t="s">
        <v>3915</v>
      </c>
      <c r="F222" s="2" t="s">
        <v>313</v>
      </c>
      <c r="G222" s="2" t="s">
        <v>4482</v>
      </c>
      <c r="H222" s="2" t="s">
        <v>4483</v>
      </c>
    </row>
    <row r="223" customFormat="false" ht="15" hidden="false" customHeight="false" outlineLevel="0" collapsed="false">
      <c r="A223" s="2" t="n">
        <v>23</v>
      </c>
      <c r="B223" s="2" t="s">
        <v>315</v>
      </c>
      <c r="C223" s="2" t="s">
        <v>320</v>
      </c>
      <c r="D223" s="2" t="s">
        <v>4484</v>
      </c>
      <c r="E223" s="2" t="s">
        <v>3915</v>
      </c>
      <c r="F223" s="2" t="s">
        <v>323</v>
      </c>
      <c r="G223" s="2" t="s">
        <v>4485</v>
      </c>
      <c r="H223" s="2" t="s">
        <v>4486</v>
      </c>
    </row>
    <row r="224" customFormat="false" ht="15" hidden="false" customHeight="false" outlineLevel="0" collapsed="false">
      <c r="A224" s="2" t="n">
        <v>23</v>
      </c>
      <c r="B224" s="2" t="s">
        <v>315</v>
      </c>
      <c r="C224" s="2" t="s">
        <v>320</v>
      </c>
      <c r="D224" s="2" t="s">
        <v>4487</v>
      </c>
      <c r="E224" s="2" t="s">
        <v>3919</v>
      </c>
      <c r="F224" s="2" t="s">
        <v>4488</v>
      </c>
      <c r="G224" s="2"/>
      <c r="H224" s="2" t="s">
        <v>4489</v>
      </c>
    </row>
    <row r="225" customFormat="false" ht="15" hidden="false" customHeight="false" outlineLevel="0" collapsed="false">
      <c r="A225" s="2" t="n">
        <v>23</v>
      </c>
      <c r="B225" s="2" t="s">
        <v>315</v>
      </c>
      <c r="C225" s="2" t="s">
        <v>320</v>
      </c>
      <c r="D225" s="2" t="s">
        <v>4490</v>
      </c>
      <c r="E225" s="2" t="s">
        <v>3919</v>
      </c>
      <c r="F225" s="2" t="s">
        <v>4491</v>
      </c>
      <c r="G225" s="2"/>
      <c r="H225" s="2" t="s">
        <v>4492</v>
      </c>
    </row>
    <row r="226" customFormat="false" ht="15" hidden="false" customHeight="false" outlineLevel="0" collapsed="false">
      <c r="A226" s="2" t="n">
        <v>23</v>
      </c>
      <c r="B226" s="2" t="s">
        <v>315</v>
      </c>
      <c r="C226" s="2" t="s">
        <v>320</v>
      </c>
      <c r="D226" s="2" t="s">
        <v>4493</v>
      </c>
      <c r="E226" s="2" t="s">
        <v>3919</v>
      </c>
      <c r="F226" s="2" t="s">
        <v>4494</v>
      </c>
      <c r="G226" s="2"/>
      <c r="H226" s="2" t="s">
        <v>4495</v>
      </c>
    </row>
    <row r="227" customFormat="false" ht="15" hidden="false" customHeight="false" outlineLevel="0" collapsed="false">
      <c r="A227" s="2" t="n">
        <v>23</v>
      </c>
      <c r="B227" s="2" t="s">
        <v>315</v>
      </c>
      <c r="C227" s="2" t="s">
        <v>320</v>
      </c>
      <c r="D227" s="2" t="s">
        <v>4496</v>
      </c>
      <c r="E227" s="2" t="s">
        <v>3919</v>
      </c>
      <c r="F227" s="2" t="s">
        <v>4497</v>
      </c>
      <c r="G227" s="2"/>
      <c r="H227" s="2" t="s">
        <v>4498</v>
      </c>
    </row>
    <row r="228" customFormat="false" ht="15" hidden="false" customHeight="false" outlineLevel="0" collapsed="false">
      <c r="A228" s="2" t="n">
        <v>23</v>
      </c>
      <c r="B228" s="2" t="s">
        <v>315</v>
      </c>
      <c r="C228" s="2" t="s">
        <v>320</v>
      </c>
      <c r="D228" s="2" t="s">
        <v>4499</v>
      </c>
      <c r="E228" s="2" t="s">
        <v>3919</v>
      </c>
      <c r="F228" s="2" t="s">
        <v>4500</v>
      </c>
      <c r="G228" s="2" t="s">
        <v>4501</v>
      </c>
      <c r="H228" s="2" t="s">
        <v>4502</v>
      </c>
    </row>
    <row r="229" customFormat="false" ht="15" hidden="false" customHeight="false" outlineLevel="0" collapsed="false">
      <c r="A229" s="2" t="n">
        <v>23</v>
      </c>
      <c r="B229" s="2" t="s">
        <v>315</v>
      </c>
      <c r="C229" s="2" t="s">
        <v>320</v>
      </c>
      <c r="D229" s="2" t="s">
        <v>4503</v>
      </c>
      <c r="E229" s="2" t="s">
        <v>3919</v>
      </c>
      <c r="F229" s="2" t="s">
        <v>4372</v>
      </c>
      <c r="G229" s="2"/>
      <c r="H229" s="2" t="s">
        <v>4504</v>
      </c>
    </row>
    <row r="230" customFormat="false" ht="15" hidden="false" customHeight="false" outlineLevel="0" collapsed="false">
      <c r="A230" s="2" t="n">
        <v>23</v>
      </c>
      <c r="B230" s="2" t="s">
        <v>315</v>
      </c>
      <c r="C230" s="2" t="s">
        <v>320</v>
      </c>
      <c r="D230" s="2" t="s">
        <v>4505</v>
      </c>
      <c r="E230" s="2" t="s">
        <v>3919</v>
      </c>
      <c r="F230" s="2" t="s">
        <v>4506</v>
      </c>
      <c r="G230" s="2"/>
      <c r="H230" s="2" t="s">
        <v>4507</v>
      </c>
    </row>
    <row r="231" customFormat="false" ht="15" hidden="false" customHeight="false" outlineLevel="0" collapsed="false">
      <c r="A231" s="2" t="n">
        <v>23</v>
      </c>
      <c r="B231" s="2" t="s">
        <v>315</v>
      </c>
      <c r="C231" s="2" t="s">
        <v>320</v>
      </c>
      <c r="D231" s="2" t="s">
        <v>4508</v>
      </c>
      <c r="E231" s="2" t="s">
        <v>3919</v>
      </c>
      <c r="F231" s="2" t="s">
        <v>4509</v>
      </c>
      <c r="G231" s="2"/>
      <c r="H231" s="2" t="s">
        <v>4510</v>
      </c>
    </row>
    <row r="232" customFormat="false" ht="15" hidden="false" customHeight="false" outlineLevel="0" collapsed="false">
      <c r="A232" s="2" t="n">
        <v>24</v>
      </c>
      <c r="B232" s="2" t="s">
        <v>325</v>
      </c>
      <c r="C232" s="2" t="s">
        <v>330</v>
      </c>
      <c r="D232" s="2" t="s">
        <v>4511</v>
      </c>
      <c r="E232" s="2" t="s">
        <v>3915</v>
      </c>
      <c r="F232" s="2" t="s">
        <v>333</v>
      </c>
      <c r="G232" s="2" t="s">
        <v>4512</v>
      </c>
      <c r="H232" s="2" t="s">
        <v>4513</v>
      </c>
    </row>
    <row r="233" customFormat="false" ht="15" hidden="false" customHeight="false" outlineLevel="0" collapsed="false">
      <c r="A233" s="2" t="n">
        <v>24</v>
      </c>
      <c r="B233" s="2" t="s">
        <v>325</v>
      </c>
      <c r="C233" s="2" t="s">
        <v>330</v>
      </c>
      <c r="D233" s="2" t="s">
        <v>935</v>
      </c>
      <c r="E233" s="2" t="s">
        <v>3915</v>
      </c>
      <c r="F233" s="2" t="s">
        <v>334</v>
      </c>
      <c r="G233" s="2" t="s">
        <v>4514</v>
      </c>
      <c r="H233" s="2" t="s">
        <v>936</v>
      </c>
    </row>
    <row r="234" customFormat="false" ht="15" hidden="false" customHeight="false" outlineLevel="0" collapsed="false">
      <c r="A234" s="2" t="n">
        <v>24</v>
      </c>
      <c r="B234" s="2" t="s">
        <v>325</v>
      </c>
      <c r="C234" s="2" t="s">
        <v>330</v>
      </c>
      <c r="D234" s="2" t="s">
        <v>4515</v>
      </c>
      <c r="E234" s="2" t="s">
        <v>3919</v>
      </c>
      <c r="F234" s="2" t="s">
        <v>4516</v>
      </c>
      <c r="G234" s="2"/>
      <c r="H234" s="2" t="s">
        <v>4517</v>
      </c>
    </row>
    <row r="235" customFormat="false" ht="15" hidden="false" customHeight="false" outlineLevel="0" collapsed="false">
      <c r="A235" s="2" t="n">
        <v>24</v>
      </c>
      <c r="B235" s="2" t="s">
        <v>325</v>
      </c>
      <c r="C235" s="2" t="s">
        <v>330</v>
      </c>
      <c r="D235" s="2" t="s">
        <v>4518</v>
      </c>
      <c r="E235" s="2" t="s">
        <v>3919</v>
      </c>
      <c r="F235" s="2" t="s">
        <v>3720</v>
      </c>
      <c r="G235" s="2"/>
      <c r="H235" s="2" t="s">
        <v>4519</v>
      </c>
    </row>
    <row r="236" customFormat="false" ht="15" hidden="false" customHeight="false" outlineLevel="0" collapsed="false">
      <c r="A236" s="2" t="n">
        <v>24</v>
      </c>
      <c r="B236" s="2" t="s">
        <v>325</v>
      </c>
      <c r="C236" s="2" t="s">
        <v>330</v>
      </c>
      <c r="D236" s="2" t="s">
        <v>4520</v>
      </c>
      <c r="E236" s="2" t="s">
        <v>3919</v>
      </c>
      <c r="F236" s="2" t="s">
        <v>3801</v>
      </c>
      <c r="G236" s="2"/>
      <c r="H236" s="2" t="s">
        <v>4521</v>
      </c>
    </row>
    <row r="237" customFormat="false" ht="15" hidden="false" customHeight="false" outlineLevel="0" collapsed="false">
      <c r="A237" s="2" t="n">
        <v>25</v>
      </c>
      <c r="B237" s="2" t="s">
        <v>336</v>
      </c>
      <c r="C237" s="2" t="s">
        <v>342</v>
      </c>
      <c r="D237" s="2" t="s">
        <v>4522</v>
      </c>
      <c r="E237" s="2" t="s">
        <v>3919</v>
      </c>
      <c r="F237" s="2" t="s">
        <v>4523</v>
      </c>
      <c r="G237" s="2"/>
      <c r="H237" s="2" t="s">
        <v>4524</v>
      </c>
    </row>
    <row r="238" customFormat="false" ht="15" hidden="false" customHeight="false" outlineLevel="0" collapsed="false">
      <c r="A238" s="2" t="n">
        <v>25</v>
      </c>
      <c r="B238" s="2" t="s">
        <v>336</v>
      </c>
      <c r="C238" s="2" t="s">
        <v>342</v>
      </c>
      <c r="D238" s="2" t="s">
        <v>4525</v>
      </c>
      <c r="E238" s="2" t="s">
        <v>3919</v>
      </c>
      <c r="F238" s="2" t="s">
        <v>4526</v>
      </c>
      <c r="G238" s="2"/>
      <c r="H238" s="2" t="s">
        <v>4527</v>
      </c>
    </row>
    <row r="239" customFormat="false" ht="15" hidden="false" customHeight="false" outlineLevel="0" collapsed="false">
      <c r="A239" s="2" t="n">
        <v>26</v>
      </c>
      <c r="B239" s="2" t="s">
        <v>347</v>
      </c>
      <c r="C239" s="2" t="s">
        <v>353</v>
      </c>
      <c r="D239" s="2" t="s">
        <v>4528</v>
      </c>
      <c r="E239" s="2" t="s">
        <v>3919</v>
      </c>
      <c r="F239" s="2" t="s">
        <v>1727</v>
      </c>
      <c r="G239" s="2"/>
      <c r="H239" s="2" t="s">
        <v>4529</v>
      </c>
    </row>
    <row r="240" customFormat="false" ht="15" hidden="false" customHeight="false" outlineLevel="0" collapsed="false">
      <c r="A240" s="2" t="n">
        <v>27</v>
      </c>
      <c r="B240" s="2" t="s">
        <v>357</v>
      </c>
      <c r="C240" s="2" t="s">
        <v>363</v>
      </c>
      <c r="D240" s="2" t="s">
        <v>4530</v>
      </c>
      <c r="E240" s="2" t="s">
        <v>3919</v>
      </c>
      <c r="F240" s="2" t="s">
        <v>3236</v>
      </c>
      <c r="G240" s="2"/>
      <c r="H240" s="2" t="s">
        <v>4531</v>
      </c>
    </row>
    <row r="241" customFormat="false" ht="15" hidden="false" customHeight="false" outlineLevel="0" collapsed="false">
      <c r="A241" s="2" t="n">
        <v>27</v>
      </c>
      <c r="B241" s="2" t="s">
        <v>357</v>
      </c>
      <c r="C241" s="2" t="s">
        <v>363</v>
      </c>
      <c r="D241" s="2" t="s">
        <v>4532</v>
      </c>
      <c r="E241" s="2" t="s">
        <v>3919</v>
      </c>
      <c r="F241" s="2" t="s">
        <v>4533</v>
      </c>
      <c r="G241" s="2"/>
      <c r="H241" s="2" t="s">
        <v>4534</v>
      </c>
    </row>
    <row r="242" customFormat="false" ht="15" hidden="false" customHeight="false" outlineLevel="0" collapsed="false">
      <c r="A242" s="2" t="n">
        <v>27</v>
      </c>
      <c r="B242" s="2" t="s">
        <v>357</v>
      </c>
      <c r="C242" s="2" t="s">
        <v>363</v>
      </c>
      <c r="D242" s="2" t="s">
        <v>4535</v>
      </c>
      <c r="E242" s="2" t="s">
        <v>3919</v>
      </c>
      <c r="F242" s="2" t="s">
        <v>4536</v>
      </c>
      <c r="G242" s="2"/>
      <c r="H242" s="2" t="s">
        <v>4537</v>
      </c>
    </row>
    <row r="243" customFormat="false" ht="15" hidden="false" customHeight="false" outlineLevel="0" collapsed="false">
      <c r="A243" s="2" t="n">
        <v>27</v>
      </c>
      <c r="B243" s="2" t="s">
        <v>357</v>
      </c>
      <c r="C243" s="2" t="s">
        <v>363</v>
      </c>
      <c r="D243" s="2" t="s">
        <v>4538</v>
      </c>
      <c r="E243" s="2" t="s">
        <v>3919</v>
      </c>
      <c r="F243" s="2" t="s">
        <v>4539</v>
      </c>
      <c r="G243" s="2"/>
      <c r="H243" s="2" t="s">
        <v>4540</v>
      </c>
    </row>
    <row r="244" customFormat="false" ht="15" hidden="false" customHeight="false" outlineLevel="0" collapsed="false">
      <c r="A244" s="2" t="n">
        <v>28</v>
      </c>
      <c r="B244" s="2" t="s">
        <v>367</v>
      </c>
      <c r="C244" s="2" t="s">
        <v>369</v>
      </c>
      <c r="D244" s="2" t="s">
        <v>961</v>
      </c>
      <c r="E244" s="2" t="s">
        <v>3915</v>
      </c>
      <c r="F244" s="2" t="s">
        <v>372</v>
      </c>
      <c r="G244" s="2" t="s">
        <v>4541</v>
      </c>
      <c r="H244" s="2" t="s">
        <v>962</v>
      </c>
    </row>
    <row r="245" customFormat="false" ht="15" hidden="false" customHeight="false" outlineLevel="0" collapsed="false">
      <c r="A245" s="2" t="n">
        <v>28</v>
      </c>
      <c r="B245" s="2" t="s">
        <v>367</v>
      </c>
      <c r="C245" s="2" t="s">
        <v>369</v>
      </c>
      <c r="D245" s="2" t="s">
        <v>4542</v>
      </c>
      <c r="E245" s="2" t="s">
        <v>3919</v>
      </c>
      <c r="F245" s="2" t="s">
        <v>3236</v>
      </c>
      <c r="G245" s="2"/>
      <c r="H245" s="2" t="s">
        <v>4543</v>
      </c>
    </row>
    <row r="246" customFormat="false" ht="15" hidden="false" customHeight="false" outlineLevel="0" collapsed="false">
      <c r="A246" s="2" t="n">
        <v>28</v>
      </c>
      <c r="B246" s="2" t="s">
        <v>367</v>
      </c>
      <c r="C246" s="2" t="s">
        <v>369</v>
      </c>
      <c r="D246" s="2" t="s">
        <v>4544</v>
      </c>
      <c r="E246" s="2" t="s">
        <v>3919</v>
      </c>
      <c r="F246" s="2" t="s">
        <v>4545</v>
      </c>
      <c r="G246" s="2"/>
      <c r="H246" s="2" t="s">
        <v>4546</v>
      </c>
    </row>
    <row r="247" customFormat="false" ht="15" hidden="false" customHeight="false" outlineLevel="0" collapsed="false">
      <c r="A247" s="2" t="n">
        <v>28</v>
      </c>
      <c r="B247" s="2" t="s">
        <v>367</v>
      </c>
      <c r="C247" s="2" t="s">
        <v>369</v>
      </c>
      <c r="D247" s="2" t="s">
        <v>4547</v>
      </c>
      <c r="E247" s="2" t="s">
        <v>3919</v>
      </c>
      <c r="F247" s="2" t="s">
        <v>3974</v>
      </c>
      <c r="G247" s="2"/>
      <c r="H247" s="2" t="s">
        <v>4548</v>
      </c>
    </row>
    <row r="248" customFormat="false" ht="15" hidden="false" customHeight="false" outlineLevel="0" collapsed="false">
      <c r="A248" s="2" t="n">
        <v>29</v>
      </c>
      <c r="B248" s="2" t="s">
        <v>374</v>
      </c>
      <c r="C248" s="2" t="s">
        <v>380</v>
      </c>
      <c r="D248" s="2" t="s">
        <v>4549</v>
      </c>
      <c r="E248" s="2" t="s">
        <v>3915</v>
      </c>
      <c r="F248" s="2" t="s">
        <v>383</v>
      </c>
      <c r="G248" s="2" t="s">
        <v>4550</v>
      </c>
      <c r="H248" s="2" t="s">
        <v>4551</v>
      </c>
    </row>
    <row r="249" customFormat="false" ht="15" hidden="false" customHeight="false" outlineLevel="0" collapsed="false">
      <c r="A249" s="2" t="n">
        <v>29</v>
      </c>
      <c r="B249" s="2" t="s">
        <v>374</v>
      </c>
      <c r="C249" s="2" t="s">
        <v>380</v>
      </c>
      <c r="D249" s="2" t="s">
        <v>4552</v>
      </c>
      <c r="E249" s="2" t="s">
        <v>3915</v>
      </c>
      <c r="F249" s="2" t="s">
        <v>383</v>
      </c>
      <c r="G249" s="2" t="s">
        <v>4553</v>
      </c>
      <c r="H249" s="2" t="s">
        <v>4554</v>
      </c>
    </row>
    <row r="250" customFormat="false" ht="15" hidden="false" customHeight="false" outlineLevel="0" collapsed="false">
      <c r="A250" s="2" t="n">
        <v>29</v>
      </c>
      <c r="B250" s="2" t="s">
        <v>374</v>
      </c>
      <c r="C250" s="2" t="s">
        <v>380</v>
      </c>
      <c r="D250" s="2" t="s">
        <v>4555</v>
      </c>
      <c r="E250" s="2" t="s">
        <v>3915</v>
      </c>
      <c r="F250" s="2" t="s">
        <v>90</v>
      </c>
      <c r="G250" s="2" t="s">
        <v>4556</v>
      </c>
      <c r="H250" s="2" t="s">
        <v>4557</v>
      </c>
    </row>
    <row r="251" customFormat="false" ht="15" hidden="false" customHeight="false" outlineLevel="0" collapsed="false">
      <c r="A251" s="2" t="n">
        <v>29</v>
      </c>
      <c r="B251" s="2" t="s">
        <v>374</v>
      </c>
      <c r="C251" s="2" t="s">
        <v>380</v>
      </c>
      <c r="D251" s="2" t="s">
        <v>4558</v>
      </c>
      <c r="E251" s="2" t="s">
        <v>3915</v>
      </c>
      <c r="F251" s="2" t="s">
        <v>670</v>
      </c>
      <c r="G251" s="2" t="s">
        <v>4559</v>
      </c>
      <c r="H251" s="2" t="s">
        <v>4560</v>
      </c>
    </row>
    <row r="252" customFormat="false" ht="15" hidden="false" customHeight="false" outlineLevel="0" collapsed="false">
      <c r="A252" s="2" t="n">
        <v>29</v>
      </c>
      <c r="B252" s="2" t="s">
        <v>374</v>
      </c>
      <c r="C252" s="2" t="s">
        <v>380</v>
      </c>
      <c r="D252" s="2" t="s">
        <v>4561</v>
      </c>
      <c r="E252" s="2" t="s">
        <v>3915</v>
      </c>
      <c r="F252" s="2" t="s">
        <v>251</v>
      </c>
      <c r="G252" s="2" t="s">
        <v>4562</v>
      </c>
      <c r="H252" s="2" t="s">
        <v>4563</v>
      </c>
    </row>
    <row r="253" customFormat="false" ht="15" hidden="false" customHeight="false" outlineLevel="0" collapsed="false">
      <c r="A253" s="2" t="n">
        <v>29</v>
      </c>
      <c r="B253" s="2" t="s">
        <v>374</v>
      </c>
      <c r="C253" s="2" t="s">
        <v>380</v>
      </c>
      <c r="D253" s="2" t="s">
        <v>4564</v>
      </c>
      <c r="E253" s="2" t="s">
        <v>3915</v>
      </c>
      <c r="F253" s="2" t="s">
        <v>384</v>
      </c>
      <c r="G253" s="2" t="s">
        <v>4565</v>
      </c>
      <c r="H253" s="2" t="s">
        <v>4566</v>
      </c>
    </row>
    <row r="254" customFormat="false" ht="15" hidden="false" customHeight="false" outlineLevel="0" collapsed="false">
      <c r="A254" s="2" t="n">
        <v>29</v>
      </c>
      <c r="B254" s="2" t="s">
        <v>374</v>
      </c>
      <c r="C254" s="2" t="s">
        <v>380</v>
      </c>
      <c r="D254" s="2" t="s">
        <v>4567</v>
      </c>
      <c r="E254" s="2" t="s">
        <v>3919</v>
      </c>
      <c r="F254" s="2" t="s">
        <v>4568</v>
      </c>
      <c r="G254" s="2"/>
      <c r="H254" s="2" t="s">
        <v>4569</v>
      </c>
    </row>
    <row r="255" customFormat="false" ht="15" hidden="false" customHeight="false" outlineLevel="0" collapsed="false">
      <c r="A255" s="2" t="n">
        <v>29</v>
      </c>
      <c r="B255" s="2" t="s">
        <v>374</v>
      </c>
      <c r="C255" s="2" t="s">
        <v>380</v>
      </c>
      <c r="D255" s="2" t="s">
        <v>4570</v>
      </c>
      <c r="E255" s="2" t="s">
        <v>3919</v>
      </c>
      <c r="F255" s="2" t="s">
        <v>2465</v>
      </c>
      <c r="G255" s="2"/>
      <c r="H255" s="2" t="s">
        <v>4571</v>
      </c>
    </row>
    <row r="256" customFormat="false" ht="15" hidden="false" customHeight="false" outlineLevel="0" collapsed="false">
      <c r="A256" s="2" t="n">
        <v>29</v>
      </c>
      <c r="B256" s="2" t="s">
        <v>374</v>
      </c>
      <c r="C256" s="2" t="s">
        <v>380</v>
      </c>
      <c r="D256" s="2" t="s">
        <v>4572</v>
      </c>
      <c r="E256" s="2" t="s">
        <v>3919</v>
      </c>
      <c r="F256" s="2" t="s">
        <v>4573</v>
      </c>
      <c r="G256" s="2"/>
      <c r="H256" s="2" t="s">
        <v>4574</v>
      </c>
    </row>
    <row r="257" customFormat="false" ht="15" hidden="false" customHeight="false" outlineLevel="0" collapsed="false">
      <c r="A257" s="2" t="n">
        <v>30</v>
      </c>
      <c r="B257" s="2" t="s">
        <v>386</v>
      </c>
      <c r="C257" s="2" t="s">
        <v>392</v>
      </c>
      <c r="D257" s="2" t="s">
        <v>4575</v>
      </c>
      <c r="E257" s="2" t="s">
        <v>3919</v>
      </c>
      <c r="F257" s="2" t="s">
        <v>4576</v>
      </c>
      <c r="G257" s="2" t="s">
        <v>4577</v>
      </c>
      <c r="H257" s="2" t="s">
        <v>4578</v>
      </c>
    </row>
    <row r="258" customFormat="false" ht="15" hidden="false" customHeight="false" outlineLevel="0" collapsed="false">
      <c r="A258" s="2" t="n">
        <v>30</v>
      </c>
      <c r="B258" s="2" t="s">
        <v>386</v>
      </c>
      <c r="C258" s="2" t="s">
        <v>392</v>
      </c>
      <c r="D258" s="2" t="s">
        <v>4579</v>
      </c>
      <c r="E258" s="2" t="s">
        <v>3919</v>
      </c>
      <c r="F258" s="2" t="s">
        <v>4580</v>
      </c>
      <c r="G258" s="2"/>
      <c r="H258" s="2" t="s">
        <v>4581</v>
      </c>
    </row>
    <row r="259" customFormat="false" ht="15" hidden="false" customHeight="false" outlineLevel="0" collapsed="false">
      <c r="A259" s="2" t="n">
        <v>30</v>
      </c>
      <c r="B259" s="2" t="s">
        <v>386</v>
      </c>
      <c r="C259" s="2" t="s">
        <v>392</v>
      </c>
      <c r="D259" s="2" t="s">
        <v>4582</v>
      </c>
      <c r="E259" s="2" t="s">
        <v>3919</v>
      </c>
      <c r="F259" s="2" t="s">
        <v>4583</v>
      </c>
      <c r="G259" s="2"/>
      <c r="H259" s="2" t="s">
        <v>4584</v>
      </c>
    </row>
    <row r="260" customFormat="false" ht="15" hidden="false" customHeight="false" outlineLevel="0" collapsed="false">
      <c r="A260" s="2" t="n">
        <v>31</v>
      </c>
      <c r="B260" s="2" t="s">
        <v>396</v>
      </c>
      <c r="C260" s="2" t="s">
        <v>401</v>
      </c>
      <c r="D260" s="2" t="s">
        <v>392</v>
      </c>
      <c r="E260" s="2" t="s">
        <v>3915</v>
      </c>
      <c r="F260" s="2" t="s">
        <v>389</v>
      </c>
      <c r="G260" s="2" t="s">
        <v>4585</v>
      </c>
      <c r="H260" s="2" t="s">
        <v>393</v>
      </c>
    </row>
    <row r="261" customFormat="false" ht="15" hidden="false" customHeight="false" outlineLevel="0" collapsed="false">
      <c r="A261" s="2" t="n">
        <v>31</v>
      </c>
      <c r="B261" s="2" t="s">
        <v>396</v>
      </c>
      <c r="C261" s="2" t="s">
        <v>401</v>
      </c>
      <c r="D261" s="2" t="s">
        <v>369</v>
      </c>
      <c r="E261" s="2" t="s">
        <v>3915</v>
      </c>
      <c r="F261" s="2" t="s">
        <v>360</v>
      </c>
      <c r="G261" s="2" t="s">
        <v>4586</v>
      </c>
      <c r="H261" s="2" t="s">
        <v>370</v>
      </c>
    </row>
    <row r="262" customFormat="false" ht="15" hidden="false" customHeight="false" outlineLevel="0" collapsed="false">
      <c r="A262" s="2" t="n">
        <v>31</v>
      </c>
      <c r="B262" s="2" t="s">
        <v>396</v>
      </c>
      <c r="C262" s="2" t="s">
        <v>401</v>
      </c>
      <c r="D262" s="2" t="s">
        <v>363</v>
      </c>
      <c r="E262" s="2" t="s">
        <v>3915</v>
      </c>
      <c r="F262" s="2" t="s">
        <v>360</v>
      </c>
      <c r="G262" s="2" t="s">
        <v>4587</v>
      </c>
      <c r="H262" s="2" t="s">
        <v>364</v>
      </c>
    </row>
    <row r="263" customFormat="false" ht="15" hidden="false" customHeight="false" outlineLevel="0" collapsed="false">
      <c r="A263" s="2" t="n">
        <v>31</v>
      </c>
      <c r="B263" s="2" t="s">
        <v>396</v>
      </c>
      <c r="C263" s="2" t="s">
        <v>401</v>
      </c>
      <c r="D263" s="2" t="s">
        <v>809</v>
      </c>
      <c r="E263" s="2" t="s">
        <v>3915</v>
      </c>
      <c r="F263" s="2" t="s">
        <v>631</v>
      </c>
      <c r="G263" s="2" t="s">
        <v>4588</v>
      </c>
      <c r="H263" s="2" t="s">
        <v>810</v>
      </c>
    </row>
    <row r="264" customFormat="false" ht="15" hidden="false" customHeight="false" outlineLevel="0" collapsed="false">
      <c r="A264" s="2" t="n">
        <v>31</v>
      </c>
      <c r="B264" s="2" t="s">
        <v>396</v>
      </c>
      <c r="C264" s="2" t="s">
        <v>401</v>
      </c>
      <c r="D264" s="2" t="s">
        <v>961</v>
      </c>
      <c r="E264" s="2" t="s">
        <v>3915</v>
      </c>
      <c r="F264" s="2" t="s">
        <v>372</v>
      </c>
      <c r="G264" s="2" t="s">
        <v>4541</v>
      </c>
      <c r="H264" s="2" t="s">
        <v>962</v>
      </c>
    </row>
    <row r="265" customFormat="false" ht="15" hidden="false" customHeight="false" outlineLevel="0" collapsed="false">
      <c r="A265" s="2" t="n">
        <v>31</v>
      </c>
      <c r="B265" s="2" t="s">
        <v>396</v>
      </c>
      <c r="C265" s="2" t="s">
        <v>401</v>
      </c>
      <c r="D265" s="2" t="s">
        <v>4589</v>
      </c>
      <c r="E265" s="2" t="s">
        <v>3915</v>
      </c>
      <c r="F265" s="2" t="s">
        <v>384</v>
      </c>
      <c r="G265" s="2" t="s">
        <v>4590</v>
      </c>
      <c r="H265" s="2" t="s">
        <v>4591</v>
      </c>
    </row>
    <row r="266" customFormat="false" ht="15" hidden="false" customHeight="false" outlineLevel="0" collapsed="false">
      <c r="A266" s="2" t="n">
        <v>32</v>
      </c>
      <c r="B266" s="2" t="s">
        <v>405</v>
      </c>
      <c r="C266" s="2" t="s">
        <v>410</v>
      </c>
      <c r="D266" s="2" t="s">
        <v>671</v>
      </c>
      <c r="E266" s="2" t="s">
        <v>3915</v>
      </c>
      <c r="F266" s="2" t="s">
        <v>313</v>
      </c>
      <c r="G266" s="2" t="s">
        <v>4441</v>
      </c>
      <c r="H266" s="2" t="s">
        <v>672</v>
      </c>
    </row>
    <row r="267" customFormat="false" ht="15" hidden="false" customHeight="false" outlineLevel="0" collapsed="false">
      <c r="A267" s="2" t="n">
        <v>32</v>
      </c>
      <c r="B267" s="2" t="s">
        <v>405</v>
      </c>
      <c r="C267" s="2" t="s">
        <v>410</v>
      </c>
      <c r="D267" s="2" t="s">
        <v>4592</v>
      </c>
      <c r="E267" s="2" t="s">
        <v>3919</v>
      </c>
      <c r="F267" s="2" t="s">
        <v>4593</v>
      </c>
      <c r="G267" s="2" t="s">
        <v>4594</v>
      </c>
      <c r="H267" s="2" t="s">
        <v>4595</v>
      </c>
    </row>
    <row r="268" customFormat="false" ht="15" hidden="false" customHeight="false" outlineLevel="0" collapsed="false">
      <c r="A268" s="2" t="n">
        <v>32</v>
      </c>
      <c r="B268" s="2" t="s">
        <v>405</v>
      </c>
      <c r="C268" s="2" t="s">
        <v>410</v>
      </c>
      <c r="D268" s="2" t="s">
        <v>4596</v>
      </c>
      <c r="E268" s="2" t="s">
        <v>3919</v>
      </c>
      <c r="F268" s="2" t="s">
        <v>4506</v>
      </c>
      <c r="G268" s="2"/>
      <c r="H268" s="2" t="s">
        <v>4597</v>
      </c>
    </row>
    <row r="269" customFormat="false" ht="15" hidden="false" customHeight="false" outlineLevel="0" collapsed="false">
      <c r="A269" s="2" t="n">
        <v>32</v>
      </c>
      <c r="B269" s="2" t="s">
        <v>405</v>
      </c>
      <c r="C269" s="2" t="s">
        <v>410</v>
      </c>
      <c r="D269" s="2" t="s">
        <v>4598</v>
      </c>
      <c r="E269" s="2" t="s">
        <v>3919</v>
      </c>
      <c r="F269" s="2" t="s">
        <v>4599</v>
      </c>
      <c r="G269" s="2"/>
      <c r="H269" s="2" t="s">
        <v>4600</v>
      </c>
    </row>
    <row r="270" customFormat="false" ht="15" hidden="false" customHeight="false" outlineLevel="0" collapsed="false">
      <c r="A270" s="2" t="n">
        <v>32</v>
      </c>
      <c r="B270" s="2" t="s">
        <v>405</v>
      </c>
      <c r="C270" s="2" t="s">
        <v>410</v>
      </c>
      <c r="D270" s="2" t="s">
        <v>4601</v>
      </c>
      <c r="E270" s="2" t="s">
        <v>3919</v>
      </c>
      <c r="F270" s="2" t="s">
        <v>4602</v>
      </c>
      <c r="G270" s="2"/>
      <c r="H270" s="2" t="s">
        <v>4603</v>
      </c>
    </row>
    <row r="271" customFormat="false" ht="15" hidden="false" customHeight="false" outlineLevel="0" collapsed="false">
      <c r="A271" s="2" t="n">
        <v>32</v>
      </c>
      <c r="B271" s="2" t="s">
        <v>405</v>
      </c>
      <c r="C271" s="2" t="s">
        <v>410</v>
      </c>
      <c r="D271" s="2" t="s">
        <v>4604</v>
      </c>
      <c r="E271" s="2" t="s">
        <v>3919</v>
      </c>
      <c r="F271" s="2" t="s">
        <v>2137</v>
      </c>
      <c r="G271" s="2" t="s">
        <v>4605</v>
      </c>
      <c r="H271" s="2" t="s">
        <v>4606</v>
      </c>
    </row>
    <row r="272" customFormat="false" ht="15" hidden="false" customHeight="false" outlineLevel="0" collapsed="false">
      <c r="A272" s="2" t="n">
        <v>32</v>
      </c>
      <c r="B272" s="2" t="s">
        <v>405</v>
      </c>
      <c r="C272" s="2" t="s">
        <v>410</v>
      </c>
      <c r="D272" s="2" t="s">
        <v>4607</v>
      </c>
      <c r="E272" s="2" t="s">
        <v>3919</v>
      </c>
      <c r="F272" s="2" t="s">
        <v>4608</v>
      </c>
      <c r="G272" s="2"/>
      <c r="H272" s="2" t="s">
        <v>4609</v>
      </c>
    </row>
    <row r="273" customFormat="false" ht="15" hidden="false" customHeight="false" outlineLevel="0" collapsed="false">
      <c r="A273" s="2" t="n">
        <v>32</v>
      </c>
      <c r="B273" s="2" t="s">
        <v>405</v>
      </c>
      <c r="C273" s="2" t="s">
        <v>410</v>
      </c>
      <c r="D273" s="2" t="s">
        <v>4610</v>
      </c>
      <c r="E273" s="2" t="s">
        <v>3919</v>
      </c>
      <c r="F273" s="2" t="s">
        <v>4611</v>
      </c>
      <c r="G273" s="2"/>
      <c r="H273" s="2" t="s">
        <v>4612</v>
      </c>
    </row>
    <row r="274" customFormat="false" ht="15" hidden="false" customHeight="false" outlineLevel="0" collapsed="false">
      <c r="A274" s="2" t="n">
        <v>33</v>
      </c>
      <c r="B274" s="2" t="s">
        <v>414</v>
      </c>
      <c r="C274" s="2" t="s">
        <v>418</v>
      </c>
      <c r="D274" s="2" t="s">
        <v>4613</v>
      </c>
      <c r="E274" s="2" t="s">
        <v>3919</v>
      </c>
      <c r="F274" s="2" t="s">
        <v>361</v>
      </c>
      <c r="G274" s="2"/>
      <c r="H274" s="2" t="s">
        <v>4614</v>
      </c>
    </row>
    <row r="275" customFormat="false" ht="15" hidden="false" customHeight="false" outlineLevel="0" collapsed="false">
      <c r="A275" s="2" t="n">
        <v>33</v>
      </c>
      <c r="B275" s="2" t="s">
        <v>414</v>
      </c>
      <c r="C275" s="2" t="s">
        <v>418</v>
      </c>
      <c r="D275" s="2" t="s">
        <v>4615</v>
      </c>
      <c r="E275" s="2" t="s">
        <v>3919</v>
      </c>
      <c r="F275" s="2" t="s">
        <v>4616</v>
      </c>
      <c r="G275" s="2"/>
      <c r="H275" s="2" t="s">
        <v>4617</v>
      </c>
    </row>
    <row r="276" customFormat="false" ht="15" hidden="false" customHeight="false" outlineLevel="0" collapsed="false">
      <c r="A276" s="2" t="n">
        <v>33</v>
      </c>
      <c r="B276" s="2" t="s">
        <v>414</v>
      </c>
      <c r="C276" s="2" t="s">
        <v>418</v>
      </c>
      <c r="D276" s="2" t="s">
        <v>4618</v>
      </c>
      <c r="E276" s="2" t="s">
        <v>3919</v>
      </c>
      <c r="F276" s="2" t="s">
        <v>4306</v>
      </c>
      <c r="G276" s="2"/>
      <c r="H276" s="2" t="s">
        <v>4619</v>
      </c>
    </row>
    <row r="277" customFormat="false" ht="15" hidden="false" customHeight="false" outlineLevel="0" collapsed="false">
      <c r="A277" s="2" t="n">
        <v>34</v>
      </c>
      <c r="B277" s="2" t="s">
        <v>422</v>
      </c>
      <c r="C277" s="2" t="s">
        <v>424</v>
      </c>
      <c r="D277" s="2" t="s">
        <v>4620</v>
      </c>
      <c r="E277" s="2" t="s">
        <v>3919</v>
      </c>
      <c r="F277" s="2" t="s">
        <v>4621</v>
      </c>
      <c r="G277" s="2"/>
      <c r="H277" s="2" t="s">
        <v>4622</v>
      </c>
    </row>
    <row r="278" customFormat="false" ht="15" hidden="false" customHeight="false" outlineLevel="0" collapsed="false">
      <c r="A278" s="2" t="n">
        <v>35</v>
      </c>
      <c r="B278" s="2" t="s">
        <v>428</v>
      </c>
      <c r="C278" s="2" t="s">
        <v>433</v>
      </c>
      <c r="D278" s="2" t="s">
        <v>4623</v>
      </c>
      <c r="E278" s="2" t="s">
        <v>3919</v>
      </c>
      <c r="F278" s="2" t="s">
        <v>4624</v>
      </c>
      <c r="G278" s="2"/>
      <c r="H278" s="2" t="s">
        <v>4625</v>
      </c>
    </row>
    <row r="279" customFormat="false" ht="15" hidden="false" customHeight="false" outlineLevel="0" collapsed="false">
      <c r="A279" s="2" t="n">
        <v>35</v>
      </c>
      <c r="B279" s="2" t="s">
        <v>428</v>
      </c>
      <c r="C279" s="2" t="s">
        <v>433</v>
      </c>
      <c r="D279" s="2" t="s">
        <v>4626</v>
      </c>
      <c r="E279" s="2" t="s">
        <v>3919</v>
      </c>
      <c r="F279" s="2" t="s">
        <v>4627</v>
      </c>
      <c r="G279" s="2"/>
      <c r="H279" s="2" t="s">
        <v>4628</v>
      </c>
    </row>
    <row r="280" customFormat="false" ht="15" hidden="false" customHeight="false" outlineLevel="0" collapsed="false">
      <c r="A280" s="2" t="n">
        <v>35</v>
      </c>
      <c r="B280" s="2" t="s">
        <v>428</v>
      </c>
      <c r="C280" s="2" t="s">
        <v>433</v>
      </c>
      <c r="D280" s="2" t="s">
        <v>4629</v>
      </c>
      <c r="E280" s="2" t="s">
        <v>3919</v>
      </c>
      <c r="F280" s="2" t="s">
        <v>4630</v>
      </c>
      <c r="G280" s="2"/>
      <c r="H280" s="2" t="s">
        <v>4631</v>
      </c>
    </row>
    <row r="281" customFormat="false" ht="15" hidden="false" customHeight="false" outlineLevel="0" collapsed="false">
      <c r="A281" s="2" t="n">
        <v>36</v>
      </c>
      <c r="B281" s="2" t="s">
        <v>437</v>
      </c>
      <c r="C281" s="2" t="s">
        <v>441</v>
      </c>
      <c r="D281" s="2" t="s">
        <v>646</v>
      </c>
      <c r="E281" s="2" t="s">
        <v>3915</v>
      </c>
      <c r="F281" s="2" t="s">
        <v>444</v>
      </c>
      <c r="G281" s="2" t="s">
        <v>4632</v>
      </c>
      <c r="H281" s="2" t="s">
        <v>647</v>
      </c>
    </row>
    <row r="282" customFormat="false" ht="15" hidden="false" customHeight="false" outlineLevel="0" collapsed="false">
      <c r="A282" s="2" t="n">
        <v>36</v>
      </c>
      <c r="B282" s="2" t="s">
        <v>437</v>
      </c>
      <c r="C282" s="2" t="s">
        <v>441</v>
      </c>
      <c r="D282" s="2" t="s">
        <v>944</v>
      </c>
      <c r="E282" s="2" t="s">
        <v>3915</v>
      </c>
      <c r="F282" s="2" t="s">
        <v>239</v>
      </c>
      <c r="G282" s="2" t="s">
        <v>4633</v>
      </c>
      <c r="H282" s="2" t="s">
        <v>945</v>
      </c>
    </row>
    <row r="283" customFormat="false" ht="15" hidden="false" customHeight="false" outlineLevel="0" collapsed="false">
      <c r="A283" s="2" t="n">
        <v>36</v>
      </c>
      <c r="B283" s="2" t="s">
        <v>437</v>
      </c>
      <c r="C283" s="2" t="s">
        <v>441</v>
      </c>
      <c r="D283" s="2" t="s">
        <v>1115</v>
      </c>
      <c r="E283" s="2" t="s">
        <v>3915</v>
      </c>
      <c r="F283" s="2" t="s">
        <v>239</v>
      </c>
      <c r="G283" s="2" t="s">
        <v>4634</v>
      </c>
      <c r="H283" s="2" t="s">
        <v>1116</v>
      </c>
    </row>
    <row r="284" customFormat="false" ht="15" hidden="false" customHeight="false" outlineLevel="0" collapsed="false">
      <c r="A284" s="2" t="n">
        <v>36</v>
      </c>
      <c r="B284" s="2" t="s">
        <v>437</v>
      </c>
      <c r="C284" s="2" t="s">
        <v>441</v>
      </c>
      <c r="D284" s="2" t="s">
        <v>951</v>
      </c>
      <c r="E284" s="2" t="s">
        <v>3915</v>
      </c>
      <c r="F284" s="2" t="s">
        <v>372</v>
      </c>
      <c r="G284" s="2" t="s">
        <v>4635</v>
      </c>
      <c r="H284" s="2" t="s">
        <v>952</v>
      </c>
    </row>
    <row r="285" customFormat="false" ht="15" hidden="false" customHeight="false" outlineLevel="0" collapsed="false">
      <c r="A285" s="2" t="n">
        <v>36</v>
      </c>
      <c r="B285" s="2" t="s">
        <v>437</v>
      </c>
      <c r="C285" s="2" t="s">
        <v>441</v>
      </c>
      <c r="D285" s="2" t="s">
        <v>4589</v>
      </c>
      <c r="E285" s="2" t="s">
        <v>3915</v>
      </c>
      <c r="F285" s="2" t="s">
        <v>384</v>
      </c>
      <c r="G285" s="2" t="s">
        <v>4590</v>
      </c>
      <c r="H285" s="2" t="s">
        <v>4591</v>
      </c>
    </row>
    <row r="286" customFormat="false" ht="15" hidden="false" customHeight="false" outlineLevel="0" collapsed="false">
      <c r="A286" s="2" t="n">
        <v>36</v>
      </c>
      <c r="B286" s="2" t="s">
        <v>437</v>
      </c>
      <c r="C286" s="2" t="s">
        <v>441</v>
      </c>
      <c r="D286" s="2" t="s">
        <v>4636</v>
      </c>
      <c r="E286" s="2" t="s">
        <v>3915</v>
      </c>
      <c r="F286" s="2" t="s">
        <v>445</v>
      </c>
      <c r="G286" s="2" t="s">
        <v>4637</v>
      </c>
      <c r="H286" s="2" t="s">
        <v>4638</v>
      </c>
    </row>
    <row r="287" customFormat="false" ht="15" hidden="false" customHeight="false" outlineLevel="0" collapsed="false">
      <c r="A287" s="2" t="n">
        <v>36</v>
      </c>
      <c r="B287" s="2" t="s">
        <v>437</v>
      </c>
      <c r="C287" s="2" t="s">
        <v>441</v>
      </c>
      <c r="D287" s="2" t="s">
        <v>4639</v>
      </c>
      <c r="E287" s="2" t="s">
        <v>3919</v>
      </c>
      <c r="F287" s="2" t="s">
        <v>4640</v>
      </c>
      <c r="G287" s="2"/>
      <c r="H287" s="2" t="s">
        <v>4641</v>
      </c>
    </row>
    <row r="288" customFormat="false" ht="15" hidden="false" customHeight="false" outlineLevel="0" collapsed="false">
      <c r="A288" s="2" t="n">
        <v>36</v>
      </c>
      <c r="B288" s="2" t="s">
        <v>437</v>
      </c>
      <c r="C288" s="2" t="s">
        <v>441</v>
      </c>
      <c r="D288" s="2" t="s">
        <v>4642</v>
      </c>
      <c r="E288" s="2" t="s">
        <v>3919</v>
      </c>
      <c r="F288" s="2" t="s">
        <v>3211</v>
      </c>
      <c r="G288" s="2"/>
      <c r="H288" s="2" t="s">
        <v>4643</v>
      </c>
    </row>
    <row r="289" customFormat="false" ht="15" hidden="false" customHeight="false" outlineLevel="0" collapsed="false">
      <c r="A289" s="2" t="n">
        <v>37</v>
      </c>
      <c r="B289" s="2" t="s">
        <v>447</v>
      </c>
      <c r="C289" s="2" t="s">
        <v>452</v>
      </c>
      <c r="D289" s="2" t="s">
        <v>4644</v>
      </c>
      <c r="E289" s="2" t="s">
        <v>3915</v>
      </c>
      <c r="F289" s="2" t="s">
        <v>384</v>
      </c>
      <c r="G289" s="2" t="s">
        <v>4645</v>
      </c>
      <c r="H289" s="2" t="s">
        <v>4646</v>
      </c>
    </row>
    <row r="290" customFormat="false" ht="15" hidden="false" customHeight="false" outlineLevel="0" collapsed="false">
      <c r="A290" s="2" t="n">
        <v>37</v>
      </c>
      <c r="B290" s="2" t="s">
        <v>447</v>
      </c>
      <c r="C290" s="2" t="s">
        <v>452</v>
      </c>
      <c r="D290" s="2" t="s">
        <v>4647</v>
      </c>
      <c r="E290" s="2" t="s">
        <v>3919</v>
      </c>
      <c r="F290" s="2" t="s">
        <v>4648</v>
      </c>
      <c r="G290" s="2"/>
      <c r="H290" s="2" t="s">
        <v>4649</v>
      </c>
    </row>
    <row r="291" customFormat="false" ht="15" hidden="false" customHeight="false" outlineLevel="0" collapsed="false">
      <c r="A291" s="2" t="n">
        <v>37</v>
      </c>
      <c r="B291" s="2" t="s">
        <v>447</v>
      </c>
      <c r="C291" s="2" t="s">
        <v>452</v>
      </c>
      <c r="D291" s="2" t="s">
        <v>4650</v>
      </c>
      <c r="E291" s="2" t="s">
        <v>3919</v>
      </c>
      <c r="F291" s="2" t="s">
        <v>4651</v>
      </c>
      <c r="G291" s="2"/>
      <c r="H291" s="2" t="s">
        <v>4652</v>
      </c>
    </row>
    <row r="292" customFormat="false" ht="15" hidden="false" customHeight="false" outlineLevel="0" collapsed="false">
      <c r="A292" s="2" t="n">
        <v>37</v>
      </c>
      <c r="B292" s="2" t="s">
        <v>447</v>
      </c>
      <c r="C292" s="2" t="s">
        <v>452</v>
      </c>
      <c r="D292" s="2" t="s">
        <v>4653</v>
      </c>
      <c r="E292" s="2" t="s">
        <v>3919</v>
      </c>
      <c r="F292" s="2" t="s">
        <v>4654</v>
      </c>
      <c r="G292" s="2"/>
      <c r="H292" s="2" t="s">
        <v>4655</v>
      </c>
    </row>
    <row r="293" customFormat="false" ht="15" hidden="false" customHeight="false" outlineLevel="0" collapsed="false">
      <c r="A293" s="2" t="n">
        <v>37</v>
      </c>
      <c r="B293" s="2" t="s">
        <v>447</v>
      </c>
      <c r="C293" s="2" t="s">
        <v>452</v>
      </c>
      <c r="D293" s="2" t="s">
        <v>4656</v>
      </c>
      <c r="E293" s="2" t="s">
        <v>3919</v>
      </c>
      <c r="F293" s="2" t="s">
        <v>1389</v>
      </c>
      <c r="G293" s="2"/>
      <c r="H293" s="2" t="s">
        <v>4657</v>
      </c>
    </row>
    <row r="294" customFormat="false" ht="15" hidden="false" customHeight="false" outlineLevel="0" collapsed="false">
      <c r="A294" s="2" t="n">
        <v>37</v>
      </c>
      <c r="B294" s="2" t="s">
        <v>447</v>
      </c>
      <c r="C294" s="2" t="s">
        <v>452</v>
      </c>
      <c r="D294" s="2" t="s">
        <v>4658</v>
      </c>
      <c r="E294" s="2" t="s">
        <v>3919</v>
      </c>
      <c r="F294" s="2" t="s">
        <v>4659</v>
      </c>
      <c r="G294" s="2"/>
      <c r="H294" s="2" t="s">
        <v>4660</v>
      </c>
    </row>
    <row r="295" customFormat="false" ht="15" hidden="false" customHeight="false" outlineLevel="0" collapsed="false">
      <c r="A295" s="2" t="n">
        <v>37</v>
      </c>
      <c r="B295" s="2" t="s">
        <v>447</v>
      </c>
      <c r="C295" s="2" t="s">
        <v>452</v>
      </c>
      <c r="D295" s="2" t="s">
        <v>4661</v>
      </c>
      <c r="E295" s="2" t="s">
        <v>3919</v>
      </c>
      <c r="F295" s="2" t="s">
        <v>4662</v>
      </c>
      <c r="G295" s="2"/>
      <c r="H295" s="2" t="s">
        <v>4663</v>
      </c>
    </row>
    <row r="296" customFormat="false" ht="15" hidden="false" customHeight="false" outlineLevel="0" collapsed="false">
      <c r="A296" s="2" t="n">
        <v>37</v>
      </c>
      <c r="B296" s="2" t="s">
        <v>447</v>
      </c>
      <c r="C296" s="2" t="s">
        <v>452</v>
      </c>
      <c r="D296" s="2" t="s">
        <v>4664</v>
      </c>
      <c r="E296" s="2" t="s">
        <v>3919</v>
      </c>
      <c r="F296" s="2" t="s">
        <v>4665</v>
      </c>
      <c r="G296" s="2"/>
      <c r="H296" s="2" t="s">
        <v>4666</v>
      </c>
    </row>
    <row r="297" customFormat="false" ht="15" hidden="false" customHeight="false" outlineLevel="0" collapsed="false">
      <c r="A297" s="2" t="n">
        <v>39</v>
      </c>
      <c r="B297" s="2" t="s">
        <v>463</v>
      </c>
      <c r="C297" s="2" t="s">
        <v>468</v>
      </c>
      <c r="D297" s="2" t="s">
        <v>2553</v>
      </c>
      <c r="E297" s="2" t="s">
        <v>3915</v>
      </c>
      <c r="F297" s="2" t="s">
        <v>471</v>
      </c>
      <c r="G297" s="2" t="s">
        <v>2554</v>
      </c>
      <c r="H297" s="2" t="s">
        <v>2555</v>
      </c>
    </row>
    <row r="298" customFormat="false" ht="15" hidden="false" customHeight="false" outlineLevel="0" collapsed="false">
      <c r="A298" s="2" t="n">
        <v>39</v>
      </c>
      <c r="B298" s="2" t="s">
        <v>463</v>
      </c>
      <c r="C298" s="2" t="s">
        <v>468</v>
      </c>
      <c r="D298" s="2" t="s">
        <v>2556</v>
      </c>
      <c r="E298" s="2" t="s">
        <v>3915</v>
      </c>
      <c r="F298" s="2" t="s">
        <v>472</v>
      </c>
      <c r="G298" s="2" t="s">
        <v>2557</v>
      </c>
      <c r="H298" s="2" t="s">
        <v>2558</v>
      </c>
    </row>
    <row r="299" customFormat="false" ht="15" hidden="false" customHeight="false" outlineLevel="0" collapsed="false">
      <c r="A299" s="2" t="n">
        <v>39</v>
      </c>
      <c r="B299" s="2" t="s">
        <v>463</v>
      </c>
      <c r="C299" s="2" t="s">
        <v>468</v>
      </c>
      <c r="D299" s="2" t="s">
        <v>4667</v>
      </c>
      <c r="E299" s="2" t="s">
        <v>3919</v>
      </c>
      <c r="F299" s="2" t="s">
        <v>3949</v>
      </c>
      <c r="G299" s="2"/>
      <c r="H299" s="2" t="s">
        <v>4668</v>
      </c>
    </row>
    <row r="300" customFormat="false" ht="15" hidden="false" customHeight="false" outlineLevel="0" collapsed="false">
      <c r="A300" s="2" t="n">
        <v>41</v>
      </c>
      <c r="B300" s="2" t="s">
        <v>481</v>
      </c>
      <c r="C300" s="2" t="s">
        <v>486</v>
      </c>
      <c r="D300" s="2" t="s">
        <v>4669</v>
      </c>
      <c r="E300" s="2" t="s">
        <v>3915</v>
      </c>
      <c r="F300" s="2" t="s">
        <v>489</v>
      </c>
      <c r="G300" s="2" t="s">
        <v>4670</v>
      </c>
      <c r="H300" s="2" t="s">
        <v>4671</v>
      </c>
    </row>
    <row r="301" customFormat="false" ht="15" hidden="false" customHeight="false" outlineLevel="0" collapsed="false">
      <c r="A301" s="2" t="n">
        <v>41</v>
      </c>
      <c r="B301" s="2" t="s">
        <v>481</v>
      </c>
      <c r="C301" s="2" t="s">
        <v>486</v>
      </c>
      <c r="D301" s="2" t="s">
        <v>944</v>
      </c>
      <c r="E301" s="2" t="s">
        <v>3915</v>
      </c>
      <c r="F301" s="2" t="s">
        <v>239</v>
      </c>
      <c r="G301" s="2" t="s">
        <v>4633</v>
      </c>
      <c r="H301" s="2" t="s">
        <v>945</v>
      </c>
    </row>
    <row r="302" customFormat="false" ht="15" hidden="false" customHeight="false" outlineLevel="0" collapsed="false">
      <c r="A302" s="2" t="n">
        <v>41</v>
      </c>
      <c r="B302" s="2" t="s">
        <v>481</v>
      </c>
      <c r="C302" s="2" t="s">
        <v>486</v>
      </c>
      <c r="D302" s="2" t="s">
        <v>867</v>
      </c>
      <c r="E302" s="2" t="s">
        <v>3915</v>
      </c>
      <c r="F302" s="2" t="s">
        <v>126</v>
      </c>
      <c r="G302" s="2" t="s">
        <v>4672</v>
      </c>
      <c r="H302" s="2" t="s">
        <v>868</v>
      </c>
    </row>
    <row r="303" customFormat="false" ht="15" hidden="false" customHeight="false" outlineLevel="0" collapsed="false">
      <c r="A303" s="2" t="n">
        <v>41</v>
      </c>
      <c r="B303" s="2" t="s">
        <v>481</v>
      </c>
      <c r="C303" s="2" t="s">
        <v>486</v>
      </c>
      <c r="D303" s="2" t="s">
        <v>4673</v>
      </c>
      <c r="E303" s="2" t="s">
        <v>3915</v>
      </c>
      <c r="F303" s="2" t="s">
        <v>384</v>
      </c>
      <c r="G303" s="2" t="s">
        <v>4674</v>
      </c>
      <c r="H303" s="2" t="s">
        <v>4675</v>
      </c>
    </row>
    <row r="304" customFormat="false" ht="15" hidden="false" customHeight="false" outlineLevel="0" collapsed="false">
      <c r="A304" s="2" t="n">
        <v>41</v>
      </c>
      <c r="B304" s="2" t="s">
        <v>481</v>
      </c>
      <c r="C304" s="2" t="s">
        <v>486</v>
      </c>
      <c r="D304" s="2" t="s">
        <v>4676</v>
      </c>
      <c r="E304" s="2" t="s">
        <v>3915</v>
      </c>
      <c r="F304" s="2" t="s">
        <v>384</v>
      </c>
      <c r="G304" s="2" t="s">
        <v>4677</v>
      </c>
      <c r="H304" s="2" t="s">
        <v>4678</v>
      </c>
    </row>
    <row r="305" customFormat="false" ht="15" hidden="false" customHeight="false" outlineLevel="0" collapsed="false">
      <c r="A305" s="2" t="n">
        <v>41</v>
      </c>
      <c r="B305" s="2" t="s">
        <v>481</v>
      </c>
      <c r="C305" s="2" t="s">
        <v>486</v>
      </c>
      <c r="D305" s="2" t="s">
        <v>4679</v>
      </c>
      <c r="E305" s="2" t="s">
        <v>3915</v>
      </c>
      <c r="F305" s="2" t="s">
        <v>490</v>
      </c>
      <c r="G305" s="2" t="s">
        <v>4680</v>
      </c>
      <c r="H305" s="2" t="s">
        <v>4681</v>
      </c>
    </row>
    <row r="306" customFormat="false" ht="15" hidden="false" customHeight="false" outlineLevel="0" collapsed="false">
      <c r="A306" s="2" t="n">
        <v>41</v>
      </c>
      <c r="B306" s="2" t="s">
        <v>481</v>
      </c>
      <c r="C306" s="2" t="s">
        <v>486</v>
      </c>
      <c r="D306" s="2" t="s">
        <v>4682</v>
      </c>
      <c r="E306" s="2" t="s">
        <v>3919</v>
      </c>
      <c r="F306" s="2" t="s">
        <v>4683</v>
      </c>
      <c r="G306" s="2"/>
      <c r="H306" s="2" t="s">
        <v>4684</v>
      </c>
    </row>
    <row r="307" customFormat="false" ht="15" hidden="false" customHeight="false" outlineLevel="0" collapsed="false">
      <c r="A307" s="2" t="n">
        <v>41</v>
      </c>
      <c r="B307" s="2" t="s">
        <v>481</v>
      </c>
      <c r="C307" s="2" t="s">
        <v>486</v>
      </c>
      <c r="D307" s="2" t="s">
        <v>4685</v>
      </c>
      <c r="E307" s="2" t="s">
        <v>3919</v>
      </c>
      <c r="F307" s="2" t="s">
        <v>4686</v>
      </c>
      <c r="G307" s="2"/>
      <c r="H307" s="2" t="s">
        <v>4687</v>
      </c>
    </row>
    <row r="308" customFormat="false" ht="15" hidden="false" customHeight="false" outlineLevel="0" collapsed="false">
      <c r="A308" s="2" t="n">
        <v>41</v>
      </c>
      <c r="B308" s="2" t="s">
        <v>481</v>
      </c>
      <c r="C308" s="2" t="s">
        <v>486</v>
      </c>
      <c r="D308" s="2" t="s">
        <v>4688</v>
      </c>
      <c r="E308" s="2" t="s">
        <v>3919</v>
      </c>
      <c r="F308" s="2" t="s">
        <v>4689</v>
      </c>
      <c r="G308" s="2"/>
      <c r="H308" s="2" t="s">
        <v>4690</v>
      </c>
    </row>
    <row r="309" customFormat="false" ht="15" hidden="false" customHeight="false" outlineLevel="0" collapsed="false">
      <c r="A309" s="2" t="n">
        <v>41</v>
      </c>
      <c r="B309" s="2" t="s">
        <v>481</v>
      </c>
      <c r="C309" s="2" t="s">
        <v>486</v>
      </c>
      <c r="D309" s="2" t="s">
        <v>4691</v>
      </c>
      <c r="E309" s="2" t="s">
        <v>3919</v>
      </c>
      <c r="F309" s="2" t="s">
        <v>4692</v>
      </c>
      <c r="G309" s="2"/>
      <c r="H309" s="2" t="s">
        <v>4693</v>
      </c>
    </row>
    <row r="310" customFormat="false" ht="15" hidden="false" customHeight="false" outlineLevel="0" collapsed="false">
      <c r="A310" s="2" t="n">
        <v>41</v>
      </c>
      <c r="B310" s="2" t="s">
        <v>481</v>
      </c>
      <c r="C310" s="2" t="s">
        <v>486</v>
      </c>
      <c r="D310" s="2" t="s">
        <v>4694</v>
      </c>
      <c r="E310" s="2" t="s">
        <v>3919</v>
      </c>
      <c r="F310" s="2" t="s">
        <v>1381</v>
      </c>
      <c r="G310" s="2"/>
      <c r="H310" s="2" t="s">
        <v>4695</v>
      </c>
    </row>
    <row r="311" customFormat="false" ht="15" hidden="false" customHeight="false" outlineLevel="0" collapsed="false">
      <c r="A311" s="2" t="n">
        <v>41</v>
      </c>
      <c r="B311" s="2" t="s">
        <v>481</v>
      </c>
      <c r="C311" s="2" t="s">
        <v>486</v>
      </c>
      <c r="D311" s="2" t="s">
        <v>4696</v>
      </c>
      <c r="E311" s="2" t="s">
        <v>3919</v>
      </c>
      <c r="F311" s="2" t="s">
        <v>1879</v>
      </c>
      <c r="G311" s="2"/>
      <c r="H311" s="2" t="s">
        <v>4697</v>
      </c>
    </row>
    <row r="312" customFormat="false" ht="15" hidden="false" customHeight="false" outlineLevel="0" collapsed="false">
      <c r="A312" s="2" t="n">
        <v>41</v>
      </c>
      <c r="B312" s="2" t="s">
        <v>481</v>
      </c>
      <c r="C312" s="2" t="s">
        <v>486</v>
      </c>
      <c r="D312" s="2" t="s">
        <v>4698</v>
      </c>
      <c r="E312" s="2" t="s">
        <v>3919</v>
      </c>
      <c r="F312" s="2" t="s">
        <v>780</v>
      </c>
      <c r="G312" s="2"/>
      <c r="H312" s="2" t="s">
        <v>4699</v>
      </c>
    </row>
    <row r="313" customFormat="false" ht="15" hidden="false" customHeight="false" outlineLevel="0" collapsed="false">
      <c r="A313" s="2" t="n">
        <v>41</v>
      </c>
      <c r="B313" s="2" t="s">
        <v>481</v>
      </c>
      <c r="C313" s="2" t="s">
        <v>486</v>
      </c>
      <c r="D313" s="2" t="s">
        <v>4700</v>
      </c>
      <c r="E313" s="2" t="s">
        <v>3919</v>
      </c>
      <c r="F313" s="2" t="s">
        <v>617</v>
      </c>
      <c r="G313" s="2"/>
      <c r="H313" s="2" t="s">
        <v>4701</v>
      </c>
    </row>
    <row r="314" customFormat="false" ht="15" hidden="false" customHeight="false" outlineLevel="0" collapsed="false">
      <c r="A314" s="2" t="n">
        <v>41</v>
      </c>
      <c r="B314" s="2" t="s">
        <v>481</v>
      </c>
      <c r="C314" s="2" t="s">
        <v>486</v>
      </c>
      <c r="D314" s="2" t="s">
        <v>4702</v>
      </c>
      <c r="E314" s="2" t="s">
        <v>3919</v>
      </c>
      <c r="F314" s="2" t="s">
        <v>4703</v>
      </c>
      <c r="G314" s="2"/>
      <c r="H314" s="2" t="s">
        <v>4704</v>
      </c>
    </row>
    <row r="315" customFormat="false" ht="15" hidden="false" customHeight="false" outlineLevel="0" collapsed="false">
      <c r="A315" s="2" t="n">
        <v>41</v>
      </c>
      <c r="B315" s="2" t="s">
        <v>481</v>
      </c>
      <c r="C315" s="2" t="s">
        <v>486</v>
      </c>
      <c r="D315" s="2" t="s">
        <v>4705</v>
      </c>
      <c r="E315" s="2" t="s">
        <v>3919</v>
      </c>
      <c r="F315" s="2" t="s">
        <v>707</v>
      </c>
      <c r="G315" s="2"/>
      <c r="H315" s="2" t="s">
        <v>4706</v>
      </c>
    </row>
    <row r="316" customFormat="false" ht="15" hidden="false" customHeight="false" outlineLevel="0" collapsed="false">
      <c r="A316" s="2" t="n">
        <v>41</v>
      </c>
      <c r="B316" s="2" t="s">
        <v>481</v>
      </c>
      <c r="C316" s="2" t="s">
        <v>486</v>
      </c>
      <c r="D316" s="2" t="s">
        <v>4707</v>
      </c>
      <c r="E316" s="2" t="s">
        <v>3919</v>
      </c>
      <c r="F316" s="2" t="s">
        <v>4708</v>
      </c>
      <c r="G316" s="2"/>
      <c r="H316" s="2" t="s">
        <v>4709</v>
      </c>
    </row>
    <row r="317" customFormat="false" ht="15" hidden="false" customHeight="false" outlineLevel="0" collapsed="false">
      <c r="A317" s="2" t="n">
        <v>41</v>
      </c>
      <c r="B317" s="2" t="s">
        <v>481</v>
      </c>
      <c r="C317" s="2" t="s">
        <v>486</v>
      </c>
      <c r="D317" s="2" t="s">
        <v>4710</v>
      </c>
      <c r="E317" s="2" t="s">
        <v>3919</v>
      </c>
      <c r="F317" s="2" t="s">
        <v>3074</v>
      </c>
      <c r="G317" s="2"/>
      <c r="H317" s="2" t="s">
        <v>4711</v>
      </c>
    </row>
    <row r="318" customFormat="false" ht="15" hidden="false" customHeight="false" outlineLevel="0" collapsed="false">
      <c r="A318" s="2" t="n">
        <v>42</v>
      </c>
      <c r="B318" s="2" t="s">
        <v>492</v>
      </c>
      <c r="C318" s="2" t="s">
        <v>497</v>
      </c>
      <c r="D318" s="2" t="s">
        <v>4712</v>
      </c>
      <c r="E318" s="2" t="s">
        <v>3919</v>
      </c>
      <c r="F318" s="2" t="s">
        <v>4713</v>
      </c>
      <c r="G318" s="2"/>
      <c r="H318" s="2" t="s">
        <v>4714</v>
      </c>
    </row>
    <row r="319" customFormat="false" ht="15" hidden="false" customHeight="false" outlineLevel="0" collapsed="false">
      <c r="A319" s="2" t="n">
        <v>42</v>
      </c>
      <c r="B319" s="2" t="s">
        <v>492</v>
      </c>
      <c r="C319" s="2" t="s">
        <v>497</v>
      </c>
      <c r="D319" s="2" t="s">
        <v>4715</v>
      </c>
      <c r="E319" s="2" t="s">
        <v>3919</v>
      </c>
      <c r="F319" s="2" t="s">
        <v>4716</v>
      </c>
      <c r="G319" s="2" t="s">
        <v>4717</v>
      </c>
      <c r="H319" s="2" t="s">
        <v>4718</v>
      </c>
    </row>
    <row r="320" customFormat="false" ht="15" hidden="false" customHeight="false" outlineLevel="0" collapsed="false">
      <c r="A320" s="2" t="n">
        <v>44</v>
      </c>
      <c r="B320" s="2" t="s">
        <v>509</v>
      </c>
      <c r="C320" s="2" t="s">
        <v>514</v>
      </c>
      <c r="D320" s="2" t="s">
        <v>4719</v>
      </c>
      <c r="E320" s="2" t="s">
        <v>3919</v>
      </c>
      <c r="F320" s="2" t="s">
        <v>4720</v>
      </c>
      <c r="G320" s="2"/>
      <c r="H320" s="2" t="s">
        <v>4721</v>
      </c>
    </row>
    <row r="321" customFormat="false" ht="15" hidden="false" customHeight="false" outlineLevel="0" collapsed="false">
      <c r="A321" s="2" t="n">
        <v>44</v>
      </c>
      <c r="B321" s="2" t="s">
        <v>509</v>
      </c>
      <c r="C321" s="2" t="s">
        <v>514</v>
      </c>
      <c r="D321" s="2" t="s">
        <v>4722</v>
      </c>
      <c r="E321" s="2" t="s">
        <v>3919</v>
      </c>
      <c r="F321" s="2" t="s">
        <v>3420</v>
      </c>
      <c r="G321" s="2"/>
      <c r="H321" s="2" t="s">
        <v>4723</v>
      </c>
    </row>
    <row r="322" customFormat="false" ht="15" hidden="false" customHeight="false" outlineLevel="0" collapsed="false">
      <c r="A322" s="2" t="n">
        <v>45</v>
      </c>
      <c r="B322" s="2" t="s">
        <v>518</v>
      </c>
      <c r="C322" s="2" t="s">
        <v>525</v>
      </c>
      <c r="D322" s="2" t="s">
        <v>792</v>
      </c>
      <c r="E322" s="2" t="s">
        <v>3915</v>
      </c>
      <c r="F322" s="2" t="s">
        <v>528</v>
      </c>
      <c r="G322" s="2" t="s">
        <v>4724</v>
      </c>
      <c r="H322" s="2" t="s">
        <v>793</v>
      </c>
    </row>
    <row r="323" customFormat="false" ht="15" hidden="false" customHeight="false" outlineLevel="0" collapsed="false">
      <c r="A323" s="2" t="n">
        <v>45</v>
      </c>
      <c r="B323" s="2" t="s">
        <v>518</v>
      </c>
      <c r="C323" s="2" t="s">
        <v>525</v>
      </c>
      <c r="D323" s="2" t="s">
        <v>971</v>
      </c>
      <c r="E323" s="2" t="s">
        <v>3915</v>
      </c>
      <c r="F323" s="2" t="s">
        <v>384</v>
      </c>
      <c r="G323" s="2" t="s">
        <v>4725</v>
      </c>
      <c r="H323" s="2" t="s">
        <v>972</v>
      </c>
    </row>
    <row r="324" customFormat="false" ht="15" hidden="false" customHeight="false" outlineLevel="0" collapsed="false">
      <c r="A324" s="2" t="n">
        <v>45</v>
      </c>
      <c r="B324" s="2" t="s">
        <v>518</v>
      </c>
      <c r="C324" s="2" t="s">
        <v>525</v>
      </c>
      <c r="D324" s="2" t="s">
        <v>4726</v>
      </c>
      <c r="E324" s="2" t="s">
        <v>3915</v>
      </c>
      <c r="F324" s="2" t="s">
        <v>529</v>
      </c>
      <c r="G324" s="2" t="s">
        <v>4727</v>
      </c>
      <c r="H324" s="2" t="s">
        <v>4728</v>
      </c>
    </row>
    <row r="325" customFormat="false" ht="15" hidden="false" customHeight="false" outlineLevel="0" collapsed="false">
      <c r="A325" s="2" t="n">
        <v>45</v>
      </c>
      <c r="B325" s="2" t="s">
        <v>518</v>
      </c>
      <c r="C325" s="2" t="s">
        <v>525</v>
      </c>
      <c r="D325" s="2" t="s">
        <v>4729</v>
      </c>
      <c r="E325" s="2" t="s">
        <v>3919</v>
      </c>
      <c r="F325" s="2" t="s">
        <v>4730</v>
      </c>
      <c r="G325" s="2"/>
      <c r="H325" s="2" t="s">
        <v>4731</v>
      </c>
    </row>
    <row r="326" customFormat="false" ht="15" hidden="false" customHeight="false" outlineLevel="0" collapsed="false">
      <c r="A326" s="2" t="n">
        <v>46</v>
      </c>
      <c r="B326" s="2" t="s">
        <v>531</v>
      </c>
      <c r="C326" s="2" t="s">
        <v>536</v>
      </c>
      <c r="D326" s="2" t="s">
        <v>988</v>
      </c>
      <c r="E326" s="2" t="s">
        <v>3915</v>
      </c>
      <c r="F326" s="2" t="s">
        <v>539</v>
      </c>
      <c r="G326" s="2" t="s">
        <v>4732</v>
      </c>
      <c r="H326" s="2" t="s">
        <v>989</v>
      </c>
    </row>
    <row r="327" customFormat="false" ht="15" hidden="false" customHeight="false" outlineLevel="0" collapsed="false">
      <c r="A327" s="2" t="n">
        <v>46</v>
      </c>
      <c r="B327" s="2" t="s">
        <v>531</v>
      </c>
      <c r="C327" s="2" t="s">
        <v>536</v>
      </c>
      <c r="D327" s="2" t="s">
        <v>4733</v>
      </c>
      <c r="E327" s="2" t="s">
        <v>3915</v>
      </c>
      <c r="F327" s="2" t="s">
        <v>4734</v>
      </c>
      <c r="G327" s="2" t="s">
        <v>4735</v>
      </c>
      <c r="H327" s="2" t="s">
        <v>4736</v>
      </c>
    </row>
    <row r="328" customFormat="false" ht="15" hidden="false" customHeight="false" outlineLevel="0" collapsed="false">
      <c r="A328" s="2" t="n">
        <v>46</v>
      </c>
      <c r="B328" s="2" t="s">
        <v>531</v>
      </c>
      <c r="C328" s="2" t="s">
        <v>536</v>
      </c>
      <c r="D328" s="2" t="s">
        <v>4737</v>
      </c>
      <c r="E328" s="2" t="s">
        <v>3915</v>
      </c>
      <c r="F328" s="2" t="s">
        <v>540</v>
      </c>
      <c r="G328" s="2" t="s">
        <v>4738</v>
      </c>
      <c r="H328" s="2" t="s">
        <v>4739</v>
      </c>
    </row>
    <row r="329" customFormat="false" ht="15" hidden="false" customHeight="false" outlineLevel="0" collapsed="false">
      <c r="A329" s="2" t="n">
        <v>46</v>
      </c>
      <c r="B329" s="2" t="s">
        <v>531</v>
      </c>
      <c r="C329" s="2" t="s">
        <v>536</v>
      </c>
      <c r="D329" s="2" t="s">
        <v>4740</v>
      </c>
      <c r="E329" s="2" t="s">
        <v>3919</v>
      </c>
      <c r="F329" s="2" t="s">
        <v>4741</v>
      </c>
      <c r="G329" s="2"/>
      <c r="H329" s="2" t="s">
        <v>4742</v>
      </c>
    </row>
    <row r="330" customFormat="false" ht="15" hidden="false" customHeight="false" outlineLevel="0" collapsed="false">
      <c r="A330" s="2" t="n">
        <v>46</v>
      </c>
      <c r="B330" s="2" t="s">
        <v>531</v>
      </c>
      <c r="C330" s="2" t="s">
        <v>536</v>
      </c>
      <c r="D330" s="2" t="s">
        <v>4743</v>
      </c>
      <c r="E330" s="2" t="s">
        <v>3919</v>
      </c>
      <c r="F330" s="2" t="s">
        <v>4744</v>
      </c>
      <c r="G330" s="2"/>
      <c r="H330" s="2" t="s">
        <v>4745</v>
      </c>
    </row>
    <row r="331" customFormat="false" ht="15" hidden="false" customHeight="false" outlineLevel="0" collapsed="false">
      <c r="A331" s="2" t="n">
        <v>47</v>
      </c>
      <c r="B331" s="2" t="s">
        <v>542</v>
      </c>
      <c r="C331" s="2" t="s">
        <v>546</v>
      </c>
      <c r="D331" s="2" t="s">
        <v>4746</v>
      </c>
      <c r="E331" s="2" t="s">
        <v>3915</v>
      </c>
      <c r="F331" s="2" t="s">
        <v>372</v>
      </c>
      <c r="G331" s="2" t="s">
        <v>4747</v>
      </c>
      <c r="H331" s="2" t="s">
        <v>4748</v>
      </c>
    </row>
    <row r="332" customFormat="false" ht="15" hidden="false" customHeight="false" outlineLevel="0" collapsed="false">
      <c r="A332" s="2" t="n">
        <v>47</v>
      </c>
      <c r="B332" s="2" t="s">
        <v>542</v>
      </c>
      <c r="C332" s="2" t="s">
        <v>546</v>
      </c>
      <c r="D332" s="2" t="s">
        <v>4737</v>
      </c>
      <c r="E332" s="2" t="s">
        <v>3915</v>
      </c>
      <c r="F332" s="2" t="s">
        <v>540</v>
      </c>
      <c r="G332" s="2" t="s">
        <v>4738</v>
      </c>
      <c r="H332" s="2" t="s">
        <v>4739</v>
      </c>
    </row>
    <row r="333" customFormat="false" ht="15" hidden="false" customHeight="false" outlineLevel="0" collapsed="false">
      <c r="A333" s="2" t="n">
        <v>47</v>
      </c>
      <c r="B333" s="2" t="s">
        <v>542</v>
      </c>
      <c r="C333" s="2" t="s">
        <v>546</v>
      </c>
      <c r="D333" s="2" t="s">
        <v>4726</v>
      </c>
      <c r="E333" s="2" t="s">
        <v>3915</v>
      </c>
      <c r="F333" s="2" t="s">
        <v>529</v>
      </c>
      <c r="G333" s="2" t="s">
        <v>4727</v>
      </c>
      <c r="H333" s="2" t="s">
        <v>4728</v>
      </c>
    </row>
    <row r="334" customFormat="false" ht="15" hidden="false" customHeight="false" outlineLevel="0" collapsed="false">
      <c r="A334" s="2" t="n">
        <v>47</v>
      </c>
      <c r="B334" s="2" t="s">
        <v>542</v>
      </c>
      <c r="C334" s="2" t="s">
        <v>546</v>
      </c>
      <c r="D334" s="2" t="s">
        <v>4749</v>
      </c>
      <c r="E334" s="2" t="s">
        <v>3919</v>
      </c>
      <c r="F334" s="2" t="s">
        <v>4306</v>
      </c>
      <c r="G334" s="2"/>
      <c r="H334" s="2" t="s">
        <v>4750</v>
      </c>
    </row>
    <row r="335" customFormat="false" ht="15" hidden="false" customHeight="false" outlineLevel="0" collapsed="false">
      <c r="A335" s="2" t="n">
        <v>47</v>
      </c>
      <c r="B335" s="2" t="s">
        <v>542</v>
      </c>
      <c r="C335" s="2" t="s">
        <v>546</v>
      </c>
      <c r="D335" s="2" t="s">
        <v>4751</v>
      </c>
      <c r="E335" s="2" t="s">
        <v>3919</v>
      </c>
      <c r="F335" s="2" t="s">
        <v>618</v>
      </c>
      <c r="G335" s="2"/>
      <c r="H335" s="2" t="s">
        <v>4752</v>
      </c>
    </row>
    <row r="336" customFormat="false" ht="15" hidden="false" customHeight="false" outlineLevel="0" collapsed="false">
      <c r="A336" s="2" t="n">
        <v>48</v>
      </c>
      <c r="B336" s="2" t="s">
        <v>550</v>
      </c>
      <c r="C336" s="2" t="s">
        <v>554</v>
      </c>
      <c r="D336" s="2" t="s">
        <v>988</v>
      </c>
      <c r="E336" s="2" t="s">
        <v>3915</v>
      </c>
      <c r="F336" s="2" t="s">
        <v>539</v>
      </c>
      <c r="G336" s="2" t="s">
        <v>4732</v>
      </c>
      <c r="H336" s="2" t="s">
        <v>989</v>
      </c>
    </row>
    <row r="337" customFormat="false" ht="15" hidden="false" customHeight="false" outlineLevel="0" collapsed="false">
      <c r="A337" s="2" t="n">
        <v>48</v>
      </c>
      <c r="B337" s="2" t="s">
        <v>550</v>
      </c>
      <c r="C337" s="2" t="s">
        <v>554</v>
      </c>
      <c r="D337" s="2" t="s">
        <v>4737</v>
      </c>
      <c r="E337" s="2" t="s">
        <v>3915</v>
      </c>
      <c r="F337" s="2" t="s">
        <v>540</v>
      </c>
      <c r="G337" s="2" t="s">
        <v>4738</v>
      </c>
      <c r="H337" s="2" t="s">
        <v>4739</v>
      </c>
    </row>
    <row r="338" customFormat="false" ht="15" hidden="false" customHeight="false" outlineLevel="0" collapsed="false">
      <c r="A338" s="2" t="n">
        <v>48</v>
      </c>
      <c r="B338" s="2" t="s">
        <v>550</v>
      </c>
      <c r="C338" s="2" t="s">
        <v>554</v>
      </c>
      <c r="D338" s="2" t="s">
        <v>4726</v>
      </c>
      <c r="E338" s="2" t="s">
        <v>3915</v>
      </c>
      <c r="F338" s="2" t="s">
        <v>529</v>
      </c>
      <c r="G338" s="2" t="s">
        <v>4727</v>
      </c>
      <c r="H338" s="2" t="s">
        <v>4728</v>
      </c>
    </row>
    <row r="339" customFormat="false" ht="15" hidden="false" customHeight="false" outlineLevel="0" collapsed="false">
      <c r="A339" s="2" t="n">
        <v>48</v>
      </c>
      <c r="B339" s="2" t="s">
        <v>550</v>
      </c>
      <c r="C339" s="2" t="s">
        <v>554</v>
      </c>
      <c r="D339" s="2" t="s">
        <v>4753</v>
      </c>
      <c r="E339" s="2" t="s">
        <v>3919</v>
      </c>
      <c r="F339" s="2" t="s">
        <v>1879</v>
      </c>
      <c r="G339" s="2"/>
      <c r="H339" s="2" t="s">
        <v>4754</v>
      </c>
    </row>
    <row r="340" customFormat="false" ht="15" hidden="false" customHeight="false" outlineLevel="0" collapsed="false">
      <c r="A340" s="2" t="n">
        <v>48</v>
      </c>
      <c r="B340" s="2" t="s">
        <v>550</v>
      </c>
      <c r="C340" s="2" t="s">
        <v>554</v>
      </c>
      <c r="D340" s="2" t="s">
        <v>4755</v>
      </c>
      <c r="E340" s="2" t="s">
        <v>3919</v>
      </c>
      <c r="F340" s="2" t="s">
        <v>4756</v>
      </c>
      <c r="G340" s="2"/>
      <c r="H340" s="2" t="s">
        <v>4757</v>
      </c>
    </row>
    <row r="341" customFormat="false" ht="15" hidden="false" customHeight="false" outlineLevel="0" collapsed="false">
      <c r="A341" s="2" t="n">
        <v>48</v>
      </c>
      <c r="B341" s="2" t="s">
        <v>550</v>
      </c>
      <c r="C341" s="2" t="s">
        <v>554</v>
      </c>
      <c r="D341" s="2" t="s">
        <v>4758</v>
      </c>
      <c r="E341" s="2" t="s">
        <v>3919</v>
      </c>
      <c r="F341" s="2" t="s">
        <v>4759</v>
      </c>
      <c r="G341" s="2"/>
      <c r="H341" s="2" t="s">
        <v>4760</v>
      </c>
    </row>
    <row r="342" customFormat="false" ht="15" hidden="false" customHeight="false" outlineLevel="0" collapsed="false">
      <c r="A342" s="2" t="n">
        <v>48</v>
      </c>
      <c r="B342" s="2" t="s">
        <v>550</v>
      </c>
      <c r="C342" s="2" t="s">
        <v>554</v>
      </c>
      <c r="D342" s="2" t="s">
        <v>4761</v>
      </c>
      <c r="E342" s="2" t="s">
        <v>3919</v>
      </c>
      <c r="F342" s="2" t="s">
        <v>4730</v>
      </c>
      <c r="G342" s="2"/>
      <c r="H342" s="2" t="s">
        <v>4762</v>
      </c>
    </row>
    <row r="343" customFormat="false" ht="15" hidden="false" customHeight="false" outlineLevel="0" collapsed="false">
      <c r="A343" s="2" t="n">
        <v>48</v>
      </c>
      <c r="B343" s="2" t="s">
        <v>550</v>
      </c>
      <c r="C343" s="2" t="s">
        <v>554</v>
      </c>
      <c r="D343" s="2" t="s">
        <v>4763</v>
      </c>
      <c r="E343" s="2" t="s">
        <v>3919</v>
      </c>
      <c r="F343" s="2" t="s">
        <v>4764</v>
      </c>
      <c r="G343" s="2"/>
      <c r="H343" s="2" t="s">
        <v>4765</v>
      </c>
    </row>
    <row r="344" customFormat="false" ht="15" hidden="false" customHeight="false" outlineLevel="0" collapsed="false">
      <c r="A344" s="2" t="n">
        <v>49</v>
      </c>
      <c r="B344" s="2" t="s">
        <v>558</v>
      </c>
      <c r="C344" s="2" t="s">
        <v>561</v>
      </c>
      <c r="D344" s="2" t="s">
        <v>4766</v>
      </c>
      <c r="E344" s="2" t="s">
        <v>3919</v>
      </c>
      <c r="F344" s="2" t="s">
        <v>1289</v>
      </c>
      <c r="G344" s="2"/>
      <c r="H344" s="2" t="s">
        <v>4767</v>
      </c>
    </row>
    <row r="345" customFormat="false" ht="15" hidden="false" customHeight="false" outlineLevel="0" collapsed="false">
      <c r="A345" s="2" t="n">
        <v>49</v>
      </c>
      <c r="B345" s="2" t="s">
        <v>558</v>
      </c>
      <c r="C345" s="2" t="s">
        <v>561</v>
      </c>
      <c r="D345" s="2" t="s">
        <v>4768</v>
      </c>
      <c r="E345" s="2" t="s">
        <v>3919</v>
      </c>
      <c r="F345" s="2" t="s">
        <v>2568</v>
      </c>
      <c r="G345" s="2"/>
      <c r="H345" s="2" t="s">
        <v>4769</v>
      </c>
    </row>
    <row r="346" customFormat="false" ht="15" hidden="false" customHeight="false" outlineLevel="0" collapsed="false">
      <c r="A346" s="2" t="n">
        <v>49</v>
      </c>
      <c r="B346" s="2" t="s">
        <v>558</v>
      </c>
      <c r="C346" s="2" t="s">
        <v>561</v>
      </c>
      <c r="D346" s="2" t="s">
        <v>4770</v>
      </c>
      <c r="E346" s="2" t="s">
        <v>3919</v>
      </c>
      <c r="F346" s="2" t="s">
        <v>4730</v>
      </c>
      <c r="G346" s="2"/>
      <c r="H346" s="2" t="s">
        <v>4771</v>
      </c>
    </row>
    <row r="347" customFormat="false" ht="15" hidden="false" customHeight="false" outlineLevel="0" collapsed="false">
      <c r="A347" s="2" t="n">
        <v>51</v>
      </c>
      <c r="B347" s="2" t="s">
        <v>574</v>
      </c>
      <c r="C347" s="2" t="s">
        <v>578</v>
      </c>
      <c r="D347" s="2" t="s">
        <v>4772</v>
      </c>
      <c r="E347" s="2" t="s">
        <v>3919</v>
      </c>
      <c r="F347" s="2" t="s">
        <v>4773</v>
      </c>
      <c r="G347" s="2"/>
      <c r="H347" s="2" t="s">
        <v>4774</v>
      </c>
    </row>
    <row r="348" customFormat="false" ht="15" hidden="false" customHeight="false" outlineLevel="0" collapsed="false">
      <c r="A348" s="2" t="n">
        <v>51</v>
      </c>
      <c r="B348" s="2" t="s">
        <v>574</v>
      </c>
      <c r="C348" s="2" t="s">
        <v>578</v>
      </c>
      <c r="D348" s="2" t="s">
        <v>4775</v>
      </c>
      <c r="E348" s="2" t="s">
        <v>3919</v>
      </c>
      <c r="F348" s="2" t="s">
        <v>4776</v>
      </c>
      <c r="G348" s="2"/>
      <c r="H348" s="2" t="s">
        <v>4777</v>
      </c>
    </row>
    <row r="349" customFormat="false" ht="15" hidden="false" customHeight="false" outlineLevel="0" collapsed="false">
      <c r="A349" s="2" t="n">
        <v>51</v>
      </c>
      <c r="B349" s="2" t="s">
        <v>574</v>
      </c>
      <c r="C349" s="2" t="s">
        <v>578</v>
      </c>
      <c r="D349" s="2" t="s">
        <v>4778</v>
      </c>
      <c r="E349" s="2" t="s">
        <v>3919</v>
      </c>
      <c r="F349" s="2" t="s">
        <v>4608</v>
      </c>
      <c r="G349" s="2"/>
      <c r="H349" s="2" t="s">
        <v>4779</v>
      </c>
    </row>
    <row r="350" customFormat="false" ht="15" hidden="false" customHeight="false" outlineLevel="0" collapsed="false">
      <c r="A350" s="2" t="n">
        <v>52</v>
      </c>
      <c r="B350" s="2" t="s">
        <v>582</v>
      </c>
      <c r="C350" s="2" t="s">
        <v>588</v>
      </c>
      <c r="D350" s="2" t="s">
        <v>4780</v>
      </c>
      <c r="E350" s="2" t="s">
        <v>3915</v>
      </c>
      <c r="F350" s="2" t="s">
        <v>591</v>
      </c>
      <c r="G350" s="2" t="s">
        <v>4781</v>
      </c>
      <c r="H350" s="2" t="s">
        <v>4782</v>
      </c>
    </row>
    <row r="351" customFormat="false" ht="15" hidden="false" customHeight="false" outlineLevel="0" collapsed="false">
      <c r="A351" s="2" t="n">
        <v>52</v>
      </c>
      <c r="B351" s="2" t="s">
        <v>582</v>
      </c>
      <c r="C351" s="2" t="s">
        <v>588</v>
      </c>
      <c r="D351" s="2" t="s">
        <v>988</v>
      </c>
      <c r="E351" s="2" t="s">
        <v>3915</v>
      </c>
      <c r="F351" s="2" t="s">
        <v>539</v>
      </c>
      <c r="G351" s="2" t="s">
        <v>4732</v>
      </c>
      <c r="H351" s="2" t="s">
        <v>989</v>
      </c>
    </row>
    <row r="352" customFormat="false" ht="15" hidden="false" customHeight="false" outlineLevel="0" collapsed="false">
      <c r="A352" s="2" t="n">
        <v>52</v>
      </c>
      <c r="B352" s="2" t="s">
        <v>582</v>
      </c>
      <c r="C352" s="2" t="s">
        <v>588</v>
      </c>
      <c r="D352" s="2" t="s">
        <v>4783</v>
      </c>
      <c r="E352" s="2" t="s">
        <v>3919</v>
      </c>
      <c r="F352" s="2" t="s">
        <v>677</v>
      </c>
      <c r="G352" s="2"/>
      <c r="H352" s="2" t="s">
        <v>4784</v>
      </c>
    </row>
    <row r="353" customFormat="false" ht="15" hidden="false" customHeight="false" outlineLevel="0" collapsed="false">
      <c r="A353" s="2" t="n">
        <v>52</v>
      </c>
      <c r="B353" s="2" t="s">
        <v>582</v>
      </c>
      <c r="C353" s="2" t="s">
        <v>588</v>
      </c>
      <c r="D353" s="2" t="s">
        <v>4785</v>
      </c>
      <c r="E353" s="2" t="s">
        <v>3919</v>
      </c>
      <c r="F353" s="2" t="s">
        <v>1381</v>
      </c>
      <c r="G353" s="2"/>
      <c r="H353" s="2" t="s">
        <v>4786</v>
      </c>
    </row>
    <row r="354" customFormat="false" ht="15" hidden="false" customHeight="false" outlineLevel="0" collapsed="false">
      <c r="A354" s="2" t="n">
        <v>52</v>
      </c>
      <c r="B354" s="2" t="s">
        <v>582</v>
      </c>
      <c r="C354" s="2" t="s">
        <v>588</v>
      </c>
      <c r="D354" s="2" t="s">
        <v>4787</v>
      </c>
      <c r="E354" s="2" t="s">
        <v>3919</v>
      </c>
      <c r="F354" s="2" t="s">
        <v>1875</v>
      </c>
      <c r="G354" s="2"/>
      <c r="H354" s="2" t="s">
        <v>4788</v>
      </c>
    </row>
    <row r="355" customFormat="false" ht="15" hidden="false" customHeight="false" outlineLevel="0" collapsed="false">
      <c r="A355" s="2" t="n">
        <v>52</v>
      </c>
      <c r="B355" s="2" t="s">
        <v>582</v>
      </c>
      <c r="C355" s="2" t="s">
        <v>588</v>
      </c>
      <c r="D355" s="2" t="s">
        <v>4789</v>
      </c>
      <c r="E355" s="2" t="s">
        <v>3919</v>
      </c>
      <c r="F355" s="2" t="s">
        <v>4759</v>
      </c>
      <c r="G355" s="2" t="s">
        <v>4790</v>
      </c>
      <c r="H355" s="2" t="s">
        <v>4791</v>
      </c>
    </row>
    <row r="356" customFormat="false" ht="15" hidden="false" customHeight="false" outlineLevel="0" collapsed="false">
      <c r="A356" s="2" t="n">
        <v>52</v>
      </c>
      <c r="B356" s="2" t="s">
        <v>582</v>
      </c>
      <c r="C356" s="2" t="s">
        <v>588</v>
      </c>
      <c r="D356" s="2" t="s">
        <v>4792</v>
      </c>
      <c r="E356" s="2" t="s">
        <v>3919</v>
      </c>
      <c r="F356" s="2" t="s">
        <v>4793</v>
      </c>
      <c r="G356" s="2"/>
      <c r="H356" s="2" t="s">
        <v>4794</v>
      </c>
    </row>
    <row r="357" customFormat="false" ht="15" hidden="false" customHeight="false" outlineLevel="0" collapsed="false">
      <c r="A357" s="2" t="n">
        <v>52</v>
      </c>
      <c r="B357" s="2" t="s">
        <v>582</v>
      </c>
      <c r="C357" s="2" t="s">
        <v>588</v>
      </c>
      <c r="D357" s="2" t="s">
        <v>4795</v>
      </c>
      <c r="E357" s="2" t="s">
        <v>3919</v>
      </c>
      <c r="F357" s="2" t="s">
        <v>617</v>
      </c>
      <c r="G357" s="2"/>
      <c r="H357" s="2" t="s">
        <v>4796</v>
      </c>
    </row>
    <row r="358" customFormat="false" ht="15" hidden="false" customHeight="false" outlineLevel="0" collapsed="false">
      <c r="A358" s="2" t="n">
        <v>52</v>
      </c>
      <c r="B358" s="2" t="s">
        <v>582</v>
      </c>
      <c r="C358" s="2" t="s">
        <v>588</v>
      </c>
      <c r="D358" s="2" t="s">
        <v>4797</v>
      </c>
      <c r="E358" s="2" t="s">
        <v>3919</v>
      </c>
      <c r="F358" s="2" t="s">
        <v>2190</v>
      </c>
      <c r="G358" s="2"/>
      <c r="H358" s="2" t="s">
        <v>4798</v>
      </c>
    </row>
    <row r="359" customFormat="false" ht="15" hidden="false" customHeight="false" outlineLevel="0" collapsed="false">
      <c r="A359" s="2" t="n">
        <v>52</v>
      </c>
      <c r="B359" s="2" t="s">
        <v>582</v>
      </c>
      <c r="C359" s="2" t="s">
        <v>588</v>
      </c>
      <c r="D359" s="2" t="s">
        <v>4799</v>
      </c>
      <c r="E359" s="2" t="s">
        <v>3919</v>
      </c>
      <c r="F359" s="2" t="s">
        <v>3955</v>
      </c>
      <c r="G359" s="2" t="s">
        <v>4800</v>
      </c>
      <c r="H359" s="2" t="s">
        <v>4801</v>
      </c>
    </row>
    <row r="360" customFormat="false" ht="15" hidden="false" customHeight="false" outlineLevel="0" collapsed="false">
      <c r="A360" s="2" t="n">
        <v>52</v>
      </c>
      <c r="B360" s="2" t="s">
        <v>582</v>
      </c>
      <c r="C360" s="2" t="s">
        <v>588</v>
      </c>
      <c r="D360" s="2" t="s">
        <v>4802</v>
      </c>
      <c r="E360" s="2" t="s">
        <v>3919</v>
      </c>
      <c r="F360" s="2" t="s">
        <v>2542</v>
      </c>
      <c r="G360" s="2"/>
      <c r="H360" s="2" t="s">
        <v>4803</v>
      </c>
    </row>
    <row r="361" customFormat="false" ht="15" hidden="false" customHeight="false" outlineLevel="0" collapsed="false">
      <c r="A361" s="2" t="n">
        <v>53</v>
      </c>
      <c r="B361" s="2" t="s">
        <v>593</v>
      </c>
      <c r="C361" s="2" t="s">
        <v>598</v>
      </c>
      <c r="D361" s="2" t="s">
        <v>4804</v>
      </c>
      <c r="E361" s="2" t="s">
        <v>3915</v>
      </c>
      <c r="F361" s="2" t="s">
        <v>334</v>
      </c>
      <c r="G361" s="2" t="s">
        <v>4805</v>
      </c>
      <c r="H361" s="2" t="s">
        <v>4806</v>
      </c>
    </row>
    <row r="362" customFormat="false" ht="15" hidden="false" customHeight="false" outlineLevel="0" collapsed="false">
      <c r="A362" s="2" t="n">
        <v>54</v>
      </c>
      <c r="B362" s="2" t="s">
        <v>602</v>
      </c>
      <c r="C362" s="2" t="s">
        <v>608</v>
      </c>
      <c r="D362" s="2" t="s">
        <v>4807</v>
      </c>
      <c r="E362" s="2" t="s">
        <v>3915</v>
      </c>
      <c r="F362" s="2" t="s">
        <v>611</v>
      </c>
      <c r="G362" s="2" t="s">
        <v>4808</v>
      </c>
      <c r="H362" s="2" t="s">
        <v>4809</v>
      </c>
    </row>
    <row r="363" customFormat="false" ht="15" hidden="false" customHeight="false" outlineLevel="0" collapsed="false">
      <c r="A363" s="2" t="n">
        <v>54</v>
      </c>
      <c r="B363" s="2" t="s">
        <v>602</v>
      </c>
      <c r="C363" s="2" t="s">
        <v>608</v>
      </c>
      <c r="D363" s="2" t="s">
        <v>4810</v>
      </c>
      <c r="E363" s="2" t="s">
        <v>3915</v>
      </c>
      <c r="F363" s="2" t="s">
        <v>612</v>
      </c>
      <c r="G363" s="2" t="s">
        <v>4811</v>
      </c>
      <c r="H363" s="2" t="s">
        <v>4812</v>
      </c>
    </row>
    <row r="364" customFormat="false" ht="15" hidden="false" customHeight="false" outlineLevel="0" collapsed="false">
      <c r="A364" s="2" t="n">
        <v>54</v>
      </c>
      <c r="B364" s="2" t="s">
        <v>602</v>
      </c>
      <c r="C364" s="2" t="s">
        <v>608</v>
      </c>
      <c r="D364" s="2" t="s">
        <v>4813</v>
      </c>
      <c r="E364" s="2" t="s">
        <v>3919</v>
      </c>
      <c r="F364" s="2" t="s">
        <v>4814</v>
      </c>
      <c r="G364" s="2" t="s">
        <v>4815</v>
      </c>
      <c r="H364" s="2" t="s">
        <v>4816</v>
      </c>
    </row>
    <row r="365" customFormat="false" ht="15" hidden="false" customHeight="false" outlineLevel="0" collapsed="false">
      <c r="A365" s="2" t="n">
        <v>54</v>
      </c>
      <c r="B365" s="2" t="s">
        <v>602</v>
      </c>
      <c r="C365" s="2" t="s">
        <v>608</v>
      </c>
      <c r="D365" s="2" t="s">
        <v>4817</v>
      </c>
      <c r="E365" s="2" t="s">
        <v>3919</v>
      </c>
      <c r="F365" s="2" t="s">
        <v>884</v>
      </c>
      <c r="G365" s="2"/>
      <c r="H365" s="2" t="s">
        <v>4818</v>
      </c>
    </row>
    <row r="366" customFormat="false" ht="15" hidden="false" customHeight="false" outlineLevel="0" collapsed="false">
      <c r="A366" s="2" t="n">
        <v>55</v>
      </c>
      <c r="B366" s="2" t="s">
        <v>614</v>
      </c>
      <c r="C366" s="2" t="s">
        <v>619</v>
      </c>
      <c r="D366" s="2" t="s">
        <v>4819</v>
      </c>
      <c r="E366" s="2" t="s">
        <v>3919</v>
      </c>
      <c r="F366" s="2" t="s">
        <v>4820</v>
      </c>
      <c r="G366" s="2"/>
      <c r="H366" s="2" t="s">
        <v>4821</v>
      </c>
    </row>
    <row r="367" customFormat="false" ht="15" hidden="false" customHeight="false" outlineLevel="0" collapsed="false">
      <c r="A367" s="2" t="n">
        <v>56</v>
      </c>
      <c r="B367" s="2" t="s">
        <v>623</v>
      </c>
      <c r="C367" s="2" t="s">
        <v>628</v>
      </c>
      <c r="D367" s="2" t="s">
        <v>4822</v>
      </c>
      <c r="E367" s="2" t="s">
        <v>3915</v>
      </c>
      <c r="F367" s="2" t="s">
        <v>631</v>
      </c>
      <c r="G367" s="2" t="s">
        <v>4823</v>
      </c>
      <c r="H367" s="2" t="s">
        <v>4824</v>
      </c>
    </row>
    <row r="368" customFormat="false" ht="15" hidden="false" customHeight="false" outlineLevel="0" collapsed="false">
      <c r="A368" s="2" t="n">
        <v>56</v>
      </c>
      <c r="B368" s="2" t="s">
        <v>623</v>
      </c>
      <c r="C368" s="2" t="s">
        <v>628</v>
      </c>
      <c r="D368" s="2" t="s">
        <v>4825</v>
      </c>
      <c r="E368" s="2" t="s">
        <v>3919</v>
      </c>
      <c r="F368" s="2" t="s">
        <v>4826</v>
      </c>
      <c r="G368" s="2"/>
      <c r="H368" s="2" t="s">
        <v>4827</v>
      </c>
    </row>
    <row r="369" customFormat="false" ht="15" hidden="false" customHeight="false" outlineLevel="0" collapsed="false">
      <c r="A369" s="2" t="n">
        <v>56</v>
      </c>
      <c r="B369" s="2" t="s">
        <v>623</v>
      </c>
      <c r="C369" s="2" t="s">
        <v>628</v>
      </c>
      <c r="D369" s="2" t="s">
        <v>4828</v>
      </c>
      <c r="E369" s="2" t="s">
        <v>3919</v>
      </c>
      <c r="F369" s="2" t="s">
        <v>3958</v>
      </c>
      <c r="G369" s="2"/>
      <c r="H369" s="2" t="s">
        <v>4829</v>
      </c>
    </row>
    <row r="370" customFormat="false" ht="15" hidden="false" customHeight="false" outlineLevel="0" collapsed="false">
      <c r="A370" s="2" t="n">
        <v>56</v>
      </c>
      <c r="B370" s="2" t="s">
        <v>623</v>
      </c>
      <c r="C370" s="2" t="s">
        <v>628</v>
      </c>
      <c r="D370" s="2" t="s">
        <v>4830</v>
      </c>
      <c r="E370" s="2" t="s">
        <v>3919</v>
      </c>
      <c r="F370" s="2" t="s">
        <v>4831</v>
      </c>
      <c r="G370" s="2" t="s">
        <v>4832</v>
      </c>
      <c r="H370" s="2" t="s">
        <v>4833</v>
      </c>
    </row>
    <row r="371" customFormat="false" ht="15" hidden="false" customHeight="false" outlineLevel="0" collapsed="false">
      <c r="A371" s="2" t="n">
        <v>56</v>
      </c>
      <c r="B371" s="2" t="s">
        <v>623</v>
      </c>
      <c r="C371" s="2" t="s">
        <v>628</v>
      </c>
      <c r="D371" s="2" t="s">
        <v>4834</v>
      </c>
      <c r="E371" s="2" t="s">
        <v>3919</v>
      </c>
      <c r="F371" s="2" t="s">
        <v>3628</v>
      </c>
      <c r="G371" s="2"/>
      <c r="H371" s="2" t="s">
        <v>4835</v>
      </c>
    </row>
    <row r="372" customFormat="false" ht="15" hidden="false" customHeight="false" outlineLevel="0" collapsed="false">
      <c r="A372" s="2" t="n">
        <v>56</v>
      </c>
      <c r="B372" s="2" t="s">
        <v>623</v>
      </c>
      <c r="C372" s="2" t="s">
        <v>628</v>
      </c>
      <c r="D372" s="2" t="s">
        <v>4836</v>
      </c>
      <c r="E372" s="2" t="s">
        <v>3919</v>
      </c>
      <c r="F372" s="2" t="s">
        <v>3642</v>
      </c>
      <c r="G372" s="2"/>
      <c r="H372" s="2" t="s">
        <v>4837</v>
      </c>
    </row>
    <row r="373" customFormat="false" ht="15" hidden="false" customHeight="false" outlineLevel="0" collapsed="false">
      <c r="A373" s="2" t="n">
        <v>56</v>
      </c>
      <c r="B373" s="2" t="s">
        <v>623</v>
      </c>
      <c r="C373" s="2" t="s">
        <v>628</v>
      </c>
      <c r="D373" s="2" t="s">
        <v>4838</v>
      </c>
      <c r="E373" s="2" t="s">
        <v>3919</v>
      </c>
      <c r="F373" s="2" t="s">
        <v>2889</v>
      </c>
      <c r="G373" s="2"/>
      <c r="H373" s="2" t="s">
        <v>4839</v>
      </c>
    </row>
    <row r="374" customFormat="false" ht="15" hidden="false" customHeight="false" outlineLevel="0" collapsed="false">
      <c r="A374" s="2" t="n">
        <v>57</v>
      </c>
      <c r="B374" s="2" t="s">
        <v>633</v>
      </c>
      <c r="C374" s="2" t="s">
        <v>637</v>
      </c>
      <c r="D374" s="2" t="s">
        <v>4840</v>
      </c>
      <c r="E374" s="2" t="s">
        <v>3919</v>
      </c>
      <c r="F374" s="2" t="s">
        <v>4814</v>
      </c>
      <c r="G374" s="2"/>
      <c r="H374" s="2" t="s">
        <v>4841</v>
      </c>
    </row>
    <row r="375" customFormat="false" ht="15" hidden="false" customHeight="false" outlineLevel="0" collapsed="false">
      <c r="A375" s="2" t="n">
        <v>57</v>
      </c>
      <c r="B375" s="2" t="s">
        <v>633</v>
      </c>
      <c r="C375" s="2" t="s">
        <v>637</v>
      </c>
      <c r="D375" s="2" t="s">
        <v>4842</v>
      </c>
      <c r="E375" s="2" t="s">
        <v>3919</v>
      </c>
      <c r="F375" s="2" t="s">
        <v>627</v>
      </c>
      <c r="G375" s="2"/>
      <c r="H375" s="2" t="s">
        <v>4843</v>
      </c>
    </row>
    <row r="376" customFormat="false" ht="15" hidden="false" customHeight="false" outlineLevel="0" collapsed="false">
      <c r="A376" s="2" t="n">
        <v>57</v>
      </c>
      <c r="B376" s="2" t="s">
        <v>633</v>
      </c>
      <c r="C376" s="2" t="s">
        <v>637</v>
      </c>
      <c r="D376" s="2" t="s">
        <v>4844</v>
      </c>
      <c r="E376" s="2" t="s">
        <v>3919</v>
      </c>
      <c r="F376" s="2" t="s">
        <v>4845</v>
      </c>
      <c r="G376" s="2"/>
      <c r="H376" s="2" t="s">
        <v>4846</v>
      </c>
    </row>
    <row r="377" customFormat="false" ht="15" hidden="false" customHeight="false" outlineLevel="0" collapsed="false">
      <c r="A377" s="2" t="n">
        <v>57</v>
      </c>
      <c r="B377" s="2" t="s">
        <v>633</v>
      </c>
      <c r="C377" s="2" t="s">
        <v>637</v>
      </c>
      <c r="D377" s="2" t="s">
        <v>4847</v>
      </c>
      <c r="E377" s="2" t="s">
        <v>3919</v>
      </c>
      <c r="F377" s="2" t="s">
        <v>4848</v>
      </c>
      <c r="G377" s="2"/>
      <c r="H377" s="2" t="s">
        <v>4849</v>
      </c>
    </row>
    <row r="378" customFormat="false" ht="15" hidden="false" customHeight="false" outlineLevel="0" collapsed="false">
      <c r="A378" s="2" t="n">
        <v>57</v>
      </c>
      <c r="B378" s="2" t="s">
        <v>633</v>
      </c>
      <c r="C378" s="2" t="s">
        <v>637</v>
      </c>
      <c r="D378" s="2" t="s">
        <v>4850</v>
      </c>
      <c r="E378" s="2" t="s">
        <v>3919</v>
      </c>
      <c r="F378" s="2" t="s">
        <v>384</v>
      </c>
      <c r="G378" s="2"/>
      <c r="H378" s="2" t="s">
        <v>4851</v>
      </c>
    </row>
    <row r="379" customFormat="false" ht="15" hidden="false" customHeight="false" outlineLevel="0" collapsed="false">
      <c r="A379" s="2" t="n">
        <v>57</v>
      </c>
      <c r="B379" s="2" t="s">
        <v>633</v>
      </c>
      <c r="C379" s="2" t="s">
        <v>637</v>
      </c>
      <c r="D379" s="2" t="s">
        <v>4852</v>
      </c>
      <c r="E379" s="2" t="s">
        <v>3919</v>
      </c>
      <c r="F379" s="2" t="s">
        <v>3653</v>
      </c>
      <c r="G379" s="2"/>
      <c r="H379" s="2" t="s">
        <v>4853</v>
      </c>
    </row>
    <row r="380" customFormat="false" ht="15" hidden="false" customHeight="false" outlineLevel="0" collapsed="false">
      <c r="A380" s="2" t="n">
        <v>57</v>
      </c>
      <c r="B380" s="2" t="s">
        <v>633</v>
      </c>
      <c r="C380" s="2" t="s">
        <v>637</v>
      </c>
      <c r="D380" s="2" t="s">
        <v>4854</v>
      </c>
      <c r="E380" s="2" t="s">
        <v>3919</v>
      </c>
      <c r="F380" s="2" t="s">
        <v>4855</v>
      </c>
      <c r="G380" s="2"/>
      <c r="H380" s="2" t="s">
        <v>4856</v>
      </c>
    </row>
    <row r="381" customFormat="false" ht="15" hidden="false" customHeight="false" outlineLevel="0" collapsed="false">
      <c r="A381" s="2" t="n">
        <v>57</v>
      </c>
      <c r="B381" s="2" t="s">
        <v>633</v>
      </c>
      <c r="C381" s="2" t="s">
        <v>637</v>
      </c>
      <c r="D381" s="2" t="s">
        <v>4857</v>
      </c>
      <c r="E381" s="2" t="s">
        <v>3919</v>
      </c>
      <c r="F381" s="2" t="s">
        <v>4858</v>
      </c>
      <c r="G381" s="2"/>
      <c r="H381" s="2" t="s">
        <v>4859</v>
      </c>
    </row>
    <row r="382" customFormat="false" ht="15" hidden="false" customHeight="false" outlineLevel="0" collapsed="false">
      <c r="A382" s="2" t="n">
        <v>57</v>
      </c>
      <c r="B382" s="2" t="s">
        <v>633</v>
      </c>
      <c r="C382" s="2" t="s">
        <v>637</v>
      </c>
      <c r="D382" s="2" t="s">
        <v>4860</v>
      </c>
      <c r="E382" s="2" t="s">
        <v>3919</v>
      </c>
      <c r="F382" s="2" t="s">
        <v>2958</v>
      </c>
      <c r="G382" s="2"/>
      <c r="H382" s="2" t="s">
        <v>4861</v>
      </c>
    </row>
    <row r="383" customFormat="false" ht="15" hidden="false" customHeight="false" outlineLevel="0" collapsed="false">
      <c r="A383" s="2" t="n">
        <v>58</v>
      </c>
      <c r="B383" s="2" t="s">
        <v>641</v>
      </c>
      <c r="C383" s="2" t="s">
        <v>646</v>
      </c>
      <c r="D383" s="2" t="s">
        <v>4862</v>
      </c>
      <c r="E383" s="2" t="s">
        <v>3919</v>
      </c>
      <c r="F383" s="2" t="s">
        <v>3476</v>
      </c>
      <c r="G383" s="2"/>
      <c r="H383" s="2" t="s">
        <v>4863</v>
      </c>
    </row>
    <row r="384" customFormat="false" ht="15" hidden="false" customHeight="false" outlineLevel="0" collapsed="false">
      <c r="A384" s="2" t="n">
        <v>58</v>
      </c>
      <c r="B384" s="2" t="s">
        <v>641</v>
      </c>
      <c r="C384" s="2" t="s">
        <v>646</v>
      </c>
      <c r="D384" s="2" t="s">
        <v>4864</v>
      </c>
      <c r="E384" s="2" t="s">
        <v>3919</v>
      </c>
      <c r="F384" s="2" t="s">
        <v>4311</v>
      </c>
      <c r="G384" s="2"/>
      <c r="H384" s="2" t="s">
        <v>4865</v>
      </c>
    </row>
    <row r="385" customFormat="false" ht="15" hidden="false" customHeight="false" outlineLevel="0" collapsed="false">
      <c r="A385" s="2" t="n">
        <v>58</v>
      </c>
      <c r="B385" s="2" t="s">
        <v>641</v>
      </c>
      <c r="C385" s="2" t="s">
        <v>646</v>
      </c>
      <c r="D385" s="2" t="s">
        <v>4866</v>
      </c>
      <c r="E385" s="2" t="s">
        <v>3919</v>
      </c>
      <c r="F385" s="2" t="s">
        <v>4867</v>
      </c>
      <c r="G385" s="2"/>
      <c r="H385" s="2" t="s">
        <v>4868</v>
      </c>
    </row>
    <row r="386" customFormat="false" ht="15" hidden="false" customHeight="false" outlineLevel="0" collapsed="false">
      <c r="A386" s="2" t="n">
        <v>58</v>
      </c>
      <c r="B386" s="2" t="s">
        <v>641</v>
      </c>
      <c r="C386" s="2" t="s">
        <v>646</v>
      </c>
      <c r="D386" s="2" t="s">
        <v>4869</v>
      </c>
      <c r="E386" s="2" t="s">
        <v>3919</v>
      </c>
      <c r="F386" s="2" t="s">
        <v>1994</v>
      </c>
      <c r="G386" s="2"/>
      <c r="H386" s="2" t="s">
        <v>4870</v>
      </c>
    </row>
    <row r="387" customFormat="false" ht="15" hidden="false" customHeight="false" outlineLevel="0" collapsed="false">
      <c r="A387" s="2" t="n">
        <v>58</v>
      </c>
      <c r="B387" s="2" t="s">
        <v>641</v>
      </c>
      <c r="C387" s="2" t="s">
        <v>646</v>
      </c>
      <c r="D387" s="2" t="s">
        <v>4871</v>
      </c>
      <c r="E387" s="2" t="s">
        <v>3919</v>
      </c>
      <c r="F387" s="2" t="s">
        <v>1328</v>
      </c>
      <c r="G387" s="2"/>
      <c r="H387" s="2" t="s">
        <v>4872</v>
      </c>
    </row>
    <row r="388" customFormat="false" ht="15" hidden="false" customHeight="false" outlineLevel="0" collapsed="false">
      <c r="A388" s="2" t="n">
        <v>58</v>
      </c>
      <c r="B388" s="2" t="s">
        <v>641</v>
      </c>
      <c r="C388" s="2" t="s">
        <v>646</v>
      </c>
      <c r="D388" s="2" t="s">
        <v>4873</v>
      </c>
      <c r="E388" s="2" t="s">
        <v>3919</v>
      </c>
      <c r="F388" s="2" t="s">
        <v>3731</v>
      </c>
      <c r="G388" s="2"/>
      <c r="H388" s="2" t="s">
        <v>4874</v>
      </c>
    </row>
    <row r="389" customFormat="false" ht="15" hidden="false" customHeight="false" outlineLevel="0" collapsed="false">
      <c r="A389" s="2" t="n">
        <v>59</v>
      </c>
      <c r="B389" s="2" t="s">
        <v>650</v>
      </c>
      <c r="C389" s="2" t="s">
        <v>656</v>
      </c>
      <c r="D389" s="2" t="s">
        <v>4875</v>
      </c>
      <c r="E389" s="2" t="s">
        <v>3919</v>
      </c>
      <c r="F389" s="2" t="s">
        <v>4814</v>
      </c>
      <c r="G389" s="2"/>
      <c r="H389" s="2" t="s">
        <v>4876</v>
      </c>
    </row>
    <row r="390" customFormat="false" ht="15" hidden="false" customHeight="false" outlineLevel="0" collapsed="false">
      <c r="A390" s="2" t="n">
        <v>59</v>
      </c>
      <c r="B390" s="2" t="s">
        <v>650</v>
      </c>
      <c r="C390" s="2" t="s">
        <v>656</v>
      </c>
      <c r="D390" s="2" t="s">
        <v>4877</v>
      </c>
      <c r="E390" s="2" t="s">
        <v>3919</v>
      </c>
      <c r="F390" s="2" t="s">
        <v>4878</v>
      </c>
      <c r="G390" s="2" t="s">
        <v>4879</v>
      </c>
      <c r="H390" s="2" t="s">
        <v>4880</v>
      </c>
    </row>
    <row r="391" customFormat="false" ht="15" hidden="false" customHeight="false" outlineLevel="0" collapsed="false">
      <c r="A391" s="2" t="n">
        <v>59</v>
      </c>
      <c r="B391" s="2" t="s">
        <v>650</v>
      </c>
      <c r="C391" s="2" t="s">
        <v>656</v>
      </c>
      <c r="D391" s="2" t="s">
        <v>4881</v>
      </c>
      <c r="E391" s="2" t="s">
        <v>3919</v>
      </c>
      <c r="F391" s="2" t="s">
        <v>3823</v>
      </c>
      <c r="G391" s="2"/>
      <c r="H391" s="2" t="s">
        <v>4882</v>
      </c>
    </row>
    <row r="392" customFormat="false" ht="15" hidden="false" customHeight="false" outlineLevel="0" collapsed="false">
      <c r="A392" s="2" t="n">
        <v>60</v>
      </c>
      <c r="B392" s="2" t="s">
        <v>660</v>
      </c>
      <c r="C392" s="2" t="s">
        <v>664</v>
      </c>
      <c r="D392" s="2" t="s">
        <v>4883</v>
      </c>
      <c r="E392" s="2" t="s">
        <v>3919</v>
      </c>
      <c r="F392" s="2" t="s">
        <v>4884</v>
      </c>
      <c r="G392" s="2"/>
      <c r="H392" s="2" t="s">
        <v>4885</v>
      </c>
    </row>
    <row r="393" customFormat="false" ht="15" hidden="false" customHeight="false" outlineLevel="0" collapsed="false">
      <c r="A393" s="2" t="n">
        <v>60</v>
      </c>
      <c r="B393" s="2" t="s">
        <v>660</v>
      </c>
      <c r="C393" s="2" t="s">
        <v>664</v>
      </c>
      <c r="D393" s="2" t="s">
        <v>4886</v>
      </c>
      <c r="E393" s="2" t="s">
        <v>3919</v>
      </c>
      <c r="F393" s="2" t="s">
        <v>4887</v>
      </c>
      <c r="G393" s="2"/>
      <c r="H393" s="2" t="s">
        <v>4888</v>
      </c>
    </row>
    <row r="394" customFormat="false" ht="15" hidden="false" customHeight="false" outlineLevel="0" collapsed="false">
      <c r="A394" s="2" t="n">
        <v>60</v>
      </c>
      <c r="B394" s="2" t="s">
        <v>660</v>
      </c>
      <c r="C394" s="2" t="s">
        <v>664</v>
      </c>
      <c r="D394" s="2" t="s">
        <v>4889</v>
      </c>
      <c r="E394" s="2" t="s">
        <v>3919</v>
      </c>
      <c r="F394" s="2" t="s">
        <v>627</v>
      </c>
      <c r="G394" s="2"/>
      <c r="H394" s="2" t="s">
        <v>4890</v>
      </c>
    </row>
    <row r="395" customFormat="false" ht="15" hidden="false" customHeight="false" outlineLevel="0" collapsed="false">
      <c r="A395" s="2" t="n">
        <v>60</v>
      </c>
      <c r="B395" s="2" t="s">
        <v>660</v>
      </c>
      <c r="C395" s="2" t="s">
        <v>664</v>
      </c>
      <c r="D395" s="2" t="s">
        <v>4891</v>
      </c>
      <c r="E395" s="2" t="s">
        <v>3919</v>
      </c>
      <c r="F395" s="2" t="s">
        <v>4892</v>
      </c>
      <c r="G395" s="2"/>
      <c r="H395" s="2" t="s">
        <v>4893</v>
      </c>
    </row>
    <row r="396" customFormat="false" ht="15" hidden="false" customHeight="false" outlineLevel="0" collapsed="false">
      <c r="A396" s="2" t="n">
        <v>60</v>
      </c>
      <c r="B396" s="2" t="s">
        <v>660</v>
      </c>
      <c r="C396" s="2" t="s">
        <v>664</v>
      </c>
      <c r="D396" s="2" t="s">
        <v>4894</v>
      </c>
      <c r="E396" s="2" t="s">
        <v>3919</v>
      </c>
      <c r="F396" s="2" t="s">
        <v>4895</v>
      </c>
      <c r="G396" s="2"/>
      <c r="H396" s="2" t="s">
        <v>4896</v>
      </c>
    </row>
    <row r="397" customFormat="false" ht="15" hidden="false" customHeight="false" outlineLevel="0" collapsed="false">
      <c r="A397" s="2" t="n">
        <v>60</v>
      </c>
      <c r="B397" s="2" t="s">
        <v>660</v>
      </c>
      <c r="C397" s="2" t="s">
        <v>664</v>
      </c>
      <c r="D397" s="2" t="s">
        <v>4897</v>
      </c>
      <c r="E397" s="2" t="s">
        <v>3919</v>
      </c>
      <c r="F397" s="2" t="s">
        <v>4121</v>
      </c>
      <c r="G397" s="2"/>
      <c r="H397" s="2" t="s">
        <v>4898</v>
      </c>
    </row>
    <row r="398" customFormat="false" ht="15" hidden="false" customHeight="false" outlineLevel="0" collapsed="false">
      <c r="A398" s="2" t="n">
        <v>60</v>
      </c>
      <c r="B398" s="2" t="s">
        <v>660</v>
      </c>
      <c r="C398" s="2" t="s">
        <v>664</v>
      </c>
      <c r="D398" s="2" t="s">
        <v>4899</v>
      </c>
      <c r="E398" s="2" t="s">
        <v>3919</v>
      </c>
      <c r="F398" s="2" t="s">
        <v>4900</v>
      </c>
      <c r="G398" s="2"/>
      <c r="H398" s="2" t="s">
        <v>4901</v>
      </c>
    </row>
    <row r="399" customFormat="false" ht="15" hidden="false" customHeight="false" outlineLevel="0" collapsed="false">
      <c r="A399" s="2" t="n">
        <v>60</v>
      </c>
      <c r="B399" s="2" t="s">
        <v>660</v>
      </c>
      <c r="C399" s="2" t="s">
        <v>664</v>
      </c>
      <c r="D399" s="2" t="s">
        <v>4902</v>
      </c>
      <c r="E399" s="2" t="s">
        <v>3919</v>
      </c>
      <c r="F399" s="2" t="s">
        <v>3070</v>
      </c>
      <c r="G399" s="2"/>
      <c r="H399" s="2" t="s">
        <v>4903</v>
      </c>
    </row>
    <row r="400" customFormat="false" ht="15" hidden="false" customHeight="false" outlineLevel="0" collapsed="false">
      <c r="A400" s="2" t="n">
        <v>60</v>
      </c>
      <c r="B400" s="2" t="s">
        <v>660</v>
      </c>
      <c r="C400" s="2" t="s">
        <v>664</v>
      </c>
      <c r="D400" s="2" t="s">
        <v>4904</v>
      </c>
      <c r="E400" s="2" t="s">
        <v>3919</v>
      </c>
      <c r="F400" s="2" t="s">
        <v>4905</v>
      </c>
      <c r="G400" s="2"/>
      <c r="H400" s="2" t="s">
        <v>4906</v>
      </c>
    </row>
    <row r="401" customFormat="false" ht="15" hidden="false" customHeight="false" outlineLevel="0" collapsed="false">
      <c r="A401" s="2" t="n">
        <v>60</v>
      </c>
      <c r="B401" s="2" t="s">
        <v>660</v>
      </c>
      <c r="C401" s="2" t="s">
        <v>664</v>
      </c>
      <c r="D401" s="2" t="s">
        <v>4907</v>
      </c>
      <c r="E401" s="2" t="s">
        <v>3919</v>
      </c>
      <c r="F401" s="2" t="s">
        <v>4908</v>
      </c>
      <c r="G401" s="2"/>
      <c r="H401" s="2" t="s">
        <v>4909</v>
      </c>
    </row>
    <row r="402" customFormat="false" ht="15" hidden="false" customHeight="false" outlineLevel="0" collapsed="false">
      <c r="A402" s="2" t="n">
        <v>61</v>
      </c>
      <c r="B402" s="2" t="s">
        <v>668</v>
      </c>
      <c r="C402" s="2" t="s">
        <v>671</v>
      </c>
      <c r="D402" s="2" t="s">
        <v>4910</v>
      </c>
      <c r="E402" s="2" t="s">
        <v>3919</v>
      </c>
      <c r="F402" s="2" t="s">
        <v>977</v>
      </c>
      <c r="G402" s="2"/>
      <c r="H402" s="2" t="s">
        <v>4911</v>
      </c>
    </row>
    <row r="403" customFormat="false" ht="15" hidden="false" customHeight="false" outlineLevel="0" collapsed="false">
      <c r="A403" s="2" t="n">
        <v>61</v>
      </c>
      <c r="B403" s="2" t="s">
        <v>668</v>
      </c>
      <c r="C403" s="2" t="s">
        <v>671</v>
      </c>
      <c r="D403" s="2" t="s">
        <v>4912</v>
      </c>
      <c r="E403" s="2" t="s">
        <v>3919</v>
      </c>
      <c r="F403" s="2" t="s">
        <v>4826</v>
      </c>
      <c r="G403" s="2"/>
      <c r="H403" s="2" t="s">
        <v>4913</v>
      </c>
    </row>
    <row r="404" customFormat="false" ht="15" hidden="false" customHeight="false" outlineLevel="0" collapsed="false">
      <c r="A404" s="2" t="n">
        <v>61</v>
      </c>
      <c r="B404" s="2" t="s">
        <v>668</v>
      </c>
      <c r="C404" s="2" t="s">
        <v>671</v>
      </c>
      <c r="D404" s="2" t="s">
        <v>4914</v>
      </c>
      <c r="E404" s="2" t="s">
        <v>3919</v>
      </c>
      <c r="F404" s="2" t="s">
        <v>4118</v>
      </c>
      <c r="G404" s="2"/>
      <c r="H404" s="2" t="s">
        <v>4915</v>
      </c>
    </row>
    <row r="405" customFormat="false" ht="15" hidden="false" customHeight="false" outlineLevel="0" collapsed="false">
      <c r="A405" s="2" t="n">
        <v>61</v>
      </c>
      <c r="B405" s="2" t="s">
        <v>668</v>
      </c>
      <c r="C405" s="2" t="s">
        <v>671</v>
      </c>
      <c r="D405" s="2" t="s">
        <v>4916</v>
      </c>
      <c r="E405" s="2" t="s">
        <v>3919</v>
      </c>
      <c r="F405" s="2" t="s">
        <v>807</v>
      </c>
      <c r="G405" s="2" t="s">
        <v>4917</v>
      </c>
      <c r="H405" s="2" t="s">
        <v>4918</v>
      </c>
    </row>
    <row r="406" customFormat="false" ht="15" hidden="false" customHeight="false" outlineLevel="0" collapsed="false">
      <c r="A406" s="2" t="n">
        <v>61</v>
      </c>
      <c r="B406" s="2" t="s">
        <v>668</v>
      </c>
      <c r="C406" s="2" t="s">
        <v>671</v>
      </c>
      <c r="D406" s="2" t="s">
        <v>4919</v>
      </c>
      <c r="E406" s="2" t="s">
        <v>3919</v>
      </c>
      <c r="F406" s="2" t="s">
        <v>4920</v>
      </c>
      <c r="G406" s="2"/>
      <c r="H406" s="2" t="s">
        <v>4921</v>
      </c>
    </row>
    <row r="407" customFormat="false" ht="15" hidden="false" customHeight="false" outlineLevel="0" collapsed="false">
      <c r="A407" s="2" t="n">
        <v>61</v>
      </c>
      <c r="B407" s="2" t="s">
        <v>668</v>
      </c>
      <c r="C407" s="2" t="s">
        <v>671</v>
      </c>
      <c r="D407" s="2" t="s">
        <v>4922</v>
      </c>
      <c r="E407" s="2" t="s">
        <v>3919</v>
      </c>
      <c r="F407" s="2" t="s">
        <v>4659</v>
      </c>
      <c r="G407" s="2"/>
      <c r="H407" s="2" t="s">
        <v>4923</v>
      </c>
    </row>
    <row r="408" customFormat="false" ht="15" hidden="false" customHeight="false" outlineLevel="0" collapsed="false">
      <c r="A408" s="2" t="n">
        <v>61</v>
      </c>
      <c r="B408" s="2" t="s">
        <v>668</v>
      </c>
      <c r="C408" s="2" t="s">
        <v>671</v>
      </c>
      <c r="D408" s="2" t="s">
        <v>4924</v>
      </c>
      <c r="E408" s="2" t="s">
        <v>3919</v>
      </c>
      <c r="F408" s="2" t="s">
        <v>4925</v>
      </c>
      <c r="G408" s="2"/>
      <c r="H408" s="2" t="s">
        <v>4926</v>
      </c>
    </row>
    <row r="409" customFormat="false" ht="15" hidden="false" customHeight="false" outlineLevel="0" collapsed="false">
      <c r="A409" s="2" t="n">
        <v>61</v>
      </c>
      <c r="B409" s="2" t="s">
        <v>668</v>
      </c>
      <c r="C409" s="2" t="s">
        <v>671</v>
      </c>
      <c r="D409" s="2" t="s">
        <v>4927</v>
      </c>
      <c r="E409" s="2" t="s">
        <v>3919</v>
      </c>
      <c r="F409" s="2" t="s">
        <v>4928</v>
      </c>
      <c r="G409" s="2"/>
      <c r="H409" s="2" t="s">
        <v>4929</v>
      </c>
    </row>
    <row r="410" customFormat="false" ht="15" hidden="false" customHeight="false" outlineLevel="0" collapsed="false">
      <c r="A410" s="2" t="n">
        <v>61</v>
      </c>
      <c r="B410" s="2" t="s">
        <v>668</v>
      </c>
      <c r="C410" s="2" t="s">
        <v>671</v>
      </c>
      <c r="D410" s="2" t="s">
        <v>4930</v>
      </c>
      <c r="E410" s="2" t="s">
        <v>3919</v>
      </c>
      <c r="F410" s="2" t="s">
        <v>4931</v>
      </c>
      <c r="G410" s="2"/>
      <c r="H410" s="2" t="s">
        <v>4932</v>
      </c>
    </row>
    <row r="411" customFormat="false" ht="15" hidden="false" customHeight="false" outlineLevel="0" collapsed="false">
      <c r="A411" s="2" t="n">
        <v>62</v>
      </c>
      <c r="B411" s="2" t="s">
        <v>675</v>
      </c>
      <c r="C411" s="2" t="s">
        <v>680</v>
      </c>
      <c r="D411" s="2" t="s">
        <v>4933</v>
      </c>
      <c r="E411" s="2" t="s">
        <v>3915</v>
      </c>
      <c r="F411" s="2" t="s">
        <v>683</v>
      </c>
      <c r="G411" s="2" t="s">
        <v>4934</v>
      </c>
      <c r="H411" s="2" t="s">
        <v>4935</v>
      </c>
    </row>
    <row r="412" customFormat="false" ht="15" hidden="false" customHeight="false" outlineLevel="0" collapsed="false">
      <c r="A412" s="2" t="n">
        <v>62</v>
      </c>
      <c r="B412" s="2" t="s">
        <v>675</v>
      </c>
      <c r="C412" s="2" t="s">
        <v>680</v>
      </c>
      <c r="D412" s="2" t="s">
        <v>4936</v>
      </c>
      <c r="E412" s="2" t="s">
        <v>3919</v>
      </c>
      <c r="F412" s="2" t="s">
        <v>4937</v>
      </c>
      <c r="G412" s="2"/>
      <c r="H412" s="2" t="s">
        <v>4938</v>
      </c>
    </row>
    <row r="413" customFormat="false" ht="15" hidden="false" customHeight="false" outlineLevel="0" collapsed="false">
      <c r="A413" s="2" t="n">
        <v>63</v>
      </c>
      <c r="B413" s="2" t="s">
        <v>685</v>
      </c>
      <c r="C413" s="2" t="s">
        <v>691</v>
      </c>
      <c r="D413" s="2" t="s">
        <v>4939</v>
      </c>
      <c r="E413" s="2" t="s">
        <v>3919</v>
      </c>
      <c r="F413" s="2" t="s">
        <v>4940</v>
      </c>
      <c r="G413" s="2"/>
      <c r="H413" s="2" t="s">
        <v>4941</v>
      </c>
    </row>
    <row r="414" customFormat="false" ht="15" hidden="false" customHeight="false" outlineLevel="0" collapsed="false">
      <c r="A414" s="2" t="n">
        <v>63</v>
      </c>
      <c r="B414" s="2" t="s">
        <v>685</v>
      </c>
      <c r="C414" s="2" t="s">
        <v>691</v>
      </c>
      <c r="D414" s="2" t="s">
        <v>4942</v>
      </c>
      <c r="E414" s="2" t="s">
        <v>3919</v>
      </c>
      <c r="F414" s="2" t="s">
        <v>901</v>
      </c>
      <c r="G414" s="2"/>
      <c r="H414" s="2" t="s">
        <v>4943</v>
      </c>
    </row>
    <row r="415" customFormat="false" ht="15" hidden="false" customHeight="false" outlineLevel="0" collapsed="false">
      <c r="A415" s="2" t="n">
        <v>64</v>
      </c>
      <c r="B415" s="2" t="s">
        <v>695</v>
      </c>
      <c r="C415" s="2" t="s">
        <v>700</v>
      </c>
      <c r="D415" s="2" t="s">
        <v>4944</v>
      </c>
      <c r="E415" s="2" t="s">
        <v>3915</v>
      </c>
      <c r="F415" s="2" t="s">
        <v>490</v>
      </c>
      <c r="G415" s="2" t="s">
        <v>4945</v>
      </c>
      <c r="H415" s="2" t="s">
        <v>4946</v>
      </c>
    </row>
    <row r="416" customFormat="false" ht="15" hidden="false" customHeight="false" outlineLevel="0" collapsed="false">
      <c r="A416" s="2" t="n">
        <v>64</v>
      </c>
      <c r="B416" s="2" t="s">
        <v>695</v>
      </c>
      <c r="C416" s="2" t="s">
        <v>700</v>
      </c>
      <c r="D416" s="2" t="s">
        <v>4947</v>
      </c>
      <c r="E416" s="2" t="s">
        <v>3919</v>
      </c>
      <c r="F416" s="2" t="s">
        <v>3716</v>
      </c>
      <c r="G416" s="2"/>
      <c r="H416" s="2" t="s">
        <v>4948</v>
      </c>
    </row>
    <row r="417" customFormat="false" ht="15" hidden="false" customHeight="false" outlineLevel="0" collapsed="false">
      <c r="A417" s="2" t="n">
        <v>64</v>
      </c>
      <c r="B417" s="2" t="s">
        <v>695</v>
      </c>
      <c r="C417" s="2" t="s">
        <v>700</v>
      </c>
      <c r="D417" s="2" t="s">
        <v>4949</v>
      </c>
      <c r="E417" s="2" t="s">
        <v>3919</v>
      </c>
      <c r="F417" s="2" t="s">
        <v>529</v>
      </c>
      <c r="G417" s="2"/>
      <c r="H417" s="2" t="s">
        <v>4950</v>
      </c>
    </row>
    <row r="418" customFormat="false" ht="15" hidden="false" customHeight="false" outlineLevel="0" collapsed="false">
      <c r="A418" s="2" t="n">
        <v>64</v>
      </c>
      <c r="B418" s="2" t="s">
        <v>695</v>
      </c>
      <c r="C418" s="2" t="s">
        <v>700</v>
      </c>
      <c r="D418" s="2" t="s">
        <v>4951</v>
      </c>
      <c r="E418" s="2" t="s">
        <v>3919</v>
      </c>
      <c r="F418" s="2" t="s">
        <v>4952</v>
      </c>
      <c r="G418" s="2"/>
      <c r="H418" s="2" t="s">
        <v>4953</v>
      </c>
    </row>
    <row r="419" customFormat="false" ht="15" hidden="false" customHeight="false" outlineLevel="0" collapsed="false">
      <c r="A419" s="2" t="n">
        <v>64</v>
      </c>
      <c r="B419" s="2" t="s">
        <v>695</v>
      </c>
      <c r="C419" s="2" t="s">
        <v>700</v>
      </c>
      <c r="D419" s="2" t="s">
        <v>4954</v>
      </c>
      <c r="E419" s="2" t="s">
        <v>3919</v>
      </c>
      <c r="F419" s="2" t="s">
        <v>2685</v>
      </c>
      <c r="G419" s="2"/>
      <c r="H419" s="2" t="s">
        <v>4955</v>
      </c>
    </row>
    <row r="420" customFormat="false" ht="15" hidden="false" customHeight="false" outlineLevel="0" collapsed="false">
      <c r="A420" s="2" t="n">
        <v>65</v>
      </c>
      <c r="B420" s="2" t="s">
        <v>704</v>
      </c>
      <c r="C420" s="2" t="s">
        <v>708</v>
      </c>
      <c r="D420" s="2" t="s">
        <v>4956</v>
      </c>
      <c r="E420" s="2" t="s">
        <v>3915</v>
      </c>
      <c r="F420" s="2" t="s">
        <v>711</v>
      </c>
      <c r="G420" s="2" t="s">
        <v>4957</v>
      </c>
      <c r="H420" s="2" t="s">
        <v>4958</v>
      </c>
    </row>
    <row r="421" customFormat="false" ht="15" hidden="false" customHeight="false" outlineLevel="0" collapsed="false">
      <c r="A421" s="2" t="n">
        <v>65</v>
      </c>
      <c r="B421" s="2" t="s">
        <v>704</v>
      </c>
      <c r="C421" s="2" t="s">
        <v>708</v>
      </c>
      <c r="D421" s="2" t="s">
        <v>4944</v>
      </c>
      <c r="E421" s="2" t="s">
        <v>3915</v>
      </c>
      <c r="F421" s="2" t="s">
        <v>490</v>
      </c>
      <c r="G421" s="2" t="s">
        <v>4945</v>
      </c>
      <c r="H421" s="2" t="s">
        <v>4946</v>
      </c>
    </row>
    <row r="422" customFormat="false" ht="15" hidden="false" customHeight="false" outlineLevel="0" collapsed="false">
      <c r="A422" s="2" t="n">
        <v>65</v>
      </c>
      <c r="B422" s="2" t="s">
        <v>704</v>
      </c>
      <c r="C422" s="2" t="s">
        <v>708</v>
      </c>
      <c r="D422" s="2" t="s">
        <v>4959</v>
      </c>
      <c r="E422" s="2" t="s">
        <v>3919</v>
      </c>
      <c r="F422" s="2" t="s">
        <v>1014</v>
      </c>
      <c r="G422" s="2" t="s">
        <v>4960</v>
      </c>
      <c r="H422" s="2" t="s">
        <v>4961</v>
      </c>
    </row>
    <row r="423" customFormat="false" ht="15" hidden="false" customHeight="false" outlineLevel="0" collapsed="false">
      <c r="A423" s="2" t="n">
        <v>65</v>
      </c>
      <c r="B423" s="2" t="s">
        <v>704</v>
      </c>
      <c r="C423" s="2" t="s">
        <v>708</v>
      </c>
      <c r="D423" s="2" t="s">
        <v>4962</v>
      </c>
      <c r="E423" s="2" t="s">
        <v>3919</v>
      </c>
      <c r="F423" s="2" t="s">
        <v>852</v>
      </c>
      <c r="G423" s="2"/>
      <c r="H423" s="2" t="s">
        <v>4963</v>
      </c>
    </row>
    <row r="424" customFormat="false" ht="15" hidden="false" customHeight="false" outlineLevel="0" collapsed="false">
      <c r="A424" s="2" t="n">
        <v>65</v>
      </c>
      <c r="B424" s="2" t="s">
        <v>704</v>
      </c>
      <c r="C424" s="2" t="s">
        <v>708</v>
      </c>
      <c r="D424" s="2" t="s">
        <v>4964</v>
      </c>
      <c r="E424" s="2" t="s">
        <v>3919</v>
      </c>
      <c r="F424" s="2" t="s">
        <v>4965</v>
      </c>
      <c r="G424" s="2"/>
      <c r="H424" s="2" t="s">
        <v>4966</v>
      </c>
    </row>
    <row r="425" customFormat="false" ht="15" hidden="false" customHeight="false" outlineLevel="0" collapsed="false">
      <c r="A425" s="2" t="n">
        <v>66</v>
      </c>
      <c r="B425" s="2" t="s">
        <v>713</v>
      </c>
      <c r="C425" s="2" t="s">
        <v>718</v>
      </c>
      <c r="D425" s="2" t="s">
        <v>4967</v>
      </c>
      <c r="E425" s="2" t="s">
        <v>3919</v>
      </c>
      <c r="F425" s="2" t="s">
        <v>4968</v>
      </c>
      <c r="G425" s="2"/>
      <c r="H425" s="2" t="s">
        <v>4969</v>
      </c>
    </row>
    <row r="426" customFormat="false" ht="15" hidden="false" customHeight="false" outlineLevel="0" collapsed="false">
      <c r="A426" s="2" t="n">
        <v>66</v>
      </c>
      <c r="B426" s="2" t="s">
        <v>713</v>
      </c>
      <c r="C426" s="2" t="s">
        <v>718</v>
      </c>
      <c r="D426" s="2" t="s">
        <v>4970</v>
      </c>
      <c r="E426" s="2" t="s">
        <v>3919</v>
      </c>
      <c r="F426" s="2" t="s">
        <v>4971</v>
      </c>
      <c r="G426" s="2" t="s">
        <v>4972</v>
      </c>
      <c r="H426" s="2" t="s">
        <v>4973</v>
      </c>
    </row>
    <row r="427" customFormat="false" ht="15" hidden="false" customHeight="false" outlineLevel="0" collapsed="false">
      <c r="A427" s="2" t="n">
        <v>67</v>
      </c>
      <c r="B427" s="2" t="s">
        <v>722</v>
      </c>
      <c r="C427" s="2" t="s">
        <v>728</v>
      </c>
      <c r="D427" s="2" t="s">
        <v>4956</v>
      </c>
      <c r="E427" s="2" t="s">
        <v>3915</v>
      </c>
      <c r="F427" s="2" t="s">
        <v>711</v>
      </c>
      <c r="G427" s="2" t="s">
        <v>4957</v>
      </c>
      <c r="H427" s="2" t="s">
        <v>4958</v>
      </c>
    </row>
    <row r="428" customFormat="false" ht="15" hidden="false" customHeight="false" outlineLevel="0" collapsed="false">
      <c r="A428" s="2" t="n">
        <v>67</v>
      </c>
      <c r="B428" s="2" t="s">
        <v>722</v>
      </c>
      <c r="C428" s="2" t="s">
        <v>728</v>
      </c>
      <c r="D428" s="2" t="s">
        <v>4974</v>
      </c>
      <c r="E428" s="2" t="s">
        <v>3919</v>
      </c>
      <c r="F428" s="2" t="s">
        <v>4975</v>
      </c>
      <c r="G428" s="2"/>
      <c r="H428" s="2" t="s">
        <v>4976</v>
      </c>
    </row>
    <row r="429" customFormat="false" ht="15" hidden="false" customHeight="false" outlineLevel="0" collapsed="false">
      <c r="A429" s="2" t="n">
        <v>67</v>
      </c>
      <c r="B429" s="2" t="s">
        <v>722</v>
      </c>
      <c r="C429" s="2" t="s">
        <v>728</v>
      </c>
      <c r="D429" s="2" t="s">
        <v>4977</v>
      </c>
      <c r="E429" s="2" t="s">
        <v>3919</v>
      </c>
      <c r="F429" s="2" t="s">
        <v>4978</v>
      </c>
      <c r="G429" s="2"/>
      <c r="H429" s="2" t="s">
        <v>4979</v>
      </c>
    </row>
    <row r="430" customFormat="false" ht="15" hidden="false" customHeight="false" outlineLevel="0" collapsed="false">
      <c r="A430" s="2" t="n">
        <v>67</v>
      </c>
      <c r="B430" s="2" t="s">
        <v>722</v>
      </c>
      <c r="C430" s="2" t="s">
        <v>728</v>
      </c>
      <c r="D430" s="2" t="s">
        <v>4980</v>
      </c>
      <c r="E430" s="2" t="s">
        <v>3919</v>
      </c>
      <c r="F430" s="2" t="s">
        <v>4981</v>
      </c>
      <c r="G430" s="2"/>
      <c r="H430" s="2" t="s">
        <v>4982</v>
      </c>
    </row>
    <row r="431" customFormat="false" ht="15" hidden="false" customHeight="false" outlineLevel="0" collapsed="false">
      <c r="A431" s="2" t="n">
        <v>67</v>
      </c>
      <c r="B431" s="2" t="s">
        <v>722</v>
      </c>
      <c r="C431" s="2" t="s">
        <v>728</v>
      </c>
      <c r="D431" s="2" t="s">
        <v>4983</v>
      </c>
      <c r="E431" s="2" t="s">
        <v>3919</v>
      </c>
      <c r="F431" s="2" t="s">
        <v>4984</v>
      </c>
      <c r="G431" s="2"/>
      <c r="H431" s="2" t="s">
        <v>4985</v>
      </c>
    </row>
    <row r="432" customFormat="false" ht="15" hidden="false" customHeight="false" outlineLevel="0" collapsed="false">
      <c r="A432" s="2" t="n">
        <v>68</v>
      </c>
      <c r="B432" s="2" t="s">
        <v>732</v>
      </c>
      <c r="C432" s="2" t="s">
        <v>738</v>
      </c>
      <c r="D432" s="2" t="s">
        <v>4986</v>
      </c>
      <c r="E432" s="2" t="s">
        <v>3919</v>
      </c>
      <c r="F432" s="2" t="s">
        <v>4987</v>
      </c>
      <c r="G432" s="2"/>
      <c r="H432" s="2" t="s">
        <v>4988</v>
      </c>
    </row>
    <row r="433" customFormat="false" ht="15" hidden="false" customHeight="false" outlineLevel="0" collapsed="false">
      <c r="A433" s="2" t="n">
        <v>68</v>
      </c>
      <c r="B433" s="2" t="s">
        <v>732</v>
      </c>
      <c r="C433" s="2" t="s">
        <v>738</v>
      </c>
      <c r="D433" s="2" t="s">
        <v>4989</v>
      </c>
      <c r="E433" s="2" t="s">
        <v>3919</v>
      </c>
      <c r="F433" s="2" t="s">
        <v>4990</v>
      </c>
      <c r="G433" s="2"/>
      <c r="H433" s="2" t="s">
        <v>4991</v>
      </c>
    </row>
    <row r="434" customFormat="false" ht="15" hidden="false" customHeight="false" outlineLevel="0" collapsed="false">
      <c r="A434" s="2" t="n">
        <v>68</v>
      </c>
      <c r="B434" s="2" t="s">
        <v>732</v>
      </c>
      <c r="C434" s="2" t="s">
        <v>738</v>
      </c>
      <c r="D434" s="2" t="s">
        <v>4992</v>
      </c>
      <c r="E434" s="2" t="s">
        <v>3919</v>
      </c>
      <c r="F434" s="2" t="s">
        <v>4993</v>
      </c>
      <c r="G434" s="2"/>
      <c r="H434" s="2" t="s">
        <v>4994</v>
      </c>
    </row>
    <row r="435" customFormat="false" ht="15" hidden="false" customHeight="false" outlineLevel="0" collapsed="false">
      <c r="A435" s="2" t="n">
        <v>68</v>
      </c>
      <c r="B435" s="2" t="s">
        <v>732</v>
      </c>
      <c r="C435" s="2" t="s">
        <v>738</v>
      </c>
      <c r="D435" s="2" t="s">
        <v>4995</v>
      </c>
      <c r="E435" s="2" t="s">
        <v>3919</v>
      </c>
      <c r="F435" s="2" t="s">
        <v>4996</v>
      </c>
      <c r="G435" s="2"/>
      <c r="H435" s="2" t="s">
        <v>4997</v>
      </c>
    </row>
    <row r="436" customFormat="false" ht="15" hidden="false" customHeight="false" outlineLevel="0" collapsed="false">
      <c r="A436" s="2" t="n">
        <v>69</v>
      </c>
      <c r="B436" s="2" t="s">
        <v>742</v>
      </c>
      <c r="C436" s="2" t="s">
        <v>748</v>
      </c>
      <c r="D436" s="2" t="s">
        <v>4998</v>
      </c>
      <c r="E436" s="2" t="s">
        <v>3915</v>
      </c>
      <c r="F436" s="2" t="s">
        <v>751</v>
      </c>
      <c r="G436" s="2" t="s">
        <v>4999</v>
      </c>
      <c r="H436" s="2" t="s">
        <v>5000</v>
      </c>
    </row>
    <row r="437" customFormat="false" ht="15" hidden="false" customHeight="false" outlineLevel="0" collapsed="false">
      <c r="A437" s="2" t="n">
        <v>69</v>
      </c>
      <c r="B437" s="2" t="s">
        <v>742</v>
      </c>
      <c r="C437" s="2" t="s">
        <v>748</v>
      </c>
      <c r="D437" s="2" t="s">
        <v>5001</v>
      </c>
      <c r="E437" s="2" t="s">
        <v>3919</v>
      </c>
      <c r="F437" s="2" t="s">
        <v>5002</v>
      </c>
      <c r="G437" s="2"/>
      <c r="H437" s="2" t="s">
        <v>5003</v>
      </c>
    </row>
    <row r="438" customFormat="false" ht="15" hidden="false" customHeight="false" outlineLevel="0" collapsed="false">
      <c r="A438" s="2" t="n">
        <v>71</v>
      </c>
      <c r="B438" s="2" t="s">
        <v>760</v>
      </c>
      <c r="C438" s="2" t="s">
        <v>765</v>
      </c>
      <c r="D438" s="2" t="s">
        <v>5004</v>
      </c>
      <c r="E438" s="2" t="s">
        <v>3919</v>
      </c>
      <c r="F438" s="2" t="s">
        <v>2983</v>
      </c>
      <c r="G438" s="2"/>
      <c r="H438" s="2" t="s">
        <v>5005</v>
      </c>
    </row>
    <row r="439" customFormat="false" ht="15" hidden="false" customHeight="false" outlineLevel="0" collapsed="false">
      <c r="A439" s="2" t="n">
        <v>72</v>
      </c>
      <c r="B439" s="2" t="s">
        <v>769</v>
      </c>
      <c r="C439" s="2" t="s">
        <v>774</v>
      </c>
      <c r="D439" s="2" t="s">
        <v>5006</v>
      </c>
      <c r="E439" s="2" t="s">
        <v>3919</v>
      </c>
      <c r="F439" s="2" t="s">
        <v>5007</v>
      </c>
      <c r="G439" s="2" t="s">
        <v>5008</v>
      </c>
      <c r="H439" s="2" t="s">
        <v>5009</v>
      </c>
    </row>
    <row r="440" customFormat="false" ht="15" hidden="false" customHeight="false" outlineLevel="0" collapsed="false">
      <c r="A440" s="2" t="n">
        <v>72</v>
      </c>
      <c r="B440" s="2" t="s">
        <v>769</v>
      </c>
      <c r="C440" s="2" t="s">
        <v>774</v>
      </c>
      <c r="D440" s="2" t="s">
        <v>5010</v>
      </c>
      <c r="E440" s="2" t="s">
        <v>3919</v>
      </c>
      <c r="F440" s="2" t="s">
        <v>5011</v>
      </c>
      <c r="G440" s="2"/>
      <c r="H440" s="2" t="s">
        <v>5012</v>
      </c>
    </row>
    <row r="441" customFormat="false" ht="15" hidden="false" customHeight="false" outlineLevel="0" collapsed="false">
      <c r="A441" s="2" t="n">
        <v>73</v>
      </c>
      <c r="B441" s="2" t="s">
        <v>778</v>
      </c>
      <c r="C441" s="2" t="s">
        <v>783</v>
      </c>
      <c r="D441" s="2" t="s">
        <v>5013</v>
      </c>
      <c r="E441" s="2" t="s">
        <v>3919</v>
      </c>
      <c r="F441" s="2" t="s">
        <v>5014</v>
      </c>
      <c r="G441" s="2" t="s">
        <v>5015</v>
      </c>
      <c r="H441" s="2" t="s">
        <v>5016</v>
      </c>
    </row>
    <row r="442" customFormat="false" ht="15" hidden="false" customHeight="false" outlineLevel="0" collapsed="false">
      <c r="A442" s="2" t="n">
        <v>76</v>
      </c>
      <c r="B442" s="2" t="s">
        <v>804</v>
      </c>
      <c r="C442" s="2" t="s">
        <v>809</v>
      </c>
      <c r="D442" s="2" t="s">
        <v>5017</v>
      </c>
      <c r="E442" s="2" t="s">
        <v>3919</v>
      </c>
      <c r="F442" s="2" t="s">
        <v>4627</v>
      </c>
      <c r="G442" s="2" t="s">
        <v>5018</v>
      </c>
      <c r="H442" s="2" t="s">
        <v>5019</v>
      </c>
    </row>
    <row r="443" customFormat="false" ht="15" hidden="false" customHeight="false" outlineLevel="0" collapsed="false">
      <c r="A443" s="2" t="n">
        <v>76</v>
      </c>
      <c r="B443" s="2" t="s">
        <v>804</v>
      </c>
      <c r="C443" s="2" t="s">
        <v>809</v>
      </c>
      <c r="D443" s="2" t="s">
        <v>5020</v>
      </c>
      <c r="E443" s="2" t="s">
        <v>3919</v>
      </c>
      <c r="F443" s="2" t="s">
        <v>1328</v>
      </c>
      <c r="G443" s="2"/>
      <c r="H443" s="2" t="s">
        <v>5021</v>
      </c>
    </row>
    <row r="444" customFormat="false" ht="15" hidden="false" customHeight="false" outlineLevel="0" collapsed="false">
      <c r="A444" s="2" t="n">
        <v>76</v>
      </c>
      <c r="B444" s="2" t="s">
        <v>804</v>
      </c>
      <c r="C444" s="2" t="s">
        <v>809</v>
      </c>
      <c r="D444" s="2" t="s">
        <v>5022</v>
      </c>
      <c r="E444" s="2" t="s">
        <v>3919</v>
      </c>
      <c r="F444" s="2" t="s">
        <v>5023</v>
      </c>
      <c r="G444" s="2"/>
      <c r="H444" s="2" t="s">
        <v>5024</v>
      </c>
    </row>
    <row r="445" customFormat="false" ht="15" hidden="false" customHeight="false" outlineLevel="0" collapsed="false">
      <c r="A445" s="2" t="n">
        <v>76</v>
      </c>
      <c r="B445" s="2" t="s">
        <v>804</v>
      </c>
      <c r="C445" s="2" t="s">
        <v>809</v>
      </c>
      <c r="D445" s="2" t="s">
        <v>5025</v>
      </c>
      <c r="E445" s="2" t="s">
        <v>3919</v>
      </c>
      <c r="F445" s="2" t="s">
        <v>2148</v>
      </c>
      <c r="G445" s="2"/>
      <c r="H445" s="2" t="s">
        <v>5026</v>
      </c>
    </row>
    <row r="446" customFormat="false" ht="15" hidden="false" customHeight="false" outlineLevel="0" collapsed="false">
      <c r="A446" s="2" t="n">
        <v>76</v>
      </c>
      <c r="B446" s="2" t="s">
        <v>804</v>
      </c>
      <c r="C446" s="2" t="s">
        <v>809</v>
      </c>
      <c r="D446" s="2" t="s">
        <v>5027</v>
      </c>
      <c r="E446" s="2" t="s">
        <v>3919</v>
      </c>
      <c r="F446" s="2" t="s">
        <v>5028</v>
      </c>
      <c r="G446" s="2"/>
      <c r="H446" s="2" t="s">
        <v>5029</v>
      </c>
    </row>
    <row r="447" customFormat="false" ht="15" hidden="false" customHeight="false" outlineLevel="0" collapsed="false">
      <c r="A447" s="2" t="n">
        <v>76</v>
      </c>
      <c r="B447" s="2" t="s">
        <v>804</v>
      </c>
      <c r="C447" s="2" t="s">
        <v>809</v>
      </c>
      <c r="D447" s="2" t="s">
        <v>5030</v>
      </c>
      <c r="E447" s="2" t="s">
        <v>3919</v>
      </c>
      <c r="F447" s="2" t="s">
        <v>5031</v>
      </c>
      <c r="G447" s="2"/>
      <c r="H447" s="2" t="s">
        <v>5032</v>
      </c>
    </row>
    <row r="448" customFormat="false" ht="15" hidden="false" customHeight="false" outlineLevel="0" collapsed="false">
      <c r="A448" s="2" t="n">
        <v>78</v>
      </c>
      <c r="B448" s="2" t="s">
        <v>821</v>
      </c>
      <c r="C448" s="2" t="s">
        <v>826</v>
      </c>
      <c r="D448" s="2" t="s">
        <v>5033</v>
      </c>
      <c r="E448" s="2" t="s">
        <v>3919</v>
      </c>
      <c r="F448" s="2" t="s">
        <v>5034</v>
      </c>
      <c r="G448" s="2"/>
      <c r="H448" s="2" t="s">
        <v>5035</v>
      </c>
    </row>
    <row r="449" customFormat="false" ht="15" hidden="false" customHeight="false" outlineLevel="0" collapsed="false">
      <c r="A449" s="2" t="n">
        <v>78</v>
      </c>
      <c r="B449" s="2" t="s">
        <v>821</v>
      </c>
      <c r="C449" s="2" t="s">
        <v>826</v>
      </c>
      <c r="D449" s="2" t="s">
        <v>5036</v>
      </c>
      <c r="E449" s="2" t="s">
        <v>3919</v>
      </c>
      <c r="F449" s="2" t="s">
        <v>5037</v>
      </c>
      <c r="G449" s="2"/>
      <c r="H449" s="2" t="s">
        <v>5038</v>
      </c>
    </row>
    <row r="450" customFormat="false" ht="15" hidden="false" customHeight="false" outlineLevel="0" collapsed="false">
      <c r="A450" s="2" t="n">
        <v>80</v>
      </c>
      <c r="B450" s="2" t="s">
        <v>838</v>
      </c>
      <c r="C450" s="2" t="s">
        <v>843</v>
      </c>
      <c r="D450" s="2" t="s">
        <v>5039</v>
      </c>
      <c r="E450" s="2" t="s">
        <v>3919</v>
      </c>
      <c r="F450" s="2" t="s">
        <v>5040</v>
      </c>
      <c r="G450" s="2" t="s">
        <v>5041</v>
      </c>
      <c r="H450" s="2" t="s">
        <v>5042</v>
      </c>
    </row>
    <row r="451" customFormat="false" ht="15" hidden="false" customHeight="false" outlineLevel="0" collapsed="false">
      <c r="A451" s="2" t="n">
        <v>80</v>
      </c>
      <c r="B451" s="2" t="s">
        <v>838</v>
      </c>
      <c r="C451" s="2" t="s">
        <v>843</v>
      </c>
      <c r="D451" s="2" t="s">
        <v>5043</v>
      </c>
      <c r="E451" s="2" t="s">
        <v>3919</v>
      </c>
      <c r="F451" s="2" t="s">
        <v>5044</v>
      </c>
      <c r="G451" s="2" t="s">
        <v>5041</v>
      </c>
      <c r="H451" s="2" t="s">
        <v>5045</v>
      </c>
    </row>
    <row r="452" customFormat="false" ht="15" hidden="false" customHeight="false" outlineLevel="0" collapsed="false">
      <c r="A452" s="2" t="n">
        <v>80</v>
      </c>
      <c r="B452" s="2" t="s">
        <v>838</v>
      </c>
      <c r="C452" s="2" t="s">
        <v>843</v>
      </c>
      <c r="D452" s="2" t="s">
        <v>5046</v>
      </c>
      <c r="E452" s="2" t="s">
        <v>3919</v>
      </c>
      <c r="F452" s="2" t="s">
        <v>5047</v>
      </c>
      <c r="G452" s="2"/>
      <c r="H452" s="2" t="s">
        <v>5048</v>
      </c>
    </row>
    <row r="453" customFormat="false" ht="15" hidden="false" customHeight="false" outlineLevel="0" collapsed="false">
      <c r="A453" s="2" t="n">
        <v>80</v>
      </c>
      <c r="B453" s="2" t="s">
        <v>838</v>
      </c>
      <c r="C453" s="2" t="s">
        <v>843</v>
      </c>
      <c r="D453" s="2" t="s">
        <v>5049</v>
      </c>
      <c r="E453" s="2" t="s">
        <v>3919</v>
      </c>
      <c r="F453" s="2" t="s">
        <v>4027</v>
      </c>
      <c r="G453" s="2"/>
      <c r="H453" s="2" t="s">
        <v>5050</v>
      </c>
    </row>
    <row r="454" customFormat="false" ht="15" hidden="false" customHeight="false" outlineLevel="0" collapsed="false">
      <c r="A454" s="2" t="n">
        <v>81</v>
      </c>
      <c r="B454" s="2" t="s">
        <v>847</v>
      </c>
      <c r="C454" s="2" t="s">
        <v>853</v>
      </c>
      <c r="D454" s="2" t="s">
        <v>5051</v>
      </c>
      <c r="E454" s="2" t="s">
        <v>3919</v>
      </c>
      <c r="F454" s="2" t="s">
        <v>5052</v>
      </c>
      <c r="G454" s="2"/>
      <c r="H454" s="2" t="s">
        <v>5053</v>
      </c>
    </row>
    <row r="455" customFormat="false" ht="15" hidden="false" customHeight="false" outlineLevel="0" collapsed="false">
      <c r="A455" s="2" t="n">
        <v>81</v>
      </c>
      <c r="B455" s="2" t="s">
        <v>847</v>
      </c>
      <c r="C455" s="2" t="s">
        <v>853</v>
      </c>
      <c r="D455" s="2" t="s">
        <v>5054</v>
      </c>
      <c r="E455" s="2" t="s">
        <v>3919</v>
      </c>
      <c r="F455" s="2" t="s">
        <v>4984</v>
      </c>
      <c r="G455" s="2"/>
      <c r="H455" s="2" t="s">
        <v>5055</v>
      </c>
    </row>
    <row r="456" customFormat="false" ht="15" hidden="false" customHeight="false" outlineLevel="0" collapsed="false">
      <c r="A456" s="2" t="n">
        <v>81</v>
      </c>
      <c r="B456" s="2" t="s">
        <v>847</v>
      </c>
      <c r="C456" s="2" t="s">
        <v>853</v>
      </c>
      <c r="D456" s="2" t="s">
        <v>5056</v>
      </c>
      <c r="E456" s="2" t="s">
        <v>3919</v>
      </c>
      <c r="F456" s="2" t="s">
        <v>5057</v>
      </c>
      <c r="G456" s="2"/>
      <c r="H456" s="2" t="s">
        <v>5058</v>
      </c>
    </row>
    <row r="457" customFormat="false" ht="15" hidden="false" customHeight="false" outlineLevel="0" collapsed="false">
      <c r="A457" s="2" t="n">
        <v>83</v>
      </c>
      <c r="B457" s="2" t="s">
        <v>862</v>
      </c>
      <c r="C457" s="2" t="s">
        <v>867</v>
      </c>
      <c r="D457" s="2" t="s">
        <v>853</v>
      </c>
      <c r="E457" s="2" t="s">
        <v>3915</v>
      </c>
      <c r="F457" s="2" t="s">
        <v>850</v>
      </c>
      <c r="G457" s="2" t="s">
        <v>5059</v>
      </c>
      <c r="H457" s="2" t="s">
        <v>854</v>
      </c>
    </row>
    <row r="458" customFormat="false" ht="15" hidden="false" customHeight="false" outlineLevel="0" collapsed="false">
      <c r="A458" s="2" t="n">
        <v>83</v>
      </c>
      <c r="B458" s="2" t="s">
        <v>862</v>
      </c>
      <c r="C458" s="2" t="s">
        <v>867</v>
      </c>
      <c r="D458" s="2" t="s">
        <v>5060</v>
      </c>
      <c r="E458" s="2" t="s">
        <v>3919</v>
      </c>
      <c r="F458" s="2" t="s">
        <v>5061</v>
      </c>
      <c r="G458" s="2" t="s">
        <v>5062</v>
      </c>
      <c r="H458" s="2" t="s">
        <v>5063</v>
      </c>
    </row>
    <row r="459" customFormat="false" ht="15" hidden="false" customHeight="false" outlineLevel="0" collapsed="false">
      <c r="A459" s="2" t="n">
        <v>83</v>
      </c>
      <c r="B459" s="2" t="s">
        <v>862</v>
      </c>
      <c r="C459" s="2" t="s">
        <v>867</v>
      </c>
      <c r="D459" s="2" t="s">
        <v>5064</v>
      </c>
      <c r="E459" s="2" t="s">
        <v>3919</v>
      </c>
      <c r="F459" s="2" t="s">
        <v>5065</v>
      </c>
      <c r="G459" s="2" t="s">
        <v>5066</v>
      </c>
      <c r="H459" s="2" t="s">
        <v>5067</v>
      </c>
    </row>
    <row r="460" customFormat="false" ht="15" hidden="false" customHeight="false" outlineLevel="0" collapsed="false">
      <c r="A460" s="2" t="n">
        <v>83</v>
      </c>
      <c r="B460" s="2" t="s">
        <v>862</v>
      </c>
      <c r="C460" s="2" t="s">
        <v>867</v>
      </c>
      <c r="D460" s="2" t="s">
        <v>5068</v>
      </c>
      <c r="E460" s="2" t="s">
        <v>3919</v>
      </c>
      <c r="F460" s="2" t="s">
        <v>5069</v>
      </c>
      <c r="G460" s="2"/>
      <c r="H460" s="2" t="s">
        <v>5070</v>
      </c>
    </row>
    <row r="461" customFormat="false" ht="15" hidden="false" customHeight="false" outlineLevel="0" collapsed="false">
      <c r="A461" s="2" t="n">
        <v>83</v>
      </c>
      <c r="B461" s="2" t="s">
        <v>862</v>
      </c>
      <c r="C461" s="2" t="s">
        <v>867</v>
      </c>
      <c r="D461" s="2" t="s">
        <v>5071</v>
      </c>
      <c r="E461" s="2" t="s">
        <v>3919</v>
      </c>
      <c r="F461" s="2" t="s">
        <v>3720</v>
      </c>
      <c r="G461" s="2" t="s">
        <v>5066</v>
      </c>
      <c r="H461" s="2" t="s">
        <v>5072</v>
      </c>
    </row>
    <row r="462" customFormat="false" ht="15" hidden="false" customHeight="false" outlineLevel="0" collapsed="false">
      <c r="A462" s="2" t="n">
        <v>83</v>
      </c>
      <c r="B462" s="2" t="s">
        <v>862</v>
      </c>
      <c r="C462" s="2" t="s">
        <v>867</v>
      </c>
      <c r="D462" s="2" t="s">
        <v>5073</v>
      </c>
      <c r="E462" s="2" t="s">
        <v>3919</v>
      </c>
      <c r="F462" s="2" t="s">
        <v>5074</v>
      </c>
      <c r="G462" s="2"/>
      <c r="H462" s="2" t="s">
        <v>5075</v>
      </c>
    </row>
    <row r="463" customFormat="false" ht="15" hidden="false" customHeight="false" outlineLevel="0" collapsed="false">
      <c r="A463" s="2" t="n">
        <v>83</v>
      </c>
      <c r="B463" s="2" t="s">
        <v>862</v>
      </c>
      <c r="C463" s="2" t="s">
        <v>867</v>
      </c>
      <c r="D463" s="2" t="s">
        <v>5076</v>
      </c>
      <c r="E463" s="2" t="s">
        <v>3919</v>
      </c>
      <c r="F463" s="2" t="s">
        <v>5077</v>
      </c>
      <c r="G463" s="2"/>
      <c r="H463" s="2" t="s">
        <v>5078</v>
      </c>
    </row>
    <row r="464" customFormat="false" ht="15" hidden="false" customHeight="false" outlineLevel="0" collapsed="false">
      <c r="A464" s="2" t="n">
        <v>83</v>
      </c>
      <c r="B464" s="2" t="s">
        <v>862</v>
      </c>
      <c r="C464" s="2" t="s">
        <v>867</v>
      </c>
      <c r="D464" s="2" t="s">
        <v>5079</v>
      </c>
      <c r="E464" s="2" t="s">
        <v>3919</v>
      </c>
      <c r="F464" s="2" t="s">
        <v>5080</v>
      </c>
      <c r="G464" s="2"/>
      <c r="H464" s="2" t="s">
        <v>5081</v>
      </c>
    </row>
    <row r="465" customFormat="false" ht="15" hidden="false" customHeight="false" outlineLevel="0" collapsed="false">
      <c r="A465" s="2" t="n">
        <v>83</v>
      </c>
      <c r="B465" s="2" t="s">
        <v>862</v>
      </c>
      <c r="C465" s="2" t="s">
        <v>867</v>
      </c>
      <c r="D465" s="2" t="s">
        <v>5082</v>
      </c>
      <c r="E465" s="2" t="s">
        <v>3919</v>
      </c>
      <c r="F465" s="2" t="s">
        <v>5083</v>
      </c>
      <c r="G465" s="2"/>
      <c r="H465" s="2" t="s">
        <v>5084</v>
      </c>
    </row>
    <row r="466" customFormat="false" ht="15" hidden="false" customHeight="false" outlineLevel="0" collapsed="false">
      <c r="A466" s="2" t="n">
        <v>84</v>
      </c>
      <c r="B466" s="2" t="s">
        <v>871</v>
      </c>
      <c r="C466" s="2" t="s">
        <v>876</v>
      </c>
      <c r="D466" s="2" t="s">
        <v>5085</v>
      </c>
      <c r="E466" s="2" t="s">
        <v>3919</v>
      </c>
      <c r="F466" s="2" t="s">
        <v>5086</v>
      </c>
      <c r="G466" s="2"/>
      <c r="H466" s="2" t="s">
        <v>5087</v>
      </c>
    </row>
    <row r="467" customFormat="false" ht="15" hidden="false" customHeight="false" outlineLevel="0" collapsed="false">
      <c r="A467" s="2" t="n">
        <v>84</v>
      </c>
      <c r="B467" s="2" t="s">
        <v>871</v>
      </c>
      <c r="C467" s="2" t="s">
        <v>876</v>
      </c>
      <c r="D467" s="2" t="s">
        <v>5088</v>
      </c>
      <c r="E467" s="2" t="s">
        <v>3919</v>
      </c>
      <c r="F467" s="2" t="s">
        <v>2908</v>
      </c>
      <c r="G467" s="2"/>
      <c r="H467" s="2" t="s">
        <v>5089</v>
      </c>
    </row>
    <row r="468" customFormat="false" ht="15" hidden="false" customHeight="false" outlineLevel="0" collapsed="false">
      <c r="A468" s="2" t="n">
        <v>84</v>
      </c>
      <c r="B468" s="2" t="s">
        <v>871</v>
      </c>
      <c r="C468" s="2" t="s">
        <v>876</v>
      </c>
      <c r="D468" s="2" t="s">
        <v>5090</v>
      </c>
      <c r="E468" s="2" t="s">
        <v>3919</v>
      </c>
      <c r="F468" s="2" t="s">
        <v>969</v>
      </c>
      <c r="G468" s="2"/>
      <c r="H468" s="2" t="s">
        <v>5091</v>
      </c>
    </row>
    <row r="469" customFormat="false" ht="15" hidden="false" customHeight="false" outlineLevel="0" collapsed="false">
      <c r="A469" s="2" t="n">
        <v>84</v>
      </c>
      <c r="B469" s="2" t="s">
        <v>871</v>
      </c>
      <c r="C469" s="2" t="s">
        <v>876</v>
      </c>
      <c r="D469" s="2" t="s">
        <v>5092</v>
      </c>
      <c r="E469" s="2" t="s">
        <v>3919</v>
      </c>
      <c r="F469" s="2" t="s">
        <v>5028</v>
      </c>
      <c r="G469" s="2"/>
      <c r="H469" s="2" t="s">
        <v>5093</v>
      </c>
    </row>
    <row r="470" customFormat="false" ht="15" hidden="false" customHeight="false" outlineLevel="0" collapsed="false">
      <c r="A470" s="2" t="n">
        <v>85</v>
      </c>
      <c r="B470" s="2" t="s">
        <v>880</v>
      </c>
      <c r="C470" s="2" t="s">
        <v>885</v>
      </c>
      <c r="D470" s="2" t="s">
        <v>5094</v>
      </c>
      <c r="E470" s="2" t="s">
        <v>3919</v>
      </c>
      <c r="F470" s="2" t="s">
        <v>4014</v>
      </c>
      <c r="G470" s="2"/>
      <c r="H470" s="2" t="s">
        <v>5095</v>
      </c>
    </row>
    <row r="471" customFormat="false" ht="15" hidden="false" customHeight="false" outlineLevel="0" collapsed="false">
      <c r="A471" s="2" t="n">
        <v>85</v>
      </c>
      <c r="B471" s="2" t="s">
        <v>880</v>
      </c>
      <c r="C471" s="2" t="s">
        <v>885</v>
      </c>
      <c r="D471" s="2" t="s">
        <v>5096</v>
      </c>
      <c r="E471" s="2" t="s">
        <v>3919</v>
      </c>
      <c r="F471" s="2" t="s">
        <v>5052</v>
      </c>
      <c r="G471" s="2"/>
      <c r="H471" s="2" t="s">
        <v>5097</v>
      </c>
    </row>
    <row r="472" customFormat="false" ht="15" hidden="false" customHeight="false" outlineLevel="0" collapsed="false">
      <c r="A472" s="2" t="n">
        <v>86</v>
      </c>
      <c r="B472" s="2" t="s">
        <v>889</v>
      </c>
      <c r="C472" s="2" t="s">
        <v>894</v>
      </c>
      <c r="D472" s="2" t="s">
        <v>5098</v>
      </c>
      <c r="E472" s="2" t="s">
        <v>3919</v>
      </c>
      <c r="F472" s="2" t="s">
        <v>5099</v>
      </c>
      <c r="G472" s="2" t="s">
        <v>5100</v>
      </c>
      <c r="H472" s="2" t="s">
        <v>5101</v>
      </c>
    </row>
    <row r="473" customFormat="false" ht="15" hidden="false" customHeight="false" outlineLevel="0" collapsed="false">
      <c r="A473" s="2" t="n">
        <v>86</v>
      </c>
      <c r="B473" s="2" t="s">
        <v>889</v>
      </c>
      <c r="C473" s="2" t="s">
        <v>894</v>
      </c>
      <c r="D473" s="2" t="s">
        <v>5102</v>
      </c>
      <c r="E473" s="2" t="s">
        <v>3919</v>
      </c>
      <c r="F473" s="2" t="s">
        <v>5103</v>
      </c>
      <c r="G473" s="2"/>
      <c r="H473" s="2" t="s">
        <v>5104</v>
      </c>
    </row>
    <row r="474" customFormat="false" ht="15" hidden="false" customHeight="false" outlineLevel="0" collapsed="false">
      <c r="A474" s="2" t="n">
        <v>87</v>
      </c>
      <c r="B474" s="2" t="s">
        <v>898</v>
      </c>
      <c r="C474" s="2" t="s">
        <v>5105</v>
      </c>
      <c r="D474" s="2" t="s">
        <v>5106</v>
      </c>
      <c r="E474" s="2" t="s">
        <v>3919</v>
      </c>
      <c r="F474" s="2" t="s">
        <v>2987</v>
      </c>
      <c r="G474" s="2"/>
      <c r="H474" s="2" t="s">
        <v>5107</v>
      </c>
    </row>
    <row r="475" customFormat="false" ht="15" hidden="false" customHeight="false" outlineLevel="0" collapsed="false">
      <c r="A475" s="2" t="n">
        <v>87</v>
      </c>
      <c r="B475" s="2" t="s">
        <v>898</v>
      </c>
      <c r="C475" s="2" t="s">
        <v>5108</v>
      </c>
      <c r="D475" s="2" t="s">
        <v>5109</v>
      </c>
      <c r="E475" s="2" t="s">
        <v>3919</v>
      </c>
      <c r="F475" s="2" t="s">
        <v>5110</v>
      </c>
      <c r="G475" s="2"/>
      <c r="H475" s="2" t="s">
        <v>5111</v>
      </c>
    </row>
    <row r="476" customFormat="false" ht="15" hidden="false" customHeight="false" outlineLevel="0" collapsed="false">
      <c r="A476" s="2" t="n">
        <v>89</v>
      </c>
      <c r="B476" s="2" t="s">
        <v>914</v>
      </c>
      <c r="C476" s="2" t="s">
        <v>917</v>
      </c>
      <c r="D476" s="2" t="s">
        <v>5112</v>
      </c>
      <c r="E476" s="2" t="s">
        <v>3919</v>
      </c>
      <c r="F476" s="2" t="s">
        <v>4734</v>
      </c>
      <c r="G476" s="2"/>
      <c r="H476" s="2" t="s">
        <v>5113</v>
      </c>
    </row>
    <row r="477" customFormat="false" ht="15" hidden="false" customHeight="false" outlineLevel="0" collapsed="false">
      <c r="A477" s="2" t="n">
        <v>89</v>
      </c>
      <c r="B477" s="2" t="s">
        <v>914</v>
      </c>
      <c r="C477" s="2" t="s">
        <v>917</v>
      </c>
      <c r="D477" s="2" t="s">
        <v>5114</v>
      </c>
      <c r="E477" s="2" t="s">
        <v>3919</v>
      </c>
      <c r="F477" s="2" t="s">
        <v>5115</v>
      </c>
      <c r="G477" s="2"/>
      <c r="H477" s="2" t="s">
        <v>5116</v>
      </c>
    </row>
    <row r="478" customFormat="false" ht="15" hidden="false" customHeight="false" outlineLevel="0" collapsed="false">
      <c r="A478" s="2" t="n">
        <v>90</v>
      </c>
      <c r="B478" s="2" t="s">
        <v>921</v>
      </c>
      <c r="C478" s="2" t="s">
        <v>925</v>
      </c>
      <c r="D478" s="2" t="s">
        <v>5117</v>
      </c>
      <c r="E478" s="2" t="s">
        <v>3919</v>
      </c>
      <c r="F478" s="2" t="s">
        <v>5118</v>
      </c>
      <c r="G478" s="2"/>
      <c r="H478" s="2" t="s">
        <v>5119</v>
      </c>
    </row>
    <row r="479" customFormat="false" ht="15" hidden="false" customHeight="false" outlineLevel="0" collapsed="false">
      <c r="A479" s="2" t="n">
        <v>91</v>
      </c>
      <c r="B479" s="2" t="s">
        <v>930</v>
      </c>
      <c r="C479" s="2" t="s">
        <v>935</v>
      </c>
      <c r="D479" s="2" t="s">
        <v>5120</v>
      </c>
      <c r="E479" s="2" t="s">
        <v>3919</v>
      </c>
      <c r="F479" s="2" t="s">
        <v>817</v>
      </c>
      <c r="G479" s="2" t="s">
        <v>5121</v>
      </c>
      <c r="H479" s="2" t="s">
        <v>5122</v>
      </c>
    </row>
    <row r="480" customFormat="false" ht="15" hidden="false" customHeight="false" outlineLevel="0" collapsed="false">
      <c r="A480" s="2" t="n">
        <v>91</v>
      </c>
      <c r="B480" s="2" t="s">
        <v>930</v>
      </c>
      <c r="C480" s="2" t="s">
        <v>935</v>
      </c>
      <c r="D480" s="2" t="s">
        <v>5123</v>
      </c>
      <c r="E480" s="2" t="s">
        <v>3919</v>
      </c>
      <c r="F480" s="2" t="s">
        <v>5124</v>
      </c>
      <c r="G480" s="2"/>
      <c r="H480" s="2" t="s">
        <v>5125</v>
      </c>
    </row>
    <row r="481" customFormat="false" ht="15" hidden="false" customHeight="false" outlineLevel="0" collapsed="false">
      <c r="A481" s="2" t="n">
        <v>91</v>
      </c>
      <c r="B481" s="2" t="s">
        <v>930</v>
      </c>
      <c r="C481" s="2" t="s">
        <v>935</v>
      </c>
      <c r="D481" s="2" t="s">
        <v>5126</v>
      </c>
      <c r="E481" s="2" t="s">
        <v>3919</v>
      </c>
      <c r="F481" s="2" t="s">
        <v>4032</v>
      </c>
      <c r="G481" s="2"/>
      <c r="H481" s="2" t="s">
        <v>5127</v>
      </c>
    </row>
    <row r="482" customFormat="false" ht="15" hidden="false" customHeight="false" outlineLevel="0" collapsed="false">
      <c r="A482" s="2" t="n">
        <v>92</v>
      </c>
      <c r="B482" s="2" t="s">
        <v>939</v>
      </c>
      <c r="C482" s="2" t="s">
        <v>944</v>
      </c>
      <c r="D482" s="2" t="s">
        <v>5128</v>
      </c>
      <c r="E482" s="2" t="s">
        <v>3919</v>
      </c>
      <c r="F482" s="2" t="s">
        <v>5129</v>
      </c>
      <c r="G482" s="2" t="s">
        <v>5130</v>
      </c>
      <c r="H482" s="2" t="s">
        <v>5131</v>
      </c>
    </row>
    <row r="483" customFormat="false" ht="15" hidden="false" customHeight="false" outlineLevel="0" collapsed="false">
      <c r="A483" s="2" t="n">
        <v>92</v>
      </c>
      <c r="B483" s="2" t="s">
        <v>939</v>
      </c>
      <c r="C483" s="2" t="s">
        <v>944</v>
      </c>
      <c r="D483" s="2" t="s">
        <v>5132</v>
      </c>
      <c r="E483" s="2" t="s">
        <v>3919</v>
      </c>
      <c r="F483" s="2" t="s">
        <v>2721</v>
      </c>
      <c r="G483" s="2" t="s">
        <v>5130</v>
      </c>
      <c r="H483" s="2" t="s">
        <v>5133</v>
      </c>
    </row>
    <row r="484" customFormat="false" ht="15" hidden="false" customHeight="false" outlineLevel="0" collapsed="false">
      <c r="A484" s="2" t="n">
        <v>92</v>
      </c>
      <c r="B484" s="2" t="s">
        <v>939</v>
      </c>
      <c r="C484" s="2" t="s">
        <v>944</v>
      </c>
      <c r="D484" s="2" t="s">
        <v>5134</v>
      </c>
      <c r="E484" s="2" t="s">
        <v>3919</v>
      </c>
      <c r="F484" s="2" t="s">
        <v>5135</v>
      </c>
      <c r="G484" s="2"/>
      <c r="H484" s="2" t="s">
        <v>5136</v>
      </c>
    </row>
    <row r="485" customFormat="false" ht="15" hidden="false" customHeight="false" outlineLevel="0" collapsed="false">
      <c r="A485" s="2" t="n">
        <v>92</v>
      </c>
      <c r="B485" s="2" t="s">
        <v>939</v>
      </c>
      <c r="C485" s="2" t="s">
        <v>944</v>
      </c>
      <c r="D485" s="2" t="s">
        <v>5137</v>
      </c>
      <c r="E485" s="2" t="s">
        <v>3919</v>
      </c>
      <c r="F485" s="2" t="s">
        <v>5138</v>
      </c>
      <c r="G485" s="2"/>
      <c r="H485" s="2" t="s">
        <v>5139</v>
      </c>
    </row>
    <row r="486" customFormat="false" ht="15" hidden="false" customHeight="false" outlineLevel="0" collapsed="false">
      <c r="A486" s="2" t="n">
        <v>92</v>
      </c>
      <c r="B486" s="2" t="s">
        <v>939</v>
      </c>
      <c r="C486" s="2" t="s">
        <v>944</v>
      </c>
      <c r="D486" s="2" t="s">
        <v>5140</v>
      </c>
      <c r="E486" s="2" t="s">
        <v>3919</v>
      </c>
      <c r="F486" s="2" t="s">
        <v>3070</v>
      </c>
      <c r="G486" s="2"/>
      <c r="H486" s="2" t="s">
        <v>5141</v>
      </c>
    </row>
    <row r="487" customFormat="false" ht="15" hidden="false" customHeight="false" outlineLevel="0" collapsed="false">
      <c r="A487" s="2" t="n">
        <v>93</v>
      </c>
      <c r="B487" s="2" t="s">
        <v>948</v>
      </c>
      <c r="C487" s="2" t="s">
        <v>951</v>
      </c>
      <c r="D487" s="2" t="s">
        <v>3098</v>
      </c>
      <c r="E487" s="2" t="s">
        <v>3915</v>
      </c>
      <c r="F487" s="2" t="s">
        <v>954</v>
      </c>
      <c r="G487" s="2" t="s">
        <v>3099</v>
      </c>
      <c r="H487" s="2" t="s">
        <v>3100</v>
      </c>
    </row>
    <row r="488" customFormat="false" ht="15" hidden="false" customHeight="false" outlineLevel="0" collapsed="false">
      <c r="A488" s="2" t="n">
        <v>93</v>
      </c>
      <c r="B488" s="2" t="s">
        <v>948</v>
      </c>
      <c r="C488" s="2" t="s">
        <v>951</v>
      </c>
      <c r="D488" s="2" t="s">
        <v>5142</v>
      </c>
      <c r="E488" s="2" t="s">
        <v>3919</v>
      </c>
      <c r="F488" s="2" t="s">
        <v>4314</v>
      </c>
      <c r="G488" s="2" t="s">
        <v>5143</v>
      </c>
      <c r="H488" s="2" t="s">
        <v>5144</v>
      </c>
    </row>
    <row r="489" customFormat="false" ht="15" hidden="false" customHeight="false" outlineLevel="0" collapsed="false">
      <c r="A489" s="2" t="n">
        <v>93</v>
      </c>
      <c r="B489" s="2" t="s">
        <v>948</v>
      </c>
      <c r="C489" s="2" t="s">
        <v>951</v>
      </c>
      <c r="D489" s="2" t="s">
        <v>5145</v>
      </c>
      <c r="E489" s="2" t="s">
        <v>3919</v>
      </c>
      <c r="F489" s="2" t="s">
        <v>2378</v>
      </c>
      <c r="G489" s="2"/>
      <c r="H489" s="2" t="s">
        <v>5146</v>
      </c>
    </row>
    <row r="490" customFormat="false" ht="15" hidden="false" customHeight="false" outlineLevel="0" collapsed="false">
      <c r="A490" s="2" t="n">
        <v>93</v>
      </c>
      <c r="B490" s="2" t="s">
        <v>948</v>
      </c>
      <c r="C490" s="2" t="s">
        <v>951</v>
      </c>
      <c r="D490" s="2" t="s">
        <v>5147</v>
      </c>
      <c r="E490" s="2" t="s">
        <v>3919</v>
      </c>
      <c r="F490" s="2" t="s">
        <v>5148</v>
      </c>
      <c r="G490" s="2"/>
      <c r="H490" s="2" t="s">
        <v>5149</v>
      </c>
    </row>
    <row r="491" customFormat="false" ht="15" hidden="false" customHeight="false" outlineLevel="0" collapsed="false">
      <c r="A491" s="2" t="n">
        <v>93</v>
      </c>
      <c r="B491" s="2" t="s">
        <v>948</v>
      </c>
      <c r="C491" s="2" t="s">
        <v>951</v>
      </c>
      <c r="D491" s="2" t="s">
        <v>5150</v>
      </c>
      <c r="E491" s="2" t="s">
        <v>3919</v>
      </c>
      <c r="F491" s="2" t="s">
        <v>3801</v>
      </c>
      <c r="G491" s="2"/>
      <c r="H491" s="2" t="s">
        <v>5151</v>
      </c>
    </row>
    <row r="492" customFormat="false" ht="15" hidden="false" customHeight="false" outlineLevel="0" collapsed="false">
      <c r="A492" s="2" t="n">
        <v>94</v>
      </c>
      <c r="B492" s="2" t="s">
        <v>956</v>
      </c>
      <c r="C492" s="2" t="s">
        <v>961</v>
      </c>
      <c r="D492" s="2" t="s">
        <v>3117</v>
      </c>
      <c r="E492" s="2" t="s">
        <v>3915</v>
      </c>
      <c r="F492" s="2" t="s">
        <v>964</v>
      </c>
      <c r="G492" s="2" t="s">
        <v>3119</v>
      </c>
      <c r="H492" s="2" t="s">
        <v>3120</v>
      </c>
    </row>
    <row r="493" customFormat="false" ht="15" hidden="false" customHeight="false" outlineLevel="0" collapsed="false">
      <c r="A493" s="2" t="n">
        <v>94</v>
      </c>
      <c r="B493" s="2" t="s">
        <v>956</v>
      </c>
      <c r="C493" s="2" t="s">
        <v>961</v>
      </c>
      <c r="D493" s="2" t="s">
        <v>5152</v>
      </c>
      <c r="E493" s="2" t="s">
        <v>3919</v>
      </c>
      <c r="F493" s="2" t="s">
        <v>4627</v>
      </c>
      <c r="G493" s="2" t="s">
        <v>5153</v>
      </c>
      <c r="H493" s="2" t="s">
        <v>5154</v>
      </c>
    </row>
    <row r="494" customFormat="false" ht="15" hidden="false" customHeight="false" outlineLevel="0" collapsed="false">
      <c r="A494" s="2" t="n">
        <v>94</v>
      </c>
      <c r="B494" s="2" t="s">
        <v>956</v>
      </c>
      <c r="C494" s="2" t="s">
        <v>961</v>
      </c>
      <c r="D494" s="2" t="s">
        <v>5155</v>
      </c>
      <c r="E494" s="2" t="s">
        <v>3919</v>
      </c>
      <c r="F494" s="2" t="s">
        <v>5156</v>
      </c>
      <c r="G494" s="2"/>
      <c r="H494" s="2" t="s">
        <v>5157</v>
      </c>
    </row>
    <row r="495" customFormat="false" ht="15" hidden="false" customHeight="false" outlineLevel="0" collapsed="false">
      <c r="A495" s="2" t="n">
        <v>94</v>
      </c>
      <c r="B495" s="2" t="s">
        <v>956</v>
      </c>
      <c r="C495" s="2" t="s">
        <v>961</v>
      </c>
      <c r="D495" s="2" t="s">
        <v>5158</v>
      </c>
      <c r="E495" s="2" t="s">
        <v>3919</v>
      </c>
      <c r="F495" s="2" t="s">
        <v>5159</v>
      </c>
      <c r="G495" s="2" t="s">
        <v>5153</v>
      </c>
      <c r="H495" s="2" t="s">
        <v>5160</v>
      </c>
    </row>
    <row r="496" customFormat="false" ht="15" hidden="false" customHeight="false" outlineLevel="0" collapsed="false">
      <c r="A496" s="2" t="n">
        <v>95</v>
      </c>
      <c r="B496" s="2" t="s">
        <v>966</v>
      </c>
      <c r="C496" s="2" t="s">
        <v>971</v>
      </c>
      <c r="D496" s="2" t="s">
        <v>5161</v>
      </c>
      <c r="E496" s="2" t="s">
        <v>3919</v>
      </c>
      <c r="F496" s="2" t="s">
        <v>5124</v>
      </c>
      <c r="G496" s="2" t="s">
        <v>5162</v>
      </c>
      <c r="H496" s="2" t="s">
        <v>5163</v>
      </c>
    </row>
    <row r="497" customFormat="false" ht="15" hidden="false" customHeight="false" outlineLevel="0" collapsed="false">
      <c r="A497" s="2" t="n">
        <v>95</v>
      </c>
      <c r="B497" s="2" t="s">
        <v>966</v>
      </c>
      <c r="C497" s="2" t="s">
        <v>971</v>
      </c>
      <c r="D497" s="2" t="s">
        <v>5164</v>
      </c>
      <c r="E497" s="2" t="s">
        <v>3919</v>
      </c>
      <c r="F497" s="2" t="s">
        <v>5165</v>
      </c>
      <c r="G497" s="2"/>
      <c r="H497" s="2" t="s">
        <v>5166</v>
      </c>
    </row>
    <row r="498" customFormat="false" ht="15" hidden="false" customHeight="false" outlineLevel="0" collapsed="false">
      <c r="A498" s="2" t="n">
        <v>95</v>
      </c>
      <c r="B498" s="2" t="s">
        <v>966</v>
      </c>
      <c r="C498" s="2" t="s">
        <v>971</v>
      </c>
      <c r="D498" s="2" t="s">
        <v>5167</v>
      </c>
      <c r="E498" s="2" t="s">
        <v>3919</v>
      </c>
      <c r="F498" s="2" t="s">
        <v>4931</v>
      </c>
      <c r="G498" s="2" t="s">
        <v>5162</v>
      </c>
      <c r="H498" s="2" t="s">
        <v>5168</v>
      </c>
    </row>
    <row r="499" customFormat="false" ht="15" hidden="false" customHeight="false" outlineLevel="0" collapsed="false">
      <c r="A499" s="2" t="n">
        <v>97</v>
      </c>
      <c r="B499" s="2" t="s">
        <v>984</v>
      </c>
      <c r="C499" s="2" t="s">
        <v>988</v>
      </c>
      <c r="D499" s="2" t="s">
        <v>4726</v>
      </c>
      <c r="E499" s="2" t="s">
        <v>3915</v>
      </c>
      <c r="F499" s="2" t="s">
        <v>529</v>
      </c>
      <c r="G499" s="2" t="s">
        <v>4727</v>
      </c>
      <c r="H499" s="2" t="s">
        <v>4728</v>
      </c>
    </row>
    <row r="500" customFormat="false" ht="15" hidden="false" customHeight="false" outlineLevel="0" collapsed="false">
      <c r="A500" s="2" t="n">
        <v>97</v>
      </c>
      <c r="B500" s="2" t="s">
        <v>984</v>
      </c>
      <c r="C500" s="2" t="s">
        <v>988</v>
      </c>
      <c r="D500" s="2" t="s">
        <v>5169</v>
      </c>
      <c r="E500" s="2" t="s">
        <v>3919</v>
      </c>
      <c r="F500" s="2" t="s">
        <v>3575</v>
      </c>
      <c r="G500" s="2"/>
      <c r="H500" s="2" t="s">
        <v>5170</v>
      </c>
    </row>
    <row r="501" customFormat="false" ht="15" hidden="false" customHeight="false" outlineLevel="0" collapsed="false">
      <c r="A501" s="2" t="n">
        <v>97</v>
      </c>
      <c r="B501" s="2" t="s">
        <v>984</v>
      </c>
      <c r="C501" s="2" t="s">
        <v>988</v>
      </c>
      <c r="D501" s="2" t="s">
        <v>5171</v>
      </c>
      <c r="E501" s="2" t="s">
        <v>3919</v>
      </c>
      <c r="F501" s="2" t="s">
        <v>5172</v>
      </c>
      <c r="G501" s="2"/>
      <c r="H501" s="2" t="s">
        <v>5173</v>
      </c>
    </row>
    <row r="502" customFormat="false" ht="15" hidden="false" customHeight="false" outlineLevel="0" collapsed="false">
      <c r="A502" s="2" t="n">
        <v>103</v>
      </c>
      <c r="B502" s="2" t="s">
        <v>1022</v>
      </c>
      <c r="C502" s="2" t="s">
        <v>1024</v>
      </c>
      <c r="D502" s="2" t="s">
        <v>5174</v>
      </c>
      <c r="E502" s="2" t="s">
        <v>3919</v>
      </c>
      <c r="F502" s="2" t="s">
        <v>1348</v>
      </c>
      <c r="G502" s="2"/>
      <c r="H502" s="2" t="s">
        <v>5175</v>
      </c>
    </row>
    <row r="503" customFormat="false" ht="15" hidden="false" customHeight="false" outlineLevel="0" collapsed="false">
      <c r="A503" s="2" t="n">
        <v>103</v>
      </c>
      <c r="B503" s="2" t="s">
        <v>1022</v>
      </c>
      <c r="C503" s="2" t="s">
        <v>1024</v>
      </c>
      <c r="D503" s="2" t="s">
        <v>5176</v>
      </c>
      <c r="E503" s="2" t="s">
        <v>3919</v>
      </c>
      <c r="F503" s="2" t="s">
        <v>5177</v>
      </c>
      <c r="G503" s="2"/>
      <c r="H503" s="2" t="s">
        <v>5178</v>
      </c>
    </row>
    <row r="504" customFormat="false" ht="15" hidden="false" customHeight="false" outlineLevel="0" collapsed="false">
      <c r="A504" s="2" t="n">
        <v>108</v>
      </c>
      <c r="B504" s="2" t="s">
        <v>1050</v>
      </c>
      <c r="C504" s="2" t="s">
        <v>1055</v>
      </c>
      <c r="D504" s="2" t="s">
        <v>5179</v>
      </c>
      <c r="E504" s="2" t="s">
        <v>3915</v>
      </c>
      <c r="F504" s="2" t="s">
        <v>1058</v>
      </c>
      <c r="G504" s="2" t="s">
        <v>5180</v>
      </c>
      <c r="H504" s="2" t="s">
        <v>5181</v>
      </c>
    </row>
    <row r="505" customFormat="false" ht="15" hidden="false" customHeight="false" outlineLevel="0" collapsed="false">
      <c r="A505" s="2" t="n">
        <v>108</v>
      </c>
      <c r="B505" s="2" t="s">
        <v>1050</v>
      </c>
      <c r="C505" s="2" t="s">
        <v>1055</v>
      </c>
      <c r="D505" s="2" t="s">
        <v>5182</v>
      </c>
      <c r="E505" s="2" t="s">
        <v>3915</v>
      </c>
      <c r="F505" s="2" t="s">
        <v>5183</v>
      </c>
      <c r="G505" s="2" t="s">
        <v>5184</v>
      </c>
      <c r="H505" s="2" t="s">
        <v>5185</v>
      </c>
    </row>
    <row r="506" customFormat="false" ht="15" hidden="false" customHeight="false" outlineLevel="0" collapsed="false">
      <c r="A506" s="2" t="n">
        <v>108</v>
      </c>
      <c r="B506" s="2" t="s">
        <v>1050</v>
      </c>
      <c r="C506" s="2" t="s">
        <v>1055</v>
      </c>
      <c r="D506" s="2" t="s">
        <v>5186</v>
      </c>
      <c r="E506" s="2" t="s">
        <v>3915</v>
      </c>
      <c r="F506" s="2" t="s">
        <v>1063</v>
      </c>
      <c r="G506" s="2" t="s">
        <v>5187</v>
      </c>
      <c r="H506" s="2" t="s">
        <v>5188</v>
      </c>
    </row>
    <row r="507" customFormat="false" ht="15" hidden="false" customHeight="false" outlineLevel="0" collapsed="false">
      <c r="A507" s="2" t="n">
        <v>108</v>
      </c>
      <c r="B507" s="2" t="s">
        <v>1050</v>
      </c>
      <c r="C507" s="2" t="s">
        <v>1055</v>
      </c>
      <c r="D507" s="2" t="s">
        <v>5189</v>
      </c>
      <c r="E507" s="2" t="s">
        <v>3915</v>
      </c>
      <c r="F507" s="2" t="s">
        <v>1063</v>
      </c>
      <c r="G507" s="2" t="s">
        <v>5190</v>
      </c>
      <c r="H507" s="2" t="s">
        <v>5191</v>
      </c>
    </row>
    <row r="508" customFormat="false" ht="15" hidden="false" customHeight="false" outlineLevel="0" collapsed="false">
      <c r="A508" s="2" t="n">
        <v>108</v>
      </c>
      <c r="B508" s="2" t="s">
        <v>1050</v>
      </c>
      <c r="C508" s="2" t="s">
        <v>1055</v>
      </c>
      <c r="D508" s="2" t="s">
        <v>5192</v>
      </c>
      <c r="E508" s="2" t="s">
        <v>3915</v>
      </c>
      <c r="F508" s="2" t="s">
        <v>1063</v>
      </c>
      <c r="G508" s="2" t="s">
        <v>5193</v>
      </c>
      <c r="H508" s="2" t="s">
        <v>5194</v>
      </c>
    </row>
    <row r="509" customFormat="false" ht="15" hidden="false" customHeight="false" outlineLevel="0" collapsed="false">
      <c r="A509" s="2" t="n">
        <v>108</v>
      </c>
      <c r="B509" s="2" t="s">
        <v>1050</v>
      </c>
      <c r="C509" s="2" t="s">
        <v>1055</v>
      </c>
      <c r="D509" s="2" t="s">
        <v>5195</v>
      </c>
      <c r="E509" s="2" t="s">
        <v>3915</v>
      </c>
      <c r="F509" s="2" t="s">
        <v>1063</v>
      </c>
      <c r="G509" s="2" t="s">
        <v>5196</v>
      </c>
      <c r="H509" s="2" t="s">
        <v>5197</v>
      </c>
    </row>
    <row r="510" customFormat="false" ht="15" hidden="false" customHeight="false" outlineLevel="0" collapsed="false">
      <c r="A510" s="2" t="n">
        <v>108</v>
      </c>
      <c r="B510" s="2" t="s">
        <v>1050</v>
      </c>
      <c r="C510" s="2" t="s">
        <v>1055</v>
      </c>
      <c r="D510" s="2" t="s">
        <v>5198</v>
      </c>
      <c r="E510" s="2" t="s">
        <v>3915</v>
      </c>
      <c r="F510" s="2" t="s">
        <v>1063</v>
      </c>
      <c r="G510" s="2" t="s">
        <v>5199</v>
      </c>
      <c r="H510" s="2" t="s">
        <v>5200</v>
      </c>
    </row>
    <row r="511" customFormat="false" ht="15" hidden="false" customHeight="false" outlineLevel="0" collapsed="false">
      <c r="A511" s="2" t="n">
        <v>108</v>
      </c>
      <c r="B511" s="2" t="s">
        <v>1050</v>
      </c>
      <c r="C511" s="2" t="s">
        <v>1055</v>
      </c>
      <c r="D511" s="2" t="s">
        <v>5201</v>
      </c>
      <c r="E511" s="2" t="s">
        <v>3915</v>
      </c>
      <c r="F511" s="2" t="s">
        <v>1063</v>
      </c>
      <c r="G511" s="2" t="s">
        <v>5202</v>
      </c>
      <c r="H511" s="2" t="s">
        <v>5203</v>
      </c>
    </row>
    <row r="512" customFormat="false" ht="15" hidden="false" customHeight="false" outlineLevel="0" collapsed="false">
      <c r="A512" s="2" t="n">
        <v>108</v>
      </c>
      <c r="B512" s="2" t="s">
        <v>1050</v>
      </c>
      <c r="C512" s="2" t="s">
        <v>1055</v>
      </c>
      <c r="D512" s="2" t="s">
        <v>5204</v>
      </c>
      <c r="E512" s="2" t="s">
        <v>3915</v>
      </c>
      <c r="F512" s="2" t="s">
        <v>5205</v>
      </c>
      <c r="G512" s="2" t="s">
        <v>5206</v>
      </c>
      <c r="H512" s="2" t="s">
        <v>5207</v>
      </c>
    </row>
    <row r="513" customFormat="false" ht="15" hidden="false" customHeight="false" outlineLevel="0" collapsed="false">
      <c r="A513" s="2" t="n">
        <v>108</v>
      </c>
      <c r="B513" s="2" t="s">
        <v>1050</v>
      </c>
      <c r="C513" s="2" t="s">
        <v>1055</v>
      </c>
      <c r="D513" s="2" t="s">
        <v>5208</v>
      </c>
      <c r="E513" s="2" t="s">
        <v>3915</v>
      </c>
      <c r="F513" s="2" t="s">
        <v>5209</v>
      </c>
      <c r="G513" s="2" t="s">
        <v>5210</v>
      </c>
      <c r="H513" s="2" t="s">
        <v>5211</v>
      </c>
    </row>
    <row r="514" customFormat="false" ht="15" hidden="false" customHeight="false" outlineLevel="0" collapsed="false">
      <c r="A514" s="2" t="n">
        <v>108</v>
      </c>
      <c r="B514" s="2" t="s">
        <v>1050</v>
      </c>
      <c r="C514" s="2" t="s">
        <v>1055</v>
      </c>
      <c r="D514" s="2" t="s">
        <v>5212</v>
      </c>
      <c r="E514" s="2" t="s">
        <v>3915</v>
      </c>
      <c r="F514" s="2" t="s">
        <v>313</v>
      </c>
      <c r="G514" s="2" t="s">
        <v>5213</v>
      </c>
      <c r="H514" s="2" t="s">
        <v>5214</v>
      </c>
    </row>
    <row r="515" customFormat="false" ht="15" hidden="false" customHeight="false" outlineLevel="0" collapsed="false">
      <c r="A515" s="2" t="n">
        <v>108</v>
      </c>
      <c r="B515" s="2" t="s">
        <v>1050</v>
      </c>
      <c r="C515" s="2" t="s">
        <v>1055</v>
      </c>
      <c r="D515" s="2" t="s">
        <v>728</v>
      </c>
      <c r="E515" s="2" t="s">
        <v>3915</v>
      </c>
      <c r="F515" s="2" t="s">
        <v>725</v>
      </c>
      <c r="G515" s="2" t="s">
        <v>5215</v>
      </c>
      <c r="H515" s="2" t="s">
        <v>729</v>
      </c>
    </row>
    <row r="516" customFormat="false" ht="15" hidden="false" customHeight="false" outlineLevel="0" collapsed="false">
      <c r="A516" s="2" t="n">
        <v>108</v>
      </c>
      <c r="B516" s="2" t="s">
        <v>1050</v>
      </c>
      <c r="C516" s="2" t="s">
        <v>1055</v>
      </c>
      <c r="D516" s="2" t="s">
        <v>5216</v>
      </c>
      <c r="E516" s="2" t="s">
        <v>3919</v>
      </c>
      <c r="F516" s="2" t="s">
        <v>5217</v>
      </c>
      <c r="G516" s="2"/>
      <c r="H516" s="2" t="s">
        <v>5218</v>
      </c>
    </row>
    <row r="517" customFormat="false" ht="15" hidden="false" customHeight="false" outlineLevel="0" collapsed="false">
      <c r="A517" s="2" t="n">
        <v>109</v>
      </c>
      <c r="B517" s="2" t="s">
        <v>1060</v>
      </c>
      <c r="C517" s="2" t="s">
        <v>1066</v>
      </c>
      <c r="D517" s="2" t="s">
        <v>5219</v>
      </c>
      <c r="E517" s="2" t="s">
        <v>3915</v>
      </c>
      <c r="F517" s="2" t="s">
        <v>1069</v>
      </c>
      <c r="G517" s="2" t="s">
        <v>5220</v>
      </c>
      <c r="H517" s="2" t="s">
        <v>5221</v>
      </c>
    </row>
    <row r="518" customFormat="false" ht="15" hidden="false" customHeight="false" outlineLevel="0" collapsed="false">
      <c r="A518" s="2" t="n">
        <v>109</v>
      </c>
      <c r="B518" s="2" t="s">
        <v>1060</v>
      </c>
      <c r="C518" s="2" t="s">
        <v>1066</v>
      </c>
      <c r="D518" s="2" t="s">
        <v>5222</v>
      </c>
      <c r="E518" s="2" t="s">
        <v>3915</v>
      </c>
      <c r="F518" s="2" t="s">
        <v>711</v>
      </c>
      <c r="G518" s="2" t="s">
        <v>5223</v>
      </c>
      <c r="H518" s="2" t="s">
        <v>5224</v>
      </c>
    </row>
    <row r="519" customFormat="false" ht="15" hidden="false" customHeight="false" outlineLevel="0" collapsed="false">
      <c r="A519" s="2" t="n">
        <v>109</v>
      </c>
      <c r="B519" s="2" t="s">
        <v>1060</v>
      </c>
      <c r="C519" s="2" t="s">
        <v>1066</v>
      </c>
      <c r="D519" s="2" t="s">
        <v>5225</v>
      </c>
      <c r="E519" s="2" t="s">
        <v>3919</v>
      </c>
      <c r="F519" s="2" t="s">
        <v>5226</v>
      </c>
      <c r="G519" s="2"/>
      <c r="H519" s="2" t="s">
        <v>5227</v>
      </c>
    </row>
    <row r="520" customFormat="false" ht="15" hidden="false" customHeight="false" outlineLevel="0" collapsed="false">
      <c r="A520" s="2" t="n">
        <v>109</v>
      </c>
      <c r="B520" s="2" t="s">
        <v>1060</v>
      </c>
      <c r="C520" s="2" t="s">
        <v>1066</v>
      </c>
      <c r="D520" s="2" t="s">
        <v>5228</v>
      </c>
      <c r="E520" s="2" t="s">
        <v>3919</v>
      </c>
      <c r="F520" s="2" t="s">
        <v>5229</v>
      </c>
      <c r="G520" s="2"/>
      <c r="H520" s="2" t="s">
        <v>5230</v>
      </c>
    </row>
    <row r="521" customFormat="false" ht="15" hidden="false" customHeight="false" outlineLevel="0" collapsed="false">
      <c r="A521" s="2" t="n">
        <v>110</v>
      </c>
      <c r="B521" s="2" t="s">
        <v>1071</v>
      </c>
      <c r="C521" s="2" t="s">
        <v>1077</v>
      </c>
      <c r="D521" s="2" t="s">
        <v>5219</v>
      </c>
      <c r="E521" s="2" t="s">
        <v>3915</v>
      </c>
      <c r="F521" s="2" t="s">
        <v>1069</v>
      </c>
      <c r="G521" s="2" t="s">
        <v>5220</v>
      </c>
      <c r="H521" s="2" t="s">
        <v>5221</v>
      </c>
    </row>
    <row r="522" customFormat="false" ht="15" hidden="false" customHeight="false" outlineLevel="0" collapsed="false">
      <c r="A522" s="2" t="n">
        <v>110</v>
      </c>
      <c r="B522" s="2" t="s">
        <v>1071</v>
      </c>
      <c r="C522" s="2" t="s">
        <v>1077</v>
      </c>
      <c r="D522" s="2" t="s">
        <v>5231</v>
      </c>
      <c r="E522" s="2" t="s">
        <v>3915</v>
      </c>
      <c r="F522" s="2" t="s">
        <v>1310</v>
      </c>
      <c r="G522" s="2" t="s">
        <v>5232</v>
      </c>
      <c r="H522" s="2" t="s">
        <v>5233</v>
      </c>
    </row>
    <row r="523" customFormat="false" ht="15" hidden="false" customHeight="false" outlineLevel="0" collapsed="false">
      <c r="A523" s="2" t="n">
        <v>110</v>
      </c>
      <c r="B523" s="2" t="s">
        <v>1071</v>
      </c>
      <c r="C523" s="2" t="s">
        <v>1077</v>
      </c>
      <c r="D523" s="2" t="s">
        <v>3837</v>
      </c>
      <c r="E523" s="2" t="s">
        <v>3915</v>
      </c>
      <c r="F523" s="2" t="s">
        <v>3838</v>
      </c>
      <c r="G523" s="2" t="s">
        <v>3839</v>
      </c>
      <c r="H523" s="2" t="s">
        <v>3840</v>
      </c>
    </row>
    <row r="524" customFormat="false" ht="15" hidden="false" customHeight="false" outlineLevel="0" collapsed="false">
      <c r="A524" s="2" t="n">
        <v>110</v>
      </c>
      <c r="B524" s="2" t="s">
        <v>1071</v>
      </c>
      <c r="C524" s="2" t="s">
        <v>1077</v>
      </c>
      <c r="D524" s="2" t="s">
        <v>5222</v>
      </c>
      <c r="E524" s="2" t="s">
        <v>3915</v>
      </c>
      <c r="F524" s="2" t="s">
        <v>711</v>
      </c>
      <c r="G524" s="2" t="s">
        <v>5223</v>
      </c>
      <c r="H524" s="2" t="s">
        <v>5224</v>
      </c>
    </row>
    <row r="525" customFormat="false" ht="15" hidden="false" customHeight="false" outlineLevel="0" collapsed="false">
      <c r="A525" s="2" t="n">
        <v>110</v>
      </c>
      <c r="B525" s="2" t="s">
        <v>1071</v>
      </c>
      <c r="C525" s="2" t="s">
        <v>1077</v>
      </c>
      <c r="D525" s="2" t="s">
        <v>5234</v>
      </c>
      <c r="E525" s="2" t="s">
        <v>3915</v>
      </c>
      <c r="F525" s="2" t="s">
        <v>126</v>
      </c>
      <c r="G525" s="2" t="s">
        <v>5235</v>
      </c>
      <c r="H525" s="2" t="s">
        <v>5236</v>
      </c>
    </row>
    <row r="526" customFormat="false" ht="15" hidden="false" customHeight="false" outlineLevel="0" collapsed="false">
      <c r="A526" s="2" t="n">
        <v>110</v>
      </c>
      <c r="B526" s="2" t="s">
        <v>1071</v>
      </c>
      <c r="C526" s="2" t="s">
        <v>1077</v>
      </c>
      <c r="D526" s="2" t="s">
        <v>5237</v>
      </c>
      <c r="E526" s="2" t="s">
        <v>3919</v>
      </c>
      <c r="F526" s="2" t="s">
        <v>5238</v>
      </c>
      <c r="G526" s="2"/>
      <c r="H526" s="2" t="s">
        <v>5239</v>
      </c>
    </row>
    <row r="527" customFormat="false" ht="15" hidden="false" customHeight="false" outlineLevel="0" collapsed="false">
      <c r="A527" s="2" t="n">
        <v>110</v>
      </c>
      <c r="B527" s="2" t="s">
        <v>1071</v>
      </c>
      <c r="C527" s="2" t="s">
        <v>1077</v>
      </c>
      <c r="D527" s="2" t="s">
        <v>5240</v>
      </c>
      <c r="E527" s="2" t="s">
        <v>3919</v>
      </c>
      <c r="F527" s="2" t="s">
        <v>5241</v>
      </c>
      <c r="G527" s="2"/>
      <c r="H527" s="2" t="s">
        <v>5242</v>
      </c>
    </row>
    <row r="528" customFormat="false" ht="15" hidden="false" customHeight="false" outlineLevel="0" collapsed="false">
      <c r="A528" s="2" t="n">
        <v>110</v>
      </c>
      <c r="B528" s="2" t="s">
        <v>1071</v>
      </c>
      <c r="C528" s="2" t="s">
        <v>1077</v>
      </c>
      <c r="D528" s="2" t="s">
        <v>5243</v>
      </c>
      <c r="E528" s="2" t="s">
        <v>3919</v>
      </c>
      <c r="F528" s="2" t="s">
        <v>5014</v>
      </c>
      <c r="G528" s="2"/>
      <c r="H528" s="2" t="s">
        <v>5244</v>
      </c>
    </row>
    <row r="529" customFormat="false" ht="15" hidden="false" customHeight="false" outlineLevel="0" collapsed="false">
      <c r="A529" s="2" t="n">
        <v>111</v>
      </c>
      <c r="B529" s="2" t="s">
        <v>1081</v>
      </c>
      <c r="C529" s="2" t="s">
        <v>1086</v>
      </c>
      <c r="D529" s="2" t="s">
        <v>5245</v>
      </c>
      <c r="E529" s="2" t="s">
        <v>3919</v>
      </c>
      <c r="F529" s="2" t="s">
        <v>5246</v>
      </c>
      <c r="G529" s="2"/>
      <c r="H529" s="2" t="s">
        <v>5247</v>
      </c>
    </row>
    <row r="530" customFormat="false" ht="15" hidden="false" customHeight="false" outlineLevel="0" collapsed="false">
      <c r="A530" s="2" t="n">
        <v>111</v>
      </c>
      <c r="B530" s="2" t="s">
        <v>1081</v>
      </c>
      <c r="C530" s="2" t="s">
        <v>1086</v>
      </c>
      <c r="D530" s="2" t="s">
        <v>5248</v>
      </c>
      <c r="E530" s="2" t="s">
        <v>3919</v>
      </c>
      <c r="F530" s="2" t="s">
        <v>5249</v>
      </c>
      <c r="G530" s="2"/>
      <c r="H530" s="2" t="s">
        <v>5250</v>
      </c>
    </row>
    <row r="531" customFormat="false" ht="15" hidden="false" customHeight="false" outlineLevel="0" collapsed="false">
      <c r="A531" s="2" t="n">
        <v>112</v>
      </c>
      <c r="B531" s="2" t="s">
        <v>1090</v>
      </c>
      <c r="C531" s="2" t="s">
        <v>1092</v>
      </c>
      <c r="D531" s="2" t="s">
        <v>5251</v>
      </c>
      <c r="E531" s="2" t="s">
        <v>3919</v>
      </c>
      <c r="F531" s="2" t="s">
        <v>5252</v>
      </c>
      <c r="G531" s="2" t="s">
        <v>5253</v>
      </c>
      <c r="H531" s="2" t="s">
        <v>5254</v>
      </c>
    </row>
    <row r="532" customFormat="false" ht="15" hidden="false" customHeight="false" outlineLevel="0" collapsed="false">
      <c r="A532" s="2" t="n">
        <v>112</v>
      </c>
      <c r="B532" s="2" t="s">
        <v>1090</v>
      </c>
      <c r="C532" s="2" t="s">
        <v>1092</v>
      </c>
      <c r="D532" s="2" t="s">
        <v>5255</v>
      </c>
      <c r="E532" s="2" t="s">
        <v>3919</v>
      </c>
      <c r="F532" s="2" t="s">
        <v>5256</v>
      </c>
      <c r="G532" s="2"/>
      <c r="H532" s="2" t="s">
        <v>5257</v>
      </c>
    </row>
    <row r="533" customFormat="false" ht="15" hidden="false" customHeight="false" outlineLevel="0" collapsed="false">
      <c r="A533" s="2" t="n">
        <v>113</v>
      </c>
      <c r="B533" s="2" t="s">
        <v>1096</v>
      </c>
      <c r="C533" s="2" t="s">
        <v>1101</v>
      </c>
      <c r="D533" s="2" t="s">
        <v>5258</v>
      </c>
      <c r="E533" s="2" t="s">
        <v>3919</v>
      </c>
      <c r="F533" s="2" t="s">
        <v>4689</v>
      </c>
      <c r="G533" s="2"/>
      <c r="H533" s="2" t="s">
        <v>5259</v>
      </c>
    </row>
    <row r="534" customFormat="false" ht="15" hidden="false" customHeight="false" outlineLevel="0" collapsed="false">
      <c r="A534" s="2" t="n">
        <v>114</v>
      </c>
      <c r="B534" s="2" t="s">
        <v>1105</v>
      </c>
      <c r="C534" s="2" t="s">
        <v>1107</v>
      </c>
      <c r="D534" s="2" t="s">
        <v>5260</v>
      </c>
      <c r="E534" s="2" t="s">
        <v>3915</v>
      </c>
      <c r="F534" s="2" t="s">
        <v>544</v>
      </c>
      <c r="G534" s="2" t="s">
        <v>5261</v>
      </c>
      <c r="H534" s="2" t="s">
        <v>5262</v>
      </c>
    </row>
    <row r="535" customFormat="false" ht="15" hidden="false" customHeight="false" outlineLevel="0" collapsed="false">
      <c r="A535" s="2" t="n">
        <v>114</v>
      </c>
      <c r="B535" s="2" t="s">
        <v>1105</v>
      </c>
      <c r="C535" s="2" t="s">
        <v>1107</v>
      </c>
      <c r="D535" s="2" t="s">
        <v>5263</v>
      </c>
      <c r="E535" s="2" t="s">
        <v>3915</v>
      </c>
      <c r="F535" s="2" t="s">
        <v>544</v>
      </c>
      <c r="G535" s="2" t="s">
        <v>5264</v>
      </c>
      <c r="H535" s="2" t="s">
        <v>5265</v>
      </c>
    </row>
    <row r="536" customFormat="false" ht="15" hidden="false" customHeight="false" outlineLevel="0" collapsed="false">
      <c r="A536" s="2" t="n">
        <v>114</v>
      </c>
      <c r="B536" s="2" t="s">
        <v>1105</v>
      </c>
      <c r="C536" s="2" t="s">
        <v>1107</v>
      </c>
      <c r="D536" s="2" t="s">
        <v>5266</v>
      </c>
      <c r="E536" s="2" t="s">
        <v>3915</v>
      </c>
      <c r="F536" s="2" t="s">
        <v>323</v>
      </c>
      <c r="G536" s="2" t="s">
        <v>5267</v>
      </c>
      <c r="H536" s="2" t="s">
        <v>5268</v>
      </c>
    </row>
    <row r="537" customFormat="false" ht="15" hidden="false" customHeight="false" outlineLevel="0" collapsed="false">
      <c r="A537" s="2" t="n">
        <v>114</v>
      </c>
      <c r="B537" s="2" t="s">
        <v>1105</v>
      </c>
      <c r="C537" s="2" t="s">
        <v>1107</v>
      </c>
      <c r="D537" s="2" t="s">
        <v>5269</v>
      </c>
      <c r="E537" s="2" t="s">
        <v>3915</v>
      </c>
      <c r="F537" s="2" t="s">
        <v>816</v>
      </c>
      <c r="G537" s="2" t="s">
        <v>5270</v>
      </c>
      <c r="H537" s="2" t="s">
        <v>5271</v>
      </c>
    </row>
    <row r="538" customFormat="false" ht="15" hidden="false" customHeight="false" outlineLevel="0" collapsed="false">
      <c r="A538" s="2" t="n">
        <v>114</v>
      </c>
      <c r="B538" s="2" t="s">
        <v>1105</v>
      </c>
      <c r="C538" s="2" t="s">
        <v>1107</v>
      </c>
      <c r="D538" s="2" t="s">
        <v>5272</v>
      </c>
      <c r="E538" s="2" t="s">
        <v>3915</v>
      </c>
      <c r="F538" s="2" t="s">
        <v>384</v>
      </c>
      <c r="G538" s="2" t="s">
        <v>5273</v>
      </c>
      <c r="H538" s="2" t="s">
        <v>5274</v>
      </c>
    </row>
    <row r="539" customFormat="false" ht="15" hidden="false" customHeight="false" outlineLevel="0" collapsed="false">
      <c r="A539" s="2" t="n">
        <v>114</v>
      </c>
      <c r="B539" s="2" t="s">
        <v>1105</v>
      </c>
      <c r="C539" s="2" t="s">
        <v>1107</v>
      </c>
      <c r="D539" s="2" t="s">
        <v>5275</v>
      </c>
      <c r="E539" s="2" t="s">
        <v>3919</v>
      </c>
      <c r="F539" s="2" t="s">
        <v>5276</v>
      </c>
      <c r="G539" s="2" t="s">
        <v>5277</v>
      </c>
      <c r="H539" s="2" t="s">
        <v>5278</v>
      </c>
    </row>
    <row r="540" customFormat="false" ht="15" hidden="false" customHeight="false" outlineLevel="0" collapsed="false">
      <c r="A540" s="2" t="n">
        <v>114</v>
      </c>
      <c r="B540" s="2" t="s">
        <v>1105</v>
      </c>
      <c r="C540" s="2" t="s">
        <v>1107</v>
      </c>
      <c r="D540" s="2" t="s">
        <v>5279</v>
      </c>
      <c r="E540" s="2" t="s">
        <v>3919</v>
      </c>
      <c r="F540" s="2" t="s">
        <v>5280</v>
      </c>
      <c r="G540" s="2"/>
      <c r="H540" s="2" t="s">
        <v>5281</v>
      </c>
    </row>
    <row r="541" customFormat="false" ht="15" hidden="false" customHeight="false" outlineLevel="0" collapsed="false">
      <c r="A541" s="2" t="n">
        <v>114</v>
      </c>
      <c r="B541" s="2" t="s">
        <v>1105</v>
      </c>
      <c r="C541" s="2" t="s">
        <v>1107</v>
      </c>
      <c r="D541" s="2" t="s">
        <v>5282</v>
      </c>
      <c r="E541" s="2" t="s">
        <v>3919</v>
      </c>
      <c r="F541" s="2" t="s">
        <v>586</v>
      </c>
      <c r="G541" s="2"/>
      <c r="H541" s="2" t="s">
        <v>5283</v>
      </c>
    </row>
    <row r="542" customFormat="false" ht="15" hidden="false" customHeight="false" outlineLevel="0" collapsed="false">
      <c r="A542" s="2" t="n">
        <v>114</v>
      </c>
      <c r="B542" s="2" t="s">
        <v>1105</v>
      </c>
      <c r="C542" s="2" t="s">
        <v>1107</v>
      </c>
      <c r="D542" s="2" t="s">
        <v>5284</v>
      </c>
      <c r="E542" s="2" t="s">
        <v>3919</v>
      </c>
      <c r="F542" s="2" t="s">
        <v>977</v>
      </c>
      <c r="G542" s="2"/>
      <c r="H542" s="2" t="s">
        <v>5285</v>
      </c>
    </row>
    <row r="543" customFormat="false" ht="15" hidden="false" customHeight="false" outlineLevel="0" collapsed="false">
      <c r="A543" s="2" t="n">
        <v>114</v>
      </c>
      <c r="B543" s="2" t="s">
        <v>1105</v>
      </c>
      <c r="C543" s="2" t="s">
        <v>1107</v>
      </c>
      <c r="D543" s="2" t="s">
        <v>5286</v>
      </c>
      <c r="E543" s="2" t="s">
        <v>3919</v>
      </c>
      <c r="F543" s="2" t="s">
        <v>5047</v>
      </c>
      <c r="G543" s="2" t="s">
        <v>5287</v>
      </c>
      <c r="H543" s="2" t="s">
        <v>5288</v>
      </c>
    </row>
    <row r="544" customFormat="false" ht="15" hidden="false" customHeight="false" outlineLevel="0" collapsed="false">
      <c r="A544" s="2" t="n">
        <v>115</v>
      </c>
      <c r="B544" s="2" t="s">
        <v>1111</v>
      </c>
      <c r="C544" s="2" t="s">
        <v>1115</v>
      </c>
      <c r="D544" s="2" t="s">
        <v>5289</v>
      </c>
      <c r="E544" s="2" t="s">
        <v>3919</v>
      </c>
      <c r="F544" s="2" t="s">
        <v>5290</v>
      </c>
      <c r="G544" s="2" t="s">
        <v>5291</v>
      </c>
      <c r="H544" s="2" t="s">
        <v>5292</v>
      </c>
    </row>
  </sheetData>
  <autoFilter ref="A1:H54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3"/>
    <col collapsed="false" customWidth="true" hidden="false" outlineLevel="0" max="4" min="4" style="0" width="14"/>
    <col collapsed="false" customWidth="true" hidden="false" outlineLevel="0" max="5" min="5" style="0" width="11"/>
    <col collapsed="false" customWidth="true" hidden="false" outlineLevel="0" max="6" min="6" style="0" width="70"/>
    <col collapsed="false" customWidth="true" hidden="false" outlineLevel="0" max="8" min="7" style="0" width="50"/>
  </cols>
  <sheetData>
    <row r="1" customFormat="false" ht="45" hidden="false" customHeight="true" outlineLevel="0" collapsed="false">
      <c r="A1" s="1" t="s">
        <v>1119</v>
      </c>
      <c r="B1" s="1" t="s">
        <v>1120</v>
      </c>
      <c r="C1" s="1" t="s">
        <v>1121</v>
      </c>
      <c r="D1" s="1" t="s">
        <v>5293</v>
      </c>
      <c r="E1" s="1" t="s">
        <v>1125</v>
      </c>
      <c r="F1" s="1" t="s">
        <v>1126</v>
      </c>
      <c r="G1" s="1" t="s">
        <v>14</v>
      </c>
      <c r="H1" s="1" t="s">
        <v>61</v>
      </c>
    </row>
    <row r="2" customFormat="false" ht="15" hidden="false" customHeight="false" outlineLevel="0" collapsed="false">
      <c r="A2" s="2" t="n">
        <v>64</v>
      </c>
      <c r="B2" s="2" t="s">
        <v>695</v>
      </c>
      <c r="C2" s="2" t="s">
        <v>700</v>
      </c>
      <c r="D2" s="2" t="s">
        <v>5294</v>
      </c>
      <c r="E2" s="2" t="s">
        <v>970</v>
      </c>
      <c r="F2" s="2" t="s">
        <v>5295</v>
      </c>
      <c r="G2" s="2" t="s">
        <v>5296</v>
      </c>
      <c r="H2" s="2" t="s">
        <v>5297</v>
      </c>
    </row>
    <row r="3" customFormat="false" ht="15" hidden="false" customHeight="false" outlineLevel="0" collapsed="false">
      <c r="A3" s="2" t="n">
        <v>64</v>
      </c>
      <c r="B3" s="2" t="s">
        <v>695</v>
      </c>
      <c r="C3" s="2" t="s">
        <v>700</v>
      </c>
      <c r="D3" s="2" t="s">
        <v>5298</v>
      </c>
      <c r="E3" s="2" t="s">
        <v>4713</v>
      </c>
      <c r="F3" s="2" t="s">
        <v>5299</v>
      </c>
      <c r="G3" s="2" t="s">
        <v>5300</v>
      </c>
      <c r="H3" s="2" t="s">
        <v>5297</v>
      </c>
    </row>
    <row r="4" customFormat="false" ht="15" hidden="false" customHeight="false" outlineLevel="0" collapsed="false">
      <c r="A4" s="2" t="n">
        <v>64</v>
      </c>
      <c r="B4" s="2" t="s">
        <v>695</v>
      </c>
      <c r="C4" s="2" t="s">
        <v>700</v>
      </c>
      <c r="D4" s="2"/>
      <c r="E4" s="2" t="s">
        <v>227</v>
      </c>
      <c r="F4" s="2" t="s">
        <v>5301</v>
      </c>
      <c r="G4" s="2" t="s">
        <v>5302</v>
      </c>
      <c r="H4" s="2" t="s">
        <v>5303</v>
      </c>
    </row>
    <row r="5" customFormat="false" ht="15" hidden="false" customHeight="false" outlineLevel="0" collapsed="false">
      <c r="A5" s="2" t="n">
        <v>58</v>
      </c>
      <c r="B5" s="2" t="s">
        <v>641</v>
      </c>
      <c r="C5" s="2" t="s">
        <v>646</v>
      </c>
      <c r="D5" s="2"/>
      <c r="E5" s="2" t="s">
        <v>2706</v>
      </c>
      <c r="F5" s="2" t="s">
        <v>5304</v>
      </c>
      <c r="G5" s="2" t="s">
        <v>5305</v>
      </c>
      <c r="H5" s="2" t="s">
        <v>5306</v>
      </c>
    </row>
    <row r="6" customFormat="false" ht="15" hidden="false" customHeight="false" outlineLevel="0" collapsed="false">
      <c r="A6" s="2" t="n">
        <v>83</v>
      </c>
      <c r="B6" s="2" t="s">
        <v>862</v>
      </c>
      <c r="C6" s="2" t="s">
        <v>867</v>
      </c>
      <c r="D6" s="2"/>
      <c r="E6" s="2" t="s">
        <v>5307</v>
      </c>
      <c r="F6" s="2" t="s">
        <v>5308</v>
      </c>
      <c r="G6" s="2" t="s">
        <v>5309</v>
      </c>
      <c r="H6" s="2" t="s">
        <v>5310</v>
      </c>
    </row>
    <row r="7" customFormat="false" ht="15" hidden="false" customHeight="false" outlineLevel="0" collapsed="false">
      <c r="A7" s="2" t="n">
        <v>83</v>
      </c>
      <c r="B7" s="2" t="s">
        <v>862</v>
      </c>
      <c r="C7" s="2" t="s">
        <v>867</v>
      </c>
      <c r="D7" s="2" t="s">
        <v>5311</v>
      </c>
      <c r="E7" s="2" t="s">
        <v>5312</v>
      </c>
      <c r="F7" s="2" t="s">
        <v>5313</v>
      </c>
      <c r="G7" s="2" t="s">
        <v>5314</v>
      </c>
      <c r="H7" s="2" t="s">
        <v>5315</v>
      </c>
    </row>
  </sheetData>
  <autoFilter ref="A1:H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3"/>
    <col collapsed="false" customWidth="true" hidden="false" outlineLevel="0" max="4" min="4" style="0" width="8"/>
    <col collapsed="false" customWidth="true" hidden="false" outlineLevel="0" max="5" min="5" style="0" width="70"/>
    <col collapsed="false" customWidth="true" hidden="false" outlineLevel="0" max="6" min="6" style="0" width="11"/>
    <col collapsed="false" customWidth="true" hidden="false" outlineLevel="0" max="7" min="7" style="0" width="8"/>
    <col collapsed="false" customWidth="true" hidden="false" outlineLevel="0" max="8" min="8" style="0" width="40"/>
    <col collapsed="false" customWidth="true" hidden="false" outlineLevel="0" max="21" min="9" style="0" width="10"/>
    <col collapsed="false" customWidth="true" hidden="false" outlineLevel="0" max="22" min="22" style="0" width="60"/>
  </cols>
  <sheetData>
    <row r="1" customFormat="false" ht="45" hidden="false" customHeight="true" outlineLevel="0" collapsed="false">
      <c r="A1" s="1" t="s">
        <v>1119</v>
      </c>
      <c r="B1" s="1" t="s">
        <v>1120</v>
      </c>
      <c r="C1" s="1" t="s">
        <v>1121</v>
      </c>
      <c r="D1" s="1" t="s">
        <v>5316</v>
      </c>
      <c r="E1" s="1" t="s">
        <v>1126</v>
      </c>
      <c r="F1" s="1" t="s">
        <v>1125</v>
      </c>
      <c r="G1" s="1" t="s">
        <v>5317</v>
      </c>
      <c r="H1" s="1" t="s">
        <v>5318</v>
      </c>
      <c r="I1" s="1" t="s">
        <v>15</v>
      </c>
      <c r="J1" s="1" t="s">
        <v>5319</v>
      </c>
      <c r="K1" s="1" t="s">
        <v>23</v>
      </c>
      <c r="L1" s="1" t="s">
        <v>24</v>
      </c>
      <c r="M1" s="1" t="s">
        <v>25</v>
      </c>
      <c r="N1" s="1" t="s">
        <v>26</v>
      </c>
      <c r="O1" s="1" t="s">
        <v>27</v>
      </c>
      <c r="P1" s="1" t="s">
        <v>28</v>
      </c>
      <c r="Q1" s="1" t="s">
        <v>29</v>
      </c>
      <c r="R1" s="1" t="s">
        <v>30</v>
      </c>
      <c r="S1" s="1" t="s">
        <v>31</v>
      </c>
      <c r="T1" s="1" t="s">
        <v>32</v>
      </c>
      <c r="U1" s="1" t="s">
        <v>5320</v>
      </c>
      <c r="V1" s="1" t="s">
        <v>61</v>
      </c>
    </row>
    <row r="2" customFormat="false" ht="15" hidden="false" customHeight="false" outlineLevel="0" collapsed="false">
      <c r="A2" s="2" t="n">
        <v>9</v>
      </c>
      <c r="B2" s="2" t="s">
        <v>162</v>
      </c>
      <c r="C2" s="2" t="s">
        <v>169</v>
      </c>
      <c r="D2" s="2" t="s">
        <v>5321</v>
      </c>
      <c r="E2" s="2" t="s">
        <v>5322</v>
      </c>
      <c r="F2" s="2" t="s">
        <v>5323</v>
      </c>
      <c r="G2" s="2" t="s">
        <v>5324</v>
      </c>
      <c r="H2" s="2" t="s">
        <v>5325</v>
      </c>
      <c r="I2" s="2" t="n">
        <v>15</v>
      </c>
      <c r="J2" s="2" t="n">
        <v>6414</v>
      </c>
      <c r="K2" s="2" t="n">
        <v>12</v>
      </c>
      <c r="L2" s="2" t="n">
        <v>6</v>
      </c>
      <c r="M2" s="2" t="n">
        <v>6</v>
      </c>
      <c r="N2" s="2" t="n">
        <v>0</v>
      </c>
      <c r="O2" s="2" t="n">
        <v>0</v>
      </c>
      <c r="P2" s="2" t="n">
        <v>0</v>
      </c>
      <c r="Q2" s="2" t="n">
        <v>8</v>
      </c>
      <c r="R2" s="2" t="n">
        <v>0</v>
      </c>
      <c r="S2" s="2" t="n">
        <v>1</v>
      </c>
      <c r="T2" s="2" t="n">
        <v>3</v>
      </c>
      <c r="U2" s="2" t="n">
        <v>12</v>
      </c>
      <c r="V2" s="2" t="s">
        <v>5326</v>
      </c>
    </row>
    <row r="3" customFormat="false" ht="15" hidden="false" customHeight="false" outlineLevel="0" collapsed="false">
      <c r="A3" s="2" t="n">
        <v>20</v>
      </c>
      <c r="B3" s="2" t="s">
        <v>286</v>
      </c>
      <c r="C3" s="2" t="s">
        <v>292</v>
      </c>
      <c r="D3" s="2" t="s">
        <v>5321</v>
      </c>
      <c r="E3" s="2" t="s">
        <v>5327</v>
      </c>
      <c r="F3" s="2" t="s">
        <v>1723</v>
      </c>
      <c r="G3" s="2" t="s">
        <v>5324</v>
      </c>
      <c r="H3" s="2" t="s">
        <v>5328</v>
      </c>
      <c r="I3" s="2"/>
      <c r="J3" s="2"/>
      <c r="K3" s="2"/>
      <c r="L3" s="2"/>
      <c r="M3" s="2"/>
      <c r="N3" s="2"/>
      <c r="O3" s="2"/>
      <c r="P3" s="2"/>
      <c r="Q3" s="2"/>
      <c r="R3" s="2"/>
      <c r="S3" s="2"/>
      <c r="T3" s="2"/>
      <c r="U3" s="2"/>
      <c r="V3" s="2" t="s">
        <v>5329</v>
      </c>
    </row>
    <row r="4" customFormat="false" ht="15" hidden="false" customHeight="false" outlineLevel="0" collapsed="false">
      <c r="A4" s="2" t="n">
        <v>20</v>
      </c>
      <c r="B4" s="2" t="s">
        <v>286</v>
      </c>
      <c r="C4" s="2" t="s">
        <v>292</v>
      </c>
      <c r="D4" s="2" t="s">
        <v>5321</v>
      </c>
      <c r="E4" s="2" t="s">
        <v>5330</v>
      </c>
      <c r="F4" s="2" t="s">
        <v>1723</v>
      </c>
      <c r="G4" s="2" t="s">
        <v>5324</v>
      </c>
      <c r="H4" s="2" t="s">
        <v>5331</v>
      </c>
      <c r="I4" s="2"/>
      <c r="J4" s="2"/>
      <c r="K4" s="2"/>
      <c r="L4" s="2"/>
      <c r="M4" s="2"/>
      <c r="N4" s="2"/>
      <c r="O4" s="2"/>
      <c r="P4" s="2"/>
      <c r="Q4" s="2"/>
      <c r="R4" s="2"/>
      <c r="S4" s="2"/>
      <c r="T4" s="2"/>
      <c r="U4" s="2"/>
      <c r="V4" s="2" t="s">
        <v>5332</v>
      </c>
    </row>
    <row r="5" customFormat="false" ht="15" hidden="false" customHeight="false" outlineLevel="0" collapsed="false">
      <c r="A5" s="2" t="n">
        <v>20</v>
      </c>
      <c r="B5" s="2" t="s">
        <v>286</v>
      </c>
      <c r="C5" s="2" t="s">
        <v>292</v>
      </c>
      <c r="D5" s="2" t="s">
        <v>5321</v>
      </c>
      <c r="E5" s="2" t="s">
        <v>5333</v>
      </c>
      <c r="F5" s="2" t="s">
        <v>1723</v>
      </c>
      <c r="G5" s="2" t="s">
        <v>5324</v>
      </c>
      <c r="H5" s="2" t="s">
        <v>5334</v>
      </c>
      <c r="I5" s="2"/>
      <c r="J5" s="2"/>
      <c r="K5" s="2"/>
      <c r="L5" s="2"/>
      <c r="M5" s="2"/>
      <c r="N5" s="2"/>
      <c r="O5" s="2"/>
      <c r="P5" s="2"/>
      <c r="Q5" s="2"/>
      <c r="R5" s="2"/>
      <c r="S5" s="2"/>
      <c r="T5" s="2"/>
      <c r="U5" s="2"/>
      <c r="V5" s="2" t="s">
        <v>5329</v>
      </c>
    </row>
    <row r="6" customFormat="false" ht="15" hidden="false" customHeight="false" outlineLevel="0" collapsed="false">
      <c r="A6" s="2" t="n">
        <v>20</v>
      </c>
      <c r="B6" s="2" t="s">
        <v>286</v>
      </c>
      <c r="C6" s="2" t="s">
        <v>292</v>
      </c>
      <c r="D6" s="2" t="s">
        <v>5321</v>
      </c>
      <c r="E6" s="2" t="s">
        <v>5335</v>
      </c>
      <c r="F6" s="2" t="s">
        <v>1723</v>
      </c>
      <c r="G6" s="2" t="s">
        <v>5324</v>
      </c>
      <c r="H6" s="2" t="s">
        <v>5336</v>
      </c>
      <c r="I6" s="2" t="n">
        <v>17</v>
      </c>
      <c r="J6" s="2" t="n">
        <v>8771</v>
      </c>
      <c r="K6" s="2" t="n">
        <v>62</v>
      </c>
      <c r="L6" s="2" t="n">
        <v>42</v>
      </c>
      <c r="M6" s="2" t="n">
        <v>5</v>
      </c>
      <c r="N6" s="2" t="n">
        <v>8</v>
      </c>
      <c r="O6" s="2" t="n">
        <v>7</v>
      </c>
      <c r="P6" s="2" t="n">
        <v>0</v>
      </c>
      <c r="Q6" s="2" t="n">
        <v>21</v>
      </c>
      <c r="R6" s="2" t="n">
        <v>0</v>
      </c>
      <c r="S6" s="2" t="n">
        <v>1</v>
      </c>
      <c r="T6" s="2" t="n">
        <v>40</v>
      </c>
      <c r="U6" s="2" t="n">
        <v>24</v>
      </c>
      <c r="V6" s="2" t="s">
        <v>5326</v>
      </c>
    </row>
    <row r="7" customFormat="false" ht="15" hidden="false" customHeight="false" outlineLevel="0" collapsed="false">
      <c r="A7" s="2" t="n">
        <v>20</v>
      </c>
      <c r="B7" s="2" t="s">
        <v>286</v>
      </c>
      <c r="C7" s="2" t="s">
        <v>292</v>
      </c>
      <c r="D7" s="2" t="s">
        <v>5321</v>
      </c>
      <c r="E7" s="2" t="s">
        <v>5337</v>
      </c>
      <c r="F7" s="2" t="s">
        <v>1723</v>
      </c>
      <c r="G7" s="2" t="s">
        <v>5324</v>
      </c>
      <c r="H7" s="2" t="s">
        <v>5338</v>
      </c>
      <c r="I7" s="2"/>
      <c r="J7" s="2"/>
      <c r="K7" s="2"/>
      <c r="L7" s="2"/>
      <c r="M7" s="2"/>
      <c r="N7" s="2"/>
      <c r="O7" s="2"/>
      <c r="P7" s="2"/>
      <c r="Q7" s="2"/>
      <c r="R7" s="2"/>
      <c r="S7" s="2"/>
      <c r="T7" s="2"/>
      <c r="U7" s="2"/>
      <c r="V7" s="2" t="s">
        <v>5329</v>
      </c>
    </row>
    <row r="8" customFormat="false" ht="15" hidden="false" customHeight="false" outlineLevel="0" collapsed="false">
      <c r="A8" s="2" t="n">
        <v>20</v>
      </c>
      <c r="B8" s="2" t="s">
        <v>286</v>
      </c>
      <c r="C8" s="2" t="s">
        <v>292</v>
      </c>
      <c r="D8" s="2" t="s">
        <v>5321</v>
      </c>
      <c r="E8" s="2" t="s">
        <v>5339</v>
      </c>
      <c r="F8" s="2" t="s">
        <v>1723</v>
      </c>
      <c r="G8" s="2" t="s">
        <v>5324</v>
      </c>
      <c r="H8" s="2" t="s">
        <v>5340</v>
      </c>
      <c r="I8" s="2"/>
      <c r="J8" s="2"/>
      <c r="K8" s="2"/>
      <c r="L8" s="2"/>
      <c r="M8" s="2"/>
      <c r="N8" s="2"/>
      <c r="O8" s="2"/>
      <c r="P8" s="2"/>
      <c r="Q8" s="2"/>
      <c r="R8" s="2"/>
      <c r="S8" s="2"/>
      <c r="T8" s="2"/>
      <c r="U8" s="2"/>
      <c r="V8" s="2" t="s">
        <v>5329</v>
      </c>
    </row>
    <row r="9" customFormat="false" ht="15" hidden="false" customHeight="false" outlineLevel="0" collapsed="false">
      <c r="A9" s="2" t="n">
        <v>20</v>
      </c>
      <c r="B9" s="2" t="s">
        <v>286</v>
      </c>
      <c r="C9" s="2" t="s">
        <v>292</v>
      </c>
      <c r="D9" s="2" t="s">
        <v>5321</v>
      </c>
      <c r="E9" s="2" t="s">
        <v>5341</v>
      </c>
      <c r="F9" s="2" t="s">
        <v>1723</v>
      </c>
      <c r="G9" s="2" t="s">
        <v>5324</v>
      </c>
      <c r="H9" s="2" t="s">
        <v>5342</v>
      </c>
      <c r="I9" s="2"/>
      <c r="J9" s="2"/>
      <c r="K9" s="2"/>
      <c r="L9" s="2"/>
      <c r="M9" s="2"/>
      <c r="N9" s="2"/>
      <c r="O9" s="2"/>
      <c r="P9" s="2"/>
      <c r="Q9" s="2"/>
      <c r="R9" s="2"/>
      <c r="S9" s="2"/>
      <c r="T9" s="2"/>
      <c r="U9" s="2"/>
      <c r="V9" s="2" t="s">
        <v>5343</v>
      </c>
    </row>
    <row r="10" customFormat="false" ht="15" hidden="false" customHeight="false" outlineLevel="0" collapsed="false">
      <c r="A10" s="2" t="n">
        <v>20</v>
      </c>
      <c r="B10" s="2" t="s">
        <v>286</v>
      </c>
      <c r="C10" s="2" t="s">
        <v>292</v>
      </c>
      <c r="D10" s="2" t="s">
        <v>5321</v>
      </c>
      <c r="E10" s="2" t="s">
        <v>5344</v>
      </c>
      <c r="F10" s="2" t="s">
        <v>1723</v>
      </c>
      <c r="G10" s="2" t="s">
        <v>5324</v>
      </c>
      <c r="H10" s="2" t="s">
        <v>5345</v>
      </c>
      <c r="I10" s="2"/>
      <c r="J10" s="2"/>
      <c r="K10" s="2"/>
      <c r="L10" s="2"/>
      <c r="M10" s="2"/>
      <c r="N10" s="2"/>
      <c r="O10" s="2"/>
      <c r="P10" s="2"/>
      <c r="Q10" s="2"/>
      <c r="R10" s="2"/>
      <c r="S10" s="2"/>
      <c r="T10" s="2"/>
      <c r="U10" s="2"/>
      <c r="V10" s="2" t="s">
        <v>5343</v>
      </c>
    </row>
    <row r="11" customFormat="false" ht="15" hidden="false" customHeight="false" outlineLevel="0" collapsed="false">
      <c r="A11" s="2" t="n">
        <v>20</v>
      </c>
      <c r="B11" s="2" t="s">
        <v>286</v>
      </c>
      <c r="C11" s="2" t="s">
        <v>292</v>
      </c>
      <c r="D11" s="2" t="s">
        <v>5321</v>
      </c>
      <c r="E11" s="2" t="s">
        <v>5346</v>
      </c>
      <c r="F11" s="2" t="s">
        <v>5347</v>
      </c>
      <c r="G11" s="2" t="s">
        <v>5324</v>
      </c>
      <c r="H11" s="2" t="s">
        <v>5348</v>
      </c>
      <c r="I11" s="2" t="n">
        <v>22</v>
      </c>
      <c r="J11" s="2" t="n">
        <v>8074</v>
      </c>
      <c r="K11" s="2" t="n">
        <v>73</v>
      </c>
      <c r="L11" s="2" t="n">
        <v>54</v>
      </c>
      <c r="M11" s="2" t="n">
        <v>1</v>
      </c>
      <c r="N11" s="2" t="n">
        <v>1</v>
      </c>
      <c r="O11" s="2" t="n">
        <v>15</v>
      </c>
      <c r="P11" s="2" t="n">
        <v>2</v>
      </c>
      <c r="Q11" s="2" t="n">
        <v>13</v>
      </c>
      <c r="R11" s="2" t="n">
        <v>8</v>
      </c>
      <c r="S11" s="2" t="n">
        <v>1</v>
      </c>
      <c r="T11" s="2" t="n">
        <v>51</v>
      </c>
      <c r="U11" s="2" t="n">
        <v>39</v>
      </c>
      <c r="V11" s="2" t="s">
        <v>5326</v>
      </c>
    </row>
    <row r="12" customFormat="false" ht="15" hidden="false" customHeight="false" outlineLevel="0" collapsed="false">
      <c r="A12" s="2" t="n">
        <v>20</v>
      </c>
      <c r="B12" s="2" t="s">
        <v>286</v>
      </c>
      <c r="C12" s="2" t="s">
        <v>292</v>
      </c>
      <c r="D12" s="2" t="s">
        <v>5321</v>
      </c>
      <c r="E12" s="2" t="s">
        <v>5349</v>
      </c>
      <c r="F12" s="2" t="s">
        <v>3195</v>
      </c>
      <c r="G12" s="2" t="s">
        <v>5324</v>
      </c>
      <c r="H12" s="2" t="s">
        <v>5350</v>
      </c>
      <c r="I12" s="2" t="n">
        <v>29</v>
      </c>
      <c r="J12" s="2" t="n">
        <v>9788</v>
      </c>
      <c r="K12" s="2" t="n">
        <v>49</v>
      </c>
      <c r="L12" s="2" t="n">
        <v>41</v>
      </c>
      <c r="M12" s="2" t="n">
        <v>1</v>
      </c>
      <c r="N12" s="2" t="n">
        <v>0</v>
      </c>
      <c r="O12" s="2" t="n">
        <v>7</v>
      </c>
      <c r="P12" s="2" t="n">
        <v>0</v>
      </c>
      <c r="Q12" s="2" t="n">
        <v>0</v>
      </c>
      <c r="R12" s="2" t="n">
        <v>7</v>
      </c>
      <c r="S12" s="2" t="n">
        <v>10</v>
      </c>
      <c r="T12" s="2" t="n">
        <v>32</v>
      </c>
      <c r="U12" s="2" t="n">
        <v>38</v>
      </c>
      <c r="V12" s="2" t="s">
        <v>5326</v>
      </c>
    </row>
    <row r="13" customFormat="false" ht="15" hidden="false" customHeight="false" outlineLevel="0" collapsed="false">
      <c r="A13" s="2" t="n">
        <v>20</v>
      </c>
      <c r="B13" s="2" t="s">
        <v>286</v>
      </c>
      <c r="C13" s="2" t="s">
        <v>292</v>
      </c>
      <c r="D13" s="2" t="s">
        <v>5321</v>
      </c>
      <c r="E13" s="2" t="s">
        <v>5351</v>
      </c>
      <c r="F13" s="2" t="s">
        <v>3195</v>
      </c>
      <c r="G13" s="2" t="s">
        <v>5324</v>
      </c>
      <c r="H13" s="2" t="s">
        <v>5352</v>
      </c>
      <c r="I13" s="2" t="n">
        <v>30</v>
      </c>
      <c r="J13" s="2" t="n">
        <v>11742</v>
      </c>
      <c r="K13" s="2" t="n">
        <v>37</v>
      </c>
      <c r="L13" s="2" t="n">
        <v>27</v>
      </c>
      <c r="M13" s="2" t="n">
        <v>1</v>
      </c>
      <c r="N13" s="2" t="n">
        <v>0</v>
      </c>
      <c r="O13" s="2" t="n">
        <v>8</v>
      </c>
      <c r="P13" s="2" t="n">
        <v>1</v>
      </c>
      <c r="Q13" s="2" t="n">
        <v>6</v>
      </c>
      <c r="R13" s="2" t="n">
        <v>4</v>
      </c>
      <c r="S13" s="2" t="n">
        <v>3</v>
      </c>
      <c r="T13" s="2" t="n">
        <v>24</v>
      </c>
      <c r="U13" s="2" t="n">
        <v>60</v>
      </c>
      <c r="V13" s="2" t="s">
        <v>5326</v>
      </c>
    </row>
    <row r="14" customFormat="false" ht="15" hidden="false" customHeight="false" outlineLevel="0" collapsed="false">
      <c r="A14" s="2" t="n">
        <v>20</v>
      </c>
      <c r="B14" s="2" t="s">
        <v>286</v>
      </c>
      <c r="C14" s="2" t="s">
        <v>292</v>
      </c>
      <c r="D14" s="2" t="s">
        <v>5321</v>
      </c>
      <c r="E14" s="2" t="s">
        <v>5353</v>
      </c>
      <c r="F14" s="2" t="s">
        <v>3199</v>
      </c>
      <c r="G14" s="2" t="s">
        <v>5324</v>
      </c>
      <c r="H14" s="2" t="s">
        <v>5354</v>
      </c>
      <c r="I14" s="2" t="n">
        <v>7</v>
      </c>
      <c r="J14" s="2" t="n">
        <v>2058</v>
      </c>
      <c r="K14" s="2" t="n">
        <v>5</v>
      </c>
      <c r="L14" s="2" t="n">
        <v>2</v>
      </c>
      <c r="M14" s="2" t="n">
        <v>0</v>
      </c>
      <c r="N14" s="2" t="n">
        <v>0</v>
      </c>
      <c r="O14" s="2" t="n">
        <v>3</v>
      </c>
      <c r="P14" s="2" t="n">
        <v>0</v>
      </c>
      <c r="Q14" s="2" t="n">
        <v>0</v>
      </c>
      <c r="R14" s="2" t="n">
        <v>0</v>
      </c>
      <c r="S14" s="2" t="n">
        <v>2</v>
      </c>
      <c r="T14" s="2" t="n">
        <v>3</v>
      </c>
      <c r="U14" s="2" t="n">
        <v>1</v>
      </c>
      <c r="V14" s="2" t="s">
        <v>5326</v>
      </c>
    </row>
    <row r="15" customFormat="false" ht="15" hidden="false" customHeight="false" outlineLevel="0" collapsed="false">
      <c r="A15" s="2" t="n">
        <v>20</v>
      </c>
      <c r="B15" s="2" t="s">
        <v>286</v>
      </c>
      <c r="C15" s="2" t="s">
        <v>292</v>
      </c>
      <c r="D15" s="2" t="s">
        <v>5321</v>
      </c>
      <c r="E15" s="2" t="s">
        <v>5355</v>
      </c>
      <c r="F15" s="2" t="s">
        <v>5356</v>
      </c>
      <c r="G15" s="2" t="s">
        <v>5324</v>
      </c>
      <c r="H15" s="2" t="s">
        <v>5357</v>
      </c>
      <c r="I15" s="2" t="n">
        <v>16</v>
      </c>
      <c r="J15" s="2" t="n">
        <v>7481</v>
      </c>
      <c r="K15" s="2" t="n">
        <v>32</v>
      </c>
      <c r="L15" s="2" t="n">
        <v>26</v>
      </c>
      <c r="M15" s="2" t="n">
        <v>3</v>
      </c>
      <c r="N15" s="2" t="n">
        <v>1</v>
      </c>
      <c r="O15" s="2" t="n">
        <v>2</v>
      </c>
      <c r="P15" s="2" t="n">
        <v>0</v>
      </c>
      <c r="Q15" s="2" t="n">
        <v>18</v>
      </c>
      <c r="R15" s="2" t="n">
        <v>0</v>
      </c>
      <c r="S15" s="2" t="n">
        <v>2</v>
      </c>
      <c r="T15" s="2" t="n">
        <v>12</v>
      </c>
      <c r="U15" s="2" t="n">
        <v>12</v>
      </c>
      <c r="V15" s="2" t="s">
        <v>5326</v>
      </c>
    </row>
    <row r="16" customFormat="false" ht="15" hidden="false" customHeight="false" outlineLevel="0" collapsed="false">
      <c r="A16" s="2" t="n">
        <v>20</v>
      </c>
      <c r="B16" s="2" t="s">
        <v>286</v>
      </c>
      <c r="C16" s="2" t="s">
        <v>292</v>
      </c>
      <c r="D16" s="2" t="s">
        <v>5321</v>
      </c>
      <c r="E16" s="2" t="s">
        <v>5358</v>
      </c>
      <c r="F16" s="2" t="s">
        <v>5359</v>
      </c>
      <c r="G16" s="2" t="s">
        <v>5324</v>
      </c>
      <c r="H16" s="2" t="s">
        <v>5360</v>
      </c>
      <c r="I16" s="2" t="n">
        <v>28</v>
      </c>
      <c r="J16" s="2" t="n">
        <v>15268</v>
      </c>
      <c r="K16" s="2" t="n">
        <v>62</v>
      </c>
      <c r="L16" s="2" t="n">
        <v>46</v>
      </c>
      <c r="M16" s="2" t="n">
        <v>2</v>
      </c>
      <c r="N16" s="2" t="n">
        <v>1</v>
      </c>
      <c r="O16" s="2" t="n">
        <v>13</v>
      </c>
      <c r="P16" s="2" t="n">
        <v>0</v>
      </c>
      <c r="Q16" s="2" t="n">
        <v>30</v>
      </c>
      <c r="R16" s="2" t="n">
        <v>5</v>
      </c>
      <c r="S16" s="2" t="n">
        <v>12</v>
      </c>
      <c r="T16" s="2" t="n">
        <v>15</v>
      </c>
      <c r="U16" s="2" t="n">
        <v>30</v>
      </c>
      <c r="V16" s="2" t="s">
        <v>5326</v>
      </c>
    </row>
    <row r="17" customFormat="false" ht="15" hidden="false" customHeight="false" outlineLevel="0" collapsed="false">
      <c r="A17" s="2" t="n">
        <v>20</v>
      </c>
      <c r="B17" s="2" t="s">
        <v>286</v>
      </c>
      <c r="C17" s="2" t="s">
        <v>292</v>
      </c>
      <c r="D17" s="2" t="s">
        <v>5321</v>
      </c>
      <c r="E17" s="2" t="s">
        <v>5361</v>
      </c>
      <c r="F17" s="2" t="s">
        <v>5362</v>
      </c>
      <c r="G17" s="2" t="s">
        <v>5324</v>
      </c>
      <c r="H17" s="2" t="s">
        <v>5363</v>
      </c>
      <c r="I17" s="2" t="n">
        <v>33</v>
      </c>
      <c r="J17" s="2" t="n">
        <v>13426</v>
      </c>
      <c r="K17" s="2" t="n">
        <v>90</v>
      </c>
      <c r="L17" s="2" t="n">
        <v>63</v>
      </c>
      <c r="M17" s="2" t="n">
        <v>8</v>
      </c>
      <c r="N17" s="2" t="n">
        <v>1</v>
      </c>
      <c r="O17" s="2" t="n">
        <v>17</v>
      </c>
      <c r="P17" s="2" t="n">
        <v>1</v>
      </c>
      <c r="Q17" s="2" t="n">
        <v>51</v>
      </c>
      <c r="R17" s="2" t="n">
        <v>4</v>
      </c>
      <c r="S17" s="2" t="n">
        <v>0</v>
      </c>
      <c r="T17" s="2" t="n">
        <v>35</v>
      </c>
      <c r="U17" s="2" t="n">
        <v>65</v>
      </c>
      <c r="V17" s="2" t="s">
        <v>5326</v>
      </c>
    </row>
    <row r="18" customFormat="false" ht="15" hidden="false" customHeight="false" outlineLevel="0" collapsed="false">
      <c r="A18" s="2" t="n">
        <v>20</v>
      </c>
      <c r="B18" s="2" t="s">
        <v>286</v>
      </c>
      <c r="C18" s="2" t="s">
        <v>292</v>
      </c>
      <c r="D18" s="2" t="s">
        <v>5321</v>
      </c>
      <c r="E18" s="2" t="s">
        <v>5364</v>
      </c>
      <c r="F18" s="2" t="s">
        <v>3274</v>
      </c>
      <c r="G18" s="2" t="s">
        <v>5324</v>
      </c>
      <c r="H18" s="2" t="s">
        <v>5365</v>
      </c>
      <c r="I18" s="2" t="n">
        <v>19</v>
      </c>
      <c r="J18" s="2" t="n">
        <v>7048</v>
      </c>
      <c r="K18" s="2" t="n">
        <v>106</v>
      </c>
      <c r="L18" s="2" t="n">
        <v>83</v>
      </c>
      <c r="M18" s="2" t="n">
        <v>21</v>
      </c>
      <c r="N18" s="2" t="n">
        <v>1</v>
      </c>
      <c r="O18" s="2" t="n">
        <v>1</v>
      </c>
      <c r="P18" s="2" t="n">
        <v>0</v>
      </c>
      <c r="Q18" s="2" t="n">
        <v>13</v>
      </c>
      <c r="R18" s="2" t="n">
        <v>6</v>
      </c>
      <c r="S18" s="2" t="n">
        <v>4</v>
      </c>
      <c r="T18" s="2" t="n">
        <v>83</v>
      </c>
      <c r="U18" s="2" t="n">
        <v>67</v>
      </c>
      <c r="V18" s="2" t="s">
        <v>5326</v>
      </c>
    </row>
    <row r="19" customFormat="false" ht="15" hidden="false" customHeight="false" outlineLevel="0" collapsed="false">
      <c r="A19" s="2" t="n">
        <v>20</v>
      </c>
      <c r="B19" s="2" t="s">
        <v>286</v>
      </c>
      <c r="C19" s="2" t="s">
        <v>292</v>
      </c>
      <c r="D19" s="2" t="s">
        <v>5321</v>
      </c>
      <c r="E19" s="2" t="s">
        <v>5366</v>
      </c>
      <c r="F19" s="2" t="s">
        <v>3274</v>
      </c>
      <c r="G19" s="2" t="s">
        <v>5324</v>
      </c>
      <c r="H19" s="2" t="s">
        <v>5367</v>
      </c>
      <c r="I19" s="2" t="n">
        <v>14</v>
      </c>
      <c r="J19" s="2" t="n">
        <v>6108</v>
      </c>
      <c r="K19" s="2" t="n">
        <v>53</v>
      </c>
      <c r="L19" s="2" t="n">
        <v>50</v>
      </c>
      <c r="M19" s="2" t="n">
        <v>2</v>
      </c>
      <c r="N19" s="2" t="n">
        <v>0</v>
      </c>
      <c r="O19" s="2" t="n">
        <v>0</v>
      </c>
      <c r="P19" s="2" t="n">
        <v>1</v>
      </c>
      <c r="Q19" s="2" t="n">
        <v>16</v>
      </c>
      <c r="R19" s="2" t="n">
        <v>1</v>
      </c>
      <c r="S19" s="2" t="n">
        <v>1</v>
      </c>
      <c r="T19" s="2" t="n">
        <v>35</v>
      </c>
      <c r="U19" s="2" t="n">
        <v>18</v>
      </c>
      <c r="V19" s="2" t="s">
        <v>5326</v>
      </c>
    </row>
    <row r="20" customFormat="false" ht="15" hidden="false" customHeight="false" outlineLevel="0" collapsed="false">
      <c r="A20" s="2" t="n">
        <v>20</v>
      </c>
      <c r="B20" s="2" t="s">
        <v>286</v>
      </c>
      <c r="C20" s="2" t="s">
        <v>292</v>
      </c>
      <c r="D20" s="2" t="s">
        <v>5321</v>
      </c>
      <c r="E20" s="2" t="s">
        <v>5368</v>
      </c>
      <c r="F20" s="2" t="s">
        <v>5369</v>
      </c>
      <c r="G20" s="2" t="s">
        <v>5324</v>
      </c>
      <c r="H20" s="2" t="s">
        <v>5370</v>
      </c>
      <c r="I20" s="2" t="n">
        <v>33</v>
      </c>
      <c r="J20" s="2" t="n">
        <v>17814</v>
      </c>
      <c r="K20" s="2" t="n">
        <v>105</v>
      </c>
      <c r="L20" s="2" t="n">
        <v>83</v>
      </c>
      <c r="M20" s="2" t="n">
        <v>8</v>
      </c>
      <c r="N20" s="2" t="n">
        <v>0</v>
      </c>
      <c r="O20" s="2" t="n">
        <v>14</v>
      </c>
      <c r="P20" s="2" t="n">
        <v>0</v>
      </c>
      <c r="Q20" s="2" t="n">
        <v>53</v>
      </c>
      <c r="R20" s="2" t="n">
        <v>3</v>
      </c>
      <c r="S20" s="2" t="n">
        <v>2</v>
      </c>
      <c r="T20" s="2" t="n">
        <v>47</v>
      </c>
      <c r="U20" s="2" t="n">
        <v>65</v>
      </c>
      <c r="V20" s="2" t="s">
        <v>5326</v>
      </c>
    </row>
    <row r="21" customFormat="false" ht="15" hidden="false" customHeight="false" outlineLevel="0" collapsed="false">
      <c r="A21" s="2" t="n">
        <v>20</v>
      </c>
      <c r="B21" s="2" t="s">
        <v>286</v>
      </c>
      <c r="C21" s="2" t="s">
        <v>292</v>
      </c>
      <c r="D21" s="2" t="s">
        <v>5321</v>
      </c>
      <c r="E21" s="2" t="s">
        <v>5371</v>
      </c>
      <c r="F21" s="2" t="s">
        <v>2062</v>
      </c>
      <c r="G21" s="2" t="s">
        <v>5324</v>
      </c>
      <c r="H21" s="2" t="s">
        <v>5372</v>
      </c>
      <c r="I21" s="2" t="n">
        <v>16</v>
      </c>
      <c r="J21" s="2" t="n">
        <v>7977</v>
      </c>
      <c r="K21" s="2" t="n">
        <v>48</v>
      </c>
      <c r="L21" s="2" t="n">
        <v>43</v>
      </c>
      <c r="M21" s="2" t="n">
        <v>1</v>
      </c>
      <c r="N21" s="2" t="n">
        <v>0</v>
      </c>
      <c r="O21" s="2" t="n">
        <v>4</v>
      </c>
      <c r="P21" s="2" t="n">
        <v>0</v>
      </c>
      <c r="Q21" s="2" t="n">
        <v>21</v>
      </c>
      <c r="R21" s="2" t="n">
        <v>11</v>
      </c>
      <c r="S21" s="2" t="n">
        <v>0</v>
      </c>
      <c r="T21" s="2" t="n">
        <v>16</v>
      </c>
      <c r="U21" s="2" t="n">
        <v>18</v>
      </c>
      <c r="V21" s="2" t="s">
        <v>5326</v>
      </c>
    </row>
    <row r="22" customFormat="false" ht="15" hidden="false" customHeight="false" outlineLevel="0" collapsed="false">
      <c r="A22" s="2" t="n">
        <v>20</v>
      </c>
      <c r="B22" s="2" t="s">
        <v>286</v>
      </c>
      <c r="C22" s="2" t="s">
        <v>292</v>
      </c>
      <c r="D22" s="2" t="s">
        <v>5321</v>
      </c>
      <c r="E22" s="2" t="s">
        <v>5373</v>
      </c>
      <c r="F22" s="2" t="s">
        <v>5374</v>
      </c>
      <c r="G22" s="2" t="s">
        <v>5324</v>
      </c>
      <c r="H22" s="2" t="s">
        <v>5375</v>
      </c>
      <c r="I22" s="2" t="n">
        <v>31</v>
      </c>
      <c r="J22" s="2" t="n">
        <v>14332</v>
      </c>
      <c r="K22" s="2" t="n">
        <v>100</v>
      </c>
      <c r="L22" s="2" t="n">
        <v>79</v>
      </c>
      <c r="M22" s="2" t="n">
        <v>10</v>
      </c>
      <c r="N22" s="2" t="n">
        <v>0</v>
      </c>
      <c r="O22" s="2" t="n">
        <v>10</v>
      </c>
      <c r="P22" s="2" t="n">
        <v>1</v>
      </c>
      <c r="Q22" s="2" t="n">
        <v>60</v>
      </c>
      <c r="R22" s="2" t="n">
        <v>1</v>
      </c>
      <c r="S22" s="2" t="n">
        <v>0</v>
      </c>
      <c r="T22" s="2" t="n">
        <v>39</v>
      </c>
      <c r="U22" s="2" t="n">
        <v>126</v>
      </c>
      <c r="V22" s="2" t="s">
        <v>5326</v>
      </c>
    </row>
    <row r="23" customFormat="false" ht="15" hidden="false" customHeight="false" outlineLevel="0" collapsed="false">
      <c r="A23" s="2" t="n">
        <v>20</v>
      </c>
      <c r="B23" s="2" t="s">
        <v>286</v>
      </c>
      <c r="C23" s="2" t="s">
        <v>292</v>
      </c>
      <c r="D23" s="2" t="s">
        <v>5321</v>
      </c>
      <c r="E23" s="2" t="s">
        <v>5376</v>
      </c>
      <c r="F23" s="2" t="s">
        <v>5377</v>
      </c>
      <c r="G23" s="2" t="s">
        <v>5324</v>
      </c>
      <c r="H23" s="2" t="s">
        <v>5378</v>
      </c>
      <c r="I23" s="2" t="n">
        <v>15</v>
      </c>
      <c r="J23" s="2" t="n">
        <v>6789</v>
      </c>
      <c r="K23" s="2" t="n">
        <v>50</v>
      </c>
      <c r="L23" s="2" t="n">
        <v>43</v>
      </c>
      <c r="M23" s="2" t="n">
        <v>2</v>
      </c>
      <c r="N23" s="2" t="n">
        <v>3</v>
      </c>
      <c r="O23" s="2" t="n">
        <v>2</v>
      </c>
      <c r="P23" s="2" t="n">
        <v>0</v>
      </c>
      <c r="Q23" s="2" t="n">
        <v>5</v>
      </c>
      <c r="R23" s="2" t="n">
        <v>12</v>
      </c>
      <c r="S23" s="2" t="n">
        <v>1</v>
      </c>
      <c r="T23" s="2" t="n">
        <v>32</v>
      </c>
      <c r="U23" s="2" t="n">
        <v>20</v>
      </c>
      <c r="V23" s="2" t="s">
        <v>5326</v>
      </c>
    </row>
    <row r="24" customFormat="false" ht="15" hidden="false" customHeight="false" outlineLevel="0" collapsed="false">
      <c r="A24" s="2" t="n">
        <v>20</v>
      </c>
      <c r="B24" s="2" t="s">
        <v>286</v>
      </c>
      <c r="C24" s="2" t="s">
        <v>292</v>
      </c>
      <c r="D24" s="2" t="s">
        <v>5321</v>
      </c>
      <c r="E24" s="2" t="s">
        <v>5379</v>
      </c>
      <c r="F24" s="2" t="s">
        <v>652</v>
      </c>
      <c r="G24" s="2" t="s">
        <v>5324</v>
      </c>
      <c r="H24" s="2" t="s">
        <v>5380</v>
      </c>
      <c r="I24" s="2" t="n">
        <v>19</v>
      </c>
      <c r="J24" s="2" t="n">
        <v>8213</v>
      </c>
      <c r="K24" s="2" t="n">
        <v>69</v>
      </c>
      <c r="L24" s="2" t="n">
        <v>61</v>
      </c>
      <c r="M24" s="2" t="n">
        <v>2</v>
      </c>
      <c r="N24" s="2" t="n">
        <v>2</v>
      </c>
      <c r="O24" s="2" t="n">
        <v>4</v>
      </c>
      <c r="P24" s="2" t="n">
        <v>0</v>
      </c>
      <c r="Q24" s="2" t="n">
        <v>19</v>
      </c>
      <c r="R24" s="2" t="n">
        <v>8</v>
      </c>
      <c r="S24" s="2" t="n">
        <v>5</v>
      </c>
      <c r="T24" s="2" t="n">
        <v>37</v>
      </c>
      <c r="U24" s="2" t="n">
        <v>65</v>
      </c>
      <c r="V24" s="2" t="s">
        <v>5326</v>
      </c>
    </row>
    <row r="25" customFormat="false" ht="15" hidden="false" customHeight="false" outlineLevel="0" collapsed="false">
      <c r="A25" s="2" t="n">
        <v>20</v>
      </c>
      <c r="B25" s="2" t="s">
        <v>286</v>
      </c>
      <c r="C25" s="2" t="s">
        <v>292</v>
      </c>
      <c r="D25" s="2" t="s">
        <v>5321</v>
      </c>
      <c r="E25" s="2" t="s">
        <v>5381</v>
      </c>
      <c r="F25" s="2" t="s">
        <v>5382</v>
      </c>
      <c r="G25" s="2" t="s">
        <v>5324</v>
      </c>
      <c r="H25" s="2" t="s">
        <v>5383</v>
      </c>
      <c r="I25" s="2" t="n">
        <v>12</v>
      </c>
      <c r="J25" s="2" t="n">
        <v>5898</v>
      </c>
      <c r="K25" s="2" t="n">
        <v>16</v>
      </c>
      <c r="L25" s="2" t="n">
        <v>13</v>
      </c>
      <c r="M25" s="2" t="n">
        <v>0</v>
      </c>
      <c r="N25" s="2" t="n">
        <v>1</v>
      </c>
      <c r="O25" s="2" t="n">
        <v>2</v>
      </c>
      <c r="P25" s="2" t="n">
        <v>0</v>
      </c>
      <c r="Q25" s="2" t="n">
        <v>0</v>
      </c>
      <c r="R25" s="2" t="n">
        <v>1</v>
      </c>
      <c r="S25" s="2" t="n">
        <v>2</v>
      </c>
      <c r="T25" s="2" t="n">
        <v>13</v>
      </c>
      <c r="U25" s="2" t="n">
        <v>36</v>
      </c>
      <c r="V25" s="2" t="s">
        <v>5326</v>
      </c>
    </row>
    <row r="26" customFormat="false" ht="15" hidden="false" customHeight="false" outlineLevel="0" collapsed="false">
      <c r="A26" s="2" t="n">
        <v>20</v>
      </c>
      <c r="B26" s="2" t="s">
        <v>286</v>
      </c>
      <c r="C26" s="2" t="s">
        <v>292</v>
      </c>
      <c r="D26" s="2" t="s">
        <v>5321</v>
      </c>
      <c r="E26" s="2" t="s">
        <v>5384</v>
      </c>
      <c r="F26" s="2" t="s">
        <v>5382</v>
      </c>
      <c r="G26" s="2" t="s">
        <v>5324</v>
      </c>
      <c r="H26" s="2" t="s">
        <v>5385</v>
      </c>
      <c r="I26" s="2" t="n">
        <v>36</v>
      </c>
      <c r="J26" s="2" t="n">
        <v>16880</v>
      </c>
      <c r="K26" s="2" t="n">
        <v>83</v>
      </c>
      <c r="L26" s="2" t="n">
        <v>58</v>
      </c>
      <c r="M26" s="2" t="n">
        <v>12</v>
      </c>
      <c r="N26" s="2" t="n">
        <v>3</v>
      </c>
      <c r="O26" s="2" t="n">
        <v>10</v>
      </c>
      <c r="P26" s="2" t="n">
        <v>0</v>
      </c>
      <c r="Q26" s="2" t="n">
        <v>35</v>
      </c>
      <c r="R26" s="2" t="n">
        <v>3</v>
      </c>
      <c r="S26" s="2" t="n">
        <v>2</v>
      </c>
      <c r="T26" s="2" t="n">
        <v>43</v>
      </c>
      <c r="U26" s="2" t="n">
        <v>64</v>
      </c>
      <c r="V26" s="2" t="s">
        <v>5326</v>
      </c>
    </row>
    <row r="27" customFormat="false" ht="15" hidden="false" customHeight="false" outlineLevel="0" collapsed="false">
      <c r="A27" s="2" t="n">
        <v>20</v>
      </c>
      <c r="B27" s="2" t="s">
        <v>286</v>
      </c>
      <c r="C27" s="2" t="s">
        <v>292</v>
      </c>
      <c r="D27" s="2" t="s">
        <v>5321</v>
      </c>
      <c r="E27" s="2" t="s">
        <v>5386</v>
      </c>
      <c r="F27" s="2" t="s">
        <v>5387</v>
      </c>
      <c r="G27" s="2" t="s">
        <v>5324</v>
      </c>
      <c r="H27" s="2" t="s">
        <v>5388</v>
      </c>
      <c r="I27" s="2" t="n">
        <v>40</v>
      </c>
      <c r="J27" s="2" t="n">
        <v>23164</v>
      </c>
      <c r="K27" s="2" t="n">
        <v>88</v>
      </c>
      <c r="L27" s="2" t="n">
        <v>73</v>
      </c>
      <c r="M27" s="2" t="n">
        <v>5</v>
      </c>
      <c r="N27" s="2" t="n">
        <v>1</v>
      </c>
      <c r="O27" s="2" t="n">
        <v>9</v>
      </c>
      <c r="P27" s="2" t="n">
        <v>0</v>
      </c>
      <c r="Q27" s="2" t="n">
        <v>49</v>
      </c>
      <c r="R27" s="2" t="n">
        <v>0</v>
      </c>
      <c r="S27" s="2" t="n">
        <v>4</v>
      </c>
      <c r="T27" s="2" t="n">
        <v>35</v>
      </c>
      <c r="U27" s="2" t="n">
        <v>64</v>
      </c>
      <c r="V27" s="2" t="s">
        <v>5326</v>
      </c>
    </row>
    <row r="28" customFormat="false" ht="15" hidden="false" customHeight="false" outlineLevel="0" collapsed="false">
      <c r="A28" s="2" t="n">
        <v>20</v>
      </c>
      <c r="B28" s="2" t="s">
        <v>286</v>
      </c>
      <c r="C28" s="2" t="s">
        <v>292</v>
      </c>
      <c r="D28" s="2" t="s">
        <v>5321</v>
      </c>
      <c r="E28" s="2" t="s">
        <v>5389</v>
      </c>
      <c r="F28" s="2" t="s">
        <v>5390</v>
      </c>
      <c r="G28" s="2" t="s">
        <v>5324</v>
      </c>
      <c r="H28" s="2" t="s">
        <v>5391</v>
      </c>
      <c r="I28" s="2" t="n">
        <v>4</v>
      </c>
      <c r="J28" s="2" t="n">
        <v>1850</v>
      </c>
      <c r="K28" s="2" t="n">
        <v>10</v>
      </c>
      <c r="L28" s="2" t="n">
        <v>10</v>
      </c>
      <c r="M28" s="2" t="n">
        <v>0</v>
      </c>
      <c r="N28" s="2" t="n">
        <v>0</v>
      </c>
      <c r="O28" s="2" t="n">
        <v>0</v>
      </c>
      <c r="P28" s="2" t="n">
        <v>0</v>
      </c>
      <c r="Q28" s="2" t="n">
        <v>6</v>
      </c>
      <c r="R28" s="2" t="n">
        <v>0</v>
      </c>
      <c r="S28" s="2" t="n">
        <v>0</v>
      </c>
      <c r="T28" s="2" t="n">
        <v>4</v>
      </c>
      <c r="U28" s="2" t="n">
        <v>6</v>
      </c>
      <c r="V28" s="2" t="s">
        <v>5326</v>
      </c>
    </row>
    <row r="29" customFormat="false" ht="15" hidden="false" customHeight="false" outlineLevel="0" collapsed="false">
      <c r="A29" s="2" t="n">
        <v>20</v>
      </c>
      <c r="B29" s="2" t="s">
        <v>286</v>
      </c>
      <c r="C29" s="2" t="s">
        <v>292</v>
      </c>
      <c r="D29" s="2" t="s">
        <v>5321</v>
      </c>
      <c r="E29" s="2" t="s">
        <v>5392</v>
      </c>
      <c r="F29" s="2" t="s">
        <v>2461</v>
      </c>
      <c r="G29" s="2" t="s">
        <v>5324</v>
      </c>
      <c r="H29" s="2" t="s">
        <v>5393</v>
      </c>
      <c r="I29" s="2" t="n">
        <v>48</v>
      </c>
      <c r="J29" s="2" t="n">
        <v>22552</v>
      </c>
      <c r="K29" s="2" t="n">
        <v>114</v>
      </c>
      <c r="L29" s="2" t="n">
        <v>76</v>
      </c>
      <c r="M29" s="2" t="n">
        <v>17</v>
      </c>
      <c r="N29" s="2" t="n">
        <v>6</v>
      </c>
      <c r="O29" s="2" t="n">
        <v>15</v>
      </c>
      <c r="P29" s="2" t="n">
        <v>0</v>
      </c>
      <c r="Q29" s="2" t="n">
        <v>28</v>
      </c>
      <c r="R29" s="2" t="n">
        <v>6</v>
      </c>
      <c r="S29" s="2" t="n">
        <v>5</v>
      </c>
      <c r="T29" s="2" t="n">
        <v>75</v>
      </c>
      <c r="U29" s="2" t="n">
        <v>57</v>
      </c>
      <c r="V29" s="2" t="s">
        <v>5326</v>
      </c>
    </row>
    <row r="30" customFormat="false" ht="15" hidden="false" customHeight="false" outlineLevel="0" collapsed="false">
      <c r="A30" s="2" t="n">
        <v>20</v>
      </c>
      <c r="B30" s="2" t="s">
        <v>286</v>
      </c>
      <c r="C30" s="2" t="s">
        <v>292</v>
      </c>
      <c r="D30" s="2" t="s">
        <v>5321</v>
      </c>
      <c r="E30" s="2" t="s">
        <v>5394</v>
      </c>
      <c r="F30" s="2" t="s">
        <v>544</v>
      </c>
      <c r="G30" s="2" t="s">
        <v>5324</v>
      </c>
      <c r="H30" s="2" t="s">
        <v>5395</v>
      </c>
      <c r="I30" s="2" t="n">
        <v>39</v>
      </c>
      <c r="J30" s="2" t="n">
        <v>18626</v>
      </c>
      <c r="K30" s="2" t="n">
        <v>34</v>
      </c>
      <c r="L30" s="2" t="n">
        <v>23</v>
      </c>
      <c r="M30" s="2" t="n">
        <v>2</v>
      </c>
      <c r="N30" s="2" t="n">
        <v>0</v>
      </c>
      <c r="O30" s="2" t="n">
        <v>9</v>
      </c>
      <c r="P30" s="2" t="n">
        <v>0</v>
      </c>
      <c r="Q30" s="2" t="n">
        <v>21</v>
      </c>
      <c r="R30" s="2" t="n">
        <v>1</v>
      </c>
      <c r="S30" s="2" t="n">
        <v>0</v>
      </c>
      <c r="T30" s="2" t="n">
        <v>12</v>
      </c>
      <c r="U30" s="2" t="n">
        <v>156</v>
      </c>
      <c r="V30" s="2" t="s">
        <v>5326</v>
      </c>
    </row>
    <row r="31" customFormat="false" ht="15" hidden="false" customHeight="false" outlineLevel="0" collapsed="false">
      <c r="A31" s="2" t="n">
        <v>20</v>
      </c>
      <c r="B31" s="2" t="s">
        <v>286</v>
      </c>
      <c r="C31" s="2" t="s">
        <v>292</v>
      </c>
      <c r="D31" s="2" t="s">
        <v>5321</v>
      </c>
      <c r="E31" s="2" t="s">
        <v>5396</v>
      </c>
      <c r="F31" s="2" t="s">
        <v>544</v>
      </c>
      <c r="G31" s="2" t="s">
        <v>5324</v>
      </c>
      <c r="H31" s="2" t="s">
        <v>5397</v>
      </c>
      <c r="I31" s="2" t="n">
        <v>51</v>
      </c>
      <c r="J31" s="2" t="n">
        <v>27591</v>
      </c>
      <c r="K31" s="2" t="n">
        <v>168</v>
      </c>
      <c r="L31" s="2" t="n">
        <v>146</v>
      </c>
      <c r="M31" s="2" t="n">
        <v>8</v>
      </c>
      <c r="N31" s="2" t="n">
        <v>3</v>
      </c>
      <c r="O31" s="2" t="n">
        <v>11</v>
      </c>
      <c r="P31" s="2" t="n">
        <v>0</v>
      </c>
      <c r="Q31" s="2" t="n">
        <v>121</v>
      </c>
      <c r="R31" s="2" t="n">
        <v>7</v>
      </c>
      <c r="S31" s="2" t="n">
        <v>1</v>
      </c>
      <c r="T31" s="2" t="n">
        <v>39</v>
      </c>
      <c r="U31" s="2" t="n">
        <v>114</v>
      </c>
      <c r="V31" s="2" t="s">
        <v>5326</v>
      </c>
    </row>
    <row r="32" customFormat="false" ht="15" hidden="false" customHeight="false" outlineLevel="0" collapsed="false">
      <c r="A32" s="2" t="n">
        <v>20</v>
      </c>
      <c r="B32" s="2" t="s">
        <v>286</v>
      </c>
      <c r="C32" s="2" t="s">
        <v>292</v>
      </c>
      <c r="D32" s="2" t="s">
        <v>5321</v>
      </c>
      <c r="E32" s="2" t="s">
        <v>5398</v>
      </c>
      <c r="F32" s="2" t="s">
        <v>5399</v>
      </c>
      <c r="G32" s="2" t="s">
        <v>5324</v>
      </c>
      <c r="H32" s="2" t="s">
        <v>5400</v>
      </c>
      <c r="I32" s="2" t="n">
        <v>20</v>
      </c>
      <c r="J32" s="2" t="n">
        <v>8902</v>
      </c>
      <c r="K32" s="2" t="n">
        <v>40</v>
      </c>
      <c r="L32" s="2" t="n">
        <v>31</v>
      </c>
      <c r="M32" s="2" t="n">
        <v>4</v>
      </c>
      <c r="N32" s="2" t="n">
        <v>1</v>
      </c>
      <c r="O32" s="2" t="n">
        <v>3</v>
      </c>
      <c r="P32" s="2" t="n">
        <v>1</v>
      </c>
      <c r="Q32" s="2" t="n">
        <v>6</v>
      </c>
      <c r="R32" s="2" t="n">
        <v>5</v>
      </c>
      <c r="S32" s="2" t="n">
        <v>2</v>
      </c>
      <c r="T32" s="2" t="n">
        <v>27</v>
      </c>
      <c r="U32" s="2" t="n">
        <v>51</v>
      </c>
      <c r="V32" s="2" t="s">
        <v>5326</v>
      </c>
    </row>
    <row r="33" customFormat="false" ht="15" hidden="false" customHeight="false" outlineLevel="0" collapsed="false">
      <c r="A33" s="2" t="n">
        <v>20</v>
      </c>
      <c r="B33" s="2" t="s">
        <v>286</v>
      </c>
      <c r="C33" s="2" t="s">
        <v>292</v>
      </c>
      <c r="D33" s="2" t="s">
        <v>5321</v>
      </c>
      <c r="E33" s="2" t="s">
        <v>5401</v>
      </c>
      <c r="F33" s="2" t="s">
        <v>5402</v>
      </c>
      <c r="G33" s="2" t="s">
        <v>5324</v>
      </c>
      <c r="H33" s="2" t="s">
        <v>5403</v>
      </c>
      <c r="I33" s="2" t="n">
        <v>32</v>
      </c>
      <c r="J33" s="2" t="n">
        <v>15633</v>
      </c>
      <c r="K33" s="2" t="n">
        <v>27</v>
      </c>
      <c r="L33" s="2" t="n">
        <v>13</v>
      </c>
      <c r="M33" s="2" t="n">
        <v>4</v>
      </c>
      <c r="N33" s="2" t="n">
        <v>0</v>
      </c>
      <c r="O33" s="2" t="n">
        <v>10</v>
      </c>
      <c r="P33" s="2" t="n">
        <v>0</v>
      </c>
      <c r="Q33" s="2" t="n">
        <v>11</v>
      </c>
      <c r="R33" s="2" t="n">
        <v>0</v>
      </c>
      <c r="S33" s="2" t="n">
        <v>0</v>
      </c>
      <c r="T33" s="2" t="n">
        <v>16</v>
      </c>
      <c r="U33" s="2" t="n">
        <v>91</v>
      </c>
      <c r="V33" s="2" t="s">
        <v>5326</v>
      </c>
    </row>
    <row r="34" customFormat="false" ht="15" hidden="false" customHeight="false" outlineLevel="0" collapsed="false">
      <c r="A34" s="2" t="n">
        <v>20</v>
      </c>
      <c r="B34" s="2" t="s">
        <v>286</v>
      </c>
      <c r="C34" s="2" t="s">
        <v>292</v>
      </c>
      <c r="D34" s="2" t="s">
        <v>5321</v>
      </c>
      <c r="E34" s="2" t="s">
        <v>5404</v>
      </c>
      <c r="F34" s="2" t="s">
        <v>5405</v>
      </c>
      <c r="G34" s="2" t="s">
        <v>5324</v>
      </c>
      <c r="H34" s="2" t="s">
        <v>5406</v>
      </c>
      <c r="I34" s="2" t="n">
        <v>16</v>
      </c>
      <c r="J34" s="2" t="n">
        <v>6325</v>
      </c>
      <c r="K34" s="2" t="n">
        <v>21</v>
      </c>
      <c r="L34" s="2" t="n">
        <v>15</v>
      </c>
      <c r="M34" s="2" t="n">
        <v>0</v>
      </c>
      <c r="N34" s="2" t="n">
        <v>2</v>
      </c>
      <c r="O34" s="2" t="n">
        <v>4</v>
      </c>
      <c r="P34" s="2" t="n">
        <v>0</v>
      </c>
      <c r="Q34" s="2" t="n">
        <v>9</v>
      </c>
      <c r="R34" s="2" t="n">
        <v>0</v>
      </c>
      <c r="S34" s="2" t="n">
        <v>0</v>
      </c>
      <c r="T34" s="2" t="n">
        <v>12</v>
      </c>
      <c r="U34" s="2" t="n">
        <v>20</v>
      </c>
      <c r="V34" s="2" t="s">
        <v>5326</v>
      </c>
    </row>
    <row r="35" customFormat="false" ht="15" hidden="false" customHeight="false" outlineLevel="0" collapsed="false">
      <c r="A35" s="2" t="n">
        <v>20</v>
      </c>
      <c r="B35" s="2" t="s">
        <v>286</v>
      </c>
      <c r="C35" s="2" t="s">
        <v>292</v>
      </c>
      <c r="D35" s="2" t="s">
        <v>5321</v>
      </c>
      <c r="E35" s="2" t="s">
        <v>5407</v>
      </c>
      <c r="F35" s="2" t="s">
        <v>5408</v>
      </c>
      <c r="G35" s="2" t="s">
        <v>5324</v>
      </c>
      <c r="H35" s="2" t="s">
        <v>5409</v>
      </c>
      <c r="I35" s="2" t="n">
        <v>69</v>
      </c>
      <c r="J35" s="2" t="n">
        <v>31152</v>
      </c>
      <c r="K35" s="2" t="n">
        <v>152</v>
      </c>
      <c r="L35" s="2" t="n">
        <v>111</v>
      </c>
      <c r="M35" s="2" t="n">
        <v>5</v>
      </c>
      <c r="N35" s="2" t="n">
        <v>4</v>
      </c>
      <c r="O35" s="2" t="n">
        <v>32</v>
      </c>
      <c r="P35" s="2" t="n">
        <v>0</v>
      </c>
      <c r="Q35" s="2" t="n">
        <v>14</v>
      </c>
      <c r="R35" s="2" t="n">
        <v>27</v>
      </c>
      <c r="S35" s="2" t="n">
        <v>9</v>
      </c>
      <c r="T35" s="2" t="n">
        <v>102</v>
      </c>
      <c r="U35" s="2" t="n">
        <v>203</v>
      </c>
      <c r="V35" s="2" t="s">
        <v>5326</v>
      </c>
    </row>
    <row r="36" customFormat="false" ht="15" hidden="false" customHeight="false" outlineLevel="0" collapsed="false">
      <c r="A36" s="2" t="n">
        <v>20</v>
      </c>
      <c r="B36" s="2" t="s">
        <v>286</v>
      </c>
      <c r="C36" s="2" t="s">
        <v>292</v>
      </c>
      <c r="D36" s="2" t="s">
        <v>5321</v>
      </c>
      <c r="E36" s="2" t="s">
        <v>5410</v>
      </c>
      <c r="F36" s="2" t="s">
        <v>5411</v>
      </c>
      <c r="G36" s="2" t="s">
        <v>5324</v>
      </c>
      <c r="H36" s="2" t="s">
        <v>5412</v>
      </c>
      <c r="I36" s="2" t="n">
        <v>22</v>
      </c>
      <c r="J36" s="2" t="n">
        <v>9131</v>
      </c>
      <c r="K36" s="2" t="n">
        <v>35</v>
      </c>
      <c r="L36" s="2" t="n">
        <v>25</v>
      </c>
      <c r="M36" s="2" t="n">
        <v>5</v>
      </c>
      <c r="N36" s="2" t="n">
        <v>2</v>
      </c>
      <c r="O36" s="2" t="n">
        <v>3</v>
      </c>
      <c r="P36" s="2" t="n">
        <v>0</v>
      </c>
      <c r="Q36" s="2" t="n">
        <v>3</v>
      </c>
      <c r="R36" s="2" t="n">
        <v>10</v>
      </c>
      <c r="S36" s="2" t="n">
        <v>0</v>
      </c>
      <c r="T36" s="2" t="n">
        <v>22</v>
      </c>
      <c r="U36" s="2" t="n">
        <v>49</v>
      </c>
      <c r="V36" s="2" t="s">
        <v>5326</v>
      </c>
    </row>
    <row r="37" customFormat="false" ht="15" hidden="false" customHeight="false" outlineLevel="0" collapsed="false">
      <c r="A37" s="2" t="n">
        <v>20</v>
      </c>
      <c r="B37" s="2" t="s">
        <v>286</v>
      </c>
      <c r="C37" s="2" t="s">
        <v>292</v>
      </c>
      <c r="D37" s="2" t="s">
        <v>5321</v>
      </c>
      <c r="E37" s="2" t="s">
        <v>5413</v>
      </c>
      <c r="F37" s="2" t="s">
        <v>5414</v>
      </c>
      <c r="G37" s="2" t="s">
        <v>5324</v>
      </c>
      <c r="H37" s="2" t="s">
        <v>5415</v>
      </c>
      <c r="I37" s="2" t="n">
        <v>74</v>
      </c>
      <c r="J37" s="2" t="n">
        <v>33214</v>
      </c>
      <c r="K37" s="2" t="n">
        <v>120</v>
      </c>
      <c r="L37" s="2" t="n">
        <v>85</v>
      </c>
      <c r="M37" s="2" t="n">
        <v>15</v>
      </c>
      <c r="N37" s="2" t="n">
        <v>2</v>
      </c>
      <c r="O37" s="2" t="n">
        <v>18</v>
      </c>
      <c r="P37" s="2" t="n">
        <v>0</v>
      </c>
      <c r="Q37" s="2" t="n">
        <v>73</v>
      </c>
      <c r="R37" s="2" t="n">
        <v>0</v>
      </c>
      <c r="S37" s="2" t="n">
        <v>2</v>
      </c>
      <c r="T37" s="2" t="n">
        <v>45</v>
      </c>
      <c r="U37" s="2" t="n">
        <v>115</v>
      </c>
      <c r="V37" s="2" t="s">
        <v>5326</v>
      </c>
    </row>
    <row r="38" customFormat="false" ht="15" hidden="false" customHeight="false" outlineLevel="0" collapsed="false">
      <c r="A38" s="2" t="n">
        <v>20</v>
      </c>
      <c r="B38" s="2" t="s">
        <v>286</v>
      </c>
      <c r="C38" s="2" t="s">
        <v>292</v>
      </c>
      <c r="D38" s="2" t="s">
        <v>5321</v>
      </c>
      <c r="E38" s="2" t="s">
        <v>5416</v>
      </c>
      <c r="F38" s="2" t="s">
        <v>5414</v>
      </c>
      <c r="G38" s="2" t="s">
        <v>5324</v>
      </c>
      <c r="H38" s="2" t="s">
        <v>5417</v>
      </c>
      <c r="I38" s="2" t="n">
        <v>24</v>
      </c>
      <c r="J38" s="2" t="n">
        <v>9889</v>
      </c>
      <c r="K38" s="2" t="n">
        <v>31</v>
      </c>
      <c r="L38" s="2" t="n">
        <v>20</v>
      </c>
      <c r="M38" s="2" t="n">
        <v>4</v>
      </c>
      <c r="N38" s="2" t="n">
        <v>3</v>
      </c>
      <c r="O38" s="2" t="n">
        <v>4</v>
      </c>
      <c r="P38" s="2" t="n">
        <v>0</v>
      </c>
      <c r="Q38" s="2" t="n">
        <v>20</v>
      </c>
      <c r="R38" s="2" t="n">
        <v>1</v>
      </c>
      <c r="S38" s="2" t="n">
        <v>0</v>
      </c>
      <c r="T38" s="2" t="n">
        <v>10</v>
      </c>
      <c r="U38" s="2" t="n">
        <v>20</v>
      </c>
      <c r="V38" s="2" t="s">
        <v>5326</v>
      </c>
    </row>
    <row r="39" customFormat="false" ht="15" hidden="false" customHeight="false" outlineLevel="0" collapsed="false">
      <c r="A39" s="2" t="n">
        <v>20</v>
      </c>
      <c r="B39" s="2" t="s">
        <v>286</v>
      </c>
      <c r="C39" s="2" t="s">
        <v>292</v>
      </c>
      <c r="D39" s="2" t="s">
        <v>5321</v>
      </c>
      <c r="E39" s="2" t="s">
        <v>5418</v>
      </c>
      <c r="F39" s="2" t="s">
        <v>5414</v>
      </c>
      <c r="G39" s="2" t="s">
        <v>5324</v>
      </c>
      <c r="H39" s="2" t="s">
        <v>5419</v>
      </c>
      <c r="I39" s="2" t="n">
        <v>19</v>
      </c>
      <c r="J39" s="2" t="n">
        <v>7834</v>
      </c>
      <c r="K39" s="2" t="n">
        <v>58</v>
      </c>
      <c r="L39" s="2" t="n">
        <v>50</v>
      </c>
      <c r="M39" s="2" t="n">
        <v>3</v>
      </c>
      <c r="N39" s="2" t="n">
        <v>1</v>
      </c>
      <c r="O39" s="2" t="n">
        <v>2</v>
      </c>
      <c r="P39" s="2" t="n">
        <v>2</v>
      </c>
      <c r="Q39" s="2" t="n">
        <v>12</v>
      </c>
      <c r="R39" s="2" t="n">
        <v>2</v>
      </c>
      <c r="S39" s="2" t="n">
        <v>0</v>
      </c>
      <c r="T39" s="2" t="n">
        <v>44</v>
      </c>
      <c r="U39" s="2" t="n">
        <v>26</v>
      </c>
      <c r="V39" s="2" t="s">
        <v>5326</v>
      </c>
    </row>
    <row r="40" customFormat="false" ht="15" hidden="false" customHeight="false" outlineLevel="0" collapsed="false">
      <c r="A40" s="2" t="n">
        <v>20</v>
      </c>
      <c r="B40" s="2" t="s">
        <v>286</v>
      </c>
      <c r="C40" s="2" t="s">
        <v>292</v>
      </c>
      <c r="D40" s="2" t="s">
        <v>5321</v>
      </c>
      <c r="E40" s="2" t="s">
        <v>5420</v>
      </c>
      <c r="F40" s="2" t="s">
        <v>3501</v>
      </c>
      <c r="G40" s="2" t="s">
        <v>5324</v>
      </c>
      <c r="H40" s="2" t="s">
        <v>5421</v>
      </c>
      <c r="I40" s="2" t="n">
        <v>33</v>
      </c>
      <c r="J40" s="2" t="n">
        <v>16100</v>
      </c>
      <c r="K40" s="2" t="n">
        <v>98</v>
      </c>
      <c r="L40" s="2" t="n">
        <v>48</v>
      </c>
      <c r="M40" s="2" t="n">
        <v>12</v>
      </c>
      <c r="N40" s="2" t="n">
        <v>1</v>
      </c>
      <c r="O40" s="2" t="n">
        <v>37</v>
      </c>
      <c r="P40" s="2" t="n">
        <v>0</v>
      </c>
      <c r="Q40" s="2" t="n">
        <v>49</v>
      </c>
      <c r="R40" s="2" t="n">
        <v>14</v>
      </c>
      <c r="S40" s="2" t="n">
        <v>0</v>
      </c>
      <c r="T40" s="2" t="n">
        <v>35</v>
      </c>
      <c r="U40" s="2" t="n">
        <v>115</v>
      </c>
      <c r="V40" s="2" t="s">
        <v>5326</v>
      </c>
    </row>
    <row r="41" customFormat="false" ht="15" hidden="false" customHeight="false" outlineLevel="0" collapsed="false">
      <c r="A41" s="2" t="n">
        <v>20</v>
      </c>
      <c r="B41" s="2" t="s">
        <v>286</v>
      </c>
      <c r="C41" s="2" t="s">
        <v>292</v>
      </c>
      <c r="D41" s="2" t="s">
        <v>5321</v>
      </c>
      <c r="E41" s="2" t="s">
        <v>5422</v>
      </c>
      <c r="F41" s="2" t="s">
        <v>5423</v>
      </c>
      <c r="G41" s="2" t="s">
        <v>5324</v>
      </c>
      <c r="H41" s="2" t="s">
        <v>5424</v>
      </c>
      <c r="I41" s="2" t="n">
        <v>63</v>
      </c>
      <c r="J41" s="2" t="n">
        <v>36255</v>
      </c>
      <c r="K41" s="2" t="n">
        <v>207</v>
      </c>
      <c r="L41" s="2" t="n">
        <v>149</v>
      </c>
      <c r="M41" s="2" t="n">
        <v>20</v>
      </c>
      <c r="N41" s="2" t="n">
        <v>7</v>
      </c>
      <c r="O41" s="2" t="n">
        <v>30</v>
      </c>
      <c r="P41" s="2" t="n">
        <v>1</v>
      </c>
      <c r="Q41" s="2" t="n">
        <v>119</v>
      </c>
      <c r="R41" s="2" t="n">
        <v>6</v>
      </c>
      <c r="S41" s="2" t="n">
        <v>4</v>
      </c>
      <c r="T41" s="2" t="n">
        <v>78</v>
      </c>
      <c r="U41" s="2" t="n">
        <v>171</v>
      </c>
      <c r="V41" s="2" t="s">
        <v>5326</v>
      </c>
    </row>
    <row r="42" customFormat="false" ht="15" hidden="false" customHeight="false" outlineLevel="0" collapsed="false">
      <c r="A42" s="2" t="n">
        <v>20</v>
      </c>
      <c r="B42" s="2" t="s">
        <v>286</v>
      </c>
      <c r="C42" s="2" t="s">
        <v>292</v>
      </c>
      <c r="D42" s="2" t="s">
        <v>5321</v>
      </c>
      <c r="E42" s="2" t="s">
        <v>5425</v>
      </c>
      <c r="F42" s="2" t="s">
        <v>5423</v>
      </c>
      <c r="G42" s="2" t="s">
        <v>5324</v>
      </c>
      <c r="H42" s="2" t="s">
        <v>5426</v>
      </c>
      <c r="I42" s="2" t="n">
        <v>14</v>
      </c>
      <c r="J42" s="2" t="n">
        <v>5423</v>
      </c>
      <c r="K42" s="2" t="n">
        <v>15</v>
      </c>
      <c r="L42" s="2" t="n">
        <v>13</v>
      </c>
      <c r="M42" s="2" t="n">
        <v>0</v>
      </c>
      <c r="N42" s="2" t="n">
        <v>1</v>
      </c>
      <c r="O42" s="2" t="n">
        <v>1</v>
      </c>
      <c r="P42" s="2" t="n">
        <v>0</v>
      </c>
      <c r="Q42" s="2" t="n">
        <v>7</v>
      </c>
      <c r="R42" s="2" t="n">
        <v>5</v>
      </c>
      <c r="S42" s="2" t="n">
        <v>0</v>
      </c>
      <c r="T42" s="2" t="n">
        <v>3</v>
      </c>
      <c r="U42" s="2" t="n">
        <v>14</v>
      </c>
      <c r="V42" s="2" t="s">
        <v>5326</v>
      </c>
    </row>
    <row r="43" customFormat="false" ht="15" hidden="false" customHeight="false" outlineLevel="0" collapsed="false">
      <c r="A43" s="2" t="n">
        <v>20</v>
      </c>
      <c r="B43" s="2" t="s">
        <v>286</v>
      </c>
      <c r="C43" s="2" t="s">
        <v>292</v>
      </c>
      <c r="D43" s="2" t="s">
        <v>5321</v>
      </c>
      <c r="E43" s="2" t="s">
        <v>5427</v>
      </c>
      <c r="F43" s="2" t="s">
        <v>4311</v>
      </c>
      <c r="G43" s="2" t="s">
        <v>5324</v>
      </c>
      <c r="H43" s="2" t="s">
        <v>5428</v>
      </c>
      <c r="I43" s="2" t="n">
        <v>52</v>
      </c>
      <c r="J43" s="2" t="n">
        <v>26374</v>
      </c>
      <c r="K43" s="2" t="n">
        <v>104</v>
      </c>
      <c r="L43" s="2" t="n">
        <v>77</v>
      </c>
      <c r="M43" s="2" t="n">
        <v>11</v>
      </c>
      <c r="N43" s="2" t="n">
        <v>9</v>
      </c>
      <c r="O43" s="2" t="n">
        <v>7</v>
      </c>
      <c r="P43" s="2" t="n">
        <v>0</v>
      </c>
      <c r="Q43" s="2" t="n">
        <v>35</v>
      </c>
      <c r="R43" s="2" t="n">
        <v>12</v>
      </c>
      <c r="S43" s="2" t="n">
        <v>2</v>
      </c>
      <c r="T43" s="2" t="n">
        <v>55</v>
      </c>
      <c r="U43" s="2" t="n">
        <v>88</v>
      </c>
      <c r="V43" s="2" t="s">
        <v>5326</v>
      </c>
    </row>
    <row r="44" customFormat="false" ht="15" hidden="false" customHeight="false" outlineLevel="0" collapsed="false">
      <c r="A44" s="2" t="n">
        <v>20</v>
      </c>
      <c r="B44" s="2" t="s">
        <v>286</v>
      </c>
      <c r="C44" s="2" t="s">
        <v>292</v>
      </c>
      <c r="D44" s="2" t="s">
        <v>5321</v>
      </c>
      <c r="E44" s="2" t="s">
        <v>5429</v>
      </c>
      <c r="F44" s="2" t="s">
        <v>5430</v>
      </c>
      <c r="G44" s="2" t="s">
        <v>5324</v>
      </c>
      <c r="H44" s="2" t="s">
        <v>5431</v>
      </c>
      <c r="I44" s="2" t="n">
        <v>31</v>
      </c>
      <c r="J44" s="2" t="n">
        <v>16483</v>
      </c>
      <c r="K44" s="2" t="n">
        <v>117</v>
      </c>
      <c r="L44" s="2" t="n">
        <v>98</v>
      </c>
      <c r="M44" s="2" t="n">
        <v>4</v>
      </c>
      <c r="N44" s="2" t="n">
        <v>0</v>
      </c>
      <c r="O44" s="2" t="n">
        <v>15</v>
      </c>
      <c r="P44" s="2" t="n">
        <v>0</v>
      </c>
      <c r="Q44" s="2" t="n">
        <v>7</v>
      </c>
      <c r="R44" s="2" t="n">
        <v>14</v>
      </c>
      <c r="S44" s="2" t="n">
        <v>51</v>
      </c>
      <c r="T44" s="2" t="n">
        <v>45</v>
      </c>
      <c r="U44" s="2" t="n">
        <v>49</v>
      </c>
      <c r="V44" s="2" t="s">
        <v>5326</v>
      </c>
    </row>
    <row r="45" customFormat="false" ht="15" hidden="false" customHeight="false" outlineLevel="0" collapsed="false">
      <c r="A45" s="2" t="n">
        <v>20</v>
      </c>
      <c r="B45" s="2" t="s">
        <v>286</v>
      </c>
      <c r="C45" s="2" t="s">
        <v>292</v>
      </c>
      <c r="D45" s="2" t="s">
        <v>5321</v>
      </c>
      <c r="E45" s="2" t="s">
        <v>5432</v>
      </c>
      <c r="F45" s="2" t="s">
        <v>5430</v>
      </c>
      <c r="G45" s="2" t="s">
        <v>5324</v>
      </c>
      <c r="H45" s="2" t="s">
        <v>5433</v>
      </c>
      <c r="I45" s="2" t="n">
        <v>48</v>
      </c>
      <c r="J45" s="2" t="n">
        <v>22922</v>
      </c>
      <c r="K45" s="2" t="n">
        <v>91</v>
      </c>
      <c r="L45" s="2" t="n">
        <v>58</v>
      </c>
      <c r="M45" s="2" t="n">
        <v>18</v>
      </c>
      <c r="N45" s="2" t="n">
        <v>1</v>
      </c>
      <c r="O45" s="2" t="n">
        <v>13</v>
      </c>
      <c r="P45" s="2" t="n">
        <v>1</v>
      </c>
      <c r="Q45" s="2" t="n">
        <v>16</v>
      </c>
      <c r="R45" s="2" t="n">
        <v>27</v>
      </c>
      <c r="S45" s="2" t="n">
        <v>4</v>
      </c>
      <c r="T45" s="2" t="n">
        <v>44</v>
      </c>
      <c r="U45" s="2" t="n">
        <v>55</v>
      </c>
      <c r="V45" s="2" t="s">
        <v>5326</v>
      </c>
    </row>
    <row r="46" customFormat="false" ht="15" hidden="false" customHeight="false" outlineLevel="0" collapsed="false">
      <c r="A46" s="2" t="n">
        <v>20</v>
      </c>
      <c r="B46" s="2" t="s">
        <v>286</v>
      </c>
      <c r="C46" s="2" t="s">
        <v>292</v>
      </c>
      <c r="D46" s="2" t="s">
        <v>5321</v>
      </c>
      <c r="E46" s="2" t="s">
        <v>5434</v>
      </c>
      <c r="F46" s="2" t="s">
        <v>986</v>
      </c>
      <c r="G46" s="2" t="s">
        <v>5324</v>
      </c>
      <c r="H46" s="2" t="s">
        <v>5435</v>
      </c>
      <c r="I46" s="2" t="n">
        <v>54</v>
      </c>
      <c r="J46" s="2" t="n">
        <v>12581</v>
      </c>
      <c r="K46" s="2" t="n">
        <v>73</v>
      </c>
      <c r="L46" s="2" t="n">
        <v>55</v>
      </c>
      <c r="M46" s="2" t="n">
        <v>4</v>
      </c>
      <c r="N46" s="2" t="n">
        <v>4</v>
      </c>
      <c r="O46" s="2" t="n">
        <v>10</v>
      </c>
      <c r="P46" s="2" t="n">
        <v>0</v>
      </c>
      <c r="Q46" s="2" t="n">
        <v>16</v>
      </c>
      <c r="R46" s="2" t="n">
        <v>0</v>
      </c>
      <c r="S46" s="2" t="n">
        <v>4</v>
      </c>
      <c r="T46" s="2" t="n">
        <v>53</v>
      </c>
      <c r="U46" s="2" t="n">
        <v>112</v>
      </c>
      <c r="V46" s="2" t="s">
        <v>5326</v>
      </c>
    </row>
    <row r="47" customFormat="false" ht="15" hidden="false" customHeight="false" outlineLevel="0" collapsed="false">
      <c r="A47" s="2" t="n">
        <v>20</v>
      </c>
      <c r="B47" s="2" t="s">
        <v>286</v>
      </c>
      <c r="C47" s="2" t="s">
        <v>292</v>
      </c>
      <c r="D47" s="2" t="s">
        <v>5321</v>
      </c>
      <c r="E47" s="2" t="s">
        <v>5436</v>
      </c>
      <c r="F47" s="2" t="s">
        <v>2849</v>
      </c>
      <c r="G47" s="2" t="s">
        <v>5324</v>
      </c>
      <c r="H47" s="2" t="s">
        <v>5437</v>
      </c>
      <c r="I47" s="2" t="n">
        <v>21</v>
      </c>
      <c r="J47" s="2" t="n">
        <v>9356</v>
      </c>
      <c r="K47" s="2" t="n">
        <v>52</v>
      </c>
      <c r="L47" s="2" t="n">
        <v>39</v>
      </c>
      <c r="M47" s="2" t="n">
        <v>6</v>
      </c>
      <c r="N47" s="2" t="n">
        <v>0</v>
      </c>
      <c r="O47" s="2" t="n">
        <v>6</v>
      </c>
      <c r="P47" s="2" t="n">
        <v>1</v>
      </c>
      <c r="Q47" s="2" t="n">
        <v>13</v>
      </c>
      <c r="R47" s="2" t="n">
        <v>2</v>
      </c>
      <c r="S47" s="2" t="n">
        <v>8</v>
      </c>
      <c r="T47" s="2" t="n">
        <v>29</v>
      </c>
      <c r="U47" s="2" t="n">
        <v>32</v>
      </c>
      <c r="V47" s="2" t="s">
        <v>5326</v>
      </c>
    </row>
    <row r="48" customFormat="false" ht="15" hidden="false" customHeight="false" outlineLevel="0" collapsed="false">
      <c r="A48" s="2" t="n">
        <v>20</v>
      </c>
      <c r="B48" s="2" t="s">
        <v>286</v>
      </c>
      <c r="C48" s="2" t="s">
        <v>292</v>
      </c>
      <c r="D48" s="2" t="s">
        <v>5321</v>
      </c>
      <c r="E48" s="2" t="s">
        <v>5438</v>
      </c>
      <c r="F48" s="2" t="s">
        <v>2807</v>
      </c>
      <c r="G48" s="2" t="s">
        <v>5324</v>
      </c>
      <c r="H48" s="2" t="s">
        <v>5439</v>
      </c>
      <c r="I48" s="2" t="n">
        <v>13</v>
      </c>
      <c r="J48" s="2" t="n">
        <v>5337</v>
      </c>
      <c r="K48" s="2" t="n">
        <v>37</v>
      </c>
      <c r="L48" s="2" t="n">
        <v>30</v>
      </c>
      <c r="M48" s="2" t="n">
        <v>0</v>
      </c>
      <c r="N48" s="2" t="n">
        <v>4</v>
      </c>
      <c r="O48" s="2" t="n">
        <v>3</v>
      </c>
      <c r="P48" s="2" t="n">
        <v>0</v>
      </c>
      <c r="Q48" s="2" t="n">
        <v>16</v>
      </c>
      <c r="R48" s="2" t="n">
        <v>6</v>
      </c>
      <c r="S48" s="2" t="n">
        <v>2</v>
      </c>
      <c r="T48" s="2" t="n">
        <v>13</v>
      </c>
      <c r="U48" s="2" t="n">
        <v>10</v>
      </c>
      <c r="V48" s="2" t="s">
        <v>5326</v>
      </c>
    </row>
    <row r="49" customFormat="false" ht="15" hidden="false" customHeight="false" outlineLevel="0" collapsed="false">
      <c r="A49" s="2" t="n">
        <v>20</v>
      </c>
      <c r="B49" s="2" t="s">
        <v>286</v>
      </c>
      <c r="C49" s="2" t="s">
        <v>292</v>
      </c>
      <c r="D49" s="2" t="s">
        <v>5321</v>
      </c>
      <c r="E49" s="2" t="s">
        <v>5440</v>
      </c>
      <c r="F49" s="2" t="s">
        <v>5441</v>
      </c>
      <c r="G49" s="2" t="s">
        <v>5324</v>
      </c>
      <c r="H49" s="2" t="s">
        <v>5442</v>
      </c>
      <c r="I49" s="2" t="n">
        <v>27</v>
      </c>
      <c r="J49" s="2" t="n">
        <v>12421</v>
      </c>
      <c r="K49" s="2" t="n">
        <v>34</v>
      </c>
      <c r="L49" s="2" t="n">
        <v>31</v>
      </c>
      <c r="M49" s="2" t="n">
        <v>1</v>
      </c>
      <c r="N49" s="2" t="n">
        <v>0</v>
      </c>
      <c r="O49" s="2" t="n">
        <v>1</v>
      </c>
      <c r="P49" s="2" t="n">
        <v>1</v>
      </c>
      <c r="Q49" s="2" t="n">
        <v>20</v>
      </c>
      <c r="R49" s="2" t="n">
        <v>0</v>
      </c>
      <c r="S49" s="2" t="n">
        <v>0</v>
      </c>
      <c r="T49" s="2" t="n">
        <v>14</v>
      </c>
      <c r="U49" s="2" t="n">
        <v>103</v>
      </c>
      <c r="V49" s="2" t="s">
        <v>5326</v>
      </c>
    </row>
    <row r="50" customFormat="false" ht="15" hidden="false" customHeight="false" outlineLevel="0" collapsed="false">
      <c r="A50" s="2" t="n">
        <v>21</v>
      </c>
      <c r="B50" s="2" t="s">
        <v>296</v>
      </c>
      <c r="C50" s="2" t="s">
        <v>300</v>
      </c>
      <c r="D50" s="2" t="s">
        <v>5321</v>
      </c>
      <c r="E50" s="2" t="s">
        <v>5443</v>
      </c>
      <c r="F50" s="2" t="s">
        <v>5444</v>
      </c>
      <c r="G50" s="2" t="s">
        <v>5324</v>
      </c>
      <c r="H50" s="2" t="s">
        <v>5445</v>
      </c>
      <c r="I50" s="2" t="n">
        <v>17</v>
      </c>
      <c r="J50" s="2" t="n">
        <v>7848</v>
      </c>
      <c r="K50" s="2" t="n">
        <v>41</v>
      </c>
      <c r="L50" s="2" t="n">
        <v>38</v>
      </c>
      <c r="M50" s="2" t="n">
        <v>1</v>
      </c>
      <c r="N50" s="2" t="n">
        <v>1</v>
      </c>
      <c r="O50" s="2" t="n">
        <v>1</v>
      </c>
      <c r="P50" s="2" t="n">
        <v>0</v>
      </c>
      <c r="Q50" s="2" t="n">
        <v>7</v>
      </c>
      <c r="R50" s="2" t="n">
        <v>7</v>
      </c>
      <c r="S50" s="2" t="n">
        <v>8</v>
      </c>
      <c r="T50" s="2" t="n">
        <v>19</v>
      </c>
      <c r="U50" s="2" t="n">
        <v>87</v>
      </c>
      <c r="V50" s="2" t="s">
        <v>5326</v>
      </c>
    </row>
    <row r="51" customFormat="false" ht="15" hidden="false" customHeight="false" outlineLevel="0" collapsed="false">
      <c r="A51" s="2" t="n">
        <v>21</v>
      </c>
      <c r="B51" s="2" t="s">
        <v>296</v>
      </c>
      <c r="C51" s="2" t="s">
        <v>300</v>
      </c>
      <c r="D51" s="2" t="s">
        <v>5321</v>
      </c>
      <c r="E51" s="2" t="s">
        <v>5446</v>
      </c>
      <c r="F51" s="2" t="s">
        <v>736</v>
      </c>
      <c r="G51" s="2" t="s">
        <v>5324</v>
      </c>
      <c r="H51" s="2" t="s">
        <v>5447</v>
      </c>
      <c r="I51" s="2" t="n">
        <v>33</v>
      </c>
      <c r="J51" s="2" t="n">
        <v>17682</v>
      </c>
      <c r="K51" s="2" t="n">
        <v>64</v>
      </c>
      <c r="L51" s="2" t="n">
        <v>42</v>
      </c>
      <c r="M51" s="2" t="n">
        <v>9</v>
      </c>
      <c r="N51" s="2" t="n">
        <v>7</v>
      </c>
      <c r="O51" s="2" t="n">
        <v>5</v>
      </c>
      <c r="P51" s="2" t="n">
        <v>1</v>
      </c>
      <c r="Q51" s="2" t="n">
        <v>25</v>
      </c>
      <c r="R51" s="2" t="n">
        <v>18</v>
      </c>
      <c r="S51" s="2" t="n">
        <v>2</v>
      </c>
      <c r="T51" s="2" t="n">
        <v>19</v>
      </c>
      <c r="U51" s="2" t="n">
        <v>97</v>
      </c>
      <c r="V51" s="2" t="s">
        <v>5326</v>
      </c>
    </row>
    <row r="52" customFormat="false" ht="15" hidden="false" customHeight="false" outlineLevel="0" collapsed="false">
      <c r="A52" s="2" t="n">
        <v>23</v>
      </c>
      <c r="B52" s="2" t="s">
        <v>315</v>
      </c>
      <c r="C52" s="2" t="s">
        <v>320</v>
      </c>
      <c r="D52" s="2" t="s">
        <v>5448</v>
      </c>
      <c r="E52" s="2" t="s">
        <v>5449</v>
      </c>
      <c r="F52" s="2"/>
      <c r="G52" s="2" t="s">
        <v>5324</v>
      </c>
      <c r="H52" s="2" t="s">
        <v>5450</v>
      </c>
      <c r="I52" s="2" t="n">
        <v>135</v>
      </c>
      <c r="J52" s="2" t="n">
        <v>49636</v>
      </c>
      <c r="K52" s="2" t="n">
        <v>73</v>
      </c>
      <c r="L52" s="2" t="n">
        <v>33</v>
      </c>
      <c r="M52" s="2" t="n">
        <v>8</v>
      </c>
      <c r="N52" s="2" t="n">
        <v>1</v>
      </c>
      <c r="O52" s="2" t="n">
        <v>30</v>
      </c>
      <c r="P52" s="2" t="n">
        <v>1</v>
      </c>
      <c r="Q52" s="2" t="n">
        <v>22</v>
      </c>
      <c r="R52" s="2" t="n">
        <v>10</v>
      </c>
      <c r="S52" s="2" t="n">
        <v>3</v>
      </c>
      <c r="T52" s="2" t="n">
        <v>38</v>
      </c>
      <c r="U52" s="2" t="n">
        <v>328</v>
      </c>
      <c r="V52" s="2" t="s">
        <v>5451</v>
      </c>
    </row>
    <row r="53" customFormat="false" ht="15" hidden="false" customHeight="false" outlineLevel="0" collapsed="false">
      <c r="A53" s="2" t="n">
        <v>23</v>
      </c>
      <c r="B53" s="2" t="s">
        <v>315</v>
      </c>
      <c r="C53" s="2" t="s">
        <v>320</v>
      </c>
      <c r="D53" s="2" t="s">
        <v>5448</v>
      </c>
      <c r="E53" s="2" t="s">
        <v>5452</v>
      </c>
      <c r="F53" s="2"/>
      <c r="G53" s="2" t="s">
        <v>5324</v>
      </c>
      <c r="H53" s="2" t="s">
        <v>5453</v>
      </c>
      <c r="I53" s="2" t="n">
        <v>66</v>
      </c>
      <c r="J53" s="2" t="n">
        <v>21498</v>
      </c>
      <c r="K53" s="2" t="n">
        <v>49</v>
      </c>
      <c r="L53" s="2" t="n">
        <v>37</v>
      </c>
      <c r="M53" s="2" t="n">
        <v>0</v>
      </c>
      <c r="N53" s="2" t="n">
        <v>0</v>
      </c>
      <c r="O53" s="2" t="n">
        <v>12</v>
      </c>
      <c r="P53" s="2" t="n">
        <v>0</v>
      </c>
      <c r="Q53" s="2" t="n">
        <v>18</v>
      </c>
      <c r="R53" s="2" t="n">
        <v>5</v>
      </c>
      <c r="S53" s="2" t="n">
        <v>12</v>
      </c>
      <c r="T53" s="2" t="n">
        <v>14</v>
      </c>
      <c r="U53" s="2" t="n">
        <v>162</v>
      </c>
      <c r="V53" s="2" t="s">
        <v>5451</v>
      </c>
    </row>
    <row r="54" customFormat="false" ht="15" hidden="false" customHeight="false" outlineLevel="0" collapsed="false">
      <c r="A54" s="2" t="n">
        <v>23</v>
      </c>
      <c r="B54" s="2" t="s">
        <v>315</v>
      </c>
      <c r="C54" s="2" t="s">
        <v>320</v>
      </c>
      <c r="D54" s="2" t="s">
        <v>5448</v>
      </c>
      <c r="E54" s="2" t="s">
        <v>5454</v>
      </c>
      <c r="F54" s="2"/>
      <c r="G54" s="2" t="s">
        <v>5324</v>
      </c>
      <c r="H54" s="2" t="s">
        <v>5455</v>
      </c>
      <c r="I54" s="2" t="n">
        <v>116</v>
      </c>
      <c r="J54" s="2" t="n">
        <v>55442</v>
      </c>
      <c r="K54" s="2" t="n">
        <v>102</v>
      </c>
      <c r="L54" s="2" t="n">
        <v>35</v>
      </c>
      <c r="M54" s="2" t="n">
        <v>21</v>
      </c>
      <c r="N54" s="2" t="n">
        <v>1</v>
      </c>
      <c r="O54" s="2" t="n">
        <v>45</v>
      </c>
      <c r="P54" s="2" t="n">
        <v>0</v>
      </c>
      <c r="Q54" s="2" t="n">
        <v>9</v>
      </c>
      <c r="R54" s="2" t="n">
        <v>3</v>
      </c>
      <c r="S54" s="2" t="n">
        <v>31</v>
      </c>
      <c r="T54" s="2" t="n">
        <v>59</v>
      </c>
      <c r="U54" s="2" t="n">
        <v>483</v>
      </c>
      <c r="V54" s="2" t="s">
        <v>5451</v>
      </c>
    </row>
    <row r="55" customFormat="false" ht="15" hidden="false" customHeight="false" outlineLevel="0" collapsed="false">
      <c r="A55" s="2" t="n">
        <v>23</v>
      </c>
      <c r="B55" s="2" t="s">
        <v>315</v>
      </c>
      <c r="C55" s="2" t="s">
        <v>320</v>
      </c>
      <c r="D55" s="2" t="s">
        <v>5448</v>
      </c>
      <c r="E55" s="2" t="s">
        <v>5456</v>
      </c>
      <c r="F55" s="2" t="s">
        <v>5457</v>
      </c>
      <c r="G55" s="2" t="s">
        <v>5324</v>
      </c>
      <c r="H55" s="2" t="s">
        <v>5458</v>
      </c>
      <c r="I55" s="2" t="n">
        <v>83</v>
      </c>
      <c r="J55" s="2" t="n">
        <v>32884</v>
      </c>
      <c r="K55" s="2" t="n">
        <v>32</v>
      </c>
      <c r="L55" s="2" t="n">
        <v>16</v>
      </c>
      <c r="M55" s="2" t="n">
        <v>6</v>
      </c>
      <c r="N55" s="2" t="n">
        <v>1</v>
      </c>
      <c r="O55" s="2" t="n">
        <v>9</v>
      </c>
      <c r="P55" s="2" t="n">
        <v>0</v>
      </c>
      <c r="Q55" s="2" t="n">
        <v>6</v>
      </c>
      <c r="R55" s="2" t="n">
        <v>7</v>
      </c>
      <c r="S55" s="2" t="n">
        <v>5</v>
      </c>
      <c r="T55" s="2" t="n">
        <v>14</v>
      </c>
      <c r="U55" s="2" t="n">
        <v>323</v>
      </c>
      <c r="V55" s="2" t="s">
        <v>5451</v>
      </c>
    </row>
    <row r="56" customFormat="false" ht="15" hidden="false" customHeight="false" outlineLevel="0" collapsed="false">
      <c r="A56" s="2" t="n">
        <v>23</v>
      </c>
      <c r="B56" s="2" t="s">
        <v>315</v>
      </c>
      <c r="C56" s="2" t="s">
        <v>320</v>
      </c>
      <c r="D56" s="2" t="s">
        <v>5448</v>
      </c>
      <c r="E56" s="2" t="s">
        <v>5459</v>
      </c>
      <c r="F56" s="2" t="s">
        <v>5460</v>
      </c>
      <c r="G56" s="2" t="s">
        <v>5324</v>
      </c>
      <c r="H56" s="2" t="s">
        <v>5461</v>
      </c>
      <c r="I56" s="2" t="n">
        <v>10</v>
      </c>
      <c r="J56" s="2" t="n">
        <v>2148</v>
      </c>
      <c r="K56" s="2" t="n">
        <v>5</v>
      </c>
      <c r="L56" s="2" t="n">
        <v>5</v>
      </c>
      <c r="M56" s="2" t="n">
        <v>0</v>
      </c>
      <c r="N56" s="2" t="n">
        <v>0</v>
      </c>
      <c r="O56" s="2" t="n">
        <v>0</v>
      </c>
      <c r="P56" s="2" t="n">
        <v>0</v>
      </c>
      <c r="Q56" s="2" t="n">
        <v>1</v>
      </c>
      <c r="R56" s="2" t="n">
        <v>2</v>
      </c>
      <c r="S56" s="2" t="n">
        <v>0</v>
      </c>
      <c r="T56" s="2" t="n">
        <v>2</v>
      </c>
      <c r="U56" s="2" t="n">
        <v>6</v>
      </c>
      <c r="V56" s="2" t="s">
        <v>5451</v>
      </c>
    </row>
    <row r="57" customFormat="false" ht="15" hidden="false" customHeight="false" outlineLevel="0" collapsed="false">
      <c r="A57" s="2" t="n">
        <v>23</v>
      </c>
      <c r="B57" s="2" t="s">
        <v>315</v>
      </c>
      <c r="C57" s="2" t="s">
        <v>320</v>
      </c>
      <c r="D57" s="2" t="s">
        <v>5448</v>
      </c>
      <c r="E57" s="2" t="s">
        <v>5462</v>
      </c>
      <c r="F57" s="2" t="s">
        <v>5463</v>
      </c>
      <c r="G57" s="2" t="s">
        <v>5324</v>
      </c>
      <c r="H57" s="2" t="s">
        <v>5464</v>
      </c>
      <c r="I57" s="2" t="n">
        <v>7</v>
      </c>
      <c r="J57" s="2" t="n">
        <v>1727</v>
      </c>
      <c r="K57" s="2" t="n">
        <v>4</v>
      </c>
      <c r="L57" s="2" t="n">
        <v>3</v>
      </c>
      <c r="M57" s="2" t="n">
        <v>0</v>
      </c>
      <c r="N57" s="2" t="n">
        <v>0</v>
      </c>
      <c r="O57" s="2" t="n">
        <v>1</v>
      </c>
      <c r="P57" s="2" t="n">
        <v>0</v>
      </c>
      <c r="Q57" s="2" t="n">
        <v>1</v>
      </c>
      <c r="R57" s="2" t="n">
        <v>3</v>
      </c>
      <c r="S57" s="2" t="n">
        <v>0</v>
      </c>
      <c r="T57" s="2" t="n">
        <v>0</v>
      </c>
      <c r="U57" s="2" t="n">
        <v>2</v>
      </c>
      <c r="V57" s="2" t="s">
        <v>5451</v>
      </c>
    </row>
    <row r="58" customFormat="false" ht="15" hidden="false" customHeight="false" outlineLevel="0" collapsed="false">
      <c r="A58" s="2" t="n">
        <v>23</v>
      </c>
      <c r="B58" s="2" t="s">
        <v>315</v>
      </c>
      <c r="C58" s="2" t="s">
        <v>320</v>
      </c>
      <c r="D58" s="2" t="s">
        <v>5448</v>
      </c>
      <c r="E58" s="2" t="s">
        <v>5465</v>
      </c>
      <c r="F58" s="2" t="s">
        <v>5466</v>
      </c>
      <c r="G58" s="2" t="s">
        <v>5324</v>
      </c>
      <c r="H58" s="2" t="s">
        <v>5467</v>
      </c>
      <c r="I58" s="2" t="n">
        <v>141</v>
      </c>
      <c r="J58" s="2" t="n">
        <v>49185</v>
      </c>
      <c r="K58" s="2" t="n">
        <v>87</v>
      </c>
      <c r="L58" s="2" t="n">
        <v>45</v>
      </c>
      <c r="M58" s="2" t="n">
        <v>9</v>
      </c>
      <c r="N58" s="2" t="n">
        <v>1</v>
      </c>
      <c r="O58" s="2" t="n">
        <v>29</v>
      </c>
      <c r="P58" s="2" t="n">
        <v>3</v>
      </c>
      <c r="Q58" s="2" t="n">
        <v>25</v>
      </c>
      <c r="R58" s="2" t="n">
        <v>11</v>
      </c>
      <c r="S58" s="2" t="n">
        <v>12</v>
      </c>
      <c r="T58" s="2" t="n">
        <v>39</v>
      </c>
      <c r="U58" s="2" t="n">
        <v>372</v>
      </c>
      <c r="V58" s="2" t="s">
        <v>5451</v>
      </c>
    </row>
    <row r="59" customFormat="false" ht="15" hidden="false" customHeight="false" outlineLevel="0" collapsed="false">
      <c r="A59" s="2" t="n">
        <v>23</v>
      </c>
      <c r="B59" s="2" t="s">
        <v>315</v>
      </c>
      <c r="C59" s="2" t="s">
        <v>320</v>
      </c>
      <c r="D59" s="2" t="s">
        <v>5448</v>
      </c>
      <c r="E59" s="2" t="s">
        <v>5468</v>
      </c>
      <c r="F59" s="2" t="s">
        <v>5469</v>
      </c>
      <c r="G59" s="2" t="s">
        <v>5324</v>
      </c>
      <c r="H59" s="2" t="s">
        <v>5470</v>
      </c>
      <c r="I59" s="2" t="n">
        <v>6</v>
      </c>
      <c r="J59" s="2" t="n">
        <v>992</v>
      </c>
      <c r="K59" s="2" t="n">
        <v>5</v>
      </c>
      <c r="L59" s="2" t="n">
        <v>5</v>
      </c>
      <c r="M59" s="2" t="n">
        <v>0</v>
      </c>
      <c r="N59" s="2" t="n">
        <v>0</v>
      </c>
      <c r="O59" s="2" t="n">
        <v>0</v>
      </c>
      <c r="P59" s="2" t="n">
        <v>0</v>
      </c>
      <c r="Q59" s="2" t="n">
        <v>2</v>
      </c>
      <c r="R59" s="2" t="n">
        <v>2</v>
      </c>
      <c r="S59" s="2" t="n">
        <v>0</v>
      </c>
      <c r="T59" s="2" t="n">
        <v>1</v>
      </c>
      <c r="U59" s="2" t="n">
        <v>13</v>
      </c>
      <c r="V59" s="2" t="s">
        <v>5451</v>
      </c>
    </row>
    <row r="60" customFormat="false" ht="15" hidden="false" customHeight="false" outlineLevel="0" collapsed="false">
      <c r="A60" s="2" t="n">
        <v>23</v>
      </c>
      <c r="B60" s="2" t="s">
        <v>315</v>
      </c>
      <c r="C60" s="2" t="s">
        <v>320</v>
      </c>
      <c r="D60" s="2" t="s">
        <v>5448</v>
      </c>
      <c r="E60" s="2" t="s">
        <v>5471</v>
      </c>
      <c r="F60" s="2" t="s">
        <v>5472</v>
      </c>
      <c r="G60" s="2" t="s">
        <v>5324</v>
      </c>
      <c r="H60" s="2" t="s">
        <v>5473</v>
      </c>
      <c r="I60" s="2" t="n">
        <v>24</v>
      </c>
      <c r="J60" s="2" t="n">
        <v>5780</v>
      </c>
      <c r="K60" s="2" t="n">
        <v>5</v>
      </c>
      <c r="L60" s="2" t="n">
        <v>5</v>
      </c>
      <c r="M60" s="2" t="n">
        <v>0</v>
      </c>
      <c r="N60" s="2" t="n">
        <v>0</v>
      </c>
      <c r="O60" s="2" t="n">
        <v>0</v>
      </c>
      <c r="P60" s="2" t="n">
        <v>0</v>
      </c>
      <c r="Q60" s="2" t="n">
        <v>0</v>
      </c>
      <c r="R60" s="2" t="n">
        <v>2</v>
      </c>
      <c r="S60" s="2" t="n">
        <v>2</v>
      </c>
      <c r="T60" s="2" t="n">
        <v>1</v>
      </c>
      <c r="U60" s="2" t="n">
        <v>9</v>
      </c>
      <c r="V60" s="2" t="s">
        <v>5451</v>
      </c>
    </row>
    <row r="61" customFormat="false" ht="15" hidden="false" customHeight="false" outlineLevel="0" collapsed="false">
      <c r="A61" s="2" t="n">
        <v>23</v>
      </c>
      <c r="B61" s="2" t="s">
        <v>315</v>
      </c>
      <c r="C61" s="2" t="s">
        <v>320</v>
      </c>
      <c r="D61" s="2" t="s">
        <v>5448</v>
      </c>
      <c r="E61" s="2" t="s">
        <v>5474</v>
      </c>
      <c r="F61" s="2" t="s">
        <v>5475</v>
      </c>
      <c r="G61" s="2" t="s">
        <v>5324</v>
      </c>
      <c r="H61" s="2" t="s">
        <v>5476</v>
      </c>
      <c r="I61" s="2" t="n">
        <v>105</v>
      </c>
      <c r="J61" s="2" t="n">
        <v>37081</v>
      </c>
      <c r="K61" s="2" t="n">
        <v>57</v>
      </c>
      <c r="L61" s="2" t="n">
        <v>17</v>
      </c>
      <c r="M61" s="2" t="n">
        <v>11</v>
      </c>
      <c r="N61" s="2" t="n">
        <v>2</v>
      </c>
      <c r="O61" s="2" t="n">
        <v>27</v>
      </c>
      <c r="P61" s="2" t="n">
        <v>0</v>
      </c>
      <c r="Q61" s="2" t="n">
        <v>15</v>
      </c>
      <c r="R61" s="2" t="n">
        <v>5</v>
      </c>
      <c r="S61" s="2" t="n">
        <v>7</v>
      </c>
      <c r="T61" s="2" t="n">
        <v>30</v>
      </c>
      <c r="U61" s="2" t="n">
        <v>342</v>
      </c>
      <c r="V61" s="2" t="s">
        <v>5451</v>
      </c>
    </row>
    <row r="62" customFormat="false" ht="15" hidden="false" customHeight="false" outlineLevel="0" collapsed="false">
      <c r="A62" s="2" t="n">
        <v>23</v>
      </c>
      <c r="B62" s="2" t="s">
        <v>315</v>
      </c>
      <c r="C62" s="2" t="s">
        <v>320</v>
      </c>
      <c r="D62" s="2" t="s">
        <v>5448</v>
      </c>
      <c r="E62" s="2" t="s">
        <v>5477</v>
      </c>
      <c r="F62" s="2" t="s">
        <v>5478</v>
      </c>
      <c r="G62" s="2" t="s">
        <v>5324</v>
      </c>
      <c r="H62" s="2" t="s">
        <v>5479</v>
      </c>
      <c r="I62" s="2" t="n">
        <v>48</v>
      </c>
      <c r="J62" s="2" t="n">
        <v>10064</v>
      </c>
      <c r="K62" s="2" t="n">
        <v>7</v>
      </c>
      <c r="L62" s="2" t="n">
        <v>7</v>
      </c>
      <c r="M62" s="2" t="n">
        <v>0</v>
      </c>
      <c r="N62" s="2" t="n">
        <v>0</v>
      </c>
      <c r="O62" s="2" t="n">
        <v>0</v>
      </c>
      <c r="P62" s="2" t="n">
        <v>0</v>
      </c>
      <c r="Q62" s="2" t="n">
        <v>0</v>
      </c>
      <c r="R62" s="2" t="n">
        <v>2</v>
      </c>
      <c r="S62" s="2" t="n">
        <v>4</v>
      </c>
      <c r="T62" s="2" t="n">
        <v>1</v>
      </c>
      <c r="U62" s="2" t="n">
        <v>8</v>
      </c>
      <c r="V62" s="2" t="s">
        <v>5451</v>
      </c>
    </row>
    <row r="63" customFormat="false" ht="15" hidden="false" customHeight="false" outlineLevel="0" collapsed="false">
      <c r="A63" s="2" t="n">
        <v>23</v>
      </c>
      <c r="B63" s="2" t="s">
        <v>315</v>
      </c>
      <c r="C63" s="2" t="s">
        <v>320</v>
      </c>
      <c r="D63" s="2" t="s">
        <v>5321</v>
      </c>
      <c r="E63" s="2" t="s">
        <v>5480</v>
      </c>
      <c r="F63" s="2" t="s">
        <v>652</v>
      </c>
      <c r="G63" s="2" t="s">
        <v>5324</v>
      </c>
      <c r="H63" s="2" t="s">
        <v>5481</v>
      </c>
      <c r="I63" s="2" t="n">
        <v>26</v>
      </c>
      <c r="J63" s="2" t="n">
        <v>12410</v>
      </c>
      <c r="K63" s="2" t="n">
        <v>80</v>
      </c>
      <c r="L63" s="2" t="n">
        <v>63</v>
      </c>
      <c r="M63" s="2" t="n">
        <v>10</v>
      </c>
      <c r="N63" s="2" t="n">
        <v>3</v>
      </c>
      <c r="O63" s="2" t="n">
        <v>4</v>
      </c>
      <c r="P63" s="2" t="n">
        <v>0</v>
      </c>
      <c r="Q63" s="2" t="n">
        <v>51</v>
      </c>
      <c r="R63" s="2" t="n">
        <v>4</v>
      </c>
      <c r="S63" s="2" t="n">
        <v>0</v>
      </c>
      <c r="T63" s="2" t="n">
        <v>25</v>
      </c>
      <c r="U63" s="2" t="n">
        <v>51</v>
      </c>
      <c r="V63" s="2" t="s">
        <v>5482</v>
      </c>
    </row>
    <row r="64" customFormat="false" ht="15" hidden="false" customHeight="false" outlineLevel="0" collapsed="false">
      <c r="A64" s="2" t="n">
        <v>55</v>
      </c>
      <c r="B64" s="2" t="s">
        <v>614</v>
      </c>
      <c r="C64" s="2" t="s">
        <v>619</v>
      </c>
      <c r="D64" s="2" t="s">
        <v>5483</v>
      </c>
      <c r="E64" s="2" t="s">
        <v>5484</v>
      </c>
      <c r="F64" s="2" t="s">
        <v>5485</v>
      </c>
      <c r="G64" s="2" t="s">
        <v>5324</v>
      </c>
      <c r="H64" s="2" t="s">
        <v>5486</v>
      </c>
      <c r="I64" s="2" t="n">
        <v>26</v>
      </c>
      <c r="J64" s="2" t="n">
        <v>5059</v>
      </c>
      <c r="K64" s="2" t="n">
        <v>10</v>
      </c>
      <c r="L64" s="2" t="n">
        <v>9</v>
      </c>
      <c r="M64" s="2" t="n">
        <v>0</v>
      </c>
      <c r="N64" s="2" t="n">
        <v>0</v>
      </c>
      <c r="O64" s="2" t="n">
        <v>1</v>
      </c>
      <c r="P64" s="2" t="n">
        <v>0</v>
      </c>
      <c r="Q64" s="2" t="n">
        <v>4</v>
      </c>
      <c r="R64" s="2" t="n">
        <v>3</v>
      </c>
      <c r="S64" s="2" t="n">
        <v>1</v>
      </c>
      <c r="T64" s="2" t="n">
        <v>2</v>
      </c>
      <c r="U64" s="2" t="n">
        <v>24</v>
      </c>
      <c r="V64" s="2" t="s">
        <v>5451</v>
      </c>
    </row>
    <row r="65" customFormat="false" ht="15" hidden="false" customHeight="false" outlineLevel="0" collapsed="false">
      <c r="A65" s="2" t="n">
        <v>56</v>
      </c>
      <c r="B65" s="2" t="s">
        <v>623</v>
      </c>
      <c r="C65" s="2" t="s">
        <v>628</v>
      </c>
      <c r="D65" s="2" t="s">
        <v>5448</v>
      </c>
      <c r="E65" s="2" t="s">
        <v>5487</v>
      </c>
      <c r="F65" s="2" t="s">
        <v>5488</v>
      </c>
      <c r="G65" s="2" t="s">
        <v>5324</v>
      </c>
      <c r="H65" s="2" t="s">
        <v>5489</v>
      </c>
      <c r="I65" s="2" t="n">
        <v>48</v>
      </c>
      <c r="J65" s="2" t="n">
        <v>15008</v>
      </c>
      <c r="K65" s="2" t="n">
        <v>21</v>
      </c>
      <c r="L65" s="2" t="n">
        <v>8</v>
      </c>
      <c r="M65" s="2" t="n">
        <v>3</v>
      </c>
      <c r="N65" s="2" t="n">
        <v>1</v>
      </c>
      <c r="O65" s="2" t="n">
        <v>9</v>
      </c>
      <c r="P65" s="2" t="n">
        <v>0</v>
      </c>
      <c r="Q65" s="2" t="n">
        <v>6</v>
      </c>
      <c r="R65" s="2" t="n">
        <v>2</v>
      </c>
      <c r="S65" s="2" t="n">
        <v>0</v>
      </c>
      <c r="T65" s="2" t="n">
        <v>13</v>
      </c>
      <c r="U65" s="2" t="n">
        <v>98</v>
      </c>
      <c r="V65" s="2" t="s">
        <v>5451</v>
      </c>
    </row>
    <row r="66" customFormat="false" ht="15" hidden="false" customHeight="false" outlineLevel="0" collapsed="false">
      <c r="A66" s="2" t="n">
        <v>56</v>
      </c>
      <c r="B66" s="2" t="s">
        <v>623</v>
      </c>
      <c r="C66" s="2" t="s">
        <v>628</v>
      </c>
      <c r="D66" s="2" t="s">
        <v>5448</v>
      </c>
      <c r="E66" s="2" t="s">
        <v>5490</v>
      </c>
      <c r="F66" s="2" t="s">
        <v>5491</v>
      </c>
      <c r="G66" s="2" t="s">
        <v>5324</v>
      </c>
      <c r="H66" s="2" t="s">
        <v>5492</v>
      </c>
      <c r="I66" s="2" t="n">
        <v>44</v>
      </c>
      <c r="J66" s="2" t="n">
        <v>14025</v>
      </c>
      <c r="K66" s="2" t="n">
        <v>28</v>
      </c>
      <c r="L66" s="2" t="n">
        <v>7</v>
      </c>
      <c r="M66" s="2" t="n">
        <v>1</v>
      </c>
      <c r="N66" s="2" t="n">
        <v>0</v>
      </c>
      <c r="O66" s="2" t="n">
        <v>20</v>
      </c>
      <c r="P66" s="2" t="n">
        <v>0</v>
      </c>
      <c r="Q66" s="2" t="n">
        <v>9</v>
      </c>
      <c r="R66" s="2" t="n">
        <v>8</v>
      </c>
      <c r="S66" s="2" t="n">
        <v>2</v>
      </c>
      <c r="T66" s="2" t="n">
        <v>9</v>
      </c>
      <c r="U66" s="2" t="n">
        <v>78</v>
      </c>
      <c r="V66" s="2" t="s">
        <v>5451</v>
      </c>
    </row>
    <row r="67" customFormat="false" ht="15" hidden="false" customHeight="false" outlineLevel="0" collapsed="false">
      <c r="A67" s="2" t="n">
        <v>56</v>
      </c>
      <c r="B67" s="2" t="s">
        <v>623</v>
      </c>
      <c r="C67" s="2" t="s">
        <v>628</v>
      </c>
      <c r="D67" s="2" t="s">
        <v>5448</v>
      </c>
      <c r="E67" s="2" t="s">
        <v>5493</v>
      </c>
      <c r="F67" s="2" t="s">
        <v>5494</v>
      </c>
      <c r="G67" s="2" t="s">
        <v>5324</v>
      </c>
      <c r="H67" s="2" t="s">
        <v>5495</v>
      </c>
      <c r="I67" s="2" t="n">
        <v>32</v>
      </c>
      <c r="J67" s="2" t="n">
        <v>10228</v>
      </c>
      <c r="K67" s="2" t="n">
        <v>19</v>
      </c>
      <c r="L67" s="2" t="n">
        <v>5</v>
      </c>
      <c r="M67" s="2" t="n">
        <v>1</v>
      </c>
      <c r="N67" s="2" t="n">
        <v>0</v>
      </c>
      <c r="O67" s="2" t="n">
        <v>13</v>
      </c>
      <c r="P67" s="2" t="n">
        <v>0</v>
      </c>
      <c r="Q67" s="2" t="n">
        <v>3</v>
      </c>
      <c r="R67" s="2" t="n">
        <v>4</v>
      </c>
      <c r="S67" s="2" t="n">
        <v>1</v>
      </c>
      <c r="T67" s="2" t="n">
        <v>11</v>
      </c>
      <c r="U67" s="2" t="n">
        <v>58</v>
      </c>
      <c r="V67" s="2" t="s">
        <v>5451</v>
      </c>
    </row>
    <row r="68" customFormat="false" ht="15" hidden="false" customHeight="false" outlineLevel="0" collapsed="false">
      <c r="A68" s="2" t="n">
        <v>56</v>
      </c>
      <c r="B68" s="2" t="s">
        <v>623</v>
      </c>
      <c r="C68" s="2" t="s">
        <v>628</v>
      </c>
      <c r="D68" s="2" t="s">
        <v>5448</v>
      </c>
      <c r="E68" s="2" t="s">
        <v>5496</v>
      </c>
      <c r="F68" s="2" t="s">
        <v>5497</v>
      </c>
      <c r="G68" s="2" t="s">
        <v>5324</v>
      </c>
      <c r="H68" s="2" t="s">
        <v>5498</v>
      </c>
      <c r="I68" s="2" t="n">
        <v>64</v>
      </c>
      <c r="J68" s="2" t="n">
        <v>21929</v>
      </c>
      <c r="K68" s="2" t="n">
        <v>41</v>
      </c>
      <c r="L68" s="2" t="n">
        <v>30</v>
      </c>
      <c r="M68" s="2" t="n">
        <v>2</v>
      </c>
      <c r="N68" s="2" t="n">
        <v>0</v>
      </c>
      <c r="O68" s="2" t="n">
        <v>9</v>
      </c>
      <c r="P68" s="2" t="n">
        <v>0</v>
      </c>
      <c r="Q68" s="2" t="n">
        <v>21</v>
      </c>
      <c r="R68" s="2" t="n">
        <v>9</v>
      </c>
      <c r="S68" s="2" t="n">
        <v>1</v>
      </c>
      <c r="T68" s="2" t="n">
        <v>10</v>
      </c>
      <c r="U68" s="2" t="n">
        <v>180</v>
      </c>
      <c r="V68" s="2" t="s">
        <v>5451</v>
      </c>
    </row>
    <row r="69" customFormat="false" ht="15" hidden="false" customHeight="false" outlineLevel="0" collapsed="false">
      <c r="A69" s="2" t="n">
        <v>56</v>
      </c>
      <c r="B69" s="2" t="s">
        <v>623</v>
      </c>
      <c r="C69" s="2" t="s">
        <v>628</v>
      </c>
      <c r="D69" s="2" t="s">
        <v>5448</v>
      </c>
      <c r="E69" s="2" t="s">
        <v>5499</v>
      </c>
      <c r="F69" s="2" t="s">
        <v>5500</v>
      </c>
      <c r="G69" s="2" t="s">
        <v>5324</v>
      </c>
      <c r="H69" s="2" t="s">
        <v>5501</v>
      </c>
      <c r="I69" s="2" t="n">
        <v>9</v>
      </c>
      <c r="J69" s="2" t="n">
        <v>1968</v>
      </c>
      <c r="K69" s="2" t="n">
        <v>5</v>
      </c>
      <c r="L69" s="2" t="n">
        <v>3</v>
      </c>
      <c r="M69" s="2" t="n">
        <v>0</v>
      </c>
      <c r="N69" s="2" t="n">
        <v>0</v>
      </c>
      <c r="O69" s="2" t="n">
        <v>2</v>
      </c>
      <c r="P69" s="2" t="n">
        <v>0</v>
      </c>
      <c r="Q69" s="2" t="n">
        <v>1</v>
      </c>
      <c r="R69" s="2" t="n">
        <v>2</v>
      </c>
      <c r="S69" s="2" t="n">
        <v>1</v>
      </c>
      <c r="T69" s="2" t="n">
        <v>1</v>
      </c>
      <c r="U69" s="2" t="n">
        <v>7</v>
      </c>
      <c r="V69" s="2" t="s">
        <v>5451</v>
      </c>
    </row>
    <row r="70" customFormat="false" ht="15" hidden="false" customHeight="false" outlineLevel="0" collapsed="false">
      <c r="A70" s="2" t="n">
        <v>56</v>
      </c>
      <c r="B70" s="2" t="s">
        <v>623</v>
      </c>
      <c r="C70" s="2" t="s">
        <v>628</v>
      </c>
      <c r="D70" s="2" t="s">
        <v>5448</v>
      </c>
      <c r="E70" s="2" t="s">
        <v>5502</v>
      </c>
      <c r="F70" s="2" t="s">
        <v>5503</v>
      </c>
      <c r="G70" s="2" t="s">
        <v>5324</v>
      </c>
      <c r="H70" s="2" t="s">
        <v>5504</v>
      </c>
      <c r="I70" s="2" t="n">
        <v>67</v>
      </c>
      <c r="J70" s="2" t="n">
        <v>23482</v>
      </c>
      <c r="K70" s="2" t="n">
        <v>31</v>
      </c>
      <c r="L70" s="2" t="n">
        <v>16</v>
      </c>
      <c r="M70" s="2" t="n">
        <v>1</v>
      </c>
      <c r="N70" s="2" t="n">
        <v>0</v>
      </c>
      <c r="O70" s="2" t="n">
        <v>14</v>
      </c>
      <c r="P70" s="2" t="n">
        <v>0</v>
      </c>
      <c r="Q70" s="2" t="n">
        <v>13</v>
      </c>
      <c r="R70" s="2" t="n">
        <v>4</v>
      </c>
      <c r="S70" s="2" t="n">
        <v>2</v>
      </c>
      <c r="T70" s="2" t="n">
        <v>12</v>
      </c>
      <c r="U70" s="2" t="n">
        <v>390</v>
      </c>
      <c r="V70" s="2" t="s">
        <v>5451</v>
      </c>
    </row>
    <row r="71" customFormat="false" ht="15" hidden="false" customHeight="false" outlineLevel="0" collapsed="false">
      <c r="A71" s="2" t="n">
        <v>56</v>
      </c>
      <c r="B71" s="2" t="s">
        <v>623</v>
      </c>
      <c r="C71" s="2" t="s">
        <v>628</v>
      </c>
      <c r="D71" s="2" t="s">
        <v>5448</v>
      </c>
      <c r="E71" s="2" t="s">
        <v>5505</v>
      </c>
      <c r="F71" s="2" t="s">
        <v>5506</v>
      </c>
      <c r="G71" s="2" t="s">
        <v>5324</v>
      </c>
      <c r="H71" s="2" t="s">
        <v>5507</v>
      </c>
      <c r="I71" s="2" t="n">
        <v>51</v>
      </c>
      <c r="J71" s="2" t="n">
        <v>19431</v>
      </c>
      <c r="K71" s="2" t="n">
        <v>66</v>
      </c>
      <c r="L71" s="2" t="n">
        <v>29</v>
      </c>
      <c r="M71" s="2" t="n">
        <v>5</v>
      </c>
      <c r="N71" s="2" t="n">
        <v>1</v>
      </c>
      <c r="O71" s="2" t="n">
        <v>31</v>
      </c>
      <c r="P71" s="2" t="n">
        <v>0</v>
      </c>
      <c r="Q71" s="2" t="n">
        <v>40</v>
      </c>
      <c r="R71" s="2" t="n">
        <v>3</v>
      </c>
      <c r="S71" s="2" t="n">
        <v>1</v>
      </c>
      <c r="T71" s="2" t="n">
        <v>22</v>
      </c>
      <c r="U71" s="2" t="n">
        <v>162</v>
      </c>
      <c r="V71" s="2" t="s">
        <v>5451</v>
      </c>
    </row>
    <row r="72" customFormat="false" ht="15" hidden="false" customHeight="false" outlineLevel="0" collapsed="false">
      <c r="A72" s="2" t="n">
        <v>56</v>
      </c>
      <c r="B72" s="2" t="s">
        <v>623</v>
      </c>
      <c r="C72" s="2" t="s">
        <v>628</v>
      </c>
      <c r="D72" s="2" t="s">
        <v>5483</v>
      </c>
      <c r="E72" s="2" t="s">
        <v>5508</v>
      </c>
      <c r="F72" s="2" t="s">
        <v>1328</v>
      </c>
      <c r="G72" s="2" t="s">
        <v>5324</v>
      </c>
      <c r="H72" s="2" t="s">
        <v>5509</v>
      </c>
      <c r="I72" s="2" t="n">
        <v>49</v>
      </c>
      <c r="J72" s="2" t="n">
        <v>19725</v>
      </c>
      <c r="K72" s="2" t="n">
        <v>22</v>
      </c>
      <c r="L72" s="2" t="n">
        <v>15</v>
      </c>
      <c r="M72" s="2" t="n">
        <v>3</v>
      </c>
      <c r="N72" s="2" t="n">
        <v>0</v>
      </c>
      <c r="O72" s="2" t="n">
        <v>4</v>
      </c>
      <c r="P72" s="2" t="n">
        <v>0</v>
      </c>
      <c r="Q72" s="2" t="n">
        <v>8</v>
      </c>
      <c r="R72" s="2" t="n">
        <v>4</v>
      </c>
      <c r="S72" s="2" t="n">
        <v>4</v>
      </c>
      <c r="T72" s="2" t="n">
        <v>6</v>
      </c>
      <c r="U72" s="2" t="n">
        <v>196</v>
      </c>
      <c r="V72" s="2" t="s">
        <v>5451</v>
      </c>
    </row>
    <row r="73" customFormat="false" ht="15" hidden="false" customHeight="false" outlineLevel="0" collapsed="false">
      <c r="A73" s="2" t="n">
        <v>56</v>
      </c>
      <c r="B73" s="2" t="s">
        <v>623</v>
      </c>
      <c r="C73" s="2" t="s">
        <v>628</v>
      </c>
      <c r="D73" s="2" t="s">
        <v>5483</v>
      </c>
      <c r="E73" s="2" t="s">
        <v>5510</v>
      </c>
      <c r="F73" s="2" t="s">
        <v>3657</v>
      </c>
      <c r="G73" s="2" t="s">
        <v>5324</v>
      </c>
      <c r="H73" s="2" t="s">
        <v>5511</v>
      </c>
      <c r="I73" s="2" t="n">
        <v>10</v>
      </c>
      <c r="J73" s="2" t="n">
        <v>2274</v>
      </c>
      <c r="K73" s="2" t="n">
        <v>6</v>
      </c>
      <c r="L73" s="2" t="n">
        <v>5</v>
      </c>
      <c r="M73" s="2" t="n">
        <v>0</v>
      </c>
      <c r="N73" s="2" t="n">
        <v>0</v>
      </c>
      <c r="O73" s="2" t="n">
        <v>1</v>
      </c>
      <c r="P73" s="2" t="n">
        <v>0</v>
      </c>
      <c r="Q73" s="2" t="n">
        <v>2</v>
      </c>
      <c r="R73" s="2" t="n">
        <v>3</v>
      </c>
      <c r="S73" s="2" t="n">
        <v>1</v>
      </c>
      <c r="T73" s="2" t="n">
        <v>0</v>
      </c>
      <c r="U73" s="2" t="n">
        <v>18</v>
      </c>
      <c r="V73" s="2" t="s">
        <v>5451</v>
      </c>
    </row>
    <row r="74" customFormat="false" ht="15" hidden="false" customHeight="false" outlineLevel="0" collapsed="false">
      <c r="A74" s="2" t="n">
        <v>56</v>
      </c>
      <c r="B74" s="2" t="s">
        <v>623</v>
      </c>
      <c r="C74" s="2" t="s">
        <v>628</v>
      </c>
      <c r="D74" s="2" t="s">
        <v>5483</v>
      </c>
      <c r="E74" s="2" t="s">
        <v>5512</v>
      </c>
      <c r="F74" s="2" t="s">
        <v>3657</v>
      </c>
      <c r="G74" s="2" t="s">
        <v>5324</v>
      </c>
      <c r="H74" s="2" t="s">
        <v>5513</v>
      </c>
      <c r="I74" s="2" t="n">
        <v>16</v>
      </c>
      <c r="J74" s="2" t="n">
        <v>3536</v>
      </c>
      <c r="K74" s="2" t="n">
        <v>3</v>
      </c>
      <c r="L74" s="2" t="n">
        <v>3</v>
      </c>
      <c r="M74" s="2" t="n">
        <v>0</v>
      </c>
      <c r="N74" s="2" t="n">
        <v>0</v>
      </c>
      <c r="O74" s="2" t="n">
        <v>0</v>
      </c>
      <c r="P74" s="2" t="n">
        <v>0</v>
      </c>
      <c r="Q74" s="2" t="n">
        <v>0</v>
      </c>
      <c r="R74" s="2" t="n">
        <v>3</v>
      </c>
      <c r="S74" s="2" t="n">
        <v>0</v>
      </c>
      <c r="T74" s="2" t="n">
        <v>0</v>
      </c>
      <c r="U74" s="2" t="n">
        <v>25</v>
      </c>
      <c r="V74" s="2" t="s">
        <v>5451</v>
      </c>
    </row>
    <row r="75" customFormat="false" ht="15" hidden="false" customHeight="false" outlineLevel="0" collapsed="false">
      <c r="A75" s="2" t="n">
        <v>56</v>
      </c>
      <c r="B75" s="2" t="s">
        <v>623</v>
      </c>
      <c r="C75" s="2" t="s">
        <v>628</v>
      </c>
      <c r="D75" s="2" t="s">
        <v>5483</v>
      </c>
      <c r="E75" s="2" t="s">
        <v>5514</v>
      </c>
      <c r="F75" s="2" t="s">
        <v>3657</v>
      </c>
      <c r="G75" s="2" t="s">
        <v>5324</v>
      </c>
      <c r="H75" s="2" t="s">
        <v>5515</v>
      </c>
      <c r="I75" s="2" t="n">
        <v>10</v>
      </c>
      <c r="J75" s="2" t="n">
        <v>2161</v>
      </c>
      <c r="K75" s="2" t="n">
        <v>6</v>
      </c>
      <c r="L75" s="2" t="n">
        <v>4</v>
      </c>
      <c r="M75" s="2" t="n">
        <v>0</v>
      </c>
      <c r="N75" s="2" t="n">
        <v>0</v>
      </c>
      <c r="O75" s="2" t="n">
        <v>2</v>
      </c>
      <c r="P75" s="2" t="n">
        <v>0</v>
      </c>
      <c r="Q75" s="2" t="n">
        <v>2</v>
      </c>
      <c r="R75" s="2" t="n">
        <v>4</v>
      </c>
      <c r="S75" s="2" t="n">
        <v>0</v>
      </c>
      <c r="T75" s="2" t="n">
        <v>0</v>
      </c>
      <c r="U75" s="2" t="n">
        <v>37</v>
      </c>
      <c r="V75" s="2" t="s">
        <v>5451</v>
      </c>
    </row>
    <row r="76" customFormat="false" ht="15" hidden="false" customHeight="false" outlineLevel="0" collapsed="false">
      <c r="A76" s="2" t="n">
        <v>56</v>
      </c>
      <c r="B76" s="2" t="s">
        <v>623</v>
      </c>
      <c r="C76" s="2" t="s">
        <v>628</v>
      </c>
      <c r="D76" s="2" t="s">
        <v>5483</v>
      </c>
      <c r="E76" s="2" t="s">
        <v>5516</v>
      </c>
      <c r="F76" s="2" t="s">
        <v>1336</v>
      </c>
      <c r="G76" s="2" t="s">
        <v>5324</v>
      </c>
      <c r="H76" s="2" t="s">
        <v>5517</v>
      </c>
      <c r="I76" s="2" t="n">
        <v>35</v>
      </c>
      <c r="J76" s="2" t="n">
        <v>11143</v>
      </c>
      <c r="K76" s="2" t="n">
        <v>15</v>
      </c>
      <c r="L76" s="2" t="n">
        <v>8</v>
      </c>
      <c r="M76" s="2" t="n">
        <v>2</v>
      </c>
      <c r="N76" s="2" t="n">
        <v>0</v>
      </c>
      <c r="O76" s="2" t="n">
        <v>5</v>
      </c>
      <c r="P76" s="2" t="n">
        <v>0</v>
      </c>
      <c r="Q76" s="2" t="n">
        <v>6</v>
      </c>
      <c r="R76" s="2" t="n">
        <v>3</v>
      </c>
      <c r="S76" s="2" t="n">
        <v>1</v>
      </c>
      <c r="T76" s="2" t="n">
        <v>5</v>
      </c>
      <c r="U76" s="2" t="n">
        <v>165</v>
      </c>
      <c r="V76" s="2" t="s">
        <v>5451</v>
      </c>
    </row>
    <row r="77" customFormat="false" ht="15" hidden="false" customHeight="false" outlineLevel="0" collapsed="false">
      <c r="A77" s="2" t="n">
        <v>56</v>
      </c>
      <c r="B77" s="2" t="s">
        <v>623</v>
      </c>
      <c r="C77" s="2" t="s">
        <v>628</v>
      </c>
      <c r="D77" s="2" t="s">
        <v>5483</v>
      </c>
      <c r="E77" s="2" t="s">
        <v>5518</v>
      </c>
      <c r="F77" s="2" t="s">
        <v>3002</v>
      </c>
      <c r="G77" s="2" t="s">
        <v>5324</v>
      </c>
      <c r="H77" s="2" t="s">
        <v>5519</v>
      </c>
      <c r="I77" s="2" t="n">
        <v>14</v>
      </c>
      <c r="J77" s="2" t="n">
        <v>3257</v>
      </c>
      <c r="K77" s="2" t="n">
        <v>3</v>
      </c>
      <c r="L77" s="2" t="n">
        <v>3</v>
      </c>
      <c r="M77" s="2" t="n">
        <v>0</v>
      </c>
      <c r="N77" s="2" t="n">
        <v>0</v>
      </c>
      <c r="O77" s="2" t="n">
        <v>0</v>
      </c>
      <c r="P77" s="2" t="n">
        <v>0</v>
      </c>
      <c r="Q77" s="2" t="n">
        <v>0</v>
      </c>
      <c r="R77" s="2" t="n">
        <v>1</v>
      </c>
      <c r="S77" s="2" t="n">
        <v>2</v>
      </c>
      <c r="T77" s="2" t="n">
        <v>0</v>
      </c>
      <c r="U77" s="2" t="n">
        <v>31</v>
      </c>
      <c r="V77" s="2" t="s">
        <v>5451</v>
      </c>
    </row>
    <row r="78" customFormat="false" ht="15" hidden="false" customHeight="false" outlineLevel="0" collapsed="false">
      <c r="A78" s="2" t="n">
        <v>56</v>
      </c>
      <c r="B78" s="2" t="s">
        <v>623</v>
      </c>
      <c r="C78" s="2" t="s">
        <v>628</v>
      </c>
      <c r="D78" s="2" t="s">
        <v>5483</v>
      </c>
      <c r="E78" s="2" t="s">
        <v>5520</v>
      </c>
      <c r="F78" s="2" t="s">
        <v>263</v>
      </c>
      <c r="G78" s="2" t="s">
        <v>5324</v>
      </c>
      <c r="H78" s="2" t="s">
        <v>5521</v>
      </c>
      <c r="I78" s="2" t="n">
        <v>19</v>
      </c>
      <c r="J78" s="2" t="n">
        <v>4633</v>
      </c>
      <c r="K78" s="2" t="n">
        <v>9</v>
      </c>
      <c r="L78" s="2" t="n">
        <v>3</v>
      </c>
      <c r="M78" s="2" t="n">
        <v>2</v>
      </c>
      <c r="N78" s="2" t="n">
        <v>0</v>
      </c>
      <c r="O78" s="2" t="n">
        <v>4</v>
      </c>
      <c r="P78" s="2" t="n">
        <v>0</v>
      </c>
      <c r="Q78" s="2" t="n">
        <v>5</v>
      </c>
      <c r="R78" s="2" t="n">
        <v>3</v>
      </c>
      <c r="S78" s="2" t="n">
        <v>0</v>
      </c>
      <c r="T78" s="2" t="n">
        <v>1</v>
      </c>
      <c r="U78" s="2" t="n">
        <v>39</v>
      </c>
      <c r="V78" s="2" t="s">
        <v>5451</v>
      </c>
    </row>
    <row r="79" customFormat="false" ht="15" hidden="false" customHeight="false" outlineLevel="0" collapsed="false">
      <c r="A79" s="2" t="n">
        <v>57</v>
      </c>
      <c r="B79" s="2" t="s">
        <v>633</v>
      </c>
      <c r="C79" s="2" t="s">
        <v>637</v>
      </c>
      <c r="D79" s="2" t="s">
        <v>5448</v>
      </c>
      <c r="E79" s="2" t="s">
        <v>5522</v>
      </c>
      <c r="F79" s="2" t="s">
        <v>5523</v>
      </c>
      <c r="G79" s="2" t="s">
        <v>5324</v>
      </c>
      <c r="H79" s="2" t="s">
        <v>5524</v>
      </c>
      <c r="I79" s="2" t="n">
        <v>26</v>
      </c>
      <c r="J79" s="2" t="n">
        <v>9658</v>
      </c>
      <c r="K79" s="2" t="n">
        <v>26</v>
      </c>
      <c r="L79" s="2" t="n">
        <v>17</v>
      </c>
      <c r="M79" s="2" t="n">
        <v>2</v>
      </c>
      <c r="N79" s="2" t="n">
        <v>0</v>
      </c>
      <c r="O79" s="2" t="n">
        <v>7</v>
      </c>
      <c r="P79" s="2" t="n">
        <v>0</v>
      </c>
      <c r="Q79" s="2" t="n">
        <v>9</v>
      </c>
      <c r="R79" s="2" t="n">
        <v>2</v>
      </c>
      <c r="S79" s="2" t="n">
        <v>1</v>
      </c>
      <c r="T79" s="2" t="n">
        <v>14</v>
      </c>
      <c r="U79" s="2" t="n">
        <v>77</v>
      </c>
      <c r="V79" s="2" t="s">
        <v>5451</v>
      </c>
    </row>
    <row r="80" customFormat="false" ht="15" hidden="false" customHeight="false" outlineLevel="0" collapsed="false">
      <c r="A80" s="2" t="n">
        <v>57</v>
      </c>
      <c r="B80" s="2" t="s">
        <v>633</v>
      </c>
      <c r="C80" s="2" t="s">
        <v>637</v>
      </c>
      <c r="D80" s="2" t="s">
        <v>5448</v>
      </c>
      <c r="E80" s="2" t="s">
        <v>5525</v>
      </c>
      <c r="F80" s="2" t="s">
        <v>5523</v>
      </c>
      <c r="G80" s="2" t="s">
        <v>5324</v>
      </c>
      <c r="H80" s="2" t="s">
        <v>5526</v>
      </c>
      <c r="I80" s="2" t="n">
        <v>36</v>
      </c>
      <c r="J80" s="2" t="n">
        <v>11629</v>
      </c>
      <c r="K80" s="2" t="n">
        <v>37</v>
      </c>
      <c r="L80" s="2" t="n">
        <v>30</v>
      </c>
      <c r="M80" s="2" t="n">
        <v>1</v>
      </c>
      <c r="N80" s="2" t="n">
        <v>0</v>
      </c>
      <c r="O80" s="2" t="n">
        <v>5</v>
      </c>
      <c r="P80" s="2" t="n">
        <v>1</v>
      </c>
      <c r="Q80" s="2" t="n">
        <v>9</v>
      </c>
      <c r="R80" s="2" t="n">
        <v>6</v>
      </c>
      <c r="S80" s="2" t="n">
        <v>1</v>
      </c>
      <c r="T80" s="2" t="n">
        <v>21</v>
      </c>
      <c r="U80" s="2" t="n">
        <v>67</v>
      </c>
      <c r="V80" s="2" t="s">
        <v>5527</v>
      </c>
    </row>
    <row r="81" customFormat="false" ht="15" hidden="false" customHeight="false" outlineLevel="0" collapsed="false">
      <c r="A81" s="2" t="n">
        <v>60</v>
      </c>
      <c r="B81" s="2" t="s">
        <v>660</v>
      </c>
      <c r="C81" s="2" t="s">
        <v>664</v>
      </c>
      <c r="D81" s="2" t="s">
        <v>5321</v>
      </c>
      <c r="E81" s="2" t="s">
        <v>5528</v>
      </c>
      <c r="F81" s="2" t="s">
        <v>5529</v>
      </c>
      <c r="G81" s="2" t="s">
        <v>5324</v>
      </c>
      <c r="H81" s="2" t="s">
        <v>5530</v>
      </c>
      <c r="I81" s="2" t="n">
        <v>41</v>
      </c>
      <c r="J81" s="2" t="n">
        <v>24977</v>
      </c>
      <c r="K81" s="2" t="n">
        <v>102</v>
      </c>
      <c r="L81" s="2" t="n">
        <v>71</v>
      </c>
      <c r="M81" s="2" t="n">
        <v>17</v>
      </c>
      <c r="N81" s="2" t="n">
        <v>2</v>
      </c>
      <c r="O81" s="2" t="n">
        <v>10</v>
      </c>
      <c r="P81" s="2" t="n">
        <v>2</v>
      </c>
      <c r="Q81" s="2" t="n">
        <v>49</v>
      </c>
      <c r="R81" s="2" t="n">
        <v>5</v>
      </c>
      <c r="S81" s="2" t="n">
        <v>7</v>
      </c>
      <c r="T81" s="2" t="n">
        <v>41</v>
      </c>
      <c r="U81" s="2" t="n">
        <v>109</v>
      </c>
      <c r="V81" s="2" t="s">
        <v>5482</v>
      </c>
    </row>
  </sheetData>
  <autoFilter ref="A1:V8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7" t="s">
        <v>5531</v>
      </c>
    </row>
    <row r="2" customFormat="false" ht="15" hidden="false" customHeight="false" outlineLevel="0" collapsed="false">
      <c r="A2" s="8"/>
    </row>
    <row r="3" customFormat="false" ht="15" hidden="false" customHeight="false" outlineLevel="0" collapsed="false">
      <c r="A3" s="7" t="s">
        <v>5532</v>
      </c>
    </row>
    <row r="4" customFormat="false" ht="15" hidden="false" customHeight="false" outlineLevel="0" collapsed="false">
      <c r="A4" s="8" t="s">
        <v>5533</v>
      </c>
    </row>
    <row r="5" customFormat="false" ht="57.45" hidden="false" customHeight="false" outlineLevel="0" collapsed="false">
      <c r="A5" s="8" t="s">
        <v>5534</v>
      </c>
    </row>
    <row r="6" customFormat="false" ht="15" hidden="false" customHeight="false" outlineLevel="0" collapsed="false">
      <c r="A6" s="8" t="s">
        <v>5535</v>
      </c>
    </row>
    <row r="7" customFormat="false" ht="15" hidden="false" customHeight="false" outlineLevel="0" collapsed="false">
      <c r="A7" s="8" t="s">
        <v>5536</v>
      </c>
    </row>
    <row r="8" customFormat="false" ht="15" hidden="false" customHeight="false" outlineLevel="0" collapsed="false">
      <c r="A8" s="8"/>
    </row>
    <row r="9" customFormat="false" ht="15" hidden="false" customHeight="false" outlineLevel="0" collapsed="false">
      <c r="A9" s="7" t="s">
        <v>5537</v>
      </c>
    </row>
    <row r="10" customFormat="false" ht="23.85" hidden="false" customHeight="false" outlineLevel="0" collapsed="false">
      <c r="A10" s="8" t="s">
        <v>5538</v>
      </c>
    </row>
    <row r="11" customFormat="false" ht="15" hidden="false" customHeight="false" outlineLevel="0" collapsed="false">
      <c r="A11" s="8"/>
    </row>
    <row r="12" customFormat="false" ht="15" hidden="false" customHeight="false" outlineLevel="0" collapsed="false">
      <c r="A12" s="7" t="s">
        <v>5539</v>
      </c>
    </row>
    <row r="13" customFormat="false" ht="15" hidden="false" customHeight="false" outlineLevel="0" collapsed="false">
      <c r="A13" s="8" t="s">
        <v>5540</v>
      </c>
    </row>
    <row r="14" customFormat="false" ht="23.85" hidden="false" customHeight="false" outlineLevel="0" collapsed="false">
      <c r="A14" s="8" t="s">
        <v>5541</v>
      </c>
    </row>
    <row r="15" customFormat="false" ht="15" hidden="false" customHeight="false" outlineLevel="0" collapsed="false">
      <c r="A15" s="8" t="s">
        <v>5542</v>
      </c>
    </row>
    <row r="16" customFormat="false" ht="15" hidden="false" customHeight="false" outlineLevel="0" collapsed="false">
      <c r="A16" s="8" t="s">
        <v>5543</v>
      </c>
    </row>
    <row r="17" customFormat="false" ht="15" hidden="false" customHeight="false" outlineLevel="0" collapsed="false">
      <c r="A17" s="8"/>
    </row>
    <row r="18" customFormat="false" ht="15" hidden="false" customHeight="false" outlineLevel="0" collapsed="false">
      <c r="A18" s="7" t="s">
        <v>5544</v>
      </c>
    </row>
    <row r="19" customFormat="false" ht="15" hidden="false" customHeight="false" outlineLevel="0" collapsed="false">
      <c r="A19" s="8" t="s">
        <v>5545</v>
      </c>
    </row>
    <row r="20" customFormat="false" ht="15" hidden="false" customHeight="false" outlineLevel="0" collapsed="false">
      <c r="A20" s="8"/>
    </row>
    <row r="21" customFormat="false" ht="15" hidden="false" customHeight="false" outlineLevel="0" collapsed="false">
      <c r="A21" s="8" t="s">
        <v>5546</v>
      </c>
    </row>
    <row r="22" customFormat="false" ht="15" hidden="false" customHeight="false" outlineLevel="0" collapsed="false">
      <c r="A22" s="8" t="s">
        <v>5547</v>
      </c>
    </row>
    <row r="23" customFormat="false" ht="15" hidden="false" customHeight="false" outlineLevel="0" collapsed="false">
      <c r="A23" s="8" t="s">
        <v>5548</v>
      </c>
    </row>
    <row r="24" customFormat="false" ht="15" hidden="false" customHeight="false" outlineLevel="0" collapsed="false">
      <c r="A24" s="8" t="s">
        <v>5549</v>
      </c>
    </row>
    <row r="25" customFormat="false" ht="15" hidden="false" customHeight="false" outlineLevel="0" collapsed="false">
      <c r="A25" s="8" t="s">
        <v>5550</v>
      </c>
    </row>
    <row r="26" customFormat="false" ht="15" hidden="false" customHeight="false" outlineLevel="0" collapsed="false">
      <c r="A26" s="8" t="s">
        <v>5551</v>
      </c>
    </row>
    <row r="27" customFormat="false" ht="15" hidden="false" customHeight="false" outlineLevel="0" collapsed="false">
      <c r="A27" s="8" t="s">
        <v>5552</v>
      </c>
    </row>
    <row r="28" customFormat="false" ht="15" hidden="false" customHeight="false" outlineLevel="0" collapsed="false">
      <c r="A28" s="8"/>
    </row>
    <row r="29" customFormat="false" ht="15" hidden="false" customHeight="false" outlineLevel="0" collapsed="false">
      <c r="A29" s="8" t="s">
        <v>5553</v>
      </c>
    </row>
    <row r="30" customFormat="false" ht="15" hidden="false" customHeight="false" outlineLevel="0" collapsed="false">
      <c r="A30" s="8" t="s">
        <v>5554</v>
      </c>
    </row>
    <row r="31" customFormat="false" ht="15" hidden="false" customHeight="false" outlineLevel="0" collapsed="false">
      <c r="A31" s="8" t="s">
        <v>5555</v>
      </c>
    </row>
    <row r="32" customFormat="false" ht="15" hidden="false" customHeight="false" outlineLevel="0" collapsed="false">
      <c r="A32" s="8" t="s">
        <v>5556</v>
      </c>
    </row>
    <row r="33" customFormat="false" ht="15" hidden="false" customHeight="false" outlineLevel="0" collapsed="false">
      <c r="A33" s="8" t="s">
        <v>5557</v>
      </c>
    </row>
    <row r="34" customFormat="false" ht="15" hidden="false" customHeight="false" outlineLevel="0" collapsed="false">
      <c r="A34" s="8" t="s">
        <v>5558</v>
      </c>
    </row>
    <row r="35" customFormat="false" ht="35.05" hidden="false" customHeight="false" outlineLevel="0" collapsed="false">
      <c r="A35" s="8" t="s">
        <v>5559</v>
      </c>
    </row>
    <row r="36" customFormat="false" ht="15" hidden="false" customHeight="false" outlineLevel="0" collapsed="false">
      <c r="A36" s="8"/>
    </row>
    <row r="37" customFormat="false" ht="23.85" hidden="false" customHeight="false" outlineLevel="0" collapsed="false">
      <c r="A37" s="8" t="s">
        <v>5560</v>
      </c>
    </row>
    <row r="38" customFormat="false" ht="15" hidden="false" customHeight="false" outlineLevel="0" collapsed="false">
      <c r="A38" s="8"/>
    </row>
    <row r="39" customFormat="false" ht="15" hidden="false" customHeight="false" outlineLevel="0" collapsed="false">
      <c r="A39" s="7" t="s">
        <v>5561</v>
      </c>
    </row>
    <row r="40" customFormat="false" ht="23.85" hidden="false" customHeight="false" outlineLevel="0" collapsed="false">
      <c r="A40" s="8" t="s">
        <v>5562</v>
      </c>
    </row>
    <row r="41" customFormat="false" ht="15" hidden="false" customHeight="false" outlineLevel="0" collapsed="false">
      <c r="A41" s="8" t="s">
        <v>5563</v>
      </c>
    </row>
    <row r="42" customFormat="false" ht="15" hidden="false" customHeight="false" outlineLevel="0" collapsed="false">
      <c r="A42" s="8" t="s">
        <v>5564</v>
      </c>
    </row>
    <row r="43" customFormat="false" ht="23.85" hidden="false" customHeight="false" outlineLevel="0" collapsed="false">
      <c r="A43" s="8" t="s">
        <v>5565</v>
      </c>
    </row>
    <row r="44" customFormat="false" ht="15" hidden="false" customHeight="false" outlineLevel="0" collapsed="false">
      <c r="A44" s="8" t="s">
        <v>5566</v>
      </c>
    </row>
    <row r="45" customFormat="false" ht="15" hidden="false" customHeight="false" outlineLevel="0" collapsed="false">
      <c r="A45" s="8"/>
    </row>
    <row r="46" customFormat="false" ht="15" hidden="false" customHeight="false" outlineLevel="0" collapsed="false">
      <c r="A46" s="8" t="s">
        <v>5567</v>
      </c>
    </row>
    <row r="47" customFormat="false" ht="15" hidden="false" customHeight="false" outlineLevel="0" collapsed="false">
      <c r="A47" s="8"/>
    </row>
    <row r="48" customFormat="false" ht="15" hidden="false" customHeight="false" outlineLevel="0" collapsed="false">
      <c r="A48" s="7" t="s">
        <v>5568</v>
      </c>
    </row>
    <row r="49" customFormat="false" ht="23.85" hidden="false" customHeight="false" outlineLevel="0" collapsed="false">
      <c r="A49" s="8" t="s">
        <v>5569</v>
      </c>
    </row>
    <row r="50" customFormat="false" ht="15" hidden="false" customHeight="false" outlineLevel="0" collapsed="false">
      <c r="A50" s="8"/>
    </row>
    <row r="51" customFormat="false" ht="15" hidden="false" customHeight="false" outlineLevel="0" collapsed="false">
      <c r="A51" s="7" t="s">
        <v>5570</v>
      </c>
    </row>
    <row r="52" customFormat="false" ht="15" hidden="false" customHeight="false" outlineLevel="0" collapsed="false">
      <c r="A52" s="8" t="s">
        <v>5571</v>
      </c>
    </row>
    <row r="53" customFormat="false" ht="23.85" hidden="false" customHeight="false" outlineLevel="0" collapsed="false">
      <c r="A53" s="8" t="s">
        <v>5572</v>
      </c>
    </row>
    <row r="54" customFormat="false" ht="23.85" hidden="false" customHeight="false" outlineLevel="0" collapsed="false">
      <c r="A54" s="8" t="s">
        <v>5573</v>
      </c>
    </row>
    <row r="55" customFormat="false" ht="15" hidden="false" customHeight="false" outlineLevel="0" collapsed="false">
      <c r="A55" s="8" t="s">
        <v>5574</v>
      </c>
    </row>
    <row r="56" customFormat="false" ht="15" hidden="false" customHeight="false" outlineLevel="0" collapsed="false">
      <c r="A56" s="8" t="s">
        <v>5575</v>
      </c>
    </row>
    <row r="57" customFormat="false" ht="15" hidden="false" customHeight="false" outlineLevel="0" collapsed="false">
      <c r="A57" s="8" t="s">
        <v>5576</v>
      </c>
    </row>
    <row r="58" customFormat="false" ht="23.85" hidden="false" customHeight="false" outlineLevel="0" collapsed="false">
      <c r="A58" s="8" t="s">
        <v>5577</v>
      </c>
    </row>
    <row r="59" customFormat="false" ht="15" hidden="false" customHeight="false" outlineLevel="0" collapsed="false">
      <c r="A59" s="8"/>
    </row>
    <row r="60" customFormat="false" ht="15" hidden="false" customHeight="false" outlineLevel="0" collapsed="false">
      <c r="A60" s="7" t="s">
        <v>5578</v>
      </c>
    </row>
    <row r="61" customFormat="false" ht="23.85" hidden="false" customHeight="false" outlineLevel="0" collapsed="false">
      <c r="A61" s="8" t="s">
        <v>5579</v>
      </c>
    </row>
    <row r="62" customFormat="false" ht="15" hidden="false" customHeight="false" outlineLevel="0" collapsed="false">
      <c r="A62" s="8"/>
    </row>
    <row r="63" customFormat="false" ht="15" hidden="false" customHeight="false" outlineLevel="0" collapsed="false">
      <c r="A63" s="7" t="s">
        <v>5580</v>
      </c>
    </row>
    <row r="64" customFormat="false" ht="23.85" hidden="false" customHeight="false" outlineLevel="0" collapsed="false">
      <c r="A64" s="8" t="s">
        <v>5581</v>
      </c>
    </row>
    <row r="65" customFormat="false" ht="23.85" hidden="false" customHeight="false" outlineLevel="0" collapsed="false">
      <c r="A65" s="8" t="s">
        <v>5582</v>
      </c>
    </row>
    <row r="66" customFormat="false" ht="15" hidden="false" customHeight="false" outlineLevel="0" collapsed="false">
      <c r="A66" s="8"/>
    </row>
    <row r="67" customFormat="false" ht="15" hidden="false" customHeight="false" outlineLevel="0" collapsed="false">
      <c r="A67" s="7" t="s">
        <v>5583</v>
      </c>
    </row>
    <row r="68" customFormat="false" ht="15" hidden="false" customHeight="false" outlineLevel="0" collapsed="false">
      <c r="A68" s="8" t="s">
        <v>5584</v>
      </c>
    </row>
    <row r="69" customFormat="false" ht="23.85" hidden="false" customHeight="false" outlineLevel="0" collapsed="false">
      <c r="A69" s="8" t="s">
        <v>5585</v>
      </c>
    </row>
    <row r="70" customFormat="false" ht="23.85" hidden="false" customHeight="false" outlineLevel="0" collapsed="false">
      <c r="A70" s="8" t="s">
        <v>5586</v>
      </c>
    </row>
    <row r="71" customFormat="false" ht="35.05" hidden="false" customHeight="false" outlineLevel="0" collapsed="false">
      <c r="A71" s="8" t="s">
        <v>5587</v>
      </c>
    </row>
    <row r="72" customFormat="false" ht="15" hidden="false" customHeight="false" outlineLevel="0" collapsed="false">
      <c r="A72" s="8" t="s">
        <v>5588</v>
      </c>
    </row>
    <row r="73" customFormat="false" ht="15" hidden="false" customHeight="false" outlineLevel="0" collapsed="false">
      <c r="A73" s="8"/>
    </row>
    <row r="74" customFormat="false" ht="15" hidden="false" customHeight="false" outlineLevel="0" collapsed="false">
      <c r="A74" s="7" t="s">
        <v>5589</v>
      </c>
    </row>
    <row r="75" customFormat="false" ht="15" hidden="false" customHeight="false" outlineLevel="0" collapsed="false">
      <c r="A75" s="8" t="s">
        <v>5590</v>
      </c>
    </row>
    <row r="76" customFormat="false" ht="35.05" hidden="false" customHeight="false" outlineLevel="0" collapsed="false">
      <c r="A76" s="8" t="s">
        <v>5591</v>
      </c>
    </row>
    <row r="77" customFormat="false" ht="35.05" hidden="false" customHeight="false" outlineLevel="0" collapsed="false">
      <c r="A77" s="8" t="s">
        <v>5592</v>
      </c>
    </row>
    <row r="78" customFormat="false" ht="23.85" hidden="false" customHeight="false" outlineLevel="0" collapsed="false">
      <c r="A78" s="8" t="s">
        <v>5593</v>
      </c>
    </row>
    <row r="79" customFormat="false" ht="15" hidden="false" customHeight="false" outlineLevel="0" collapsed="false">
      <c r="A79" s="8" t="s">
        <v>5594</v>
      </c>
    </row>
    <row r="80" customFormat="false" ht="23.85" hidden="false" customHeight="false" outlineLevel="0" collapsed="false">
      <c r="A80" s="8" t="s">
        <v>5595</v>
      </c>
    </row>
    <row r="81" customFormat="false" ht="15" hidden="false" customHeight="false" outlineLevel="0" collapsed="false">
      <c r="A81" s="8" t="s">
        <v>5596</v>
      </c>
    </row>
    <row r="82" customFormat="false" ht="15" hidden="false" customHeight="false" outlineLevel="0" collapsed="false">
      <c r="A82" s="8"/>
    </row>
    <row r="83" customFormat="false" ht="15" hidden="false" customHeight="false" outlineLevel="0" collapsed="false">
      <c r="A83" s="7" t="s">
        <v>5597</v>
      </c>
    </row>
    <row r="84" customFormat="false" ht="23.85" hidden="false" customHeight="false" outlineLevel="0" collapsed="false">
      <c r="A84" s="8" t="s">
        <v>5598</v>
      </c>
    </row>
    <row r="85" customFormat="false" ht="15" hidden="false" customHeight="false" outlineLevel="0" collapsed="false">
      <c r="A85" s="8"/>
    </row>
    <row r="86" customFormat="false" ht="15" hidden="false" customHeight="false" outlineLevel="0" collapsed="false">
      <c r="A86" s="7" t="s">
        <v>5599</v>
      </c>
    </row>
    <row r="87" customFormat="false" ht="15" hidden="false" customHeight="false" outlineLevel="0" collapsed="false">
      <c r="A87" s="8" t="s">
        <v>5600</v>
      </c>
    </row>
    <row r="88" customFormat="false" ht="15" hidden="false" customHeight="false" outlineLevel="0" collapsed="false">
      <c r="A88" s="8" t="s">
        <v>5601</v>
      </c>
    </row>
    <row r="89" customFormat="false" ht="15" hidden="false" customHeight="false" outlineLevel="0" collapsed="false">
      <c r="A89" s="8" t="s">
        <v>5602</v>
      </c>
    </row>
    <row r="90" customFormat="false" ht="15" hidden="false" customHeight="false" outlineLevel="0" collapsed="false">
      <c r="A90" s="8" t="s">
        <v>5603</v>
      </c>
    </row>
    <row r="91" customFormat="false" ht="15" hidden="false" customHeight="false" outlineLevel="0" collapsed="false">
      <c r="A91" s="8" t="s">
        <v>5604</v>
      </c>
    </row>
    <row r="92" customFormat="false" ht="46.25" hidden="false" customHeight="false" outlineLevel="0" collapsed="false">
      <c r="A92" s="8" t="s">
        <v>5605</v>
      </c>
    </row>
    <row r="93" customFormat="false" ht="15" hidden="false" customHeight="false" outlineLevel="0" collapsed="false">
      <c r="A93" s="8"/>
    </row>
    <row r="94" customFormat="false" ht="15" hidden="false" customHeight="false" outlineLevel="0" collapsed="false">
      <c r="A94" s="7" t="s">
        <v>5606</v>
      </c>
    </row>
    <row r="95" customFormat="false" ht="15" hidden="false" customHeight="false" outlineLevel="0" collapsed="false">
      <c r="A95" s="8" t="s">
        <v>5607</v>
      </c>
    </row>
    <row r="96" customFormat="false" ht="15" hidden="false" customHeight="false" outlineLevel="0" collapsed="false">
      <c r="A96" s="8" t="s">
        <v>5608</v>
      </c>
    </row>
    <row r="97" customFormat="false" ht="15" hidden="false" customHeight="false" outlineLevel="0" collapsed="false">
      <c r="A97" s="8" t="s">
        <v>5609</v>
      </c>
    </row>
    <row r="98" customFormat="false" ht="15" hidden="false" customHeight="false" outlineLevel="0" collapsed="false">
      <c r="A98" s="8" t="s">
        <v>5610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4" min="2" style="0" width="12"/>
    <col collapsed="false" customWidth="true" hidden="false" outlineLevel="0" max="5" min="5" style="0" width="14"/>
    <col collapsed="false" customWidth="true" hidden="false" outlineLevel="0" max="6" min="6" style="0" width="10"/>
    <col collapsed="false" customWidth="true" hidden="false" outlineLevel="0" max="8" min="7" style="0" width="14"/>
    <col collapsed="false" customWidth="true" hidden="false" outlineLevel="0" max="9" min="9" style="0" width="12"/>
  </cols>
  <sheetData>
    <row r="1" customFormat="false" ht="45" hidden="false" customHeight="true" outlineLevel="0" collapsed="false">
      <c r="A1" s="1" t="s">
        <v>5611</v>
      </c>
      <c r="B1" s="1" t="s">
        <v>5612</v>
      </c>
      <c r="C1" s="1" t="s">
        <v>5613</v>
      </c>
      <c r="D1" s="1" t="s">
        <v>5614</v>
      </c>
      <c r="E1" s="1" t="s">
        <v>5615</v>
      </c>
      <c r="F1" s="1" t="s">
        <v>5616</v>
      </c>
      <c r="G1" s="1" t="s">
        <v>5617</v>
      </c>
      <c r="H1" s="1" t="s">
        <v>5618</v>
      </c>
      <c r="I1" s="1" t="s">
        <v>5619</v>
      </c>
    </row>
    <row r="2" customFormat="false" ht="15" hidden="false" customHeight="false" outlineLevel="0" collapsed="false">
      <c r="A2" s="2" t="s">
        <v>5620</v>
      </c>
      <c r="B2" s="2" t="n">
        <v>78</v>
      </c>
      <c r="C2" s="2" t="n">
        <v>6</v>
      </c>
      <c r="D2" s="2" t="n">
        <v>0</v>
      </c>
      <c r="E2" s="2" t="n">
        <v>16</v>
      </c>
      <c r="F2" s="2" t="n">
        <v>0.929</v>
      </c>
      <c r="G2" s="2" t="n">
        <v>1</v>
      </c>
      <c r="H2" s="2" t="n">
        <v>0.705</v>
      </c>
      <c r="I2" s="2" t="n">
        <v>78</v>
      </c>
    </row>
    <row r="3" customFormat="false" ht="15" hidden="false" customHeight="false" outlineLevel="0" collapsed="false">
      <c r="A3" s="2" t="s">
        <v>5621</v>
      </c>
      <c r="B3" s="2" t="n">
        <v>69</v>
      </c>
      <c r="C3" s="2" t="n">
        <v>9</v>
      </c>
      <c r="D3" s="2" t="n">
        <v>0</v>
      </c>
      <c r="E3" s="2" t="n">
        <v>13</v>
      </c>
      <c r="F3" s="2" t="n">
        <v>0.885</v>
      </c>
      <c r="G3" s="2" t="n">
        <v>1</v>
      </c>
      <c r="H3" s="2" t="n">
        <v>0.652</v>
      </c>
      <c r="I3" s="2" t="n">
        <v>69</v>
      </c>
    </row>
    <row r="4" customFormat="false" ht="15" hidden="false" customHeight="false" outlineLevel="0" collapsed="false">
      <c r="A4" s="2" t="s">
        <v>5622</v>
      </c>
      <c r="B4" s="2" t="s">
        <v>5623</v>
      </c>
      <c r="C4" s="2"/>
      <c r="D4" s="2"/>
      <c r="E4" s="2"/>
      <c r="F4" s="2"/>
      <c r="G4" s="2"/>
      <c r="H4" s="2"/>
      <c r="I4" s="2"/>
    </row>
    <row r="5" customFormat="false" ht="15" hidden="false" customHeight="false" outlineLevel="0" collapsed="false">
      <c r="A5" s="2" t="s">
        <v>5624</v>
      </c>
      <c r="B5" s="2" t="n">
        <v>84</v>
      </c>
      <c r="C5" s="2" t="n">
        <v>16</v>
      </c>
      <c r="D5" s="2"/>
      <c r="E5" s="2"/>
      <c r="F5" s="2" t="n">
        <v>0.84</v>
      </c>
      <c r="G5" s="2"/>
      <c r="H5" s="2" t="n">
        <v>0.738</v>
      </c>
      <c r="I5" s="2" t="n">
        <v>84</v>
      </c>
    </row>
    <row r="6" customFormat="false" ht="15" hidden="false" customHeight="false" outlineLevel="0" collapsed="false">
      <c r="A6" s="2" t="s">
        <v>61</v>
      </c>
      <c r="B6" s="2" t="s">
        <v>5625</v>
      </c>
      <c r="C6" s="2"/>
      <c r="D6" s="2"/>
      <c r="E6" s="2"/>
      <c r="F6" s="2"/>
      <c r="G6" s="2"/>
      <c r="H6" s="2"/>
      <c r="I6" s="2"/>
    </row>
  </sheetData>
  <autoFilter ref="A1:I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2026-10-10T09:34:09Z</dcterms:created>
  <dc:creator>openpyxl</dc:creator>
  <dc:description/>
  <dc:language>en-US</dc:language>
  <cp:lastModifiedBy/>
  <dcterms:modified xsi:type="dcterms:W3CDTF">2026-10-10T09:34:11Z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