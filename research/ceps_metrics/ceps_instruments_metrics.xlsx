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guidance_web" sheetId="3" state="visible" r:id="rId5"/>
    <sheet name="method" sheetId="4" state="visible" r:id="rId6"/>
    <sheet name="validation" sheetId="5" state="visible" r:id="rId7"/>
  </sheets>
  <definedNames>
    <definedName function="false" hidden="true" localSheetId="2" name="_xlnm._FilterDatabase" vbProcedure="false">guidance_web!$A$1:$H$7</definedName>
    <definedName function="false" hidden="true" localSheetId="0" name="_xlnm._FilterDatabase" vbProcedure="false">instruments!$A$1:$AN$117</definedName>
    <definedName function="false" hidden="true" localSheetId="1" name="_xlnm._FilterDatabase" vbProcedure="false">secondary_acts!$A$1:$AC$771</definedName>
    <definedName function="false" hidden="true" localSheetId="4"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<sst xmlns="http://schemas.openxmlformats.org/spreadsheetml/2006/main" count="8341" uniqueCount="3641">
  <si>
    <t xml:space="preserve">row_id</t>
  </si>
  <si>
    <t xml:space="preserve">name</t>
  </si>
  <si>
    <t xml:space="preserve">identifier</t>
  </si>
  <si>
    <t xml:space="preserve">proposal_date</t>
  </si>
  <si>
    <t xml:space="preserve">confidence_proposal_date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</si>
  <si>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</si>
  <si>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</si>
  <si>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</si>
  <si>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</si>
  <si>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</si>
  <si>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</si>
  <si>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</si>
  <si>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</si>
  <si>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</si>
  <si>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</si>
  <si>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</si>
  <si>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</si>
  <si>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</si>
  <si>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</si>
  <si>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</si>
  <si>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</si>
  <si>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</si>
  <si>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</si>
  <si>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</si>
  <si>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</si>
  <si>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</si>
  <si>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</si>
  <si>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</si>
  <si>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</si>
  <si>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</si>
  <si>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</si>
  <si>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</si>
  <si>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</si>
  <si>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</si>
  <si>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</si>
  <si>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</si>
  <si>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restrictions_in_implementing_and_delegated_acts</t>
  </si>
  <si>
    <t xml:space="preserve">national_transposition_measures</t>
  </si>
  <si>
    <t xml:space="preserve">member_states_with_measures</t>
  </si>
  <si>
    <t xml:space="preserve">note</t>
  </si>
  <si>
    <t xml:space="preserve">Frequency Bands Directive (GSM)</t>
  </si>
  <si>
    <t xml:space="preserve">Directive 87/372/EEC</t>
  </si>
  <si>
    <t xml:space="preserve">1986-09-01</t>
  </si>
  <si>
    <t xml:space="preserve">low</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</si>
  <si>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</si>
  <si>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</si>
  <si>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</si>
  <si>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</si>
  <si>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</si>
  <si>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Unfair Contract Terms Directive</t>
  </si>
  <si>
    <t xml:space="preserve">Directive 93/13/EEC</t>
  </si>
  <si>
    <t xml:space="preserve">1990-07-24</t>
  </si>
  <si>
    <t xml:space="preserve">medium</t>
  </si>
  <si>
    <t xml:space="preserve">31993L0013</t>
  </si>
  <si>
    <t xml:space="preserve">https://eur-lex.europa.eu/legal-content/EN/TXT/?uri=CELEX:31993L0013</t>
  </si>
  <si>
    <t xml:space="preserve">01993L0013-20220528</t>
  </si>
  <si>
    <t xml:space="preserve">Satellite and Cable Directive</t>
  </si>
  <si>
    <t xml:space="preserve">Directive 93/83/EEC</t>
  </si>
  <si>
    <t xml:space="preserve">1991-09-11</t>
  </si>
  <si>
    <t xml:space="preserve">31993L0083</t>
  </si>
  <si>
    <t xml:space="preserve">https://eur-lex.europa.eu/legal-content/EN/TXT/?uri=CELEX:31993L0083</t>
  </si>
  <si>
    <t xml:space="preserve">01993L0083-19931004</t>
  </si>
  <si>
    <t xml:space="preserve">no consolidated text with amendments in EUR-Lex; consolidated count = original</t>
  </si>
  <si>
    <t xml:space="preserve">Database Directive</t>
  </si>
  <si>
    <t xml:space="preserve">Directive 96/9/EC</t>
  </si>
  <si>
    <t xml:space="preserve">1992-05-13</t>
  </si>
  <si>
    <t xml:space="preserve">31996L0009</t>
  </si>
  <si>
    <t xml:space="preserve">https://eur-lex.europa.eu/legal-content/EN/TXT/?uri=CELEX:31996L0009</t>
  </si>
  <si>
    <t xml:space="preserve">01996L0009-20190606</t>
  </si>
  <si>
    <t xml:space="preserve">Community Design Regulation</t>
  </si>
  <si>
    <t xml:space="preserve">Regulation (EC) 6/2002</t>
  </si>
  <si>
    <t xml:space="preserve">1993-12-03</t>
  </si>
  <si>
    <t xml:space="preserve">32002R0006</t>
  </si>
  <si>
    <t xml:space="preserve">https://eur-lex.europa.eu/legal-content/EN/TXT/?uri=CELEX:32002R0006</t>
  </si>
  <si>
    <t xml:space="preserve">02002R0006-20260701</t>
  </si>
  <si>
    <t xml:space="preserve">Price Indication Directive</t>
  </si>
  <si>
    <t xml:space="preserve">Directive 98/6/EC</t>
  </si>
  <si>
    <t xml:space="preserve">1995-07-24</t>
  </si>
  <si>
    <t xml:space="preserve">31998L0006</t>
  </si>
  <si>
    <t xml:space="preserve">https://eur-lex.europa.eu/legal-content/EN/TXT/?uri=CELEX:31998L0006</t>
  </si>
  <si>
    <t xml:space="preserve">01998L0006-20220528</t>
  </si>
  <si>
    <t xml:space="preserve">Information Society (InfoSoc) Directive</t>
  </si>
  <si>
    <t xml:space="preserve">Directive 2001/29/EC</t>
  </si>
  <si>
    <t xml:space="preserve">1997-12-10</t>
  </si>
  <si>
    <t xml:space="preserve">high</t>
  </si>
  <si>
    <t xml:space="preserve">32001L0029</t>
  </si>
  <si>
    <t xml:space="preserve">https://eur-lex.europa.eu/legal-content/EN/TXT/?uri=CELEX:32001L0029</t>
  </si>
  <si>
    <t xml:space="preserve">02001L0029-20190606</t>
  </si>
  <si>
    <t xml:space="preserve">E-commerce Directive</t>
  </si>
  <si>
    <t xml:space="preserve">Directive 2000/31/EC</t>
  </si>
  <si>
    <t xml:space="preserve">1998-11-18</t>
  </si>
  <si>
    <t xml:space="preserve">32000L0031</t>
  </si>
  <si>
    <t xml:space="preserve">https://eur-lex.europa.eu/legal-content/EN/TXT/?uri=CELEX:32000L0031</t>
  </si>
  <si>
    <t xml:space="preserve">02000L0031-20240217</t>
  </si>
  <si>
    <t xml:space="preserve">ePrivacy Directive</t>
  </si>
  <si>
    <t xml:space="preserve">Directive 2002/58/EC</t>
  </si>
  <si>
    <t xml:space="preserve">2000-07-12</t>
  </si>
  <si>
    <t xml:space="preserve">32002L0058</t>
  </si>
  <si>
    <t xml:space="preserve">https://eur-lex.europa.eu/legal-content/EN/TXT/?uri=CELEX:32002L0058</t>
  </si>
  <si>
    <t xml:space="preserve">02002L0058-20091219</t>
  </si>
  <si>
    <t xml:space="preserve">Radio Spectrum Decision</t>
  </si>
  <si>
    <t xml:space="preserve">Decision 676/2002/EC</t>
  </si>
  <si>
    <t xml:space="preserve">32002D0676</t>
  </si>
  <si>
    <t xml:space="preserve">https://eur-lex.europa.eu/legal-content/EN/TXT/?uri=CELEX:32002D0676</t>
  </si>
  <si>
    <t xml:space="preserve">02002D0676-20020424</t>
  </si>
  <si>
    <t xml:space="preserve">EC Merger Regulation</t>
  </si>
  <si>
    <t xml:space="preserve">Regulation (EC) 139/2004</t>
  </si>
  <si>
    <t xml:space="preserve">2002-12-11</t>
  </si>
  <si>
    <t xml:space="preserve">32004R0139</t>
  </si>
  <si>
    <t xml:space="preserve">https://eur-lex.europa.eu/legal-content/EN/TXT/?uri=CELEX:32004R0139</t>
  </si>
  <si>
    <t xml:space="preserve">02004R0139-20040218</t>
  </si>
  <si>
    <t xml:space="preserve">IPR Enforcement Directive</t>
  </si>
  <si>
    <t xml:space="preserve">Directive 2004/48/EC</t>
  </si>
  <si>
    <t xml:space="preserve">2003-01-30</t>
  </si>
  <si>
    <t xml:space="preserve">32004L0048</t>
  </si>
  <si>
    <t xml:space="preserve">https://eur-lex.europa.eu/legal-content/EN/TXT/?uri=CELEX:32004L0048</t>
  </si>
  <si>
    <t xml:space="preserve">02004L0048-20040430</t>
  </si>
  <si>
    <t xml:space="preserve">Unfair Commercial Practices Directive</t>
  </si>
  <si>
    <t xml:space="preserve">Directive 2005/29/EC</t>
  </si>
  <si>
    <t xml:space="preserve">2003-06-18</t>
  </si>
  <si>
    <t xml:space="preserve">32005L0029</t>
  </si>
  <si>
    <t xml:space="preserve">https://eur-lex.europa.eu/legal-content/EN/TXT/?uri=CELEX:32005L0029</t>
  </si>
  <si>
    <t xml:space="preserve">02005L0029-20260927</t>
  </si>
  <si>
    <t xml:space="preserve">Common VAT system Directive</t>
  </si>
  <si>
    <t xml:space="preserve">Directive 2006/112/EC</t>
  </si>
  <si>
    <t xml:space="preserve">2004-04-15</t>
  </si>
  <si>
    <t xml:space="preserve">32006L0112</t>
  </si>
  <si>
    <t xml:space="preserve">https://eur-lex.europa.eu/legal-content/EN/TXT/?uri=CELEX:32006L0112</t>
  </si>
  <si>
    <t xml:space="preserve">02006L0112-20100811</t>
  </si>
  <si>
    <t xml:space="preserve">Audiovisual Media Services Directive</t>
  </si>
  <si>
    <t xml:space="preserve">Directive 2010/13/EU</t>
  </si>
  <si>
    <t xml:space="preserve">2005-12-13</t>
  </si>
  <si>
    <t xml:space="preserve">32010L0013</t>
  </si>
  <si>
    <t xml:space="preserve">https://eur-lex.europa.eu/legal-content/EN/TXT/?uri=CELEX:32010L0013</t>
  </si>
  <si>
    <t xml:space="preserve">02010L0013-20250208</t>
  </si>
  <si>
    <t xml:space="preserve">European Statistics Regulation</t>
  </si>
  <si>
    <t xml:space="preserve">Regulation (EC) 223/2009</t>
  </si>
  <si>
    <t xml:space="preserve">2007-10-16</t>
  </si>
  <si>
    <t xml:space="preserve">32009R0223</t>
  </si>
  <si>
    <t xml:space="preserve">https://eur-lex.europa.eu/legal-content/EN/TXT/?uri=CELEX:32009R0223</t>
  </si>
  <si>
    <t xml:space="preserve">02009R0223-20241226</t>
  </si>
  <si>
    <t xml:space="preserve">Toys Safety Directive</t>
  </si>
  <si>
    <t xml:space="preserve">Directive 2009/48/EC</t>
  </si>
  <si>
    <t xml:space="preserve">2008-01-25</t>
  </si>
  <si>
    <t xml:space="preserve">32009L0048</t>
  </si>
  <si>
    <t xml:space="preserve">https://eur-lex.europa.eu/legal-content/EN/TXT/?uri=CELEX:32009L0048</t>
  </si>
  <si>
    <t xml:space="preserve">02009L0048-20260829</t>
  </si>
  <si>
    <t xml:space="preserve">Consumer Rights Directive</t>
  </si>
  <si>
    <t xml:space="preserve">Directive 2011/83/EU</t>
  </si>
  <si>
    <t xml:space="preserve">2008-10-08</t>
  </si>
  <si>
    <t xml:space="preserve">32011L0083</t>
  </si>
  <si>
    <t xml:space="preserve">https://eur-lex.europa.eu/legal-content/EN/TXT/?uri=CELEX:32011L0083</t>
  </si>
  <si>
    <t xml:space="preserve">02011L0083-20260927</t>
  </si>
  <si>
    <t xml:space="preserve">Administrative cooperation in taxation (DAC)</t>
  </si>
  <si>
    <t xml:space="preserve">Directive 2011/16/EU</t>
  </si>
  <si>
    <t xml:space="preserve">2009-02-02</t>
  </si>
  <si>
    <t xml:space="preserve">32011L0016</t>
  </si>
  <si>
    <t xml:space="preserve">https://eur-lex.europa.eu/legal-content/EN/TXT/?uri=CELEX:32011L0016</t>
  </si>
  <si>
    <t xml:space="preserve">02011L0016-20260101</t>
  </si>
  <si>
    <t xml:space="preserve">General Data Protection Regulation</t>
  </si>
  <si>
    <t xml:space="preserve">Regulation (EU) 2016/679</t>
  </si>
  <si>
    <t xml:space="preserve">2012-01-25</t>
  </si>
  <si>
    <t xml:space="preserve">32016R0679</t>
  </si>
  <si>
    <t xml:space="preserve">https://eur-lex.europa.eu/legal-content/EN/TXT/?uri=CELEX:32016R0679</t>
  </si>
  <si>
    <t xml:space="preserve">02016R0679-20160504</t>
  </si>
  <si>
    <t xml:space="preserve">Law Enforcement Directive</t>
  </si>
  <si>
    <t xml:space="preserve">Directive (EU) 2016/680</t>
  </si>
  <si>
    <t xml:space="preserve">32016L0680</t>
  </si>
  <si>
    <t xml:space="preserve">https://eur-lex.europa.eu/legal-content/EN/TXT/?uri=CELEX:32016L0680</t>
  </si>
  <si>
    <t xml:space="preserve">02016L0680-20160504</t>
  </si>
  <si>
    <t xml:space="preserve">eIDAS Regulation</t>
  </si>
  <si>
    <t xml:space="preserve">Regulation (EU) 910/2014</t>
  </si>
  <si>
    <t xml:space="preserve">2012-06-04</t>
  </si>
  <si>
    <t xml:space="preserve">32014R0910</t>
  </si>
  <si>
    <t xml:space="preserve">https://eur-lex.europa.eu/legal-content/EN/TXT/?uri=CELEX:32014R0910</t>
  </si>
  <si>
    <t xml:space="preserve">02014R0910-20240520</t>
  </si>
  <si>
    <t xml:space="preserve">Payment Services Directive 2 (PSD2)</t>
  </si>
  <si>
    <t xml:space="preserve">Directive (EU) 2015/2366</t>
  </si>
  <si>
    <t xml:space="preserve">2013-07-24</t>
  </si>
  <si>
    <t xml:space="preserve">32015L2366</t>
  </si>
  <si>
    <t xml:space="preserve">https://eur-lex.europa.eu/legal-content/EN/TXT/?uri=CELEX:32015L2366</t>
  </si>
  <si>
    <t xml:space="preserve">02015L2366-20250117</t>
  </si>
  <si>
    <t xml:space="preserve">Open Internet Access Regulation</t>
  </si>
  <si>
    <t xml:space="preserve">Regulation (EU) 2015/2120</t>
  </si>
  <si>
    <t xml:space="preserve">2013-09-11</t>
  </si>
  <si>
    <t xml:space="preserve">32015R2120</t>
  </si>
  <si>
    <t xml:space="preserve">https://eur-lex.europa.eu/legal-content/EN/TXT/?uri=CELEX:32015R2120</t>
  </si>
  <si>
    <t xml:space="preserve">02015R2120-20151126</t>
  </si>
  <si>
    <t xml:space="preserve">Technology Transfer Block Exemption</t>
  </si>
  <si>
    <t xml:space="preserve">Regulation (EU) 316/2014</t>
  </si>
  <si>
    <t xml:space="preserve">2013-02-20</t>
  </si>
  <si>
    <t xml:space="preserve">32014R0316</t>
  </si>
  <si>
    <t xml:space="preserve">https://eur-lex.europa.eu/legal-content/EN/TXT/?uri=CELEX:32014R0316</t>
  </si>
  <si>
    <t xml:space="preserve">02014R0316-20140501</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</si>
  <si>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</si>
  <si>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</si>
  <si>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</si>
  <si>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</si>
  <si>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32016L0943</t>
  </si>
  <si>
    <t xml:space="preserve">https://eur-lex.europa.eu/legal-content/EN/TXT/?uri=CELEX:32016L0943</t>
  </si>
  <si>
    <t xml:space="preserve">02016L0943-20160615</t>
  </si>
  <si>
    <t xml:space="preserve">Digital Content Directive</t>
  </si>
  <si>
    <t xml:space="preserve">Directive (EU) 2019/770</t>
  </si>
  <si>
    <t xml:space="preserve">2015-12-09</t>
  </si>
  <si>
    <t xml:space="preserve">32019L0770</t>
  </si>
  <si>
    <t xml:space="preserve">https://eur-lex.europa.eu/legal-content/EN/TXT/?uri=CELEX:32019L0770</t>
  </si>
  <si>
    <t xml:space="preserve">02019L0770-20190522</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</si>
  <si>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</si>
  <si>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</si>
  <si>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</si>
  <si>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</si>
  <si>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</si>
  <si>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Company Law Directive</t>
  </si>
  <si>
    <t xml:space="preserve">Directive (EU) 2017/1132</t>
  </si>
  <si>
    <t xml:space="preserve">2015-12-03</t>
  </si>
  <si>
    <t xml:space="preserve">32017L1132</t>
  </si>
  <si>
    <t xml:space="preserve">https://eur-lex.europa.eu/legal-content/EN/TXT/?uri=CELEX:32017L1132</t>
  </si>
  <si>
    <t xml:space="preserve">02017L1132-20220812</t>
  </si>
  <si>
    <t xml:space="preserve">Geo-blocking Regulation</t>
  </si>
  <si>
    <t xml:space="preserve">Regulation (EU) 2018/302</t>
  </si>
  <si>
    <t xml:space="preserve">2016-05-25</t>
  </si>
  <si>
    <t xml:space="preserve">32018R0302</t>
  </si>
  <si>
    <t xml:space="preserve">https://eur-lex.europa.eu/legal-content/EN/TXT/?uri=CELEX:32018R0302</t>
  </si>
  <si>
    <t xml:space="preserve">02018R0302-20180302</t>
  </si>
  <si>
    <t xml:space="preserve">Consumer Protection Cooperation Regulation</t>
  </si>
  <si>
    <t xml:space="preserve">Regulation (EU) 2017/2394</t>
  </si>
  <si>
    <t xml:space="preserve">32017R2394</t>
  </si>
  <si>
    <t xml:space="preserve">https://eur-lex.europa.eu/legal-content/EN/TXT/?uri=CELEX:32017R2394</t>
  </si>
  <si>
    <t xml:space="preserve">02017R2394-20260731</t>
  </si>
  <si>
    <t xml:space="preserve">European Electronic Communications Code</t>
  </si>
  <si>
    <t xml:space="preserve">Directive (EU) 2018/1972</t>
  </si>
  <si>
    <t xml:space="preserve">2016-09-14</t>
  </si>
  <si>
    <t xml:space="preserve">32018L1972</t>
  </si>
  <si>
    <t xml:space="preserve">https://eur-lex.europa.eu/legal-content/EN/TXT/?uri=CELEX:32018L1972</t>
  </si>
  <si>
    <t xml:space="preserve">02018L1972-20241018</t>
  </si>
  <si>
    <t xml:space="preserve">Copyright in the Digital Single Market Directive</t>
  </si>
  <si>
    <t xml:space="preserve">Directive (EU) 2019/790</t>
  </si>
  <si>
    <t xml:space="preserve">32019L0790</t>
  </si>
  <si>
    <t xml:space="preserve">https://eur-lex.europa.eu/legal-content/EN/TXT/?uri=CELEX:32019L0790</t>
  </si>
  <si>
    <t xml:space="preserve">02019L0790-20190517</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</si>
  <si>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</si>
  <si>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</si>
  <si>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</si>
  <si>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</si>
  <si>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</si>
  <si>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Data protection by EU institutions Regulation</t>
  </si>
  <si>
    <t xml:space="preserve">Regulation (EU) 2018/1725</t>
  </si>
  <si>
    <t xml:space="preserve">2017-01-10</t>
  </si>
  <si>
    <t xml:space="preserve">32018R1725</t>
  </si>
  <si>
    <t xml:space="preserve">https://eur-lex.europa.eu/legal-content/EN/TXT/?uri=CELEX:32018R1725</t>
  </si>
  <si>
    <t xml:space="preserve">02018R1725-20181121</t>
  </si>
  <si>
    <t xml:space="preserve">Single Digital Gateway Regulation</t>
  </si>
  <si>
    <t xml:space="preserve">Regulation (EU) 2018/1724</t>
  </si>
  <si>
    <t xml:space="preserve">2017-05-02</t>
  </si>
  <si>
    <t xml:space="preserve">32018R1724</t>
  </si>
  <si>
    <t xml:space="preserve">https://eur-lex.europa.eu/legal-content/EN/TXT/?uri=CELEX:32018R1724</t>
  </si>
  <si>
    <t xml:space="preserve">02018R1724-20260520</t>
  </si>
  <si>
    <t xml:space="preserve">Cybersecurity Act</t>
  </si>
  <si>
    <t xml:space="preserve">Regulation (EU) 2019/881</t>
  </si>
  <si>
    <t xml:space="preserve">2017-09-13</t>
  </si>
  <si>
    <t xml:space="preserve">32019R0881</t>
  </si>
  <si>
    <t xml:space="preserve">https://eur-lex.europa.eu/legal-content/EN/TXT/?uri=CELEX:32019R0881</t>
  </si>
  <si>
    <t xml:space="preserve">02019R0881-20250204</t>
  </si>
  <si>
    <t xml:space="preserve">Free Flow of Non-Personal Data Regulation</t>
  </si>
  <si>
    <t xml:space="preserve">Regulation (EU) 2018/1807</t>
  </si>
  <si>
    <t xml:space="preserve">32018R1807</t>
  </si>
  <si>
    <t xml:space="preserve">https://eur-lex.europa.eu/legal-content/EN/TXT/?uri=CELEX:32018R1807</t>
  </si>
  <si>
    <t xml:space="preserve">FDI Screening Regulation</t>
  </si>
  <si>
    <t xml:space="preserve">Regulation (EU) 2019/452</t>
  </si>
  <si>
    <t xml:space="preserve">32019R0452</t>
  </si>
  <si>
    <t xml:space="preserve">https://eur-lex.europa.eu/legal-content/EN/TXT/?uri=CELEX:32019R0452</t>
  </si>
  <si>
    <t xml:space="preserve">02019R0452-20211223</t>
  </si>
  <si>
    <t xml:space="preserve">Non-cash payment fraud Directive</t>
  </si>
  <si>
    <t xml:space="preserve">Directive (EU) 2019/713</t>
  </si>
  <si>
    <t xml:space="preserve">32019L0713</t>
  </si>
  <si>
    <t xml:space="preserve">https://eur-lex.europa.eu/legal-content/EN/TXT/?uri=CELEX:32019L0713</t>
  </si>
  <si>
    <t xml:space="preserve">Market Surveillance Regulation</t>
  </si>
  <si>
    <t xml:space="preserve">Regulation (EU) 2019/1020</t>
  </si>
  <si>
    <t xml:space="preserve">2017-12-19</t>
  </si>
  <si>
    <t xml:space="preserve">32019R1020</t>
  </si>
  <si>
    <t xml:space="preserve">https://eur-lex.europa.eu/legal-content/EN/TXT/?uri=CELEX:32019R1020</t>
  </si>
  <si>
    <t xml:space="preserve">02019R1020-20260812</t>
  </si>
  <si>
    <t xml:space="preserve">E-evidence Regulation</t>
  </si>
  <si>
    <t xml:space="preserve">Regulation (EU) 2023/1543</t>
  </si>
  <si>
    <t xml:space="preserve">2018-04-17</t>
  </si>
  <si>
    <t xml:space="preserve">32023R1543</t>
  </si>
  <si>
    <t xml:space="preserve">https://eur-lex.europa.eu/legal-content/EN/TXT/?uri=CELEX:32023R1543</t>
  </si>
  <si>
    <t xml:space="preserve">02023R1543-20230728</t>
  </si>
  <si>
    <t xml:space="preserve">Open Data Directive (PSI)</t>
  </si>
  <si>
    <t xml:space="preserve">Directive (EU) 2019/1024</t>
  </si>
  <si>
    <t xml:space="preserve">2018-04-25</t>
  </si>
  <si>
    <t xml:space="preserve">32019L1024</t>
  </si>
  <si>
    <t xml:space="preserve">https://eur-lex.europa.eu/legal-content/EN/TXT/?uri=CELEX:32019L1024</t>
  </si>
  <si>
    <t xml:space="preserve">Platform-to-Business (P2B) Regulation</t>
  </si>
  <si>
    <t xml:space="preserve">Regulation (EU) 2019/1150</t>
  </si>
  <si>
    <t xml:space="preserve">2018-04-26</t>
  </si>
  <si>
    <t xml:space="preserve">32019R1150</t>
  </si>
  <si>
    <t xml:space="preserve">https://eur-lex.europa.eu/legal-content/EN/TXT/?uri=CELEX:32019R1150</t>
  </si>
  <si>
    <t xml:space="preserve">02019R1150-20190711</t>
  </si>
  <si>
    <t xml:space="preserve">Digital Europe Programme</t>
  </si>
  <si>
    <t xml:space="preserve">Regulation (EU) 2021/694</t>
  </si>
  <si>
    <t xml:space="preserve">2018-06-06</t>
  </si>
  <si>
    <t xml:space="preserve">32021R0694</t>
  </si>
  <si>
    <t xml:space="preserve">https://eur-lex.europa.eu/legal-content/EN/TXT/?uri=CELEX:32021R0694</t>
  </si>
  <si>
    <t xml:space="preserve">02021R0694-20251223</t>
  </si>
  <si>
    <t xml:space="preserve">InvestEU Programme</t>
  </si>
  <si>
    <t xml:space="preserve">Regulation (EU) 2021/523</t>
  </si>
  <si>
    <t xml:space="preserve">32021R0523</t>
  </si>
  <si>
    <t xml:space="preserve">https://eur-lex.europa.eu/legal-content/EN/TXT/?uri=CELEX:32021R0523</t>
  </si>
  <si>
    <t xml:space="preserve">02021R0523-20251224</t>
  </si>
  <si>
    <t xml:space="preserve">Connecting Europe Facility</t>
  </si>
  <si>
    <t xml:space="preserve">Regulation (EU) 2021/1153</t>
  </si>
  <si>
    <t xml:space="preserve">32021R1153</t>
  </si>
  <si>
    <t xml:space="preserve">https://eur-lex.europa.eu/legal-content/EN/TXT/?uri=CELEX:32021R1153</t>
  </si>
  <si>
    <t xml:space="preserve">02021R1153-20251224</t>
  </si>
  <si>
    <t xml:space="preserve">Horizon Europe</t>
  </si>
  <si>
    <t xml:space="preserve">Regulation (EU) 2021/695</t>
  </si>
  <si>
    <t xml:space="preserve">2018-06-07</t>
  </si>
  <si>
    <t xml:space="preserve">32021R0695</t>
  </si>
  <si>
    <t xml:space="preserve">https://eur-lex.europa.eu/legal-content/EN/TXT/?uri=CELEX:32021R0695</t>
  </si>
  <si>
    <t xml:space="preserve">02021R0695-20251224</t>
  </si>
  <si>
    <t xml:space="preserve">Single Market Programme</t>
  </si>
  <si>
    <t xml:space="preserve">Regulation (EU) 2021/690</t>
  </si>
  <si>
    <t xml:space="preserve">32021R0690</t>
  </si>
  <si>
    <t xml:space="preserve">https://eur-lex.europa.eu/legal-content/EN/TXT/?uri=CELEX:32021R0690</t>
  </si>
  <si>
    <t xml:space="preserve">02021R0690-20210503</t>
  </si>
  <si>
    <t xml:space="preserve">European Cybersecurity Competence Centre</t>
  </si>
  <si>
    <t xml:space="preserve">Regulation (EU) 2021/887</t>
  </si>
  <si>
    <t xml:space="preserve">2018-09-12</t>
  </si>
  <si>
    <t xml:space="preserve">32021R0887</t>
  </si>
  <si>
    <t xml:space="preserve">https://eur-lex.europa.eu/legal-content/EN/TXT/?uri=CELEX:32021R0887</t>
  </si>
  <si>
    <t xml:space="preserve">Terrorist Content Online Regulation</t>
  </si>
  <si>
    <t xml:space="preserve">Regulation (EU) 2021/784</t>
  </si>
  <si>
    <t xml:space="preserve">32021R0784</t>
  </si>
  <si>
    <t xml:space="preserve">https://eur-lex.europa.eu/legal-content/EN/TXT/?uri=CELEX:32021R0784</t>
  </si>
  <si>
    <t xml:space="preserve">02021R0784-20210517</t>
  </si>
  <si>
    <t xml:space="preserve">Recovery and Resilience Facility</t>
  </si>
  <si>
    <t xml:space="preserve">Regulation (EU) 2021/241</t>
  </si>
  <si>
    <t xml:space="preserve">2020-05-28</t>
  </si>
  <si>
    <t xml:space="preserve">32021R0241</t>
  </si>
  <si>
    <t xml:space="preserve">https://eur-lex.europa.eu/legal-content/EN/TXT/?uri=CELEX:32021R0241</t>
  </si>
  <si>
    <t xml:space="preserve">02021R0241-20240301</t>
  </si>
  <si>
    <t xml:space="preserve">Temporary CSAM Derogation Regulation</t>
  </si>
  <si>
    <t xml:space="preserve">Regulation (EU) 2021/1232</t>
  </si>
  <si>
    <t xml:space="preserve">2020-09-10</t>
  </si>
  <si>
    <t xml:space="preserve">32021R1232</t>
  </si>
  <si>
    <t xml:space="preserve">https://eur-lex.europa.eu/legal-content/EN/TXT/?uri=CELEX:32021R1232</t>
  </si>
  <si>
    <t xml:space="preserve">02021R1232-20240515</t>
  </si>
  <si>
    <t xml:space="preserve">EuroHPC Joint Undertaking Regulation</t>
  </si>
  <si>
    <t xml:space="preserve">Regulation (EU) 2021/1173</t>
  </si>
  <si>
    <t xml:space="preserve">2020-09-18</t>
  </si>
  <si>
    <t xml:space="preserve">32021R1173</t>
  </si>
  <si>
    <t xml:space="preserve">https://eur-lex.europa.eu/legal-content/EN/TXT/?uri=CELEX:32021R1173</t>
  </si>
  <si>
    <t xml:space="preserve">02021R1173-20260120</t>
  </si>
  <si>
    <t xml:space="preserve">DLT Pilot Regime Regulation</t>
  </si>
  <si>
    <t xml:space="preserve">Regulation (EU) 2022/858</t>
  </si>
  <si>
    <t xml:space="preserve">2020-09-24</t>
  </si>
  <si>
    <t xml:space="preserve">32022R0858</t>
  </si>
  <si>
    <t xml:space="preserve">https://eur-lex.europa.eu/legal-content/EN/TXT/?uri=CELEX:32022R0858</t>
  </si>
  <si>
    <t xml:space="preserve">02022R0858-20220602</t>
  </si>
  <si>
    <t xml:space="preserve">Markets in Crypto-Assets (MiCA)</t>
  </si>
  <si>
    <t xml:space="preserve">Regulation (EU) 2023/1114</t>
  </si>
  <si>
    <t xml:space="preserve">32023R1114</t>
  </si>
  <si>
    <t xml:space="preserve">https://eur-lex.europa.eu/legal-content/EN/TXT/?uri=CELEX:32023R1114</t>
  </si>
  <si>
    <t xml:space="preserve">02023R1114-20240109</t>
  </si>
  <si>
    <t xml:space="preserve">Digital Operational Resilience Act (DORA)</t>
  </si>
  <si>
    <t xml:space="preserve">Regulation (EU) 2022/2554</t>
  </si>
  <si>
    <t xml:space="preserve">32022R2554</t>
  </si>
  <si>
    <t xml:space="preserve">https://eur-lex.europa.eu/legal-content/EN/TXT/?uri=CELEX:32022R2554</t>
  </si>
  <si>
    <t xml:space="preserve">02022R2554-20221227</t>
  </si>
  <si>
    <t xml:space="preserve">Data Governance Act</t>
  </si>
  <si>
    <t xml:space="preserve">Regulation (EU) 2022/868</t>
  </si>
  <si>
    <t xml:space="preserve">2020-11-25</t>
  </si>
  <si>
    <t xml:space="preserve">32022R0868</t>
  </si>
  <si>
    <t xml:space="preserve">https://eur-lex.europa.eu/legal-content/EN/TXT/?uri=CELEX:32022R0868</t>
  </si>
  <si>
    <t xml:space="preserve">02022R0868-20220603</t>
  </si>
  <si>
    <t xml:space="preserve">Digital Markets Act</t>
  </si>
  <si>
    <t xml:space="preserve">Regulation (EU) 2022/1925</t>
  </si>
  <si>
    <t xml:space="preserve">2020-12-15</t>
  </si>
  <si>
    <t xml:space="preserve">32022R1925</t>
  </si>
  <si>
    <t xml:space="preserve">https://eur-lex.europa.eu/legal-content/EN/TXT/?uri=CELEX:32022R1925</t>
  </si>
  <si>
    <t xml:space="preserve">02022R1925-20221012</t>
  </si>
  <si>
    <t xml:space="preserve">Digital Services Act</t>
  </si>
  <si>
    <t xml:space="preserve">Regulation (EU) 2022/2065</t>
  </si>
  <si>
    <t xml:space="preserve">32022R2065</t>
  </si>
  <si>
    <t xml:space="preserve">https://eur-lex.europa.eu/legal-content/EN/TXT/?uri=CELEX:32022R2065</t>
  </si>
  <si>
    <t xml:space="preserve">02022R2065-20221027</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</si>
  <si>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</si>
  <si>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</si>
  <si>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</si>
  <si>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</si>
  <si>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</si>
  <si>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</si>
  <si>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Joint Undertakings under Horizon Europe</t>
  </si>
  <si>
    <t xml:space="preserve">Regulation (EU) 2021/2085</t>
  </si>
  <si>
    <t xml:space="preserve">2021-02-23</t>
  </si>
  <si>
    <t xml:space="preserve">32021R2085</t>
  </si>
  <si>
    <t xml:space="preserve">https://eur-lex.europa.eu/legal-content/EN/TXT/?uri=CELEX:32021R2085</t>
  </si>
  <si>
    <t xml:space="preserve">02021R2085-20230921</t>
  </si>
  <si>
    <t xml:space="preserve">Roaming Regulation</t>
  </si>
  <si>
    <t xml:space="preserve">Regulation (EU) 2022/612</t>
  </si>
  <si>
    <t xml:space="preserve">2021-02-24</t>
  </si>
  <si>
    <t xml:space="preserve">32022R0612</t>
  </si>
  <si>
    <t xml:space="preserve">https://eur-lex.europa.eu/legal-content/EN/TXT/?uri=CELEX:32022R0612</t>
  </si>
  <si>
    <t xml:space="preserve">02022R0612-20220413</t>
  </si>
  <si>
    <t xml:space="preserve">Artificial Intelligence Act</t>
  </si>
  <si>
    <t xml:space="preserve">Regulation (EU) 2024/1689</t>
  </si>
  <si>
    <t xml:space="preserve">2021-04-21</t>
  </si>
  <si>
    <t xml:space="preserve">32024R1689</t>
  </si>
  <si>
    <t xml:space="preserve">https://eur-lex.europa.eu/legal-content/EN/TXT/?uri=CELEX:32024R1689</t>
  </si>
  <si>
    <t xml:space="preserve">02024R1689-20260727</t>
  </si>
  <si>
    <t xml:space="preserve">Machinery Regulation</t>
  </si>
  <si>
    <t xml:space="preserve">Regulation (EU) 2023/1230</t>
  </si>
  <si>
    <t xml:space="preserve">32023R1230</t>
  </si>
  <si>
    <t xml:space="preserve">https://eur-lex.europa.eu/legal-content/EN/TXT/?uri=CELEX:32023R1230</t>
  </si>
  <si>
    <t xml:space="preserve">02023R1230-20260727</t>
  </si>
  <si>
    <t xml:space="preserve">Foreign Subsidies Regulation</t>
  </si>
  <si>
    <t xml:space="preserve">Regulation (EU) 2022/2560</t>
  </si>
  <si>
    <t xml:space="preserve">2021-05-05</t>
  </si>
  <si>
    <t xml:space="preserve">32022R2560</t>
  </si>
  <si>
    <t xml:space="preserve">https://eur-lex.europa.eu/legal-content/EN/TXT/?uri=CELEX:32022R2560</t>
  </si>
  <si>
    <t xml:space="preserve">02022R2560-20221223</t>
  </si>
  <si>
    <t xml:space="preserve">General Product Safety Regulation</t>
  </si>
  <si>
    <t xml:space="preserve">Regulation (EU) 2023/988</t>
  </si>
  <si>
    <t xml:space="preserve">2021-06-30</t>
  </si>
  <si>
    <t xml:space="preserve">32023R0988</t>
  </si>
  <si>
    <t xml:space="preserve">https://eur-lex.europa.eu/legal-content/EN/TXT/?uri=CELEX:32023R0988</t>
  </si>
  <si>
    <t xml:space="preserve">02023R0988-20260529</t>
  </si>
  <si>
    <t xml:space="preserve">Anti-Money Laundering Regulation</t>
  </si>
  <si>
    <t xml:space="preserve">Regulation (EU) 2024/1624</t>
  </si>
  <si>
    <t xml:space="preserve">2021-07-20</t>
  </si>
  <si>
    <t xml:space="preserve">32024R1624</t>
  </si>
  <si>
    <t xml:space="preserve">https://eur-lex.europa.eu/legal-content/EN/TXT/?uri=CELEX:32024R1624</t>
  </si>
  <si>
    <t xml:space="preserve">02024R1624-20240619</t>
  </si>
  <si>
    <t xml:space="preserve">Vertical Block Exemption Regulation</t>
  </si>
  <si>
    <t xml:space="preserve">Regulation (EU) 2022/720</t>
  </si>
  <si>
    <t xml:space="preserve">2021-07-09</t>
  </si>
  <si>
    <t xml:space="preserve">32022R0720</t>
  </si>
  <si>
    <t xml:space="preserve">https://eur-lex.europa.eu/legal-content/EN/TXT/?uri=CELEX:32022R0720</t>
  </si>
  <si>
    <t xml:space="preserve">02022R0720-20220511</t>
  </si>
  <si>
    <t xml:space="preserve">Digital Decade Policy Programme Decision</t>
  </si>
  <si>
    <t xml:space="preserve">Decision (EU) 2022/2481</t>
  </si>
  <si>
    <t xml:space="preserve">2021-09-15</t>
  </si>
  <si>
    <t xml:space="preserve">32022D2481</t>
  </si>
  <si>
    <t xml:space="preserve">https://eur-lex.europa.eu/legal-content/EN/TXT/?uri=CELEX:32022D2481</t>
  </si>
  <si>
    <t xml:space="preserve">Political Advertising Regulation</t>
  </si>
  <si>
    <t xml:space="preserve">Regulation (EU) 2024/900</t>
  </si>
  <si>
    <t xml:space="preserve">2021-11-25</t>
  </si>
  <si>
    <t xml:space="preserve">32024R0900</t>
  </si>
  <si>
    <t xml:space="preserve">https://eur-lex.europa.eu/legal-content/EN/TXT/?uri=CELEX:32024R0900</t>
  </si>
  <si>
    <t xml:space="preserve">02024R0900-20240320</t>
  </si>
  <si>
    <t xml:space="preserve">Digitalisation of judicial cooperation Regulation</t>
  </si>
  <si>
    <t xml:space="preserve">Regulation (EU) 2023/2844</t>
  </si>
  <si>
    <t xml:space="preserve">2021-12-01</t>
  </si>
  <si>
    <t xml:space="preserve">32023R2844</t>
  </si>
  <si>
    <t xml:space="preserve">https://eur-lex.europa.eu/legal-content/EN/TXT/?uri=CELEX:32023R2844</t>
  </si>
  <si>
    <t xml:space="preserve">02023R2844-20231227</t>
  </si>
  <si>
    <t xml:space="preserve">Platform Work Directive</t>
  </si>
  <si>
    <t xml:space="preserve">Directive (EU) 2024/2831</t>
  </si>
  <si>
    <t xml:space="preserve">2021-12-09</t>
  </si>
  <si>
    <t xml:space="preserve">32024L2831</t>
  </si>
  <si>
    <t xml:space="preserve">https://eur-lex.europa.eu/legal-content/EN/TXT/?uri=CELEX:32024L2831</t>
  </si>
  <si>
    <t xml:space="preserve">02024L2831-20241111</t>
  </si>
  <si>
    <t xml:space="preserve">European Chips Act</t>
  </si>
  <si>
    <t xml:space="preserve">Regulation (EU) 2023/1781</t>
  </si>
  <si>
    <t xml:space="preserve">2022-02-08</t>
  </si>
  <si>
    <t xml:space="preserve">32023R1781</t>
  </si>
  <si>
    <t xml:space="preserve">https://eur-lex.europa.eu/legal-content/EN/TXT/?uri=CELEX:32023R1781</t>
  </si>
  <si>
    <t xml:space="preserve">Union Secure Connectivity Programme</t>
  </si>
  <si>
    <t xml:space="preserve">Regulation (EU) 2023/588</t>
  </si>
  <si>
    <t xml:space="preserve">2022-02-15</t>
  </si>
  <si>
    <t xml:space="preserve">32023R0588</t>
  </si>
  <si>
    <t xml:space="preserve">https://eur-lex.europa.eu/legal-content/EN/TXT/?uri=CELEX:32023R0588</t>
  </si>
  <si>
    <t xml:space="preserve">Data Act</t>
  </si>
  <si>
    <t xml:space="preserve">Regulation (EU) 2023/2854</t>
  </si>
  <si>
    <t xml:space="preserve">2022-02-23</t>
  </si>
  <si>
    <t xml:space="preserve">32023R2854</t>
  </si>
  <si>
    <t xml:space="preserve">https://eur-lex.europa.eu/legal-content/EN/TXT/?uri=CELEX:32023R2854</t>
  </si>
  <si>
    <t xml:space="preserve">02023R2854-20231222</t>
  </si>
  <si>
    <t xml:space="preserve">Violence Against Women Directive</t>
  </si>
  <si>
    <t xml:space="preserve">Directive (EU) 2024/1385</t>
  </si>
  <si>
    <t xml:space="preserve">2022-03-08</t>
  </si>
  <si>
    <t xml:space="preserve">32024L1385</t>
  </si>
  <si>
    <t xml:space="preserve">https://eur-lex.europa.eu/legal-content/EN/TXT/?uri=CELEX:32024L1385</t>
  </si>
  <si>
    <t xml:space="preserve">Cybersecurity Regulation (EU institutions)</t>
  </si>
  <si>
    <t xml:space="preserve">Regulation (EU) 2023/2841</t>
  </si>
  <si>
    <t xml:space="preserve">2022-03-22</t>
  </si>
  <si>
    <t xml:space="preserve">32023R2841</t>
  </si>
  <si>
    <t xml:space="preserve">https://eur-lex.europa.eu/legal-content/EN/TXT/?uri=CELEX:32023R2841</t>
  </si>
  <si>
    <t xml:space="preserve">02023R2841-20231218</t>
  </si>
  <si>
    <t xml:space="preserve">Information Security Regulation</t>
  </si>
  <si>
    <t xml:space="preserve">2022/0084(COD)</t>
  </si>
  <si>
    <t xml:space="preserve">proposed</t>
  </si>
  <si>
    <t xml:space="preserve">52022PC0119</t>
  </si>
  <si>
    <t xml:space="preserve">Commission proposal (COM)</t>
  </si>
  <si>
    <t xml:space="preserve">https://eur-lex.europa.eu/legal-content/EN/TXT/?uri=CELEX:52022PC0119</t>
  </si>
  <si>
    <t xml:space="preserve">Ecodesign for Sustainable Products Regulation</t>
  </si>
  <si>
    <t xml:space="preserve">Regulation (EU) 2024/1781</t>
  </si>
  <si>
    <t xml:space="preserve">2022-03-30</t>
  </si>
  <si>
    <t xml:space="preserve">32024R1781</t>
  </si>
  <si>
    <t xml:space="preserve">https://eur-lex.europa.eu/legal-content/EN/TXT/?uri=CELEX:32024R1781</t>
  </si>
  <si>
    <t xml:space="preserve">02024R1781-20240628</t>
  </si>
  <si>
    <t xml:space="preserve">European Health Data Space</t>
  </si>
  <si>
    <t xml:space="preserve">Regulation (EU) 2025/327</t>
  </si>
  <si>
    <t xml:space="preserve">2022-05-03</t>
  </si>
  <si>
    <t xml:space="preserve">32025R0327</t>
  </si>
  <si>
    <t xml:space="preserve">https://eur-lex.europa.eu/legal-content/EN/TXT/?uri=CELEX:32025R0327</t>
  </si>
  <si>
    <t xml:space="preserve">02025R0327-20250305</t>
  </si>
  <si>
    <t xml:space="preserve">Child Sexual Abuse Regulation (CSAR)</t>
  </si>
  <si>
    <t xml:space="preserve">2022/0155(COD)</t>
  </si>
  <si>
    <t xml:space="preserve">2022-05-11</t>
  </si>
  <si>
    <t xml:space="preserve">52022PC0209</t>
  </si>
  <si>
    <t xml:space="preserve">https://eur-lex.europa.eu/legal-content/EN/TXT/?uri=CELEX:52022PC0209</t>
  </si>
  <si>
    <t xml:space="preserve">Cyber Resilience Act</t>
  </si>
  <si>
    <t xml:space="preserve">Regulation (EU) 2024/2847</t>
  </si>
  <si>
    <t xml:space="preserve">2022-09-15</t>
  </si>
  <si>
    <t xml:space="preserve">32024R2847</t>
  </si>
  <si>
    <t xml:space="preserve">https://eur-lex.europa.eu/legal-content/EN/TXT/?uri=CELEX:32024R2847</t>
  </si>
  <si>
    <t xml:space="preserve">02024R2847-20241120</t>
  </si>
  <si>
    <t xml:space="preserve">European Media Freedom Act</t>
  </si>
  <si>
    <t xml:space="preserve">Regulation (EU) 2024/1083</t>
  </si>
  <si>
    <t xml:space="preserve">2022-09-16</t>
  </si>
  <si>
    <t xml:space="preserve">32024R1083</t>
  </si>
  <si>
    <t xml:space="preserve">https://eur-lex.europa.eu/legal-content/EN/TXT/?uri=CELEX:32024R1083</t>
  </si>
  <si>
    <t xml:space="preserve">02024R1083-20240417</t>
  </si>
  <si>
    <t xml:space="preserve">Single Market Emergency Instrument (IMERA)</t>
  </si>
  <si>
    <t xml:space="preserve">Regulation (EU) 2024/2747</t>
  </si>
  <si>
    <t xml:space="preserve">2022-09-19</t>
  </si>
  <si>
    <t xml:space="preserve">32024R2747</t>
  </si>
  <si>
    <t xml:space="preserve">https://eur-lex.europa.eu/legal-content/EN/TXT/?uri=CELEX:32024R2747</t>
  </si>
  <si>
    <t xml:space="preserve">02024R2747-20241108</t>
  </si>
  <si>
    <t xml:space="preserve">Product Liability Directive</t>
  </si>
  <si>
    <t xml:space="preserve">Directive (EU) 2024/2853</t>
  </si>
  <si>
    <t xml:space="preserve">2022-09-28</t>
  </si>
  <si>
    <t xml:space="preserve">32024L2853</t>
  </si>
  <si>
    <t xml:space="preserve">https://eur-lex.europa.eu/legal-content/EN/TXT/?uri=CELEX:32024L2853</t>
  </si>
  <si>
    <t xml:space="preserve">02024L2853-20241118</t>
  </si>
  <si>
    <t xml:space="preserve">Horizontal Block Exemption Regulations</t>
  </si>
  <si>
    <t xml:space="preserve">Regulations (EU) 2023/1066, 2023/1067</t>
  </si>
  <si>
    <t xml:space="preserve">2022-03-01</t>
  </si>
  <si>
    <t xml:space="preserve">32023R1066;32023R1067</t>
  </si>
  <si>
    <t xml:space="preserve">https://eur-lex.europa.eu/legal-content/EN/TXT/?uri=CELEX:32023R1066 ; https://eur-lex.europa.eu/legal-content/EN/TXT/?uri=CELEX:32023R1067</t>
  </si>
  <si>
    <t xml:space="preserve">02023R1066-20230602;02023R1067-20230602</t>
  </si>
  <si>
    <t xml:space="preserve">Interoperable Europe Act</t>
  </si>
  <si>
    <t xml:space="preserve">Regulation (EU) 2024/903</t>
  </si>
  <si>
    <t xml:space="preserve">2022-11-18</t>
  </si>
  <si>
    <t xml:space="preserve">32024R0903</t>
  </si>
  <si>
    <t xml:space="preserve">https://eur-lex.europa.eu/legal-content/EN/TXT/?uri=CELEX:32024R0903</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</si>
  <si>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</si>
  <si>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</si>
  <si>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</si>
  <si>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</si>
  <si>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</si>
  <si>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</si>
  <si>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VAT in the Digital Age (ViDA)</t>
  </si>
  <si>
    <t xml:space="preserve">2022/0407(CNS)</t>
  </si>
  <si>
    <t xml:space="preserve">2022-12-08</t>
  </si>
  <si>
    <t xml:space="preserve">32025L0516</t>
  </si>
  <si>
    <t xml:space="preserve">https://eur-lex.europa.eu/legal-content/EN/TXT/?uri=CELEX:32025L0516</t>
  </si>
  <si>
    <t xml:space="preserve">02025L0516-20250325</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</si>
  <si>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</si>
  <si>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</si>
  <si>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</si>
  <si>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</si>
  <si>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32024R1309</t>
  </si>
  <si>
    <t xml:space="preserve">https://eur-lex.europa.eu/legal-content/EN/TXT/?uri=CELEX:32024R1309</t>
  </si>
  <si>
    <t xml:space="preserve">02024R1309-20240508</t>
  </si>
  <si>
    <t xml:space="preserve">Critical Raw Materials Act</t>
  </si>
  <si>
    <t xml:space="preserve">Regulation (EU) 2024/1252</t>
  </si>
  <si>
    <t xml:space="preserve">2023-03-16</t>
  </si>
  <si>
    <t xml:space="preserve">32024R1252</t>
  </si>
  <si>
    <t xml:space="preserve">https://eur-lex.europa.eu/legal-content/EN/TXT/?uri=CELEX:32024R1252</t>
  </si>
  <si>
    <t xml:space="preserve">02024R1252-20240503</t>
  </si>
  <si>
    <t xml:space="preserve">Net-Zero Industry Act</t>
  </si>
  <si>
    <t xml:space="preserve">Regulation (EU) 2024/1735</t>
  </si>
  <si>
    <t xml:space="preserve">32024R1735</t>
  </si>
  <si>
    <t xml:space="preserve">https://eur-lex.europa.eu/legal-content/EN/TXT/?uri=CELEX:32024R1735</t>
  </si>
  <si>
    <t xml:space="preserve">02024R1735-20250817</t>
  </si>
  <si>
    <t xml:space="preserve">Right to Repair Directive</t>
  </si>
  <si>
    <t xml:space="preserve">Directive (EU) 2024/1799</t>
  </si>
  <si>
    <t xml:space="preserve">2023-03-22</t>
  </si>
  <si>
    <t xml:space="preserve">32024L1799</t>
  </si>
  <si>
    <t xml:space="preserve">https://eur-lex.europa.eu/legal-content/EN/TXT/?uri=CELEX:32024L1799</t>
  </si>
  <si>
    <t xml:space="preserve">02024L1799-20260731</t>
  </si>
  <si>
    <t xml:space="preserve">Cyber Solidarity Act</t>
  </si>
  <si>
    <t xml:space="preserve">Regulation (EU) 2025/38</t>
  </si>
  <si>
    <t xml:space="preserve">2023-04-18</t>
  </si>
  <si>
    <t xml:space="preserve">32025R0038</t>
  </si>
  <si>
    <t xml:space="preserve">https://eur-lex.europa.eu/legal-content/EN/TXT/?uri=CELEX:32025R0038</t>
  </si>
  <si>
    <t xml:space="preserve">02025R0038-20250115</t>
  </si>
  <si>
    <t xml:space="preserve">Compulsory licensing of patents Regulation</t>
  </si>
  <si>
    <t xml:space="preserve">2023/0129(COD)</t>
  </si>
  <si>
    <t xml:space="preserve">2023-04-27</t>
  </si>
  <si>
    <t xml:space="preserve">32025R2645</t>
  </si>
  <si>
    <t xml:space="preserve">https://eur-lex.europa.eu/legal-content/EN/TXT/?uri=CELEX:32025R2645</t>
  </si>
  <si>
    <t xml:space="preserve">Adopted after CEPS snapshot: Regulation (EU) 2025/2645 (16 Dec 2025)</t>
  </si>
  <si>
    <t xml:space="preserve">Strategic Technologies for Europe Platform (STEP)</t>
  </si>
  <si>
    <t xml:space="preserve">Regulation (EU) 2024/795</t>
  </si>
  <si>
    <t xml:space="preserve">2023-06-20</t>
  </si>
  <si>
    <t xml:space="preserve">32024R0795</t>
  </si>
  <si>
    <t xml:space="preserve">https://eur-lex.europa.eu/legal-content/EN/TXT/?uri=CELEX:32024R0795</t>
  </si>
  <si>
    <t xml:space="preserve">02024R0795-20251223</t>
  </si>
  <si>
    <t xml:space="preserve">Financial Data Access Regulation (FiDA)</t>
  </si>
  <si>
    <t xml:space="preserve">2023/0205(COD)</t>
  </si>
  <si>
    <t xml:space="preserve">2023-06-28</t>
  </si>
  <si>
    <t xml:space="preserve">52023PC0360</t>
  </si>
  <si>
    <t xml:space="preserve">https://eur-lex.europa.eu/legal-content/EN/TXT/?uri=CELEX:52023PC0360</t>
  </si>
  <si>
    <t xml:space="preserve">Payment Services Regulation (PSR)</t>
  </si>
  <si>
    <t xml:space="preserve">2023/0210(COD)</t>
  </si>
  <si>
    <t xml:space="preserve">agreed</t>
  </si>
  <si>
    <t xml:space="preserve">52023PC0367</t>
  </si>
  <si>
    <t xml:space="preserve">https://eur-lex.europa.eu/legal-content/EN/TXT/?uri=CELEX:52023PC0367</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</si>
  <si>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</si>
  <si>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</si>
  <si>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</si>
  <si>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</si>
  <si>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</si>
  <si>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</si>
  <si>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</si>
  <si>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</si>
  <si>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</si>
  <si>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</si>
  <si>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GDPR Procedural Regulation</t>
  </si>
  <si>
    <t xml:space="preserve">2023/0202(COD)</t>
  </si>
  <si>
    <t xml:space="preserve">2023-07-04</t>
  </si>
  <si>
    <t xml:space="preserve">32025R2518</t>
  </si>
  <si>
    <t xml:space="preserve">https://eur-lex.europa.eu/legal-content/EN/TXT/?uri=CELEX:32025R2518</t>
  </si>
  <si>
    <t xml:space="preserve">Adopted after CEPS snapshot: Regulation (EU) 2025/2518 (26 Nov 2025)</t>
  </si>
  <si>
    <t xml:space="preserve">Toys Safety Regulation</t>
  </si>
  <si>
    <t xml:space="preserve">2023/0290(COD)</t>
  </si>
  <si>
    <t xml:space="preserve">2023-07-28</t>
  </si>
  <si>
    <t xml:space="preserve">32025R2509</t>
  </si>
  <si>
    <t xml:space="preserve">https://eur-lex.europa.eu/legal-content/EN/TXT/?uri=CELEX:32025R2509</t>
  </si>
  <si>
    <t xml:space="preserve">02025R2509-20251212</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</si>
  <si>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</si>
  <si>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</si>
  <si>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</si>
  <si>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</si>
  <si>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</si>
  <si>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</si>
  <si>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Child Sexual Abuse Directive (recast)</t>
  </si>
  <si>
    <t xml:space="preserve">2024/0035(COD)</t>
  </si>
  <si>
    <t xml:space="preserve">2024-02-06</t>
  </si>
  <si>
    <t xml:space="preserve">52024PC0060</t>
  </si>
  <si>
    <t xml:space="preserve">https://eur-lex.europa.eu/legal-content/EN/TXT/?uri=CELEX:52024PC0060</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</si>
  <si>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</si>
  <si>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</si>
  <si>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</si>
  <si>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</si>
  <si>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</si>
  <si>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EU Space Act</t>
  </si>
  <si>
    <t xml:space="preserve">COM(2025) 335</t>
  </si>
  <si>
    <t xml:space="preserve">2025-06-25</t>
  </si>
  <si>
    <t xml:space="preserve">52025PC0335</t>
  </si>
  <si>
    <t xml:space="preserve">https://eur-lex.europa.eu/legal-content/EN/TXT/?uri=CELEX:52025PC0335</t>
  </si>
  <si>
    <t xml:space="preserve">European Standardisation Regulation</t>
  </si>
  <si>
    <t xml:space="preserve">Regulation (EU) 1025/2012</t>
  </si>
  <si>
    <t xml:space="preserve">2011-06-01</t>
  </si>
  <si>
    <t xml:space="preserve">32012R1025</t>
  </si>
  <si>
    <t xml:space="preserve">https://eur-lex.europa.eu/legal-content/EN/TXT/?uri=CELEX:32012R1025</t>
  </si>
  <si>
    <t xml:space="preserve">02012R1025-20241213</t>
  </si>
  <si>
    <t xml:space="preserve">Electromagnetic Compatibility Directive</t>
  </si>
  <si>
    <t xml:space="preserve">Directive 2014/30/EU</t>
  </si>
  <si>
    <t xml:space="preserve">2011-11-21</t>
  </si>
  <si>
    <t xml:space="preserve">32014L0030</t>
  </si>
  <si>
    <t xml:space="preserve">https://eur-lex.europa.eu/legal-content/EN/TXT/?uri=CELEX:32014L0030</t>
  </si>
  <si>
    <t xml:space="preserve">02014L0030-20260530</t>
  </si>
  <si>
    <t xml:space="preserve">Radio Equipment Directive</t>
  </si>
  <si>
    <t xml:space="preserve">Directive 2014/53/EU</t>
  </si>
  <si>
    <t xml:space="preserve">2012-10-17</t>
  </si>
  <si>
    <t xml:space="preserve">32014L0053</t>
  </si>
  <si>
    <t xml:space="preserve">https://eur-lex.europa.eu/legal-content/EN/TXT/?uri=CELEX:32014L0053</t>
  </si>
  <si>
    <t xml:space="preserve">02014L0053-20260530</t>
  </si>
  <si>
    <t xml:space="preserve">E-invoicing Directive</t>
  </si>
  <si>
    <t xml:space="preserve">Directive 2014/55/EU</t>
  </si>
  <si>
    <t xml:space="preserve">2013-06-26</t>
  </si>
  <si>
    <t xml:space="preserve">32014L0055</t>
  </si>
  <si>
    <t xml:space="preserve">https://eur-lex.europa.eu/legal-content/EN/TXT/?uri=CELEX:32014L0055</t>
  </si>
  <si>
    <t xml:space="preserve">02014L0055-20140526</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</si>
  <si>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</si>
  <si>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</si>
  <si>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</si>
  <si>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</si>
  <si>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</si>
  <si>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.eu Top-Level Domain Regulation</t>
  </si>
  <si>
    <t xml:space="preserve">Regulation (EU) 2019/517</t>
  </si>
  <si>
    <t xml:space="preserve">2018-04-27</t>
  </si>
  <si>
    <t xml:space="preserve">32019R0517</t>
  </si>
  <si>
    <t xml:space="preserve">https://eur-lex.europa.eu/legal-content/EN/TXT/?uri=CELEX:32019R0517</t>
  </si>
  <si>
    <t xml:space="preserve">02019R0517-20190329</t>
  </si>
  <si>
    <t xml:space="preserve">Interoperability of EU information systems (borders and visa) Regulation</t>
  </si>
  <si>
    <t xml:space="preserve">Regulation (EU) 2019/817</t>
  </si>
  <si>
    <t xml:space="preserve">2017-12-12</t>
  </si>
  <si>
    <t xml:space="preserve">32019R0817</t>
  </si>
  <si>
    <t xml:space="preserve">https://eur-lex.europa.eu/legal-content/EN/TXT/?uri=CELEX:32019R0817</t>
  </si>
  <si>
    <t xml:space="preserve">02019R0817-20260612</t>
  </si>
  <si>
    <t xml:space="preserve">Short-Term Rental Data Regulation</t>
  </si>
  <si>
    <t xml:space="preserve">Regulation (EU) 2024/1028</t>
  </si>
  <si>
    <t xml:space="preserve">2022-11-07</t>
  </si>
  <si>
    <t xml:space="preserve">32024R1028</t>
  </si>
  <si>
    <t xml:space="preserve">https://eur-lex.europa.eu/legal-content/EN/TXT/?uri=CELEX:32024R1028</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</si>
  <si>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</si>
  <si>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</si>
  <si>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</si>
  <si>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</si>
  <si>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</si>
  <si>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</si>
  <si>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</si>
  <si>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</si>
  <si>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</si>
  <si>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</si>
  <si>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</si>
  <si>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</si>
  <si>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</si>
  <si>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</si>
  <si>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</si>
  <si>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</si>
  <si>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</si>
  <si>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</si>
  <si>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</si>
  <si>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</si>
  <si>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</si>
  <si>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</si>
  <si>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</si>
  <si>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</si>
  <si>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</si>
  <si>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</si>
  <si>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</si>
  <si>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</si>
  <si>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</si>
  <si>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</si>
  <si>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</si>
  <si>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</si>
  <si>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</si>
  <si>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</si>
  <si>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</si>
  <si>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</si>
  <si>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</si>
  <si>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</si>
  <si>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</si>
  <si>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</si>
  <si>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</si>
  <si>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</si>
  <si>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</si>
  <si>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</si>
  <si>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</si>
  <si>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</si>
  <si>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</si>
  <si>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</si>
  <si>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</si>
  <si>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</si>
  <si>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</si>
  <si>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</si>
  <si>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</si>
  <si>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</si>
  <si>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</si>
  <si>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</si>
  <si>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</si>
  <si>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</si>
  <si>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</si>
  <si>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</si>
  <si>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</si>
  <si>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</si>
  <si>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</si>
  <si>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</si>
  <si>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</si>
  <si>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</si>
  <si>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</si>
  <si>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</si>
  <si>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</si>
  <si>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</si>
  <si>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</si>
  <si>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</si>
  <si>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</si>
  <si>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</si>
  <si>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</si>
  <si>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</si>
  <si>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</si>
  <si>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</si>
  <si>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</si>
  <si>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</si>
  <si>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</si>
  <si>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</si>
  <si>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</si>
  <si>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</si>
  <si>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</si>
  <si>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</si>
  <si>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</si>
  <si>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</si>
  <si>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</si>
  <si>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</si>
  <si>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</si>
  <si>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</si>
  <si>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</si>
  <si>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</si>
  <si>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</si>
  <si>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</si>
  <si>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</si>
  <si>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</si>
  <si>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</si>
  <si>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</si>
  <si>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</si>
  <si>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</si>
  <si>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</si>
  <si>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</si>
  <si>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</si>
  <si>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</si>
  <si>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</si>
  <si>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</si>
  <si>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</si>
  <si>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</si>
  <si>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</si>
  <si>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</si>
  <si>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</si>
  <si>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</si>
  <si>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</si>
  <si>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</si>
  <si>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</si>
  <si>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</si>
  <si>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</si>
  <si>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</si>
  <si>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</si>
  <si>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</si>
  <si>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</si>
  <si>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</si>
  <si>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</si>
  <si>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</si>
  <si>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</si>
  <si>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</si>
  <si>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</si>
  <si>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</si>
  <si>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</si>
  <si>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</si>
  <si>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</si>
  <si>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</si>
  <si>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</si>
  <si>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</si>
  <si>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</si>
  <si>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</si>
  <si>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</si>
  <si>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</si>
  <si>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</si>
  <si>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</si>
  <si>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</si>
  <si>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</si>
  <si>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</si>
  <si>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</si>
  <si>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</si>
  <si>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</si>
  <si>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</si>
  <si>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</si>
  <si>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</si>
  <si>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</si>
  <si>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</si>
  <si>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</si>
  <si>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</si>
  <si>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</si>
  <si>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</si>
  <si>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</si>
  <si>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</si>
  <si>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</si>
  <si>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</si>
  <si>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</si>
  <si>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</si>
  <si>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</si>
  <si>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</si>
  <si>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</si>
  <si>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</si>
  <si>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</si>
  <si>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</si>
  <si>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</si>
  <si>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</si>
  <si>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</si>
  <si>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</si>
  <si>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</si>
  <si>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</si>
  <si>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</si>
  <si>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</si>
  <si>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</si>
  <si>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</si>
  <si>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</si>
  <si>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</si>
  <si>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</si>
  <si>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</si>
  <si>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</si>
  <si>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</si>
  <si>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</si>
  <si>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</si>
  <si>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</si>
  <si>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</si>
  <si>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</si>
  <si>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</si>
  <si>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</si>
  <si>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</si>
  <si>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</si>
  <si>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</si>
  <si>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</si>
  <si>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</si>
  <si>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</si>
  <si>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</si>
  <si>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</si>
  <si>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</si>
  <si>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</si>
  <si>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</si>
  <si>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</si>
  <si>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</si>
  <si>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</si>
  <si>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</si>
  <si>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2024-07-18</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</si>
  <si>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</si>
  <si>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</si>
  <si>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</si>
  <si>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</si>
  <si>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</si>
  <si>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</si>
  <si>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</si>
  <si>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</si>
  <si>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</si>
  <si>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</si>
  <si>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</si>
  <si>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</si>
  <si>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</si>
  <si>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</si>
  <si>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</si>
  <si>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</si>
  <si>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</si>
  <si>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</si>
  <si>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</si>
  <si>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</si>
  <si>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</si>
  <si>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</si>
  <si>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</si>
  <si>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</si>
  <si>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</si>
  <si>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</si>
  <si>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</si>
  <si>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</si>
  <si>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</si>
  <si>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</si>
  <si>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</si>
  <si>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</si>
  <si>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</si>
  <si>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</si>
  <si>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</si>
  <si>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</si>
  <si>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</si>
  <si>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</si>
  <si>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</si>
  <si>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</si>
  <si>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</si>
  <si>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</si>
  <si>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</si>
  <si>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</si>
  <si>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</si>
  <si>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</si>
  <si>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</si>
  <si>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</si>
  <si>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</si>
  <si>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</si>
  <si>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</si>
  <si>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</si>
  <si>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</si>
  <si>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</si>
  <si>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</si>
  <si>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</si>
  <si>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</si>
  <si>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</si>
  <si>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</si>
  <si>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</si>
  <si>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</si>
  <si>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</si>
  <si>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</si>
  <si>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</si>
  <si>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</si>
  <si>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</si>
  <si>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</si>
  <si>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</si>
  <si>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</si>
  <si>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</si>
  <si>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</si>
  <si>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</si>
  <si>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</si>
  <si>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</si>
  <si>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</si>
  <si>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</si>
  <si>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</si>
  <si>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</si>
  <si>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</si>
  <si>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</si>
  <si>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</si>
  <si>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</si>
  <si>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</si>
  <si>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</si>
  <si>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</si>
  <si>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</si>
  <si>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</si>
  <si>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</si>
  <si>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</si>
  <si>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</si>
  <si>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</si>
  <si>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</si>
  <si>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</si>
  <si>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</si>
  <si>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</si>
  <si>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</si>
  <si>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</si>
  <si>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</si>
  <si>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</si>
  <si>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</si>
  <si>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</si>
  <si>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</si>
  <si>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</si>
  <si>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</si>
  <si>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</si>
  <si>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</si>
  <si>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</si>
  <si>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</si>
  <si>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</si>
  <si>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</si>
  <si>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</si>
  <si>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</si>
  <si>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</si>
  <si>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</si>
  <si>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</si>
  <si>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</si>
  <si>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</si>
  <si>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</si>
  <si>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</si>
  <si>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</si>
  <si>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</si>
  <si>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</si>
  <si>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</si>
  <si>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</si>
  <si>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</si>
  <si>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</si>
  <si>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</si>
  <si>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</si>
  <si>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</si>
  <si>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</si>
  <si>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</si>
  <si>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</si>
  <si>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</si>
  <si>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</si>
  <si>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</si>
  <si>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</si>
  <si>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</si>
  <si>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</si>
  <si>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</si>
  <si>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</si>
  <si>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</si>
  <si>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</si>
  <si>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</si>
  <si>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</si>
  <si>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</si>
  <si>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</si>
  <si>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</si>
  <si>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</si>
  <si>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</si>
  <si>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</si>
  <si>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</si>
  <si>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</si>
  <si>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</si>
  <si>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</si>
  <si>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</si>
  <si>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</si>
  <si>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</si>
  <si>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</si>
  <si>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</si>
  <si>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</si>
  <si>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</si>
  <si>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</si>
  <si>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</si>
  <si>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</si>
  <si>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</si>
  <si>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</si>
  <si>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</si>
  <si>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</si>
  <si>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</si>
  <si>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</si>
  <si>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</si>
  <si>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</si>
  <si>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</si>
  <si>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</si>
  <si>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</si>
  <si>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</si>
  <si>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</si>
  <si>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</si>
  <si>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</si>
  <si>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</si>
  <si>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</si>
  <si>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</si>
  <si>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</si>
  <si>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</si>
  <si>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2012-12-04</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</si>
  <si>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</si>
  <si>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</si>
  <si>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</si>
  <si>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</si>
  <si>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</si>
  <si>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</si>
  <si>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</si>
  <si>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</si>
  <si>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</si>
  <si>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</si>
  <si>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</si>
  <si>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</si>
  <si>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</si>
  <si>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</si>
  <si>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</si>
  <si>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</si>
  <si>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</si>
  <si>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</si>
  <si>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</si>
  <si>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</si>
  <si>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</si>
  <si>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</si>
  <si>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</si>
  <si>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</si>
  <si>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</si>
  <si>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</si>
  <si>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</si>
  <si>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</si>
  <si>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</si>
  <si>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</si>
  <si>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</si>
  <si>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</si>
  <si>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</si>
  <si>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</si>
  <si>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</si>
  <si>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</si>
  <si>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</si>
  <si>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</si>
  <si>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</si>
  <si>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</si>
  <si>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</si>
  <si>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</si>
  <si>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</si>
  <si>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</si>
  <si>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</si>
  <si>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</si>
  <si>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</si>
  <si>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</si>
  <si>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</si>
  <si>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</si>
  <si>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</si>
  <si>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</si>
  <si>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</si>
  <si>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</si>
  <si>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</si>
  <si>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</si>
  <si>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</si>
  <si>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</si>
  <si>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</si>
  <si>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</si>
  <si>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</si>
  <si>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</si>
  <si>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</si>
  <si>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</si>
  <si>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</si>
  <si>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</si>
  <si>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</si>
  <si>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</si>
  <si>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</si>
  <si>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</si>
  <si>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</si>
  <si>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</si>
  <si>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</si>
  <si>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</si>
  <si>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</si>
  <si>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</si>
  <si>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</si>
  <si>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</si>
  <si>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</si>
  <si>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</si>
  <si>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</si>
  <si>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</si>
  <si>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</si>
  <si>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</si>
  <si>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</si>
  <si>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</si>
  <si>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</si>
  <si>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</si>
  <si>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</si>
  <si>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</si>
  <si>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</si>
  <si>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</si>
  <si>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</si>
  <si>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</si>
  <si>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</si>
  <si>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</si>
  <si>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</si>
  <si>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</si>
  <si>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</si>
  <si>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</si>
  <si>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</si>
  <si>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</si>
  <si>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</si>
  <si>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</si>
  <si>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</si>
  <si>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</si>
  <si>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</si>
  <si>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</si>
  <si>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</si>
  <si>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</si>
  <si>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</si>
  <si>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</si>
  <si>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</si>
  <si>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</si>
  <si>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</si>
  <si>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</si>
  <si>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</si>
  <si>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</si>
  <si>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</si>
  <si>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</si>
  <si>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</si>
  <si>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</si>
  <si>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</si>
  <si>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</si>
  <si>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</si>
  <si>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</si>
  <si>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</si>
  <si>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</si>
  <si>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</si>
  <si>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</si>
  <si>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</si>
  <si>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</si>
  <si>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</si>
  <si>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</si>
  <si>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</si>
  <si>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</si>
  <si>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</si>
  <si>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</si>
  <si>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</si>
  <si>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</si>
  <si>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</si>
  <si>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</si>
  <si>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</si>
  <si>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</si>
  <si>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</si>
  <si>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</si>
  <si>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</si>
  <si>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</si>
  <si>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</si>
  <si>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</si>
  <si>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</si>
  <si>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</si>
  <si>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</si>
  <si>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</si>
  <si>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</si>
  <si>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</si>
  <si>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</si>
  <si>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</si>
  <si>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</si>
  <si>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</si>
  <si>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</si>
  <si>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</si>
  <si>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</si>
  <si>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</si>
  <si>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</si>
  <si>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</si>
  <si>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</si>
  <si>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</si>
  <si>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</si>
  <si>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</si>
  <si>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</si>
  <si>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</si>
  <si>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</si>
  <si>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</si>
  <si>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</si>
  <si>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</si>
  <si>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</si>
  <si>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</si>
  <si>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</si>
  <si>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</si>
  <si>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</si>
  <si>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</si>
  <si>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</si>
  <si>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</si>
  <si>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</si>
  <si>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</si>
  <si>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</si>
  <si>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</si>
  <si>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</si>
  <si>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</si>
  <si>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</si>
  <si>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</si>
  <si>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</si>
  <si>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</si>
  <si>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</si>
  <si>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</si>
  <si>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</si>
  <si>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</si>
  <si>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</si>
  <si>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</si>
  <si>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</si>
  <si>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</si>
  <si>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</si>
  <si>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</si>
  <si>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</si>
  <si>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</si>
  <si>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</si>
  <si>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</si>
  <si>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</si>
  <si>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</si>
  <si>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</si>
  <si>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</si>
  <si>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</si>
  <si>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</si>
  <si>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</si>
  <si>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</si>
  <si>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</si>
  <si>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</si>
  <si>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</si>
  <si>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</si>
  <si>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</si>
  <si>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</si>
  <si>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2018-10-02</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</si>
  <si>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</si>
  <si>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</si>
  <si>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</si>
  <si>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</si>
  <si>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</si>
  <si>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</si>
  <si>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</si>
  <si>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</si>
  <si>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</si>
  <si>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</si>
  <si>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</si>
  <si>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</si>
  <si>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</si>
  <si>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</si>
  <si>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</si>
  <si>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</si>
  <si>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</si>
  <si>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</si>
  <si>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</si>
  <si>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</si>
  <si>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</si>
  <si>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</si>
  <si>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</si>
  <si>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</si>
  <si>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</si>
  <si>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</si>
  <si>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</si>
  <si>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</si>
  <si>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</si>
  <si>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</si>
  <si>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</si>
  <si>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</si>
  <si>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</si>
  <si>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</si>
  <si>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</si>
  <si>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2018-12-11</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</si>
  <si>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</si>
  <si>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</si>
  <si>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</si>
  <si>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</si>
  <si>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</si>
  <si>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</si>
  <si>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2018-12-20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</si>
  <si>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</si>
  <si>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</si>
  <si>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</si>
  <si>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</si>
  <si>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</si>
  <si>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</si>
  <si>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</si>
  <si>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</si>
  <si>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</si>
  <si>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</si>
  <si>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</si>
  <si>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</si>
  <si>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</si>
  <si>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</si>
  <si>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</si>
  <si>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</si>
  <si>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</si>
  <si>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</si>
  <si>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</si>
  <si>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</si>
  <si>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</si>
  <si>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</si>
  <si>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</si>
  <si>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</si>
  <si>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</si>
  <si>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</si>
  <si>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</si>
  <si>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</si>
  <si>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</si>
  <si>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</si>
  <si>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</si>
  <si>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</si>
  <si>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</si>
  <si>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</si>
  <si>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</si>
  <si>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</si>
  <si>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</si>
  <si>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</si>
  <si>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</si>
  <si>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</si>
  <si>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</si>
  <si>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</si>
  <si>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</si>
  <si>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</si>
  <si>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</si>
  <si>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</si>
  <si>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</si>
  <si>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</si>
  <si>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</si>
  <si>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</si>
  <si>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</si>
  <si>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</si>
  <si>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</si>
  <si>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</si>
  <si>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</si>
  <si>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</si>
  <si>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</si>
  <si>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</si>
  <si>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</si>
  <si>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</si>
  <si>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</si>
  <si>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</si>
  <si>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</si>
  <si>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</si>
  <si>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</si>
  <si>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</si>
  <si>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</si>
  <si>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</si>
  <si>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</si>
  <si>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</si>
  <si>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</si>
  <si>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</si>
  <si>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</si>
  <si>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</si>
  <si>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</si>
  <si>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</si>
  <si>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</si>
  <si>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</si>
  <si>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</si>
  <si>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</si>
  <si>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</si>
  <si>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</si>
  <si>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</si>
  <si>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</si>
  <si>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</si>
  <si>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</si>
  <si>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</si>
  <si>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</si>
  <si>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</si>
  <si>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</si>
  <si>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</si>
  <si>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</si>
  <si>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</si>
  <si>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</si>
  <si>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</si>
  <si>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</si>
  <si>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</si>
  <si>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</si>
  <si>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</si>
  <si>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</si>
  <si>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</si>
  <si>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</si>
  <si>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</si>
  <si>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</si>
  <si>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</si>
  <si>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</si>
  <si>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</si>
  <si>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</si>
  <si>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</si>
  <si>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</si>
  <si>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</si>
  <si>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</si>
  <si>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</si>
  <si>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</si>
  <si>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</si>
  <si>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</si>
  <si>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</si>
  <si>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</si>
  <si>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</si>
  <si>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</si>
  <si>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</si>
  <si>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</si>
  <si>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</si>
  <si>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</si>
  <si>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</si>
  <si>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</si>
  <si>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</si>
  <si>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</si>
  <si>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</si>
  <si>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</si>
  <si>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</si>
  <si>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</si>
  <si>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</si>
  <si>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</si>
  <si>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</si>
  <si>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</si>
  <si>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</si>
  <si>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</si>
  <si>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</si>
  <si>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</si>
  <si>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</si>
  <si>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</si>
  <si>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</si>
  <si>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</si>
  <si>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</si>
  <si>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</si>
  <si>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</si>
  <si>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</si>
  <si>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</si>
  <si>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</si>
  <si>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</si>
  <si>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</si>
  <si>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</si>
  <si>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</si>
  <si>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</si>
  <si>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</si>
  <si>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</si>
  <si>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</si>
  <si>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</si>
  <si>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</si>
  <si>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</si>
  <si>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</si>
  <si>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</si>
  <si>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</si>
  <si>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</si>
  <si>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</si>
  <si>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</si>
  <si>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</si>
  <si>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</si>
  <si>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</si>
  <si>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</si>
  <si>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</si>
  <si>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</si>
  <si>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</si>
  <si>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</si>
  <si>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</si>
  <si>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</si>
  <si>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</si>
  <si>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</si>
  <si>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</si>
  <si>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</si>
  <si>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</si>
  <si>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</si>
  <si>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</si>
  <si>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</si>
  <si>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</si>
  <si>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</si>
  <si>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</si>
  <si>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</si>
  <si>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</si>
  <si>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</si>
  <si>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</si>
  <si>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</si>
  <si>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</si>
  <si>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2022-12-19</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</si>
  <si>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</si>
  <si>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</si>
  <si>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</si>
  <si>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</si>
  <si>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</si>
  <si>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</si>
  <si>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</si>
  <si>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</si>
  <si>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</si>
  <si>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</si>
  <si>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</si>
  <si>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</si>
  <si>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</si>
  <si>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</si>
  <si>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</si>
  <si>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2023-07-25</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</si>
  <si>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</si>
  <si>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</si>
  <si>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</si>
  <si>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</si>
  <si>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</si>
  <si>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</si>
  <si>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</si>
  <si>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</si>
  <si>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</si>
  <si>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</si>
  <si>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</si>
  <si>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</si>
  <si>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</si>
  <si>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</si>
  <si>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</si>
  <si>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</si>
  <si>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</si>
  <si>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2024-05-24</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</si>
  <si>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</si>
  <si>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</si>
  <si>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</si>
  <si>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</si>
  <si>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</si>
  <si>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</si>
  <si>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</si>
  <si>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</si>
  <si>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</si>
  <si>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</si>
  <si>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</si>
  <si>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</si>
  <si>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</si>
  <si>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2024-11-28</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</si>
  <si>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</si>
  <si>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</si>
  <si>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</si>
  <si>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2024-12-10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</si>
  <si>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</si>
  <si>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</si>
  <si>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</si>
  <si>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</si>
  <si>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</si>
  <si>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</si>
  <si>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</si>
  <si>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</si>
  <si>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</si>
  <si>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</si>
  <si>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</si>
  <si>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</si>
  <si>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</si>
  <si>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</si>
  <si>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</si>
  <si>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</si>
  <si>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</si>
  <si>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</si>
  <si>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</si>
  <si>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</si>
  <si>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</si>
  <si>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</si>
  <si>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</si>
  <si>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2025-03-05</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</si>
  <si>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</si>
  <si>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</si>
  <si>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</si>
  <si>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2025-03-11</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</si>
  <si>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</si>
  <si>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</si>
  <si>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</si>
  <si>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</si>
  <si>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</si>
  <si>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</si>
  <si>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</si>
  <si>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2025-04-14</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</si>
  <si>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</si>
  <si>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</si>
  <si>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</si>
  <si>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</si>
  <si>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</si>
  <si>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</si>
  <si>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</si>
  <si>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</si>
  <si>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</si>
  <si>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</si>
  <si>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</si>
  <si>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</si>
  <si>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</si>
  <si>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</si>
  <si>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</si>
  <si>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</si>
  <si>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</si>
  <si>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</si>
  <si>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</si>
  <si>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</si>
  <si>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</si>
  <si>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</si>
  <si>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</si>
  <si>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</si>
  <si>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</si>
  <si>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</si>
  <si>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</si>
  <si>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</si>
  <si>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</si>
  <si>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</si>
  <si>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</si>
  <si>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</si>
  <si>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</si>
  <si>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2018-11-21</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</si>
  <si>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</si>
  <si>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</si>
  <si>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</si>
  <si>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</si>
  <si>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2012-03-02</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</si>
  <si>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</si>
  <si>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</si>
  <si>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</si>
  <si>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</si>
  <si>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</si>
  <si>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</si>
  <si>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</si>
  <si>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</si>
  <si>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</si>
  <si>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</si>
  <si>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</si>
  <si>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</si>
  <si>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</si>
  <si>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</si>
  <si>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</si>
  <si>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</si>
  <si>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</si>
  <si>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</si>
  <si>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</si>
  <si>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</si>
  <si>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</si>
  <si>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</si>
  <si>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</si>
  <si>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</si>
  <si>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</si>
  <si>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</si>
  <si>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</si>
  <si>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</si>
  <si>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</si>
  <si>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</si>
  <si>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</si>
  <si>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</si>
  <si>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</si>
  <si>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</si>
  <si>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</si>
  <si>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</si>
  <si>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</si>
  <si>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</si>
  <si>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</si>
  <si>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</si>
  <si>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</si>
  <si>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</si>
  <si>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</si>
  <si>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</si>
  <si>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</si>
  <si>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</si>
  <si>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</si>
  <si>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</si>
  <si>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</si>
  <si>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</si>
  <si>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</si>
  <si>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</si>
  <si>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</si>
  <si>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</si>
  <si>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</si>
  <si>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</si>
  <si>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</si>
  <si>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</si>
  <si>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</si>
  <si>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</si>
  <si>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</si>
  <si>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</si>
  <si>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</si>
  <si>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</si>
  <si>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</si>
  <si>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</si>
  <si>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</si>
  <si>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</si>
  <si>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2026-01-28</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</si>
  <si>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</si>
  <si>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</si>
  <si>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</si>
  <si>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</si>
  <si>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</si>
  <si>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</si>
  <si>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</si>
  <si>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</si>
  <si>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</si>
  <si>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</si>
  <si>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</si>
  <si>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</si>
  <si>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</si>
  <si>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</si>
  <si>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</si>
  <si>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</si>
  <si>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</si>
  <si>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</si>
  <si>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</si>
  <si>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</si>
  <si>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</si>
  <si>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</si>
  <si>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</si>
  <si>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</si>
  <si>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</si>
  <si>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</si>
  <si>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</si>
  <si>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</si>
  <si>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</si>
  <si>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</si>
  <si>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</si>
  <si>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</si>
  <si>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</si>
  <si>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</si>
  <si>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</si>
  <si>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</si>
  <si>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</si>
  <si>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</si>
  <si>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</si>
  <si>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</si>
  <si>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</si>
  <si>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</si>
  <si>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</si>
  <si>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</si>
  <si>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</si>
  <si>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</si>
  <si>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</si>
  <si>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</si>
  <si>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</si>
  <si>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</si>
  <si>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</si>
  <si>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</si>
  <si>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</si>
  <si>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</si>
  <si>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</si>
  <si>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</si>
  <si>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</si>
  <si>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</si>
  <si>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</si>
  <si>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</si>
  <si>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</si>
  <si>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</si>
  <si>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</si>
  <si>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</si>
  <si>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</si>
  <si>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</si>
  <si>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</si>
  <si>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</si>
  <si>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</si>
  <si>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</si>
  <si>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</si>
  <si>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</si>
  <si>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</si>
  <si>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</si>
  <si>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</si>
  <si>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</si>
  <si>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</si>
  <si>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</si>
  <si>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</si>
  <si>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</si>
  <si>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</si>
  <si>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</si>
  <si>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</si>
  <si>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</si>
  <si>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</si>
  <si>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2021-06-28</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</si>
  <si>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</si>
  <si>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</si>
  <si>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</si>
  <si>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</si>
  <si>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</si>
  <si>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</si>
  <si>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</si>
  <si>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</si>
  <si>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</si>
  <si>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</si>
  <si>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</si>
  <si>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</si>
  <si>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</si>
  <si>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</si>
  <si>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</si>
  <si>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</si>
  <si>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</si>
  <si>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</si>
  <si>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</si>
  <si>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</si>
  <si>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</si>
  <si>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</si>
  <si>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</si>
  <si>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2025-12-19</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</si>
  <si>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</si>
  <si>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</si>
  <si>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</si>
  <si>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</si>
  <si>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</si>
  <si>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</si>
  <si>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</si>
  <si>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</si>
  <si>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</si>
  <si>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</si>
  <si>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</si>
  <si>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</si>
  <si>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</si>
  <si>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</si>
  <si>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</si>
  <si>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</si>
  <si>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</si>
  <si>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</si>
  <si>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</si>
  <si>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</si>
  <si>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</si>
  <si>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</si>
  <si>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</si>
  <si>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</si>
  <si>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</si>
  <si>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</si>
  <si>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</si>
  <si>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</si>
  <si>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</si>
  <si>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</si>
  <si>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</si>
  <si>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</si>
  <si>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</si>
  <si>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</si>
  <si>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</si>
  <si>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</si>
  <si>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</si>
  <si>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</si>
  <si>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</si>
  <si>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</si>
  <si>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</si>
  <si>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</si>
  <si>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</si>
  <si>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</si>
  <si>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</si>
  <si>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</si>
  <si>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</si>
  <si>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</si>
  <si>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</si>
  <si>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</si>
  <si>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</si>
  <si>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</si>
  <si>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</si>
  <si>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</si>
  <si>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</si>
  <si>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</si>
  <si>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</si>
  <si>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</si>
  <si>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</si>
  <si>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</si>
  <si>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</si>
  <si>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</si>
  <si>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</si>
  <si>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</si>
  <si>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</si>
  <si>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</si>
  <si>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</si>
  <si>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</si>
  <si>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</si>
  <si>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</si>
  <si>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</si>
  <si>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</si>
  <si>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</si>
  <si>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</si>
  <si>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</si>
  <si>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</si>
  <si>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</si>
  <si>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</si>
  <si>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</si>
  <si>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</si>
  <si>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</si>
  <si>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</si>
  <si>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</si>
  <si>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</si>
  <si>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</si>
  <si>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</si>
  <si>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</si>
  <si>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</si>
  <si>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</si>
  <si>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</si>
  <si>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</si>
  <si>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</si>
  <si>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</si>
  <si>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</si>
  <si>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</si>
  <si>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</si>
  <si>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</si>
  <si>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</si>
  <si>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</si>
  <si>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</si>
  <si>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</si>
  <si>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</si>
  <si>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</si>
  <si>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</si>
  <si>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</si>
  <si>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</si>
  <si>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</si>
  <si>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</si>
  <si>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</si>
  <si>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</si>
  <si>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</si>
  <si>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</si>
  <si>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</si>
  <si>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</si>
  <si>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</si>
  <si>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</si>
  <si>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</si>
  <si>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</si>
  <si>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</si>
  <si>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</si>
  <si>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</si>
  <si>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</si>
  <si>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</si>
  <si>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</si>
  <si>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</si>
  <si>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</si>
  <si>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</si>
  <si>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</si>
  <si>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2025-12-16</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</si>
  <si>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</si>
  <si>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</si>
  <si>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</si>
  <si>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</si>
  <si>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</si>
  <si>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</si>
  <si>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</si>
  <si>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</si>
  <si>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</si>
  <si>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</si>
  <si>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</si>
  <si>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</si>
  <si>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</si>
  <si>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</si>
  <si>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</si>
  <si>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</si>
  <si>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</si>
  <si>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</si>
  <si>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</si>
  <si>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</si>
  <si>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</si>
  <si>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</si>
  <si>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</si>
  <si>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</si>
  <si>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</si>
  <si>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</si>
  <si>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</si>
  <si>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</si>
  <si>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</si>
  <si>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</si>
  <si>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</si>
  <si>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</si>
  <si>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</si>
  <si>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</si>
  <si>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</si>
  <si>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</si>
  <si>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</si>
  <si>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</si>
  <si>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</si>
  <si>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</si>
  <si>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</si>
  <si>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</si>
  <si>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</si>
  <si>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</si>
  <si>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</si>
  <si>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</si>
  <si>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</si>
  <si>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</si>
  <si>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</si>
  <si>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</si>
  <si>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</si>
  <si>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</si>
  <si>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</si>
  <si>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</si>
  <si>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</si>
  <si>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</si>
  <si>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</si>
  <si>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</si>
  <si>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</si>
  <si>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</si>
  <si>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</si>
  <si>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</si>
  <si>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</si>
  <si>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</si>
  <si>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</si>
  <si>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</si>
  <si>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</si>
  <si>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</si>
  <si>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</si>
  <si>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</si>
  <si>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</si>
  <si>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</si>
  <si>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</si>
  <si>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</si>
  <si>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</si>
  <si>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</si>
  <si>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</si>
  <si>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</si>
  <si>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</si>
  <si>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</si>
  <si>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</si>
  <si>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</si>
  <si>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</si>
  <si>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</si>
  <si>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</si>
  <si>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</si>
  <si>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</si>
  <si>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</si>
  <si>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</si>
  <si>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</si>
  <si>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</si>
  <si>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</si>
  <si>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</si>
  <si>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</si>
  <si>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</si>
  <si>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</si>
  <si>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</si>
  <si>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</si>
  <si>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</si>
  <si>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</si>
  <si>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</si>
  <si>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</si>
  <si>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</si>
  <si>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</si>
  <si>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</si>
  <si>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</si>
  <si>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</si>
  <si>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</si>
  <si>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</si>
  <si>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</si>
  <si>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</si>
  <si>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</si>
  <si>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</si>
  <si>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</si>
  <si>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</si>
  <si>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</si>
  <si>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</si>
  <si>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</si>
  <si>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2019-07-31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</si>
  <si>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</si>
  <si>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</si>
  <si>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</si>
  <si>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</si>
  <si>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</si>
  <si>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</si>
  <si>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</si>
  <si>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</si>
  <si>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</si>
  <si>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</si>
  <si>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</si>
  <si>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</si>
  <si>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</si>
  <si>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</si>
  <si>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</si>
  <si>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</si>
  <si>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</si>
  <si>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</si>
  <si>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</si>
  <si>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</si>
  <si>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</si>
  <si>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</si>
  <si>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</si>
  <si>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</si>
  <si>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</si>
  <si>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</si>
  <si>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</si>
  <si>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</si>
  <si>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</si>
  <si>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</si>
  <si>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</si>
  <si>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</si>
  <si>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</si>
  <si>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</si>
  <si>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</si>
  <si>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</si>
  <si>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</si>
  <si>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</si>
  <si>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</si>
  <si>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</si>
  <si>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</si>
  <si>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</si>
  <si>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</si>
  <si>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</si>
  <si>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</si>
  <si>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</si>
  <si>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</si>
  <si>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</si>
  <si>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2020-07-13</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</si>
  <si>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</si>
  <si>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</si>
  <si>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</si>
  <si>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2021-09-29</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</si>
  <si>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</si>
  <si>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</si>
  <si>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</si>
  <si>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</si>
  <si>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</si>
  <si>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</si>
  <si>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</si>
  <si>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</si>
  <si>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</si>
  <si>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</si>
  <si>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</si>
  <si>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</si>
  <si>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</si>
  <si>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</si>
  <si>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</si>
  <si>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</si>
  <si>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</si>
  <si>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</si>
  <si>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</si>
  <si>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</si>
  <si>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</si>
  <si>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</si>
  <si>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</si>
  <si>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</si>
  <si>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</si>
  <si>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</si>
  <si>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</si>
  <si>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</si>
  <si>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</si>
  <si>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</si>
  <si>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</si>
  <si>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</si>
  <si>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</si>
  <si>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</si>
  <si>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</si>
  <si>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</si>
  <si>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</si>
  <si>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</si>
  <si>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</si>
  <si>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</si>
  <si>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</si>
  <si>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</si>
  <si>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</si>
  <si>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</si>
  <si>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</si>
  <si>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</si>
  <si>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</si>
  <si>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</si>
  <si>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</si>
  <si>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</si>
  <si>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</si>
  <si>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</si>
  <si>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</si>
  <si>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</si>
  <si>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</si>
  <si>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</si>
  <si>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</si>
  <si>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</si>
  <si>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</si>
  <si>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</si>
  <si>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</si>
  <si>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</si>
  <si>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</si>
  <si>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</si>
  <si>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</si>
  <si>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</si>
  <si>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</si>
  <si>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</si>
  <si>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</si>
  <si>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2021-07-13</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</si>
  <si>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</si>
  <si>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</si>
  <si>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</si>
  <si>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</si>
  <si>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</si>
  <si>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</si>
  <si>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</si>
  <si>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2022-10-19</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</si>
  <si>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</si>
  <si>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</si>
  <si>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</si>
  <si>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</si>
  <si>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</si>
  <si>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</si>
  <si>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</si>
  <si>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</si>
  <si>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</si>
  <si>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</si>
  <si>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</si>
  <si>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</si>
  <si>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</si>
  <si>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</si>
  <si>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</si>
  <si>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</si>
  <si>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</si>
  <si>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</si>
  <si>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</si>
  <si>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</si>
  <si>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</si>
  <si>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</si>
  <si>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</si>
  <si>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</si>
  <si>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</si>
  <si>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</si>
  <si>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</si>
  <si>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</si>
  <si>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</si>
  <si>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</si>
  <si>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</si>
  <si>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</si>
  <si>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</si>
  <si>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</si>
  <si>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</si>
  <si>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2021-02-18</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</si>
  <si>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</si>
  <si>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</si>
  <si>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</si>
  <si>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</si>
  <si>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</si>
  <si>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</si>
  <si>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</si>
  <si>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</si>
  <si>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</si>
  <si>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</si>
  <si>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</si>
  <si>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</si>
  <si>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</si>
  <si>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</si>
  <si>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</si>
  <si>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</si>
  <si>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</si>
  <si>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</si>
  <si>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</si>
  <si>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</si>
  <si>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</si>
  <si>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</si>
  <si>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</si>
  <si>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</si>
  <si>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</si>
  <si>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</si>
  <si>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</si>
  <si>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</si>
  <si>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</si>
  <si>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</si>
  <si>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</si>
  <si>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</si>
  <si>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</si>
  <si>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</si>
  <si>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</si>
  <si>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</si>
  <si>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</si>
  <si>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</si>
  <si>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</si>
  <si>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</si>
  <si>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</si>
  <si>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</si>
  <si>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</si>
  <si>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</si>
  <si>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</si>
  <si>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</si>
  <si>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</si>
  <si>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</si>
  <si>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</si>
  <si>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</si>
  <si>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</si>
  <si>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</si>
  <si>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</si>
  <si>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</si>
  <si>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</si>
  <si>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</si>
  <si>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</si>
  <si>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</si>
  <si>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</si>
  <si>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</si>
  <si>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</si>
  <si>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</si>
  <si>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</si>
  <si>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</si>
  <si>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</si>
  <si>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</si>
  <si>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</si>
  <si>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</si>
  <si>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</si>
  <si>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</si>
  <si>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</si>
  <si>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</si>
  <si>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</si>
  <si>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</si>
  <si>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</si>
  <si>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</si>
  <si>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</si>
  <si>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</si>
  <si>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</si>
  <si>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</si>
  <si>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</si>
  <si>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</si>
  <si>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</si>
  <si>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</si>
  <si>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</si>
  <si>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</si>
  <si>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</si>
  <si>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</si>
  <si>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</si>
  <si>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2024-11-20</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</si>
  <si>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</si>
  <si>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</si>
  <si>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</si>
  <si>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</si>
  <si>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</si>
  <si>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</si>
  <si>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</si>
  <si>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</si>
  <si>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</si>
  <si>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</si>
  <si>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</si>
  <si>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</si>
  <si>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</si>
  <si>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</si>
  <si>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</si>
  <si>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</si>
  <si>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</si>
  <si>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</si>
  <si>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</si>
  <si>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</si>
  <si>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</si>
  <si>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</si>
  <si>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</si>
  <si>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</si>
  <si>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</si>
  <si>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</si>
  <si>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</si>
  <si>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</si>
  <si>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</si>
  <si>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</si>
  <si>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</si>
  <si>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</si>
  <si>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</si>
  <si>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</si>
  <si>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</si>
  <si>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</si>
  <si>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</si>
  <si>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</si>
  <si>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</si>
  <si>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</si>
  <si>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</si>
  <si>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</si>
  <si>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</si>
  <si>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</si>
  <si>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</si>
  <si>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</si>
  <si>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</si>
  <si>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</si>
  <si>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</si>
  <si>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</si>
  <si>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</si>
  <si>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</si>
  <si>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</si>
  <si>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</si>
  <si>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</si>
  <si>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</si>
  <si>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</si>
  <si>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</si>
  <si>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</si>
  <si>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</si>
  <si>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</si>
  <si>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</si>
  <si>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</si>
  <si>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</si>
  <si>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</si>
  <si>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</si>
  <si>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</si>
  <si>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2024-03-13</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</si>
  <si>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</si>
  <si>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</si>
  <si>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</si>
  <si>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</si>
  <si>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</si>
  <si>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</si>
  <si>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</si>
  <si>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</si>
  <si>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</si>
  <si>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2024-10-23</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</si>
  <si>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</si>
  <si>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</si>
  <si>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</si>
  <si>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</si>
  <si>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</si>
  <si>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</si>
  <si>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</si>
  <si>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</si>
  <si>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</si>
  <si>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</si>
  <si>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</si>
  <si>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</si>
  <si>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</si>
  <si>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</si>
  <si>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</si>
  <si>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</si>
  <si>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</si>
  <si>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</si>
  <si>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</si>
  <si>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</si>
  <si>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</si>
  <si>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</si>
  <si>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</si>
  <si>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</si>
  <si>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</si>
  <si>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</si>
  <si>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</si>
  <si>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</si>
  <si>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</si>
  <si>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</si>
  <si>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</si>
  <si>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</si>
  <si>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</si>
  <si>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</si>
  <si>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</si>
  <si>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</si>
  <si>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</si>
  <si>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</si>
  <si>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</si>
  <si>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</si>
  <si>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</si>
  <si>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</si>
  <si>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</si>
  <si>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</si>
  <si>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</si>
  <si>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</si>
  <si>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</si>
  <si>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</si>
  <si>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</si>
  <si>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</si>
  <si>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</si>
  <si>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</si>
  <si>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</si>
  <si>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</si>
  <si>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</si>
  <si>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</si>
  <si>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</si>
  <si>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</si>
  <si>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</si>
  <si>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</si>
  <si>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</si>
  <si>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</si>
  <si>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</si>
  <si>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</si>
  <si>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</si>
  <si>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</si>
  <si>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</si>
  <si>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</si>
  <si>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</si>
  <si>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2023-09-18</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</si>
  <si>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</si>
  <si>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</si>
  <si>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</si>
  <si>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2024-04-11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</si>
  <si>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</si>
  <si>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</si>
  <si>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</si>
  <si>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</si>
  <si>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</si>
  <si>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</si>
  <si>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</si>
  <si>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</si>
  <si>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</si>
  <si>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</si>
  <si>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</si>
  <si>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</si>
  <si>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</si>
  <si>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</si>
  <si>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</si>
  <si>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2024-07-12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</si>
  <si>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</si>
  <si>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</si>
  <si>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</si>
  <si>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</si>
  <si>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</si>
  <si>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</si>
  <si>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</si>
  <si>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</si>
  <si>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</si>
  <si>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</si>
  <si>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</si>
  <si>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</si>
  <si>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</si>
  <si>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</si>
  <si>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</si>
  <si>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</si>
  <si>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</si>
  <si>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</si>
  <si>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</si>
  <si>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</si>
  <si>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</si>
  <si>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</si>
  <si>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</si>
  <si>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</si>
  <si>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</si>
  <si>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</si>
  <si>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</si>
  <si>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</si>
  <si>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</si>
  <si>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</si>
  <si>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</si>
  <si>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</si>
  <si>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2024-10-09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</si>
  <si>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</si>
  <si>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</si>
  <si>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</si>
  <si>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</si>
  <si>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</si>
  <si>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</si>
  <si>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</si>
  <si>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</si>
  <si>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</si>
  <si>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</si>
  <si>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</si>
  <si>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</si>
  <si>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</si>
  <si>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</si>
  <si>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</si>
  <si>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</si>
  <si>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</si>
  <si>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</si>
  <si>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</si>
  <si>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</si>
  <si>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</si>
  <si>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</si>
  <si>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</si>
  <si>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</si>
  <si>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</si>
  <si>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</si>
  <si>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</si>
  <si>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</si>
  <si>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</si>
  <si>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</si>
  <si>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</si>
  <si>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</si>
  <si>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</si>
  <si>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</si>
  <si>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</si>
  <si>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</si>
  <si>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</si>
  <si>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</si>
  <si>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</si>
  <si>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</si>
  <si>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</si>
  <si>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</si>
  <si>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</si>
  <si>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</si>
  <si>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</si>
  <si>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</si>
  <si>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</si>
  <si>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</si>
  <si>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</si>
  <si>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</si>
  <si>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</si>
  <si>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</si>
  <si>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</si>
  <si>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</si>
  <si>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</si>
  <si>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</si>
  <si>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</si>
  <si>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</si>
  <si>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</si>
  <si>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</si>
  <si>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</si>
  <si>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</si>
  <si>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</si>
  <si>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</si>
  <si>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</si>
  <si>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</si>
  <si>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</si>
  <si>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</si>
  <si>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</si>
  <si>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</si>
  <si>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</si>
  <si>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</si>
  <si>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</si>
  <si>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</si>
  <si>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</si>
  <si>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</si>
  <si>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</si>
  <si>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</si>
  <si>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</si>
  <si>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</si>
  <si>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</si>
  <si>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</si>
  <si>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</si>
  <si>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</si>
  <si>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</si>
  <si>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</si>
  <si>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</si>
  <si>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</si>
  <si>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</si>
  <si>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</si>
  <si>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</si>
  <si>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</si>
  <si>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</si>
  <si>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</si>
  <si>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</si>
  <si>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</si>
  <si>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</si>
  <si>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</si>
  <si>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</si>
  <si>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</si>
  <si>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</si>
  <si>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</si>
  <si>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</si>
  <si>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</si>
  <si>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</si>
  <si>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</si>
  <si>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</si>
  <si>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</si>
  <si>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</si>
  <si>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</si>
  <si>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</si>
  <si>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</si>
  <si>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</si>
  <si>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</si>
  <si>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</si>
  <si>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</si>
  <si>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</si>
  <si>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</si>
  <si>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</si>
  <si>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</si>
  <si>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</si>
  <si>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</si>
  <si>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</si>
  <si>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</si>
  <si>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</si>
  <si>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</si>
  <si>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</si>
  <si>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</si>
  <si>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</si>
  <si>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</si>
  <si>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</si>
  <si>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</si>
  <si>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</si>
  <si>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</si>
  <si>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</si>
  <si>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</si>
  <si>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</si>
  <si>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</si>
  <si>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2025-05-23</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</si>
  <si>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</si>
  <si>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</si>
  <si>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</si>
  <si>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</si>
  <si>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</si>
  <si>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</si>
  <si>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</si>
  <si>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</si>
  <si>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</si>
  <si>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</si>
  <si>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</si>
  <si>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</si>
  <si>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</si>
  <si>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</si>
  <si>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</si>
  <si>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</si>
  <si>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</si>
  <si>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</si>
  <si>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</si>
  <si>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</si>
  <si>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</si>
  <si>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</si>
  <si>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</si>
  <si>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</si>
  <si>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</si>
  <si>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</si>
  <si>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</si>
  <si>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</si>
  <si>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</si>
  <si>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2026-01-12</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</si>
  <si>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</si>
  <si>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</si>
  <si>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</si>
  <si>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</si>
  <si>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</si>
  <si>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</si>
  <si>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</si>
  <si>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</si>
  <si>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</si>
  <si>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</si>
  <si>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</si>
  <si>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</si>
  <si>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</si>
  <si>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</si>
  <si>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</si>
  <si>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</si>
  <si>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</si>
  <si>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</si>
  <si>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</si>
  <si>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</si>
  <si>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</si>
  <si>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</si>
  <si>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</si>
  <si>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</si>
  <si>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</si>
  <si>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</si>
  <si>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</si>
  <si>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</si>
  <si>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</si>
  <si>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</si>
  <si>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</si>
  <si>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</si>
  <si>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</si>
  <si>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</si>
  <si>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</si>
  <si>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</si>
  <si>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</si>
  <si>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</si>
  <si>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</si>
  <si>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</si>
  <si>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</si>
  <si>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</si>
  <si>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</si>
  <si>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</si>
  <si>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</si>
  <si>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</si>
  <si>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</si>
  <si>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</si>
  <si>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</si>
  <si>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</si>
  <si>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</si>
  <si>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</si>
  <si>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</si>
  <si>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</si>
  <si>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</si>
  <si>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</si>
  <si>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</si>
  <si>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</si>
  <si>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</si>
  <si>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</si>
  <si>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</si>
  <si>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</si>
  <si>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2017-07-20</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</si>
  <si>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</si>
  <si>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</si>
  <si>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</si>
  <si>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</si>
  <si>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</si>
  <si>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</si>
  <si>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</si>
  <si>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</si>
  <si>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</si>
  <si>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</si>
  <si>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</si>
  <si>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</si>
  <si>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</si>
  <si>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</si>
  <si>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</si>
  <si>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</si>
  <si>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</si>
  <si>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</si>
  <si>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</si>
  <si>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</si>
  <si>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</si>
  <si>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</si>
  <si>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</si>
  <si>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</si>
  <si>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</si>
  <si>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</si>
  <si>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</si>
  <si>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</si>
  <si>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</si>
  <si>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</si>
  <si>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</si>
  <si>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</si>
  <si>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</si>
  <si>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</si>
  <si>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</si>
  <si>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</si>
  <si>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</si>
  <si>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</si>
  <si>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</si>
  <si>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</si>
  <si>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</si>
  <si>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</si>
  <si>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</si>
  <si>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</si>
  <si>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</si>
  <si>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</si>
  <si>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</si>
  <si>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</si>
  <si>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</si>
  <si>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</si>
  <si>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</si>
  <si>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</si>
  <si>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</si>
  <si>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</si>
  <si>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</si>
  <si>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</si>
  <si>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</si>
  <si>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</si>
  <si>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</si>
  <si>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</si>
  <si>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</si>
  <si>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</si>
  <si>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</si>
  <si>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</si>
  <si>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</si>
  <si>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</si>
  <si>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</si>
  <si>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</si>
  <si>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</si>
  <si>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</si>
  <si>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</si>
  <si>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</si>
  <si>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</si>
  <si>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</si>
  <si>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</si>
  <si>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</si>
  <si>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</si>
  <si>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</si>
  <si>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</si>
  <si>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</si>
  <si>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</si>
  <si>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</si>
  <si>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</si>
  <si>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</si>
  <si>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</si>
  <si>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</si>
  <si>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</si>
  <si>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</si>
  <si>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</si>
  <si>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</si>
  <si>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</si>
  <si>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</si>
  <si>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</si>
  <si>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</si>
  <si>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</si>
  <si>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</si>
  <si>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</si>
  <si>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</si>
  <si>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</si>
  <si>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</si>
  <si>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</si>
  <si>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</si>
  <si>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</si>
  <si>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</si>
  <si>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</si>
  <si>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</si>
  <si>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</si>
  <si>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</si>
  <si>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</si>
  <si>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</si>
  <si>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</si>
  <si>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</si>
  <si>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</si>
  <si>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</si>
  <si>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</si>
  <si>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</si>
  <si>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</si>
  <si>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</si>
  <si>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</si>
  <si>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</si>
  <si>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</si>
  <si>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</si>
  <si>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</si>
  <si>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</si>
  <si>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</si>
  <si>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</si>
  <si>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</si>
  <si>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</si>
  <si>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</si>
  <si>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</si>
  <si>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</si>
  <si>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</si>
  <si>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</si>
  <si>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</si>
  <si>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</si>
  <si>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</si>
  <si>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</si>
  <si>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</si>
  <si>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</si>
  <si>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</si>
  <si>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</si>
  <si>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</si>
  <si>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</si>
  <si>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</si>
  <si>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</si>
  <si>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</si>
  <si>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</si>
  <si>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</si>
  <si>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</si>
  <si>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</si>
  <si>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</si>
  <si>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</si>
  <si>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</si>
  <si>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</si>
  <si>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</si>
  <si>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</si>
  <si>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</si>
  <si>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</si>
  <si>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</si>
  <si>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</si>
  <si>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</si>
  <si>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</si>
  <si>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</si>
  <si>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</si>
  <si>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</si>
  <si>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</si>
  <si>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</si>
  <si>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</si>
  <si>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</si>
  <si>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</si>
  <si>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</si>
  <si>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</si>
  <si>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</si>
  <si>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</si>
  <si>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</si>
  <si>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</si>
  <si>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</si>
  <si>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</si>
  <si>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</si>
  <si>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</si>
  <si>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</si>
  <si>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</si>
  <si>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</si>
  <si>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</si>
  <si>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2021-07-19</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</si>
  <si>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</si>
  <si>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</si>
  <si>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</si>
  <si>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</si>
  <si>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</si>
  <si>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</si>
  <si>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</si>
  <si>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</si>
  <si>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</si>
  <si>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</si>
  <si>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</si>
  <si>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</si>
  <si>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</si>
  <si>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</si>
  <si>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</si>
  <si>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</si>
  <si>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</si>
  <si>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</si>
  <si>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</si>
  <si>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</si>
  <si>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</si>
  <si>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</si>
  <si>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</si>
  <si>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</si>
  <si>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</si>
  <si>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</si>
  <si>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</si>
  <si>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</si>
  <si>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</si>
  <si>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</si>
  <si>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</si>
  <si>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</si>
  <si>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</si>
  <si>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</si>
  <si>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</si>
  <si>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</si>
  <si>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</si>
  <si>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</si>
  <si>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</si>
  <si>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</si>
  <si>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</si>
  <si>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</si>
  <si>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</si>
  <si>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</si>
  <si>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</si>
  <si>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</si>
  <si>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</si>
  <si>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</si>
  <si>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</si>
  <si>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</si>
  <si>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</si>
  <si>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</si>
  <si>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</si>
  <si>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</si>
  <si>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</si>
  <si>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</si>
  <si>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</si>
  <si>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</si>
  <si>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</si>
  <si>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</si>
  <si>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</si>
  <si>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</si>
  <si>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</si>
  <si>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</si>
  <si>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</si>
  <si>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</si>
  <si>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</si>
  <si>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</si>
  <si>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</si>
  <si>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</si>
  <si>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</si>
  <si>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</si>
  <si>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</si>
  <si>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</si>
  <si>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</si>
  <si>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</si>
  <si>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</si>
  <si>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</si>
  <si>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</si>
  <si>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</si>
  <si>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</si>
  <si>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</si>
  <si>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</si>
  <si>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</si>
  <si>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</si>
  <si>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</si>
  <si>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</si>
  <si>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</si>
  <si>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</si>
  <si>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</si>
  <si>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</si>
  <si>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</si>
  <si>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</si>
  <si>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</si>
  <si>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</si>
  <si>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</si>
  <si>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</si>
  <si>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</si>
  <si>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</si>
  <si>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</si>
  <si>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</si>
  <si>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</si>
  <si>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</si>
  <si>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</si>
  <si>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</si>
  <si>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</si>
  <si>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</si>
  <si>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</si>
  <si>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</si>
  <si>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</si>
  <si>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</si>
  <si>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</si>
  <si>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</si>
  <si>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</si>
  <si>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</si>
  <si>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2022-10-12</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</si>
  <si>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</si>
  <si>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</si>
  <si>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</si>
  <si>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</si>
  <si>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</si>
  <si>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</si>
  <si>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</si>
  <si>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</si>
  <si>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</si>
  <si>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</si>
  <si>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</si>
  <si>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</si>
  <si>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</si>
  <si>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</si>
  <si>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</si>
  <si>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</si>
  <si>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</si>
  <si>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</si>
  <si>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</si>
  <si>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</si>
  <si>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</si>
  <si>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</si>
  <si>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</si>
  <si>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</si>
  <si>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</si>
  <si>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</si>
  <si>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</si>
  <si>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</si>
  <si>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</si>
  <si>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</si>
  <si>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</si>
  <si>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</si>
  <si>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</si>
  <si>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</si>
  <si>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</si>
  <si>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</si>
  <si>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</si>
  <si>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</si>
  <si>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</si>
  <si>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</si>
  <si>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</si>
  <si>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</si>
  <si>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</si>
  <si>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</si>
  <si>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</si>
  <si>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</si>
  <si>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2023-08-17</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</si>
  <si>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</si>
  <si>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</si>
  <si>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</si>
  <si>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</si>
  <si>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</si>
  <si>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</si>
  <si>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</si>
  <si>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</si>
  <si>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</si>
  <si>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</si>
  <si>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</si>
  <si>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</si>
  <si>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</si>
  <si>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</si>
  <si>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</si>
  <si>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</si>
  <si>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</si>
  <si>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</si>
  <si>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</si>
  <si>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</si>
  <si>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</si>
  <si>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</si>
  <si>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</si>
  <si>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</si>
  <si>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</si>
  <si>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</si>
  <si>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</si>
  <si>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</si>
  <si>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</si>
  <si>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</si>
  <si>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</si>
  <si>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</si>
  <si>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</si>
  <si>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</si>
  <si>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2024-01-19</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</si>
  <si>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</si>
  <si>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</si>
  <si>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</si>
  <si>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</si>
  <si>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</si>
  <si>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</si>
  <si>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</si>
  <si>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</si>
  <si>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</si>
  <si>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</si>
  <si>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</si>
  <si>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</si>
  <si>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</si>
  <si>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</si>
  <si>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</si>
  <si>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</si>
  <si>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</si>
  <si>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</si>
  <si>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</si>
  <si>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</si>
  <si>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</si>
  <si>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</si>
  <si>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</si>
  <si>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</si>
  <si>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</si>
  <si>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</si>
  <si>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</si>
  <si>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</si>
  <si>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</si>
  <si>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</si>
  <si>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</si>
  <si>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</si>
  <si>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</si>
  <si>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</si>
  <si>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</si>
  <si>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</si>
  <si>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</si>
  <si>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2024-07-30</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</si>
  <si>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</si>
  <si>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</si>
  <si>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</si>
  <si>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</si>
  <si>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</si>
  <si>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</si>
  <si>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</si>
  <si>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</si>
  <si>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</si>
  <si>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</si>
  <si>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</si>
  <si>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</si>
  <si>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</si>
  <si>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</si>
  <si>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</si>
  <si>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</si>
  <si>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</si>
  <si>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</si>
  <si>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</si>
  <si>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</si>
  <si>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</si>
  <si>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</si>
  <si>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</si>
  <si>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</si>
  <si>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</si>
  <si>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</si>
  <si>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</si>
  <si>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</si>
  <si>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</si>
  <si>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</si>
  <si>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</si>
  <si>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</si>
  <si>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</si>
  <si>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</si>
  <si>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</si>
  <si>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</si>
  <si>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</si>
  <si>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</si>
  <si>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</si>
  <si>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</si>
  <si>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</si>
  <si>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</si>
  <si>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2025-01-15</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</si>
  <si>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</si>
  <si>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</si>
  <si>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</si>
  <si>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</si>
  <si>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</si>
  <si>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</si>
  <si>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</si>
  <si>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</si>
  <si>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</si>
  <si>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</si>
  <si>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</si>
  <si>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</si>
  <si>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</si>
  <si>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</si>
  <si>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</si>
  <si>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</si>
  <si>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</si>
  <si>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</si>
  <si>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</si>
  <si>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</si>
  <si>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</si>
  <si>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</si>
  <si>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</si>
  <si>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</si>
  <si>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</si>
  <si>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</si>
  <si>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2025-03-25</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</si>
  <si>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</si>
  <si>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</si>
  <si>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</si>
  <si>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</si>
  <si>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</si>
  <si>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</si>
  <si>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</si>
  <si>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</si>
  <si>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</si>
  <si>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</si>
  <si>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</si>
  <si>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</si>
  <si>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</si>
  <si>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</si>
  <si>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</si>
  <si>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</si>
  <si>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</si>
  <si>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</si>
  <si>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</si>
  <si>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</si>
  <si>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</si>
  <si>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</si>
  <si>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</si>
  <si>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</si>
  <si>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</si>
  <si>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</si>
  <si>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</si>
  <si>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</si>
  <si>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</si>
  <si>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</si>
  <si>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</si>
  <si>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</si>
  <si>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</si>
  <si>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</si>
  <si>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</si>
  <si>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</si>
  <si>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</si>
  <si>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</si>
  <si>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</si>
  <si>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</si>
  <si>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</si>
  <si>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</si>
  <si>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</si>
  <si>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</si>
  <si>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</si>
  <si>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</si>
  <si>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</si>
  <si>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</si>
  <si>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</si>
  <si>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</si>
  <si>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</si>
  <si>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</si>
  <si>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</si>
  <si>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</si>
  <si>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</si>
  <si>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</si>
  <si>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</si>
  <si>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</si>
  <si>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</si>
  <si>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</si>
  <si>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</si>
  <si>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</si>
  <si>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</si>
  <si>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</si>
  <si>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</si>
  <si>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</si>
  <si>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</si>
  <si>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</si>
  <si>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</si>
  <si>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</si>
  <si>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</si>
  <si>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</si>
  <si>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</si>
  <si>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</si>
  <si>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</si>
  <si>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</si>
  <si>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</si>
  <si>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</si>
  <si>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</si>
  <si>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</si>
  <si>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</si>
  <si>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</si>
  <si>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</si>
  <si>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</si>
  <si>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</si>
  <si>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</si>
  <si>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</si>
  <si>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</si>
  <si>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</si>
  <si>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</si>
  <si>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</si>
  <si>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</si>
  <si>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</si>
  <si>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</si>
  <si>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</si>
  <si>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</si>
  <si>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</si>
  <si>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</si>
  <si>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</si>
  <si>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</si>
  <si>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</si>
  <si>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</si>
  <si>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</si>
  <si>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</si>
  <si>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</si>
  <si>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</si>
  <si>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</si>
  <si>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</si>
  <si>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</si>
  <si>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</si>
  <si>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</si>
  <si>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</si>
  <si>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</si>
  <si>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</si>
  <si>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</si>
  <si>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</si>
  <si>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</si>
  <si>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</si>
  <si>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</si>
  <si>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</si>
  <si>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</si>
  <si>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</si>
  <si>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</si>
  <si>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</si>
  <si>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</si>
  <si>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</si>
  <si>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</si>
  <si>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</si>
  <si>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</si>
  <si>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</si>
  <si>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</si>
  <si>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</si>
  <si>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</si>
  <si>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</si>
  <si>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</si>
  <si>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</si>
  <si>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</si>
  <si>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</si>
  <si>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</si>
  <si>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</si>
  <si>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</si>
  <si>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</si>
  <si>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</si>
  <si>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</si>
  <si>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</si>
  <si>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</si>
  <si>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</si>
  <si>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</si>
  <si>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</si>
  <si>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</si>
  <si>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</si>
  <si>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</si>
  <si>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</si>
  <si>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</si>
  <si>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</si>
  <si>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</si>
  <si>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</si>
  <si>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</si>
  <si>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</si>
  <si>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</si>
  <si>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</si>
  <si>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</si>
  <si>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</si>
  <si>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</si>
  <si>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</si>
  <si>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</si>
  <si>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</si>
  <si>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</si>
  <si>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</si>
  <si>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</si>
  <si>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</si>
  <si>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</si>
  <si>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</si>
  <si>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</si>
  <si>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</si>
  <si>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</si>
  <si>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</si>
  <si>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</si>
  <si>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</si>
  <si>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</si>
  <si>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</si>
  <si>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</si>
  <si>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</si>
  <si>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</si>
  <si>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</si>
  <si>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</si>
  <si>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</si>
  <si>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</si>
  <si>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</si>
  <si>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</si>
  <si>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</si>
  <si>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</si>
  <si>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</si>
  <si>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</si>
  <si>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</si>
  <si>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</si>
  <si>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</si>
  <si>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</si>
  <si>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</si>
  <si>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</si>
  <si>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</si>
  <si>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</si>
  <si>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</si>
  <si>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</si>
  <si>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</si>
  <si>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</si>
  <si>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</si>
  <si>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</si>
  <si>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</si>
  <si>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</si>
  <si>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</si>
  <si>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</si>
  <si>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</si>
  <si>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</si>
  <si>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</si>
  <si>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</si>
  <si>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</si>
  <si>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</si>
  <si>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</si>
  <si>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</si>
  <si>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</si>
  <si>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</si>
  <si>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</si>
  <si>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</si>
  <si>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</si>
  <si>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</si>
  <si>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</si>
  <si>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</si>
  <si>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</si>
  <si>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</si>
  <si>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</si>
  <si>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</si>
  <si>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</si>
  <si>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</si>
  <si>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</si>
  <si>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</si>
  <si>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</si>
  <si>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</si>
  <si>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</si>
  <si>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</si>
  <si>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</si>
  <si>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</si>
  <si>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</si>
  <si>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</si>
  <si>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</si>
  <si>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</si>
  <si>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</si>
  <si>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</si>
  <si>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</si>
  <si>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reference</t>
  </si>
  <si>
    <t xml:space="preserve">C(2025) 884</t>
  </si>
  <si>
    <t xml:space="preserve">2025-02-04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</si>
  <si>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</si>
  <si>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</si>
  <si>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</si>
  <si>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</si>
  <si>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2025-02-06</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</si>
  <si>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</si>
  <si>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</si>
  <si>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2025-07-18</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</si>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</sst>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2">
    <numFmt numFmtId="164" formatCode="General"/>
    <numFmt numFmtId="165" formatCode="#,##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1"/>
    <col collapsed="false" customWidth="true" hidden="false" outlineLevel="0" max="5" min="5" style="0" width="9"/>
    <col collapsed="false" customWidth="true" hidden="false" outlineLevel="0" max="7" min="6" style="0" width="10"/>
    <col collapsed="false" customWidth="true" hidden="false" outlineLevel="0" max="8" min="8" style="0" width="16"/>
    <col collapsed="false" customWidth="true" hidden="false" outlineLevel="0" max="9" min="9" style="0" width="18"/>
    <col collapsed="false" customWidth="true" hidden="false" outlineLevel="0" max="10" min="10" style="0" width="30"/>
    <col collapsed="false" customWidth="true" hidden="false" outlineLevel="0" max="28" min="11" style="0" width="10"/>
    <col collapsed="false" customWidth="true" hidden="false" outlineLevel="0" max="29" min="29" style="0" width="20"/>
    <col collapsed="false" customWidth="true" hidden="false" outlineLevel="0" max="31" min="30" style="0" width="11"/>
    <col collapsed="false" customWidth="true" hidden="false" outlineLevel="0" max="36" min="32" style="0" width="9"/>
    <col collapsed="false" customWidth="true" hidden="false" outlineLevel="0" max="37" min="37" style="0" width="12"/>
    <col collapsed="false" customWidth="true" hidden="false" outlineLevel="0" max="38" min="38" style="0" width="11"/>
    <col collapsed="false" customWidth="true" hidden="false" outlineLevel="0" max="39" min="39" style="0" width="10"/>
    <col collapsed="false" customWidth="true" hidden="false" outlineLevel="0" max="40" min="40"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customFormat="false" ht="15" hidden="false" customHeight="false" outlineLevel="0" collapsed="false">
      <c r="A2" s="2" t="n">
        <v>1</v>
      </c>
      <c r="B2" s="2" t="s">
        <v>40</v>
      </c>
      <c r="C2" s="2" t="s">
        <v>41</v>
      </c>
      <c r="D2" s="2" t="s">
        <v>42</v>
      </c>
      <c r="E2" s="2" t="s">
        <v>43</v>
      </c>
      <c r="F2" s="2" t="s">
        <v>44</v>
      </c>
      <c r="G2" s="2" t="s">
        <v>44</v>
      </c>
      <c r="H2" s="2" t="s">
        <v>45</v>
      </c>
      <c r="I2" s="2" t="s">
        <v>46</v>
      </c>
      <c r="J2" s="2" t="s">
        <v>47</v>
      </c>
      <c r="K2" s="3" t="n">
        <v>2</v>
      </c>
      <c r="L2" s="3" t="n">
        <v>866</v>
      </c>
      <c r="M2" s="3" t="n">
        <v>618</v>
      </c>
      <c r="N2" s="3" t="n">
        <v>483</v>
      </c>
      <c r="O2" s="3" t="n">
        <v>248</v>
      </c>
      <c r="P2" s="3" t="n">
        <v>0</v>
      </c>
      <c r="Q2" s="3" t="n">
        <v>0</v>
      </c>
      <c r="R2" s="3" t="n">
        <v>0</v>
      </c>
      <c r="S2" s="3" t="n">
        <v>6</v>
      </c>
      <c r="T2" s="3" t="n">
        <v>4</v>
      </c>
      <c r="U2" s="3" t="n">
        <v>0</v>
      </c>
      <c r="V2" s="3" t="n">
        <v>0</v>
      </c>
      <c r="W2" s="3" t="n">
        <v>0</v>
      </c>
      <c r="X2" s="3" t="n">
        <v>2</v>
      </c>
      <c r="Y2" s="3" t="n">
        <v>0</v>
      </c>
      <c r="Z2" s="3" t="n">
        <v>5</v>
      </c>
      <c r="AA2" s="3" t="n">
        <v>1</v>
      </c>
      <c r="AB2" s="3" t="n">
        <v>0</v>
      </c>
      <c r="AC2" s="2" t="s">
        <v>48</v>
      </c>
      <c r="AD2" s="3" t="n">
        <v>0</v>
      </c>
      <c r="AE2" s="2" t="n">
        <v>0</v>
      </c>
      <c r="AF2" s="2" t="n">
        <f aca="false">COUNTIFS(secondary_acts!$A$2:$A$771,$A2,secondary_acts!$E$2:$E$771,"implementing")</f>
        <v>0</v>
      </c>
      <c r="AG2" s="2" t="n">
        <f aca="false">COUNTIFS(secondary_acts!$A$2:$A$771,$A2,secondary_acts!$E$2:$E$771,"delegated")</f>
        <v>0</v>
      </c>
      <c r="AH2" s="2" t="n">
        <f aca="false">COUNTIFS(secondary_acts!$A$2:$A$771,$A2,secondary_acts!$E$2:$E$771,"other Commission/Council act")</f>
        <v>0</v>
      </c>
      <c r="AI2" s="2" t="n">
        <f aca="false">COUNTIFS(secondary_acts!$A$2:$A$771,$A2,secondary_acts!$E$2:$E$771,"guidance")</f>
        <v>0</v>
      </c>
      <c r="AJ2" s="2" t="n">
        <f aca="false">COUNTIF(guidance_web!$A$2:$A$7,$A2)</f>
        <v>0</v>
      </c>
      <c r="AK2" s="3" t="n">
        <f aca="false">SUMIFS(secondary_acts!$S$2:$S$771,secondary_acts!$A$2:$A$771,$A2,secondary_acts!$E$2:$E$771,"implementing")+SUMIFS(secondary_acts!$S$2:$S$771,secondary_acts!$A$2:$A$771,$A2,secondary_acts!$E$2:$E$771,"delegated")</f>
        <v>0</v>
      </c>
      <c r="AL2" s="3" t="n">
        <v>207</v>
      </c>
      <c r="AM2" s="2" t="n">
        <v>24</v>
      </c>
      <c r="AN2" s="2"/>
    </row>
    <row r="3" customFormat="false" ht="15" hidden="false" customHeight="false" outlineLevel="0" collapsed="false">
      <c r="A3" s="2" t="n">
        <v>2</v>
      </c>
      <c r="B3" s="2" t="s">
        <v>49</v>
      </c>
      <c r="C3" s="2" t="s">
        <v>50</v>
      </c>
      <c r="D3" s="2" t="s">
        <v>51</v>
      </c>
      <c r="E3" s="2" t="s">
        <v>52</v>
      </c>
      <c r="F3" s="2" t="s">
        <v>44</v>
      </c>
      <c r="G3" s="2" t="s">
        <v>44</v>
      </c>
      <c r="H3" s="2" t="s">
        <v>53</v>
      </c>
      <c r="I3" s="2" t="s">
        <v>46</v>
      </c>
      <c r="J3" s="2" t="s">
        <v>54</v>
      </c>
      <c r="K3" s="3" t="n">
        <v>6</v>
      </c>
      <c r="L3" s="3" t="n">
        <v>3320</v>
      </c>
      <c r="M3" s="3" t="n">
        <v>1402</v>
      </c>
      <c r="N3" s="3" t="n">
        <v>1323</v>
      </c>
      <c r="O3" s="3" t="n">
        <v>1008</v>
      </c>
      <c r="P3" s="3" t="n">
        <v>910</v>
      </c>
      <c r="Q3" s="3" t="n">
        <v>0</v>
      </c>
      <c r="R3" s="3" t="n">
        <v>0</v>
      </c>
      <c r="S3" s="3" t="n">
        <v>26</v>
      </c>
      <c r="T3" s="3" t="n">
        <v>20</v>
      </c>
      <c r="U3" s="3" t="n">
        <v>2</v>
      </c>
      <c r="V3" s="3" t="n">
        <v>0</v>
      </c>
      <c r="W3" s="3" t="n">
        <v>3</v>
      </c>
      <c r="X3" s="3" t="n">
        <v>1</v>
      </c>
      <c r="Y3" s="3" t="n">
        <v>6</v>
      </c>
      <c r="Z3" s="3" t="n">
        <v>11</v>
      </c>
      <c r="AA3" s="3" t="n">
        <v>1</v>
      </c>
      <c r="AB3" s="3" t="n">
        <v>8</v>
      </c>
      <c r="AC3" s="2" t="s">
        <v>55</v>
      </c>
      <c r="AD3" s="3" t="n">
        <v>39</v>
      </c>
      <c r="AE3" s="2" t="n">
        <v>6</v>
      </c>
      <c r="AF3" s="2" t="n">
        <f aca="false">COUNTIFS(secondary_acts!$A$2:$A$771,$A3,secondary_acts!$E$2:$E$771,"implementing")</f>
        <v>0</v>
      </c>
      <c r="AG3" s="2" t="n">
        <f aca="false">COUNTIFS(secondary_acts!$A$2:$A$771,$A3,secondary_acts!$E$2:$E$771,"delegated")</f>
        <v>0</v>
      </c>
      <c r="AH3" s="2" t="n">
        <f aca="false">COUNTIFS(secondary_acts!$A$2:$A$771,$A3,secondary_acts!$E$2:$E$771,"other Commission/Council act")</f>
        <v>0</v>
      </c>
      <c r="AI3" s="2" t="n">
        <f aca="false">COUNTIFS(secondary_acts!$A$2:$A$771,$A3,secondary_acts!$E$2:$E$771,"guidance")</f>
        <v>1</v>
      </c>
      <c r="AJ3" s="2" t="n">
        <f aca="false">COUNTIF(guidance_web!$A$2:$A$7,$A3)</f>
        <v>0</v>
      </c>
      <c r="AK3" s="3" t="n">
        <f aca="false">SUMIFS(secondary_acts!$S$2:$S$771,secondary_acts!$A$2:$A$771,$A3,secondary_acts!$E$2:$E$771,"implementing")+SUMIFS(secondary_acts!$S$2:$S$771,secondary_acts!$A$2:$A$771,$A3,secondary_acts!$E$2:$E$771,"delegated")</f>
        <v>0</v>
      </c>
      <c r="AL3" s="3" t="n">
        <v>1342</v>
      </c>
      <c r="AM3" s="2" t="n">
        <v>25</v>
      </c>
      <c r="AN3" s="2"/>
    </row>
    <row r="4" customFormat="false" ht="15" hidden="false" customHeight="false" outlineLevel="0" collapsed="false">
      <c r="A4" s="2" t="n">
        <v>3</v>
      </c>
      <c r="B4" s="2" t="s">
        <v>56</v>
      </c>
      <c r="C4" s="2" t="s">
        <v>57</v>
      </c>
      <c r="D4" s="2" t="s">
        <v>58</v>
      </c>
      <c r="E4" s="2" t="s">
        <v>52</v>
      </c>
      <c r="F4" s="2" t="s">
        <v>44</v>
      </c>
      <c r="G4" s="2" t="s">
        <v>44</v>
      </c>
      <c r="H4" s="2" t="s">
        <v>59</v>
      </c>
      <c r="I4" s="2" t="s">
        <v>46</v>
      </c>
      <c r="J4" s="2" t="s">
        <v>60</v>
      </c>
      <c r="K4" s="3" t="n">
        <v>7</v>
      </c>
      <c r="L4" s="3" t="n">
        <v>4550</v>
      </c>
      <c r="M4" s="3" t="n">
        <v>2545</v>
      </c>
      <c r="N4" s="3" t="n">
        <v>2449</v>
      </c>
      <c r="O4" s="3" t="n">
        <v>2005</v>
      </c>
      <c r="P4" s="3" t="n">
        <v>0</v>
      </c>
      <c r="Q4" s="3" t="n">
        <v>0</v>
      </c>
      <c r="R4" s="3" t="n">
        <v>0</v>
      </c>
      <c r="S4" s="3" t="n">
        <v>35</v>
      </c>
      <c r="T4" s="3" t="n">
        <v>27</v>
      </c>
      <c r="U4" s="3" t="n">
        <v>1</v>
      </c>
      <c r="V4" s="3" t="n">
        <v>1</v>
      </c>
      <c r="W4" s="3" t="n">
        <v>0</v>
      </c>
      <c r="X4" s="3" t="n">
        <v>6</v>
      </c>
      <c r="Y4" s="3" t="n">
        <v>4</v>
      </c>
      <c r="Z4" s="3" t="n">
        <v>18</v>
      </c>
      <c r="AA4" s="3" t="n">
        <v>2</v>
      </c>
      <c r="AB4" s="3" t="n">
        <v>11</v>
      </c>
      <c r="AC4" s="2" t="s">
        <v>61</v>
      </c>
      <c r="AD4" s="3" t="n">
        <v>35</v>
      </c>
      <c r="AE4" s="2" t="n">
        <v>4</v>
      </c>
      <c r="AF4" s="2" t="n">
        <f aca="false">COUNTIFS(secondary_acts!$A$2:$A$771,$A4,secondary_acts!$E$2:$E$771,"implementing")</f>
        <v>0</v>
      </c>
      <c r="AG4" s="2" t="n">
        <f aca="false">COUNTIFS(secondary_acts!$A$2:$A$771,$A4,secondary_acts!$E$2:$E$771,"delegated")</f>
        <v>0</v>
      </c>
      <c r="AH4" s="2" t="n">
        <f aca="false">COUNTIFS(secondary_acts!$A$2:$A$771,$A4,secondary_acts!$E$2:$E$771,"other Commission/Council act")</f>
        <v>0</v>
      </c>
      <c r="AI4" s="2" t="n">
        <f aca="false">COUNTIFS(secondary_acts!$A$2:$A$771,$A4,secondary_acts!$E$2:$E$771,"guidance")</f>
        <v>0</v>
      </c>
      <c r="AJ4" s="2" t="n">
        <f aca="false">COUNTIF(guidance_web!$A$2:$A$7,$A4)</f>
        <v>0</v>
      </c>
      <c r="AK4" s="3" t="n">
        <f aca="false">SUMIFS(secondary_acts!$S$2:$S$771,secondary_acts!$A$2:$A$771,$A4,secondary_acts!$E$2:$E$771,"implementing")+SUMIFS(secondary_acts!$S$2:$S$771,secondary_acts!$A$2:$A$771,$A4,secondary_acts!$E$2:$E$771,"delegated")</f>
        <v>0</v>
      </c>
      <c r="AL4" s="3" t="n">
        <v>207</v>
      </c>
      <c r="AM4" s="2" t="n">
        <v>23</v>
      </c>
      <c r="AN4" s="2" t="s">
        <v>62</v>
      </c>
    </row>
    <row r="5" customFormat="false" ht="15" hidden="false" customHeight="false" outlineLevel="0" collapsed="false">
      <c r="A5" s="2" t="n">
        <v>4</v>
      </c>
      <c r="B5" s="2" t="s">
        <v>63</v>
      </c>
      <c r="C5" s="2" t="s">
        <v>64</v>
      </c>
      <c r="D5" s="2" t="s">
        <v>65</v>
      </c>
      <c r="E5" s="2" t="s">
        <v>52</v>
      </c>
      <c r="F5" s="2" t="s">
        <v>44</v>
      </c>
      <c r="G5" s="2" t="s">
        <v>44</v>
      </c>
      <c r="H5" s="2" t="s">
        <v>66</v>
      </c>
      <c r="I5" s="2" t="s">
        <v>46</v>
      </c>
      <c r="J5" s="2" t="s">
        <v>67</v>
      </c>
      <c r="K5" s="3" t="n">
        <v>9</v>
      </c>
      <c r="L5" s="3" t="n">
        <v>5494</v>
      </c>
      <c r="M5" s="3" t="n">
        <v>3257</v>
      </c>
      <c r="N5" s="3" t="n">
        <v>3156</v>
      </c>
      <c r="O5" s="3" t="n">
        <v>2237</v>
      </c>
      <c r="P5" s="3" t="n">
        <v>0</v>
      </c>
      <c r="Q5" s="3" t="n">
        <v>0</v>
      </c>
      <c r="R5" s="3" t="n">
        <v>0</v>
      </c>
      <c r="S5" s="3" t="n">
        <v>33</v>
      </c>
      <c r="T5" s="3" t="n">
        <v>24</v>
      </c>
      <c r="U5" s="3" t="n">
        <v>9</v>
      </c>
      <c r="V5" s="3" t="n">
        <v>0</v>
      </c>
      <c r="W5" s="3" t="n">
        <v>0</v>
      </c>
      <c r="X5" s="3" t="n">
        <v>0</v>
      </c>
      <c r="Y5" s="3" t="n">
        <v>8</v>
      </c>
      <c r="Z5" s="3" t="n">
        <v>10</v>
      </c>
      <c r="AA5" s="3" t="n">
        <v>2</v>
      </c>
      <c r="AB5" s="3" t="n">
        <v>13</v>
      </c>
      <c r="AC5" s="2" t="s">
        <v>68</v>
      </c>
      <c r="AD5" s="3" t="n">
        <v>33</v>
      </c>
      <c r="AE5" s="2" t="n">
        <v>8</v>
      </c>
      <c r="AF5" s="2" t="n">
        <f aca="false">COUNTIFS(secondary_acts!$A$2:$A$771,$A5,secondary_acts!$E$2:$E$771,"implementing")</f>
        <v>0</v>
      </c>
      <c r="AG5" s="2" t="n">
        <f aca="false">COUNTIFS(secondary_acts!$A$2:$A$771,$A5,secondary_acts!$E$2:$E$771,"delegated")</f>
        <v>0</v>
      </c>
      <c r="AH5" s="2" t="n">
        <f aca="false">COUNTIFS(secondary_acts!$A$2:$A$771,$A5,secondary_acts!$E$2:$E$771,"other Commission/Council act")</f>
        <v>0</v>
      </c>
      <c r="AI5" s="2" t="n">
        <f aca="false">COUNTIFS(secondary_acts!$A$2:$A$771,$A5,secondary_acts!$E$2:$E$771,"guidance")</f>
        <v>0</v>
      </c>
      <c r="AJ5" s="2" t="n">
        <f aca="false">COUNTIF(guidance_web!$A$2:$A$7,$A5)</f>
        <v>0</v>
      </c>
      <c r="AK5" s="3" t="n">
        <f aca="false">SUMIFS(secondary_acts!$S$2:$S$771,secondary_acts!$A$2:$A$771,$A5,secondary_acts!$E$2:$E$771,"implementing")+SUMIFS(secondary_acts!$S$2:$S$771,secondary_acts!$A$2:$A$771,$A5,secondary_acts!$E$2:$E$771,"delegated")</f>
        <v>0</v>
      </c>
      <c r="AL5" s="3" t="n">
        <v>1049</v>
      </c>
      <c r="AM5" s="2" t="n">
        <v>22</v>
      </c>
      <c r="AN5" s="2"/>
    </row>
    <row r="6" customFormat="false" ht="15" hidden="false" customHeight="false" outlineLevel="0" collapsed="false">
      <c r="A6" s="2" t="n">
        <v>5</v>
      </c>
      <c r="B6" s="2" t="s">
        <v>69</v>
      </c>
      <c r="C6" s="2" t="s">
        <v>70</v>
      </c>
      <c r="D6" s="2" t="s">
        <v>71</v>
      </c>
      <c r="E6" s="2" t="s">
        <v>52</v>
      </c>
      <c r="F6" s="2" t="s">
        <v>44</v>
      </c>
      <c r="G6" s="2" t="s">
        <v>44</v>
      </c>
      <c r="H6" s="2" t="s">
        <v>72</v>
      </c>
      <c r="I6" s="2" t="s">
        <v>46</v>
      </c>
      <c r="J6" s="2" t="s">
        <v>73</v>
      </c>
      <c r="K6" s="3" t="n">
        <v>24</v>
      </c>
      <c r="L6" s="3" t="n">
        <v>17870</v>
      </c>
      <c r="M6" s="3" t="n">
        <v>2070</v>
      </c>
      <c r="N6" s="3" t="n">
        <v>1978</v>
      </c>
      <c r="O6" s="3" t="n">
        <v>15800</v>
      </c>
      <c r="P6" s="3" t="n">
        <v>0</v>
      </c>
      <c r="Q6" s="3" t="n">
        <v>0</v>
      </c>
      <c r="R6" s="3" t="n">
        <v>0</v>
      </c>
      <c r="S6" s="3" t="n">
        <v>280</v>
      </c>
      <c r="T6" s="3" t="n">
        <v>241</v>
      </c>
      <c r="U6" s="3" t="n">
        <v>31</v>
      </c>
      <c r="V6" s="3" t="n">
        <v>7</v>
      </c>
      <c r="W6" s="3" t="n">
        <v>1</v>
      </c>
      <c r="X6" s="3" t="n">
        <v>0</v>
      </c>
      <c r="Y6" s="3" t="n">
        <v>29</v>
      </c>
      <c r="Z6" s="3" t="n">
        <v>50</v>
      </c>
      <c r="AA6" s="3" t="n">
        <v>65</v>
      </c>
      <c r="AB6" s="3" t="n">
        <v>136</v>
      </c>
      <c r="AC6" s="2" t="s">
        <v>74</v>
      </c>
      <c r="AD6" s="3" t="n">
        <v>481</v>
      </c>
      <c r="AE6" s="2" t="n">
        <v>51</v>
      </c>
      <c r="AF6" s="2" t="n">
        <f aca="false">COUNTIFS(secondary_acts!$A$2:$A$771,$A6,secondary_acts!$E$2:$E$771,"implementing")</f>
        <v>2</v>
      </c>
      <c r="AG6" s="2" t="n">
        <f aca="false">COUNTIFS(secondary_acts!$A$2:$A$771,$A6,secondary_acts!$E$2:$E$771,"delegated")</f>
        <v>1</v>
      </c>
      <c r="AH6" s="2" t="n">
        <f aca="false">COUNTIFS(secondary_acts!$A$2:$A$771,$A6,secondary_acts!$E$2:$E$771,"other Commission/Council act")</f>
        <v>4</v>
      </c>
      <c r="AI6" s="2" t="n">
        <f aca="false">COUNTIFS(secondary_acts!$A$2:$A$771,$A6,secondary_acts!$E$2:$E$771,"guidance")</f>
        <v>0</v>
      </c>
      <c r="AJ6" s="2" t="n">
        <f aca="false">COUNTIF(guidance_web!$A$2:$A$7,$A6)</f>
        <v>0</v>
      </c>
      <c r="AK6" s="3" t="n">
        <f aca="false">SUMIFS(secondary_acts!$S$2:$S$771,secondary_acts!$A$2:$A$771,$A6,secondary_acts!$E$2:$E$771,"implementing")+SUMIFS(secondary_acts!$S$2:$S$771,secondary_acts!$A$2:$A$771,$A6,secondary_acts!$E$2:$E$771,"delegated")</f>
        <v>143</v>
      </c>
      <c r="AL6" s="3"/>
      <c r="AM6" s="2"/>
      <c r="AN6" s="2"/>
    </row>
    <row r="7" customFormat="false" ht="15" hidden="false" customHeight="false" outlineLevel="0" collapsed="false">
      <c r="A7" s="2" t="n">
        <v>6</v>
      </c>
      <c r="B7" s="2" t="s">
        <v>75</v>
      </c>
      <c r="C7" s="2" t="s">
        <v>76</v>
      </c>
      <c r="D7" s="2" t="s">
        <v>77</v>
      </c>
      <c r="E7" s="2" t="s">
        <v>43</v>
      </c>
      <c r="F7" s="2" t="s">
        <v>44</v>
      </c>
      <c r="G7" s="2" t="s">
        <v>44</v>
      </c>
      <c r="H7" s="2" t="s">
        <v>78</v>
      </c>
      <c r="I7" s="2" t="s">
        <v>46</v>
      </c>
      <c r="J7" s="2" t="s">
        <v>79</v>
      </c>
      <c r="K7" s="3" t="n">
        <v>5</v>
      </c>
      <c r="L7" s="3" t="n">
        <v>1901</v>
      </c>
      <c r="M7" s="3" t="n">
        <v>853</v>
      </c>
      <c r="N7" s="3" t="n">
        <v>731</v>
      </c>
      <c r="O7" s="3" t="n">
        <v>1048</v>
      </c>
      <c r="P7" s="3" t="n">
        <v>0</v>
      </c>
      <c r="Q7" s="3" t="n">
        <v>0</v>
      </c>
      <c r="R7" s="3" t="n">
        <v>0</v>
      </c>
      <c r="S7" s="3" t="n">
        <v>23</v>
      </c>
      <c r="T7" s="3" t="n">
        <v>22</v>
      </c>
      <c r="U7" s="3" t="n">
        <v>1</v>
      </c>
      <c r="V7" s="3" t="n">
        <v>0</v>
      </c>
      <c r="W7" s="3" t="n">
        <v>0</v>
      </c>
      <c r="X7" s="3" t="n">
        <v>0</v>
      </c>
      <c r="Y7" s="3" t="n">
        <v>1</v>
      </c>
      <c r="Z7" s="3" t="n">
        <v>10</v>
      </c>
      <c r="AA7" s="3" t="n">
        <v>3</v>
      </c>
      <c r="AB7" s="3" t="n">
        <v>9</v>
      </c>
      <c r="AC7" s="2" t="s">
        <v>80</v>
      </c>
      <c r="AD7" s="3" t="n">
        <v>27</v>
      </c>
      <c r="AE7" s="2" t="n">
        <v>0</v>
      </c>
      <c r="AF7" s="2" t="n">
        <f aca="false">COUNTIFS(secondary_acts!$A$2:$A$771,$A7,secondary_acts!$E$2:$E$771,"implementing")</f>
        <v>0</v>
      </c>
      <c r="AG7" s="2" t="n">
        <f aca="false">COUNTIFS(secondary_acts!$A$2:$A$771,$A7,secondary_acts!$E$2:$E$771,"delegated")</f>
        <v>0</v>
      </c>
      <c r="AH7" s="2" t="n">
        <f aca="false">COUNTIFS(secondary_acts!$A$2:$A$771,$A7,secondary_acts!$E$2:$E$771,"other Commission/Council act")</f>
        <v>0</v>
      </c>
      <c r="AI7" s="2" t="n">
        <f aca="false">COUNTIFS(secondary_acts!$A$2:$A$771,$A7,secondary_acts!$E$2:$E$771,"guidance")</f>
        <v>1</v>
      </c>
      <c r="AJ7" s="2" t="n">
        <f aca="false">COUNTIF(guidance_web!$A$2:$A$7,$A7)</f>
        <v>0</v>
      </c>
      <c r="AK7" s="3" t="n">
        <f aca="false">SUMIFS(secondary_acts!$S$2:$S$771,secondary_acts!$A$2:$A$771,$A7,secondary_acts!$E$2:$E$771,"implementing")+SUMIFS(secondary_acts!$S$2:$S$771,secondary_acts!$A$2:$A$771,$A7,secondary_acts!$E$2:$E$771,"delegated")</f>
        <v>0</v>
      </c>
      <c r="AL7" s="3" t="n">
        <v>359</v>
      </c>
      <c r="AM7" s="2" t="n">
        <v>26</v>
      </c>
      <c r="AN7" s="2"/>
    </row>
    <row r="8" customFormat="false" ht="15" hidden="false" customHeight="false" outlineLevel="0" collapsed="false">
      <c r="A8" s="2" t="n">
        <v>7</v>
      </c>
      <c r="B8" s="2" t="s">
        <v>81</v>
      </c>
      <c r="C8" s="2" t="s">
        <v>82</v>
      </c>
      <c r="D8" s="2" t="s">
        <v>83</v>
      </c>
      <c r="E8" s="2" t="s">
        <v>84</v>
      </c>
      <c r="F8" s="2" t="s">
        <v>44</v>
      </c>
      <c r="G8" s="2" t="s">
        <v>44</v>
      </c>
      <c r="H8" s="2" t="s">
        <v>85</v>
      </c>
      <c r="I8" s="2" t="s">
        <v>46</v>
      </c>
      <c r="J8" s="2" t="s">
        <v>86</v>
      </c>
      <c r="K8" s="3" t="n">
        <v>10</v>
      </c>
      <c r="L8" s="3" t="n">
        <v>8127</v>
      </c>
      <c r="M8" s="3" t="n">
        <v>4811</v>
      </c>
      <c r="N8" s="3" t="n">
        <v>4670</v>
      </c>
      <c r="O8" s="3" t="n">
        <v>3316</v>
      </c>
      <c r="P8" s="3" t="n">
        <v>0</v>
      </c>
      <c r="Q8" s="3" t="n">
        <v>0</v>
      </c>
      <c r="R8" s="3" t="n">
        <v>0</v>
      </c>
      <c r="S8" s="3" t="n">
        <v>35</v>
      </c>
      <c r="T8" s="3" t="n">
        <v>29</v>
      </c>
      <c r="U8" s="3" t="n">
        <v>3</v>
      </c>
      <c r="V8" s="3" t="n">
        <v>2</v>
      </c>
      <c r="W8" s="3" t="n">
        <v>0</v>
      </c>
      <c r="X8" s="3" t="n">
        <v>1</v>
      </c>
      <c r="Y8" s="3" t="n">
        <v>0</v>
      </c>
      <c r="Z8" s="3" t="n">
        <v>21</v>
      </c>
      <c r="AA8" s="3" t="n">
        <v>3</v>
      </c>
      <c r="AB8" s="3" t="n">
        <v>11</v>
      </c>
      <c r="AC8" s="2" t="s">
        <v>87</v>
      </c>
      <c r="AD8" s="3" t="n">
        <v>35</v>
      </c>
      <c r="AE8" s="2" t="n">
        <v>0</v>
      </c>
      <c r="AF8" s="2" t="n">
        <f aca="false">COUNTIFS(secondary_acts!$A$2:$A$771,$A8,secondary_acts!$E$2:$E$771,"implementing")</f>
        <v>0</v>
      </c>
      <c r="AG8" s="2" t="n">
        <f aca="false">COUNTIFS(secondary_acts!$A$2:$A$771,$A8,secondary_acts!$E$2:$E$771,"delegated")</f>
        <v>0</v>
      </c>
      <c r="AH8" s="2" t="n">
        <f aca="false">COUNTIFS(secondary_acts!$A$2:$A$771,$A8,secondary_acts!$E$2:$E$771,"other Commission/Council act")</f>
        <v>0</v>
      </c>
      <c r="AI8" s="2" t="n">
        <f aca="false">COUNTIFS(secondary_acts!$A$2:$A$771,$A8,secondary_acts!$E$2:$E$771,"guidance")</f>
        <v>0</v>
      </c>
      <c r="AJ8" s="2" t="n">
        <f aca="false">COUNTIF(guidance_web!$A$2:$A$7,$A8)</f>
        <v>0</v>
      </c>
      <c r="AK8" s="3" t="n">
        <f aca="false">SUMIFS(secondary_acts!$S$2:$S$771,secondary_acts!$A$2:$A$771,$A8,secondary_acts!$E$2:$E$771,"implementing")+SUMIFS(secondary_acts!$S$2:$S$771,secondary_acts!$A$2:$A$771,$A8,secondary_acts!$E$2:$E$771,"delegated")</f>
        <v>0</v>
      </c>
      <c r="AL8" s="3" t="n">
        <v>1103</v>
      </c>
      <c r="AM8" s="2" t="n">
        <v>28</v>
      </c>
      <c r="AN8" s="2"/>
    </row>
    <row r="9" customFormat="false" ht="15" hidden="false" customHeight="false" outlineLevel="0" collapsed="false">
      <c r="A9" s="2" t="n">
        <v>8</v>
      </c>
      <c r="B9" s="2" t="s">
        <v>88</v>
      </c>
      <c r="C9" s="2" t="s">
        <v>89</v>
      </c>
      <c r="D9" s="2" t="s">
        <v>90</v>
      </c>
      <c r="E9" s="2" t="s">
        <v>84</v>
      </c>
      <c r="F9" s="2" t="s">
        <v>44</v>
      </c>
      <c r="G9" s="2" t="s">
        <v>44</v>
      </c>
      <c r="H9" s="2" t="s">
        <v>91</v>
      </c>
      <c r="I9" s="2" t="s">
        <v>46</v>
      </c>
      <c r="J9" s="2" t="s">
        <v>92</v>
      </c>
      <c r="K9" s="3" t="n">
        <v>16</v>
      </c>
      <c r="L9" s="3" t="n">
        <v>10148</v>
      </c>
      <c r="M9" s="3" t="n">
        <v>5471</v>
      </c>
      <c r="N9" s="3" t="n">
        <v>5320</v>
      </c>
      <c r="O9" s="3" t="n">
        <v>4370</v>
      </c>
      <c r="P9" s="3" t="n">
        <v>307</v>
      </c>
      <c r="Q9" s="3" t="n">
        <v>0</v>
      </c>
      <c r="R9" s="3" t="n">
        <v>0</v>
      </c>
      <c r="S9" s="3" t="n">
        <v>72</v>
      </c>
      <c r="T9" s="3" t="n">
        <v>50</v>
      </c>
      <c r="U9" s="3" t="n">
        <v>3</v>
      </c>
      <c r="V9" s="3" t="n">
        <v>0</v>
      </c>
      <c r="W9" s="3" t="n">
        <v>2</v>
      </c>
      <c r="X9" s="3" t="n">
        <v>17</v>
      </c>
      <c r="Y9" s="3" t="n">
        <v>6</v>
      </c>
      <c r="Z9" s="3" t="n">
        <v>42</v>
      </c>
      <c r="AA9" s="3" t="n">
        <v>9</v>
      </c>
      <c r="AB9" s="3" t="n">
        <v>15</v>
      </c>
      <c r="AC9" s="2" t="s">
        <v>93</v>
      </c>
      <c r="AD9" s="3" t="n">
        <v>68</v>
      </c>
      <c r="AE9" s="2" t="n">
        <v>6</v>
      </c>
      <c r="AF9" s="2" t="n">
        <f aca="false">COUNTIFS(secondary_acts!$A$2:$A$771,$A9,secondary_acts!$E$2:$E$771,"implementing")</f>
        <v>0</v>
      </c>
      <c r="AG9" s="2" t="n">
        <f aca="false">COUNTIFS(secondary_acts!$A$2:$A$771,$A9,secondary_acts!$E$2:$E$771,"delegated")</f>
        <v>0</v>
      </c>
      <c r="AH9" s="2" t="n">
        <f aca="false">COUNTIFS(secondary_acts!$A$2:$A$771,$A9,secondary_acts!$E$2:$E$771,"other Commission/Council act")</f>
        <v>0</v>
      </c>
      <c r="AI9" s="2" t="n">
        <f aca="false">COUNTIFS(secondary_acts!$A$2:$A$771,$A9,secondary_acts!$E$2:$E$771,"guidance")</f>
        <v>0</v>
      </c>
      <c r="AJ9" s="2" t="n">
        <f aca="false">COUNTIF(guidance_web!$A$2:$A$7,$A9)</f>
        <v>0</v>
      </c>
      <c r="AK9" s="3" t="n">
        <f aca="false">SUMIFS(secondary_acts!$S$2:$S$771,secondary_acts!$A$2:$A$771,$A9,secondary_acts!$E$2:$E$771,"implementing")+SUMIFS(secondary_acts!$S$2:$S$771,secondary_acts!$A$2:$A$771,$A9,secondary_acts!$E$2:$E$771,"delegated")</f>
        <v>0</v>
      </c>
      <c r="AL9" s="3" t="n">
        <v>2522</v>
      </c>
      <c r="AM9" s="2" t="n">
        <v>27</v>
      </c>
      <c r="AN9" s="2"/>
    </row>
    <row r="10" customFormat="false" ht="15" hidden="false" customHeight="false" outlineLevel="0" collapsed="false">
      <c r="A10" s="2" t="n">
        <v>9</v>
      </c>
      <c r="B10" s="2" t="s">
        <v>94</v>
      </c>
      <c r="C10" s="2" t="s">
        <v>95</v>
      </c>
      <c r="D10" s="2" t="s">
        <v>96</v>
      </c>
      <c r="E10" s="2" t="s">
        <v>84</v>
      </c>
      <c r="F10" s="2" t="s">
        <v>44</v>
      </c>
      <c r="G10" s="2" t="s">
        <v>44</v>
      </c>
      <c r="H10" s="2" t="s">
        <v>97</v>
      </c>
      <c r="I10" s="2" t="s">
        <v>46</v>
      </c>
      <c r="J10" s="2" t="s">
        <v>98</v>
      </c>
      <c r="K10" s="3" t="n">
        <v>11</v>
      </c>
      <c r="L10" s="3" t="n">
        <v>8620</v>
      </c>
      <c r="M10" s="3" t="n">
        <v>5001</v>
      </c>
      <c r="N10" s="3" t="n">
        <v>4843</v>
      </c>
      <c r="O10" s="3" t="n">
        <v>3619</v>
      </c>
      <c r="P10" s="3" t="n">
        <v>0</v>
      </c>
      <c r="Q10" s="3" t="n">
        <v>0</v>
      </c>
      <c r="R10" s="3" t="n">
        <v>0</v>
      </c>
      <c r="S10" s="3" t="n">
        <v>49</v>
      </c>
      <c r="T10" s="3" t="n">
        <v>34</v>
      </c>
      <c r="U10" s="3" t="n">
        <v>3</v>
      </c>
      <c r="V10" s="3" t="n">
        <v>2</v>
      </c>
      <c r="W10" s="3" t="n">
        <v>1</v>
      </c>
      <c r="X10" s="3" t="n">
        <v>9</v>
      </c>
      <c r="Y10" s="3" t="n">
        <v>17</v>
      </c>
      <c r="Z10" s="3" t="n">
        <v>23</v>
      </c>
      <c r="AA10" s="3" t="n">
        <v>4</v>
      </c>
      <c r="AB10" s="3" t="n">
        <v>5</v>
      </c>
      <c r="AC10" s="2" t="s">
        <v>99</v>
      </c>
      <c r="AD10" s="3" t="n">
        <v>79</v>
      </c>
      <c r="AE10" s="2" t="n">
        <v>29</v>
      </c>
      <c r="AF10" s="2" t="n">
        <f aca="false">COUNTIFS(secondary_acts!$A$2:$A$771,$A10,secondary_acts!$E$2:$E$771,"implementing")</f>
        <v>0</v>
      </c>
      <c r="AG10" s="2" t="n">
        <f aca="false">COUNTIFS(secondary_acts!$A$2:$A$771,$A10,secondary_acts!$E$2:$E$771,"delegated")</f>
        <v>0</v>
      </c>
      <c r="AH10" s="2" t="n">
        <f aca="false">COUNTIFS(secondary_acts!$A$2:$A$771,$A10,secondary_acts!$E$2:$E$771,"other Commission/Council act")</f>
        <v>1</v>
      </c>
      <c r="AI10" s="2" t="n">
        <f aca="false">COUNTIFS(secondary_acts!$A$2:$A$771,$A10,secondary_acts!$E$2:$E$771,"guidance")</f>
        <v>0</v>
      </c>
      <c r="AJ10" s="2" t="n">
        <f aca="false">COUNTIF(guidance_web!$A$2:$A$7,$A10)</f>
        <v>0</v>
      </c>
      <c r="AK10" s="3" t="n">
        <f aca="false">SUMIFS(secondary_acts!$S$2:$S$771,secondary_acts!$A$2:$A$771,$A10,secondary_acts!$E$2:$E$771,"implementing")+SUMIFS(secondary_acts!$S$2:$S$771,secondary_acts!$A$2:$A$771,$A10,secondary_acts!$E$2:$E$771,"delegated")</f>
        <v>0</v>
      </c>
      <c r="AL10" s="3" t="n">
        <v>1004</v>
      </c>
      <c r="AM10" s="2" t="n">
        <v>28</v>
      </c>
      <c r="AN10" s="2"/>
    </row>
    <row r="11" customFormat="false" ht="15" hidden="false" customHeight="false" outlineLevel="0" collapsed="false">
      <c r="A11" s="2" t="n">
        <v>10</v>
      </c>
      <c r="B11" s="2" t="s">
        <v>100</v>
      </c>
      <c r="C11" s="2" t="s">
        <v>101</v>
      </c>
      <c r="D11" s="2" t="s">
        <v>96</v>
      </c>
      <c r="E11" s="2" t="s">
        <v>52</v>
      </c>
      <c r="F11" s="2" t="s">
        <v>44</v>
      </c>
      <c r="G11" s="2" t="s">
        <v>44</v>
      </c>
      <c r="H11" s="2" t="s">
        <v>102</v>
      </c>
      <c r="I11" s="2" t="s">
        <v>46</v>
      </c>
      <c r="J11" s="2" t="s">
        <v>103</v>
      </c>
      <c r="K11" s="3" t="n">
        <v>6</v>
      </c>
      <c r="L11" s="3" t="n">
        <v>4197</v>
      </c>
      <c r="M11" s="3" t="n">
        <v>2770</v>
      </c>
      <c r="N11" s="3" t="n">
        <v>2631</v>
      </c>
      <c r="O11" s="3" t="n">
        <v>1427</v>
      </c>
      <c r="P11" s="3" t="n">
        <v>0</v>
      </c>
      <c r="Q11" s="3" t="n">
        <v>0</v>
      </c>
      <c r="R11" s="3" t="n">
        <v>0</v>
      </c>
      <c r="S11" s="3" t="n">
        <v>26</v>
      </c>
      <c r="T11" s="3" t="n">
        <v>24</v>
      </c>
      <c r="U11" s="3" t="n">
        <v>1</v>
      </c>
      <c r="V11" s="3" t="n">
        <v>0</v>
      </c>
      <c r="W11" s="3" t="n">
        <v>0</v>
      </c>
      <c r="X11" s="3" t="n">
        <v>1</v>
      </c>
      <c r="Y11" s="3" t="n">
        <v>0</v>
      </c>
      <c r="Z11" s="3" t="n">
        <v>10</v>
      </c>
      <c r="AA11" s="3" t="n">
        <v>11</v>
      </c>
      <c r="AB11" s="3" t="n">
        <v>5</v>
      </c>
      <c r="AC11" s="2" t="s">
        <v>104</v>
      </c>
      <c r="AD11" s="3" t="n">
        <v>26</v>
      </c>
      <c r="AE11" s="2" t="n">
        <v>0</v>
      </c>
      <c r="AF11" s="2" t="n">
        <f aca="false">COUNTIFS(secondary_acts!$A$2:$A$771,$A11,secondary_acts!$E$2:$E$771,"implementing")</f>
        <v>47</v>
      </c>
      <c r="AG11" s="2" t="n">
        <f aca="false">COUNTIFS(secondary_acts!$A$2:$A$771,$A11,secondary_acts!$E$2:$E$771,"delegated")</f>
        <v>0</v>
      </c>
      <c r="AH11" s="2" t="n">
        <f aca="false">COUNTIFS(secondary_acts!$A$2:$A$771,$A11,secondary_acts!$E$2:$E$771,"other Commission/Council act")</f>
        <v>0</v>
      </c>
      <c r="AI11" s="2" t="n">
        <f aca="false">COUNTIFS(secondary_acts!$A$2:$A$771,$A11,secondary_acts!$E$2:$E$771,"guidance")</f>
        <v>0</v>
      </c>
      <c r="AJ11" s="2" t="n">
        <f aca="false">COUNTIF(guidance_web!$A$2:$A$7,$A11)</f>
        <v>0</v>
      </c>
      <c r="AK11" s="3" t="n">
        <f aca="false">SUMIFS(secondary_acts!$S$2:$S$771,secondary_acts!$A$2:$A$771,$A11,secondary_acts!$E$2:$E$771,"implementing")+SUMIFS(secondary_acts!$S$2:$S$771,secondary_acts!$A$2:$A$771,$A11,secondary_acts!$E$2:$E$771,"delegated")</f>
        <v>818</v>
      </c>
      <c r="AL11" s="3"/>
      <c r="AM11" s="2"/>
      <c r="AN11" s="2" t="s">
        <v>62</v>
      </c>
    </row>
    <row r="12" customFormat="false" ht="15" hidden="false" customHeight="false" outlineLevel="0" collapsed="false">
      <c r="A12" s="2" t="n">
        <v>11</v>
      </c>
      <c r="B12" s="2" t="s">
        <v>105</v>
      </c>
      <c r="C12" s="2" t="s">
        <v>106</v>
      </c>
      <c r="D12" s="2" t="s">
        <v>107</v>
      </c>
      <c r="E12" s="2" t="s">
        <v>84</v>
      </c>
      <c r="F12" s="2" t="s">
        <v>44</v>
      </c>
      <c r="G12" s="2" t="s">
        <v>44</v>
      </c>
      <c r="H12" s="2" t="s">
        <v>108</v>
      </c>
      <c r="I12" s="2" t="s">
        <v>46</v>
      </c>
      <c r="J12" s="2" t="s">
        <v>109</v>
      </c>
      <c r="K12" s="3" t="n">
        <v>22</v>
      </c>
      <c r="L12" s="3" t="n">
        <v>14967</v>
      </c>
      <c r="M12" s="3" t="n">
        <v>4554</v>
      </c>
      <c r="N12" s="3" t="n">
        <v>4435</v>
      </c>
      <c r="O12" s="3" t="n">
        <v>10409</v>
      </c>
      <c r="P12" s="3" t="n">
        <v>4</v>
      </c>
      <c r="Q12" s="3" t="n">
        <v>0</v>
      </c>
      <c r="R12" s="3" t="n">
        <v>0</v>
      </c>
      <c r="S12" s="3" t="n">
        <v>157</v>
      </c>
      <c r="T12" s="3" t="n">
        <v>142</v>
      </c>
      <c r="U12" s="3" t="n">
        <v>13</v>
      </c>
      <c r="V12" s="3" t="n">
        <v>0</v>
      </c>
      <c r="W12" s="3" t="n">
        <v>1</v>
      </c>
      <c r="X12" s="3" t="n">
        <v>1</v>
      </c>
      <c r="Y12" s="3" t="n">
        <v>12</v>
      </c>
      <c r="Z12" s="3" t="n">
        <v>26</v>
      </c>
      <c r="AA12" s="3" t="n">
        <v>67</v>
      </c>
      <c r="AB12" s="3" t="n">
        <v>52</v>
      </c>
      <c r="AC12" s="2" t="s">
        <v>110</v>
      </c>
      <c r="AD12" s="3" t="n">
        <v>157</v>
      </c>
      <c r="AE12" s="2" t="n">
        <v>12</v>
      </c>
      <c r="AF12" s="2" t="n">
        <f aca="false">COUNTIFS(secondary_acts!$A$2:$A$771,$A12,secondary_acts!$E$2:$E$771,"implementing")</f>
        <v>3</v>
      </c>
      <c r="AG12" s="2" t="n">
        <f aca="false">COUNTIFS(secondary_acts!$A$2:$A$771,$A12,secondary_acts!$E$2:$E$771,"delegated")</f>
        <v>0</v>
      </c>
      <c r="AH12" s="2" t="n">
        <f aca="false">COUNTIFS(secondary_acts!$A$2:$A$771,$A12,secondary_acts!$E$2:$E$771,"other Commission/Council act")</f>
        <v>2</v>
      </c>
      <c r="AI12" s="2" t="n">
        <f aca="false">COUNTIFS(secondary_acts!$A$2:$A$771,$A12,secondary_acts!$E$2:$E$771,"guidance")</f>
        <v>3</v>
      </c>
      <c r="AJ12" s="2" t="n">
        <f aca="false">COUNTIF(guidance_web!$A$2:$A$7,$A12)</f>
        <v>0</v>
      </c>
      <c r="AK12" s="3" t="n">
        <f aca="false">SUMIFS(secondary_acts!$S$2:$S$771,secondary_acts!$A$2:$A$771,$A12,secondary_acts!$E$2:$E$771,"implementing")+SUMIFS(secondary_acts!$S$2:$S$771,secondary_acts!$A$2:$A$771,$A12,secondary_acts!$E$2:$E$771,"delegated")</f>
        <v>355</v>
      </c>
      <c r="AL12" s="3"/>
      <c r="AM12" s="2"/>
      <c r="AN12" s="2" t="s">
        <v>62</v>
      </c>
    </row>
    <row r="13" customFormat="false" ht="15" hidden="false" customHeight="false" outlineLevel="0" collapsed="false">
      <c r="A13" s="2" t="n">
        <v>12</v>
      </c>
      <c r="B13" s="2" t="s">
        <v>111</v>
      </c>
      <c r="C13" s="2" t="s">
        <v>112</v>
      </c>
      <c r="D13" s="2" t="s">
        <v>113</v>
      </c>
      <c r="E13" s="2" t="s">
        <v>84</v>
      </c>
      <c r="F13" s="2" t="s">
        <v>44</v>
      </c>
      <c r="G13" s="2" t="s">
        <v>44</v>
      </c>
      <c r="H13" s="2" t="s">
        <v>114</v>
      </c>
      <c r="I13" s="2" t="s">
        <v>46</v>
      </c>
      <c r="J13" s="2" t="s">
        <v>115</v>
      </c>
      <c r="K13" s="3" t="n">
        <v>42</v>
      </c>
      <c r="L13" s="3" t="n">
        <v>5981</v>
      </c>
      <c r="M13" s="3" t="n">
        <v>2560</v>
      </c>
      <c r="N13" s="3" t="n">
        <v>2452</v>
      </c>
      <c r="O13" s="3" t="n">
        <v>3421</v>
      </c>
      <c r="P13" s="3" t="n">
        <v>0</v>
      </c>
      <c r="Q13" s="3" t="n">
        <v>0</v>
      </c>
      <c r="R13" s="3" t="n">
        <v>0</v>
      </c>
      <c r="S13" s="3" t="n">
        <v>54</v>
      </c>
      <c r="T13" s="3" t="n">
        <v>39</v>
      </c>
      <c r="U13" s="3" t="n">
        <v>1</v>
      </c>
      <c r="V13" s="3" t="n">
        <v>0</v>
      </c>
      <c r="W13" s="3" t="n">
        <v>0</v>
      </c>
      <c r="X13" s="3" t="n">
        <v>14</v>
      </c>
      <c r="Y13" s="3" t="n">
        <v>4</v>
      </c>
      <c r="Z13" s="3" t="n">
        <v>37</v>
      </c>
      <c r="AA13" s="3" t="n">
        <v>2</v>
      </c>
      <c r="AB13" s="3" t="n">
        <v>11</v>
      </c>
      <c r="AC13" s="2" t="s">
        <v>116</v>
      </c>
      <c r="AD13" s="3" t="n">
        <v>54</v>
      </c>
      <c r="AE13" s="2" t="n">
        <v>4</v>
      </c>
      <c r="AF13" s="2" t="n">
        <f aca="false">COUNTIFS(secondary_acts!$A$2:$A$771,$A13,secondary_acts!$E$2:$E$771,"implementing")</f>
        <v>0</v>
      </c>
      <c r="AG13" s="2" t="n">
        <f aca="false">COUNTIFS(secondary_acts!$A$2:$A$771,$A13,secondary_acts!$E$2:$E$771,"delegated")</f>
        <v>0</v>
      </c>
      <c r="AH13" s="2" t="n">
        <f aca="false">COUNTIFS(secondary_acts!$A$2:$A$771,$A13,secondary_acts!$E$2:$E$771,"other Commission/Council act")</f>
        <v>0</v>
      </c>
      <c r="AI13" s="2" t="n">
        <f aca="false">COUNTIFS(secondary_acts!$A$2:$A$771,$A13,secondary_acts!$E$2:$E$771,"guidance")</f>
        <v>1</v>
      </c>
      <c r="AJ13" s="2" t="n">
        <f aca="false">COUNTIF(guidance_web!$A$2:$A$7,$A13)</f>
        <v>0</v>
      </c>
      <c r="AK13" s="3" t="n">
        <f aca="false">SUMIFS(secondary_acts!$S$2:$S$771,secondary_acts!$A$2:$A$771,$A13,secondary_acts!$E$2:$E$771,"implementing")+SUMIFS(secondary_acts!$S$2:$S$771,secondary_acts!$A$2:$A$771,$A13,secondary_acts!$E$2:$E$771,"delegated")</f>
        <v>0</v>
      </c>
      <c r="AL13" s="3" t="n">
        <v>2025</v>
      </c>
      <c r="AM13" s="2" t="n">
        <v>28</v>
      </c>
      <c r="AN13" s="2"/>
    </row>
    <row r="14" customFormat="false" ht="15" hidden="false" customHeight="false" outlineLevel="0" collapsed="false">
      <c r="A14" s="2" t="n">
        <v>13</v>
      </c>
      <c r="B14" s="2" t="s">
        <v>117</v>
      </c>
      <c r="C14" s="2" t="s">
        <v>118</v>
      </c>
      <c r="D14" s="2" t="s">
        <v>119</v>
      </c>
      <c r="E14" s="2" t="s">
        <v>84</v>
      </c>
      <c r="F14" s="2" t="s">
        <v>44</v>
      </c>
      <c r="G14" s="2" t="s">
        <v>44</v>
      </c>
      <c r="H14" s="2" t="s">
        <v>120</v>
      </c>
      <c r="I14" s="2" t="s">
        <v>46</v>
      </c>
      <c r="J14" s="2" t="s">
        <v>121</v>
      </c>
      <c r="K14" s="3" t="n">
        <v>18</v>
      </c>
      <c r="L14" s="3" t="n">
        <v>9287</v>
      </c>
      <c r="M14" s="3" t="n">
        <v>3037</v>
      </c>
      <c r="N14" s="3" t="n">
        <v>2890</v>
      </c>
      <c r="O14" s="3" t="n">
        <v>4387</v>
      </c>
      <c r="P14" s="3" t="n">
        <v>1863</v>
      </c>
      <c r="Q14" s="3" t="n">
        <v>0</v>
      </c>
      <c r="R14" s="3" t="n">
        <v>0</v>
      </c>
      <c r="S14" s="3" t="n">
        <v>48</v>
      </c>
      <c r="T14" s="3" t="n">
        <v>44</v>
      </c>
      <c r="U14" s="3" t="n">
        <v>1</v>
      </c>
      <c r="V14" s="3" t="n">
        <v>1</v>
      </c>
      <c r="W14" s="3" t="n">
        <v>0</v>
      </c>
      <c r="X14" s="3" t="n">
        <v>2</v>
      </c>
      <c r="Y14" s="3" t="n">
        <v>5</v>
      </c>
      <c r="Z14" s="3" t="n">
        <v>29</v>
      </c>
      <c r="AA14" s="3" t="n">
        <v>2</v>
      </c>
      <c r="AB14" s="3" t="n">
        <v>12</v>
      </c>
      <c r="AC14" s="2" t="s">
        <v>122</v>
      </c>
      <c r="AD14" s="3" t="n">
        <v>56</v>
      </c>
      <c r="AE14" s="2" t="n">
        <v>5</v>
      </c>
      <c r="AF14" s="2" t="n">
        <f aca="false">COUNTIFS(secondary_acts!$A$2:$A$771,$A14,secondary_acts!$E$2:$E$771,"implementing")</f>
        <v>0</v>
      </c>
      <c r="AG14" s="2" t="n">
        <f aca="false">COUNTIFS(secondary_acts!$A$2:$A$771,$A14,secondary_acts!$E$2:$E$771,"delegated")</f>
        <v>0</v>
      </c>
      <c r="AH14" s="2" t="n">
        <f aca="false">COUNTIFS(secondary_acts!$A$2:$A$771,$A14,secondary_acts!$E$2:$E$771,"other Commission/Council act")</f>
        <v>0</v>
      </c>
      <c r="AI14" s="2" t="n">
        <f aca="false">COUNTIFS(secondary_acts!$A$2:$A$771,$A14,secondary_acts!$E$2:$E$771,"guidance")</f>
        <v>2</v>
      </c>
      <c r="AJ14" s="2" t="n">
        <f aca="false">COUNTIF(guidance_web!$A$2:$A$7,$A14)</f>
        <v>0</v>
      </c>
      <c r="AK14" s="3" t="n">
        <f aca="false">SUMIFS(secondary_acts!$S$2:$S$771,secondary_acts!$A$2:$A$771,$A14,secondary_acts!$E$2:$E$771,"implementing")+SUMIFS(secondary_acts!$S$2:$S$771,secondary_acts!$A$2:$A$771,$A14,secondary_acts!$E$2:$E$771,"delegated")</f>
        <v>0</v>
      </c>
      <c r="AL14" s="3" t="n">
        <v>3206</v>
      </c>
      <c r="AM14" s="2" t="n">
        <v>28</v>
      </c>
      <c r="AN14" s="2"/>
    </row>
    <row r="15" customFormat="false" ht="15" hidden="false" customHeight="false" outlineLevel="0" collapsed="false">
      <c r="A15" s="2" t="n">
        <v>14</v>
      </c>
      <c r="B15" s="2" t="s">
        <v>123</v>
      </c>
      <c r="C15" s="2" t="s">
        <v>124</v>
      </c>
      <c r="D15" s="2" t="s">
        <v>125</v>
      </c>
      <c r="E15" s="2" t="s">
        <v>52</v>
      </c>
      <c r="F15" s="2" t="s">
        <v>44</v>
      </c>
      <c r="G15" s="2" t="s">
        <v>44</v>
      </c>
      <c r="H15" s="2" t="s">
        <v>126</v>
      </c>
      <c r="I15" s="2" t="s">
        <v>46</v>
      </c>
      <c r="J15" s="2" t="s">
        <v>127</v>
      </c>
      <c r="K15" s="3" t="n">
        <v>118</v>
      </c>
      <c r="L15" s="3" t="n">
        <v>58443</v>
      </c>
      <c r="M15" s="3" t="n">
        <v>3612</v>
      </c>
      <c r="N15" s="3" t="n">
        <v>3532</v>
      </c>
      <c r="O15" s="3" t="n">
        <v>43412</v>
      </c>
      <c r="P15" s="3" t="n">
        <v>11419</v>
      </c>
      <c r="Q15" s="3" t="n">
        <v>0</v>
      </c>
      <c r="R15" s="3" t="n">
        <v>0</v>
      </c>
      <c r="S15" s="3" t="n">
        <v>406</v>
      </c>
      <c r="T15" s="3" t="n">
        <v>349</v>
      </c>
      <c r="U15" s="3" t="n">
        <v>48</v>
      </c>
      <c r="V15" s="3" t="n">
        <v>0</v>
      </c>
      <c r="W15" s="3" t="n">
        <v>6</v>
      </c>
      <c r="X15" s="3" t="n">
        <v>3</v>
      </c>
      <c r="Y15" s="3" t="n">
        <v>57</v>
      </c>
      <c r="Z15" s="3" t="n">
        <v>144</v>
      </c>
      <c r="AA15" s="3" t="n">
        <v>40</v>
      </c>
      <c r="AB15" s="3" t="n">
        <v>165</v>
      </c>
      <c r="AC15" s="2" t="s">
        <v>128</v>
      </c>
      <c r="AD15" s="3" t="n">
        <v>425</v>
      </c>
      <c r="AE15" s="2" t="n">
        <v>64</v>
      </c>
      <c r="AF15" s="2" t="n">
        <f aca="false">COUNTIFS(secondary_acts!$A$2:$A$771,$A15,secondary_acts!$E$2:$E$771,"implementing")</f>
        <v>183</v>
      </c>
      <c r="AG15" s="2" t="n">
        <f aca="false">COUNTIFS(secondary_acts!$A$2:$A$771,$A15,secondary_acts!$E$2:$E$771,"delegated")</f>
        <v>0</v>
      </c>
      <c r="AH15" s="2" t="n">
        <f aca="false">COUNTIFS(secondary_acts!$A$2:$A$771,$A15,secondary_acts!$E$2:$E$771,"other Commission/Council act")</f>
        <v>1</v>
      </c>
      <c r="AI15" s="2" t="n">
        <f aca="false">COUNTIFS(secondary_acts!$A$2:$A$771,$A15,secondary_acts!$E$2:$E$771,"guidance")</f>
        <v>0</v>
      </c>
      <c r="AJ15" s="2" t="n">
        <f aca="false">COUNTIF(guidance_web!$A$2:$A$7,$A15)</f>
        <v>0</v>
      </c>
      <c r="AK15" s="3" t="n">
        <f aca="false">SUMIFS(secondary_acts!$S$2:$S$771,secondary_acts!$A$2:$A$771,$A15,secondary_acts!$E$2:$E$771,"implementing")+SUMIFS(secondary_acts!$S$2:$S$771,secondary_acts!$A$2:$A$771,$A15,secondary_acts!$E$2:$E$771,"delegated")</f>
        <v>487</v>
      </c>
      <c r="AL15" s="3" t="n">
        <v>1745</v>
      </c>
      <c r="AM15" s="2" t="n">
        <v>26</v>
      </c>
      <c r="AN15" s="2"/>
    </row>
    <row r="16" customFormat="false" ht="15" hidden="false" customHeight="false" outlineLevel="0" collapsed="false">
      <c r="A16" s="2" t="n">
        <v>15</v>
      </c>
      <c r="B16" s="2" t="s">
        <v>129</v>
      </c>
      <c r="C16" s="2" t="s">
        <v>130</v>
      </c>
      <c r="D16" s="2" t="s">
        <v>131</v>
      </c>
      <c r="E16" s="2" t="s">
        <v>52</v>
      </c>
      <c r="F16" s="2" t="s">
        <v>44</v>
      </c>
      <c r="G16" s="2" t="s">
        <v>44</v>
      </c>
      <c r="H16" s="2" t="s">
        <v>132</v>
      </c>
      <c r="I16" s="2" t="s">
        <v>46</v>
      </c>
      <c r="J16" s="2" t="s">
        <v>133</v>
      </c>
      <c r="K16" s="3" t="n">
        <v>24</v>
      </c>
      <c r="L16" s="3" t="n">
        <v>15640</v>
      </c>
      <c r="M16" s="3" t="n">
        <v>8388</v>
      </c>
      <c r="N16" s="3" t="n">
        <v>8276</v>
      </c>
      <c r="O16" s="3" t="n">
        <v>6686</v>
      </c>
      <c r="P16" s="3" t="n">
        <v>566</v>
      </c>
      <c r="Q16" s="3" t="n">
        <v>0</v>
      </c>
      <c r="R16" s="3" t="n">
        <v>0</v>
      </c>
      <c r="S16" s="3" t="n">
        <v>117</v>
      </c>
      <c r="T16" s="3" t="n">
        <v>67</v>
      </c>
      <c r="U16" s="3" t="n">
        <v>29</v>
      </c>
      <c r="V16" s="3" t="n">
        <v>2</v>
      </c>
      <c r="W16" s="3" t="n">
        <v>1</v>
      </c>
      <c r="X16" s="3" t="n">
        <v>18</v>
      </c>
      <c r="Y16" s="3" t="n">
        <v>9</v>
      </c>
      <c r="Z16" s="3" t="n">
        <v>52</v>
      </c>
      <c r="AA16" s="3" t="n">
        <v>14</v>
      </c>
      <c r="AB16" s="3" t="n">
        <v>42</v>
      </c>
      <c r="AC16" s="2" t="s">
        <v>134</v>
      </c>
      <c r="AD16" s="3" t="n">
        <v>235</v>
      </c>
      <c r="AE16" s="2" t="n">
        <v>17</v>
      </c>
      <c r="AF16" s="2" t="n">
        <f aca="false">COUNTIFS(secondary_acts!$A$2:$A$771,$A16,secondary_acts!$E$2:$E$771,"implementing")</f>
        <v>0</v>
      </c>
      <c r="AG16" s="2" t="n">
        <f aca="false">COUNTIFS(secondary_acts!$A$2:$A$771,$A16,secondary_acts!$E$2:$E$771,"delegated")</f>
        <v>0</v>
      </c>
      <c r="AH16" s="2" t="n">
        <f aca="false">COUNTIFS(secondary_acts!$A$2:$A$771,$A16,secondary_acts!$E$2:$E$771,"other Commission/Council act")</f>
        <v>0</v>
      </c>
      <c r="AI16" s="2" t="n">
        <f aca="false">COUNTIFS(secondary_acts!$A$2:$A$771,$A16,secondary_acts!$E$2:$E$771,"guidance")</f>
        <v>3</v>
      </c>
      <c r="AJ16" s="2" t="n">
        <f aca="false">COUNTIF(guidance_web!$A$2:$A$7,$A16)</f>
        <v>0</v>
      </c>
      <c r="AK16" s="3" t="n">
        <f aca="false">SUMIFS(secondary_acts!$S$2:$S$771,secondary_acts!$A$2:$A$771,$A16,secondary_acts!$E$2:$E$771,"implementing")+SUMIFS(secondary_acts!$S$2:$S$771,secondary_acts!$A$2:$A$771,$A16,secondary_acts!$E$2:$E$771,"delegated")</f>
        <v>0</v>
      </c>
      <c r="AL16" s="3" t="n">
        <v>471</v>
      </c>
      <c r="AM16" s="2" t="n">
        <v>19</v>
      </c>
      <c r="AN16" s="2"/>
    </row>
    <row r="17" customFormat="false" ht="15" hidden="false" customHeight="false" outlineLevel="0" collapsed="false">
      <c r="A17" s="2" t="n">
        <v>16</v>
      </c>
      <c r="B17" s="2" t="s">
        <v>135</v>
      </c>
      <c r="C17" s="2" t="s">
        <v>136</v>
      </c>
      <c r="D17" s="2" t="s">
        <v>137</v>
      </c>
      <c r="E17" s="2" t="s">
        <v>84</v>
      </c>
      <c r="F17" s="2" t="s">
        <v>44</v>
      </c>
      <c r="G17" s="2" t="s">
        <v>44</v>
      </c>
      <c r="H17" s="2" t="s">
        <v>138</v>
      </c>
      <c r="I17" s="2" t="s">
        <v>46</v>
      </c>
      <c r="J17" s="2" t="s">
        <v>139</v>
      </c>
      <c r="K17" s="3" t="n">
        <v>10</v>
      </c>
      <c r="L17" s="3" t="n">
        <v>6514</v>
      </c>
      <c r="M17" s="3" t="n">
        <v>2317</v>
      </c>
      <c r="N17" s="3" t="n">
        <v>2143</v>
      </c>
      <c r="O17" s="3" t="n">
        <v>4197</v>
      </c>
      <c r="P17" s="3" t="n">
        <v>0</v>
      </c>
      <c r="Q17" s="3" t="n">
        <v>0</v>
      </c>
      <c r="R17" s="3" t="n">
        <v>0</v>
      </c>
      <c r="S17" s="3" t="n">
        <v>85</v>
      </c>
      <c r="T17" s="3" t="n">
        <v>81</v>
      </c>
      <c r="U17" s="3" t="n">
        <v>1</v>
      </c>
      <c r="V17" s="3" t="n">
        <v>0</v>
      </c>
      <c r="W17" s="3" t="n">
        <v>2</v>
      </c>
      <c r="X17" s="3" t="n">
        <v>1</v>
      </c>
      <c r="Y17" s="3" t="n">
        <v>5</v>
      </c>
      <c r="Z17" s="3" t="n">
        <v>5</v>
      </c>
      <c r="AA17" s="3" t="n">
        <v>37</v>
      </c>
      <c r="AB17" s="3" t="n">
        <v>38</v>
      </c>
      <c r="AC17" s="2" t="s">
        <v>140</v>
      </c>
      <c r="AD17" s="3" t="n">
        <v>175</v>
      </c>
      <c r="AE17" s="2" t="n">
        <v>10</v>
      </c>
      <c r="AF17" s="2" t="n">
        <f aca="false">COUNTIFS(secondary_acts!$A$2:$A$771,$A17,secondary_acts!$E$2:$E$771,"implementing")</f>
        <v>1</v>
      </c>
      <c r="AG17" s="2" t="n">
        <f aca="false">COUNTIFS(secondary_acts!$A$2:$A$771,$A17,secondary_acts!$E$2:$E$771,"delegated")</f>
        <v>0</v>
      </c>
      <c r="AH17" s="2" t="n">
        <f aca="false">COUNTIFS(secondary_acts!$A$2:$A$771,$A17,secondary_acts!$E$2:$E$771,"other Commission/Council act")</f>
        <v>2</v>
      </c>
      <c r="AI17" s="2" t="n">
        <f aca="false">COUNTIFS(secondary_acts!$A$2:$A$771,$A17,secondary_acts!$E$2:$E$771,"guidance")</f>
        <v>0</v>
      </c>
      <c r="AJ17" s="2" t="n">
        <f aca="false">COUNTIF(guidance_web!$A$2:$A$7,$A17)</f>
        <v>0</v>
      </c>
      <c r="AK17" s="3" t="n">
        <f aca="false">SUMIFS(secondary_acts!$S$2:$S$771,secondary_acts!$A$2:$A$771,$A17,secondary_acts!$E$2:$E$771,"implementing")+SUMIFS(secondary_acts!$S$2:$S$771,secondary_acts!$A$2:$A$771,$A17,secondary_acts!$E$2:$E$771,"delegated")</f>
        <v>43</v>
      </c>
      <c r="AL17" s="3"/>
      <c r="AM17" s="2"/>
      <c r="AN17" s="2"/>
    </row>
    <row r="18" customFormat="false" ht="15" hidden="false" customHeight="false" outlineLevel="0" collapsed="false">
      <c r="A18" s="2" t="n">
        <v>17</v>
      </c>
      <c r="B18" s="2" t="s">
        <v>141</v>
      </c>
      <c r="C18" s="2" t="s">
        <v>142</v>
      </c>
      <c r="D18" s="2" t="s">
        <v>143</v>
      </c>
      <c r="E18" s="2" t="s">
        <v>84</v>
      </c>
      <c r="F18" s="2" t="s">
        <v>44</v>
      </c>
      <c r="G18" s="2" t="s">
        <v>44</v>
      </c>
      <c r="H18" s="2" t="s">
        <v>144</v>
      </c>
      <c r="I18" s="2" t="s">
        <v>46</v>
      </c>
      <c r="J18" s="2" t="s">
        <v>145</v>
      </c>
      <c r="K18" s="3" t="n">
        <v>37</v>
      </c>
      <c r="L18" s="3" t="n">
        <v>19379</v>
      </c>
      <c r="M18" s="3" t="n">
        <v>3870</v>
      </c>
      <c r="N18" s="3" t="n">
        <v>3771</v>
      </c>
      <c r="O18" s="3" t="n">
        <v>9594</v>
      </c>
      <c r="P18" s="3" t="n">
        <v>5915</v>
      </c>
      <c r="Q18" s="3" t="n">
        <v>0</v>
      </c>
      <c r="R18" s="3" t="n">
        <v>0</v>
      </c>
      <c r="S18" s="3" t="n">
        <v>329</v>
      </c>
      <c r="T18" s="3" t="n">
        <v>270</v>
      </c>
      <c r="U18" s="3" t="n">
        <v>37</v>
      </c>
      <c r="V18" s="3" t="n">
        <v>3</v>
      </c>
      <c r="W18" s="3" t="n">
        <v>0</v>
      </c>
      <c r="X18" s="3" t="n">
        <v>19</v>
      </c>
      <c r="Y18" s="3" t="n">
        <v>88</v>
      </c>
      <c r="Z18" s="3" t="n">
        <v>59</v>
      </c>
      <c r="AA18" s="3" t="n">
        <v>37</v>
      </c>
      <c r="AB18" s="3" t="n">
        <v>145</v>
      </c>
      <c r="AC18" s="2" t="s">
        <v>146</v>
      </c>
      <c r="AD18" s="3" t="n">
        <v>329</v>
      </c>
      <c r="AE18" s="2" t="n">
        <v>88</v>
      </c>
      <c r="AF18" s="2" t="n">
        <f aca="false">COUNTIFS(secondary_acts!$A$2:$A$771,$A18,secondary_acts!$E$2:$E$771,"implementing")</f>
        <v>1</v>
      </c>
      <c r="AG18" s="2" t="n">
        <f aca="false">COUNTIFS(secondary_acts!$A$2:$A$771,$A18,secondary_acts!$E$2:$E$771,"delegated")</f>
        <v>0</v>
      </c>
      <c r="AH18" s="2" t="n">
        <f aca="false">COUNTIFS(secondary_acts!$A$2:$A$771,$A18,secondary_acts!$E$2:$E$771,"other Commission/Council act")</f>
        <v>18</v>
      </c>
      <c r="AI18" s="2" t="n">
        <f aca="false">COUNTIFS(secondary_acts!$A$2:$A$771,$A18,secondary_acts!$E$2:$E$771,"guidance")</f>
        <v>0</v>
      </c>
      <c r="AJ18" s="2" t="n">
        <f aca="false">COUNTIF(guidance_web!$A$2:$A$7,$A18)</f>
        <v>0</v>
      </c>
      <c r="AK18" s="3" t="n">
        <f aca="false">SUMIFS(secondary_acts!$S$2:$S$771,secondary_acts!$A$2:$A$771,$A18,secondary_acts!$E$2:$E$771,"implementing")+SUMIFS(secondary_acts!$S$2:$S$771,secondary_acts!$A$2:$A$771,$A18,secondary_acts!$E$2:$E$771,"delegated")</f>
        <v>0</v>
      </c>
      <c r="AL18" s="3" t="n">
        <v>1613</v>
      </c>
      <c r="AM18" s="2" t="n">
        <v>15</v>
      </c>
      <c r="AN18" s="2"/>
    </row>
    <row r="19" customFormat="false" ht="15" hidden="false" customHeight="false" outlineLevel="0" collapsed="false">
      <c r="A19" s="2" t="n">
        <v>18</v>
      </c>
      <c r="B19" s="2" t="s">
        <v>147</v>
      </c>
      <c r="C19" s="2" t="s">
        <v>148</v>
      </c>
      <c r="D19" s="2" t="s">
        <v>149</v>
      </c>
      <c r="E19" s="2" t="s">
        <v>84</v>
      </c>
      <c r="F19" s="2" t="s">
        <v>44</v>
      </c>
      <c r="G19" s="2" t="s">
        <v>44</v>
      </c>
      <c r="H19" s="2" t="s">
        <v>150</v>
      </c>
      <c r="I19" s="2" t="s">
        <v>46</v>
      </c>
      <c r="J19" s="2" t="s">
        <v>151</v>
      </c>
      <c r="K19" s="3" t="n">
        <v>25</v>
      </c>
      <c r="L19" s="3" t="n">
        <v>16782</v>
      </c>
      <c r="M19" s="3" t="n">
        <v>7167</v>
      </c>
      <c r="N19" s="3" t="n">
        <v>7021</v>
      </c>
      <c r="O19" s="3" t="n">
        <v>7762</v>
      </c>
      <c r="P19" s="3" t="n">
        <v>1853</v>
      </c>
      <c r="Q19" s="3" t="n">
        <v>0</v>
      </c>
      <c r="R19" s="3" t="n">
        <v>0</v>
      </c>
      <c r="S19" s="3" t="n">
        <v>105</v>
      </c>
      <c r="T19" s="3" t="n">
        <v>82</v>
      </c>
      <c r="U19" s="3" t="n">
        <v>17</v>
      </c>
      <c r="V19" s="3" t="n">
        <v>1</v>
      </c>
      <c r="W19" s="3" t="n">
        <v>1</v>
      </c>
      <c r="X19" s="3" t="n">
        <v>4</v>
      </c>
      <c r="Y19" s="3" t="n">
        <v>47</v>
      </c>
      <c r="Z19" s="3" t="n">
        <v>23</v>
      </c>
      <c r="AA19" s="3" t="n">
        <v>5</v>
      </c>
      <c r="AB19" s="3" t="n">
        <v>30</v>
      </c>
      <c r="AC19" s="2" t="s">
        <v>152</v>
      </c>
      <c r="AD19" s="3" t="n">
        <v>182</v>
      </c>
      <c r="AE19" s="2" t="n">
        <v>87</v>
      </c>
      <c r="AF19" s="2" t="n">
        <f aca="false">COUNTIFS(secondary_acts!$A$2:$A$771,$A19,secondary_acts!$E$2:$E$771,"implementing")</f>
        <v>1</v>
      </c>
      <c r="AG19" s="2" t="n">
        <f aca="false">COUNTIFS(secondary_acts!$A$2:$A$771,$A19,secondary_acts!$E$2:$E$771,"delegated")</f>
        <v>0</v>
      </c>
      <c r="AH19" s="2" t="n">
        <f aca="false">COUNTIFS(secondary_acts!$A$2:$A$771,$A19,secondary_acts!$E$2:$E$771,"other Commission/Council act")</f>
        <v>0</v>
      </c>
      <c r="AI19" s="2" t="n">
        <f aca="false">COUNTIFS(secondary_acts!$A$2:$A$771,$A19,secondary_acts!$E$2:$E$771,"guidance")</f>
        <v>1</v>
      </c>
      <c r="AJ19" s="2" t="n">
        <f aca="false">COUNTIF(guidance_web!$A$2:$A$7,$A19)</f>
        <v>0</v>
      </c>
      <c r="AK19" s="3" t="n">
        <f aca="false">SUMIFS(secondary_acts!$S$2:$S$771,secondary_acts!$A$2:$A$771,$A19,secondary_acts!$E$2:$E$771,"implementing")+SUMIFS(secondary_acts!$S$2:$S$771,secondary_acts!$A$2:$A$771,$A19,secondary_acts!$E$2:$E$771,"delegated")</f>
        <v>13</v>
      </c>
      <c r="AL19" s="3" t="n">
        <v>1559</v>
      </c>
      <c r="AM19" s="2" t="n">
        <v>28</v>
      </c>
      <c r="AN19" s="2"/>
    </row>
    <row r="20" customFormat="false" ht="15" hidden="false" customHeight="false" outlineLevel="0" collapsed="false">
      <c r="A20" s="2" t="n">
        <v>19</v>
      </c>
      <c r="B20" s="2" t="s">
        <v>153</v>
      </c>
      <c r="C20" s="2" t="s">
        <v>154</v>
      </c>
      <c r="D20" s="2" t="s">
        <v>155</v>
      </c>
      <c r="E20" s="2" t="s">
        <v>84</v>
      </c>
      <c r="F20" s="2" t="s">
        <v>44</v>
      </c>
      <c r="G20" s="2" t="s">
        <v>44</v>
      </c>
      <c r="H20" s="2" t="s">
        <v>156</v>
      </c>
      <c r="I20" s="2" t="s">
        <v>46</v>
      </c>
      <c r="J20" s="2" t="s">
        <v>157</v>
      </c>
      <c r="K20" s="3" t="n">
        <v>12</v>
      </c>
      <c r="L20" s="3" t="n">
        <v>7830</v>
      </c>
      <c r="M20" s="3" t="n">
        <v>1814</v>
      </c>
      <c r="N20" s="3" t="n">
        <v>1712</v>
      </c>
      <c r="O20" s="3" t="n">
        <v>6016</v>
      </c>
      <c r="P20" s="3" t="n">
        <v>0</v>
      </c>
      <c r="Q20" s="3" t="n">
        <v>0</v>
      </c>
      <c r="R20" s="3" t="n">
        <v>0</v>
      </c>
      <c r="S20" s="3" t="n">
        <v>111</v>
      </c>
      <c r="T20" s="3" t="n">
        <v>100</v>
      </c>
      <c r="U20" s="3" t="n">
        <v>5</v>
      </c>
      <c r="V20" s="3" t="n">
        <v>3</v>
      </c>
      <c r="W20" s="3" t="n">
        <v>3</v>
      </c>
      <c r="X20" s="3" t="n">
        <v>0</v>
      </c>
      <c r="Y20" s="3" t="n">
        <v>2</v>
      </c>
      <c r="Z20" s="3" t="n">
        <v>69</v>
      </c>
      <c r="AA20" s="3" t="n">
        <v>17</v>
      </c>
      <c r="AB20" s="3" t="n">
        <v>23</v>
      </c>
      <c r="AC20" s="2" t="s">
        <v>158</v>
      </c>
      <c r="AD20" s="3" t="n">
        <v>613</v>
      </c>
      <c r="AE20" s="2" t="n">
        <v>158</v>
      </c>
      <c r="AF20" s="2" t="n">
        <f aca="false">COUNTIFS(secondary_acts!$A$2:$A$771,$A20,secondary_acts!$E$2:$E$771,"implementing")</f>
        <v>14</v>
      </c>
      <c r="AG20" s="2" t="n">
        <f aca="false">COUNTIFS(secondary_acts!$A$2:$A$771,$A20,secondary_acts!$E$2:$E$771,"delegated")</f>
        <v>0</v>
      </c>
      <c r="AH20" s="2" t="n">
        <f aca="false">COUNTIFS(secondary_acts!$A$2:$A$771,$A20,secondary_acts!$E$2:$E$771,"other Commission/Council act")</f>
        <v>0</v>
      </c>
      <c r="AI20" s="2" t="n">
        <f aca="false">COUNTIFS(secondary_acts!$A$2:$A$771,$A20,secondary_acts!$E$2:$E$771,"guidance")</f>
        <v>0</v>
      </c>
      <c r="AJ20" s="2" t="n">
        <f aca="false">COUNTIF(guidance_web!$A$2:$A$7,$A20)</f>
        <v>0</v>
      </c>
      <c r="AK20" s="3" t="n">
        <f aca="false">SUMIFS(secondary_acts!$S$2:$S$771,secondary_acts!$A$2:$A$771,$A20,secondary_acts!$E$2:$E$771,"implementing")+SUMIFS(secondary_acts!$S$2:$S$771,secondary_acts!$A$2:$A$771,$A20,secondary_acts!$E$2:$E$771,"delegated")</f>
        <v>100</v>
      </c>
      <c r="AL20" s="3" t="n">
        <v>380</v>
      </c>
      <c r="AM20" s="2" t="n">
        <v>28</v>
      </c>
      <c r="AN20" s="2"/>
    </row>
    <row r="21" customFormat="false" ht="15" hidden="false" customHeight="false" outlineLevel="0" collapsed="false">
      <c r="A21" s="2" t="n">
        <v>20</v>
      </c>
      <c r="B21" s="2" t="s">
        <v>159</v>
      </c>
      <c r="C21" s="2" t="s">
        <v>160</v>
      </c>
      <c r="D21" s="2" t="s">
        <v>161</v>
      </c>
      <c r="E21" s="2" t="s">
        <v>84</v>
      </c>
      <c r="F21" s="2" t="s">
        <v>44</v>
      </c>
      <c r="G21" s="2" t="s">
        <v>44</v>
      </c>
      <c r="H21" s="2" t="s">
        <v>162</v>
      </c>
      <c r="I21" s="2" t="s">
        <v>46</v>
      </c>
      <c r="J21" s="2" t="s">
        <v>163</v>
      </c>
      <c r="K21" s="3" t="n">
        <v>88</v>
      </c>
      <c r="L21" s="3" t="n">
        <v>54331</v>
      </c>
      <c r="M21" s="3" t="n">
        <v>23839</v>
      </c>
      <c r="N21" s="3" t="n">
        <v>23692</v>
      </c>
      <c r="O21" s="3" t="n">
        <v>30492</v>
      </c>
      <c r="P21" s="3" t="n">
        <v>0</v>
      </c>
      <c r="Q21" s="3" t="n">
        <v>0</v>
      </c>
      <c r="R21" s="3" t="n">
        <v>0</v>
      </c>
      <c r="S21" s="3" t="n">
        <v>417</v>
      </c>
      <c r="T21" s="3" t="n">
        <v>370</v>
      </c>
      <c r="U21" s="3" t="n">
        <v>24</v>
      </c>
      <c r="V21" s="3" t="n">
        <v>3</v>
      </c>
      <c r="W21" s="3" t="n">
        <v>8</v>
      </c>
      <c r="X21" s="3" t="n">
        <v>12</v>
      </c>
      <c r="Y21" s="3" t="n">
        <v>99</v>
      </c>
      <c r="Z21" s="3" t="n">
        <v>129</v>
      </c>
      <c r="AA21" s="3" t="n">
        <v>81</v>
      </c>
      <c r="AB21" s="3" t="n">
        <v>108</v>
      </c>
      <c r="AC21" s="2" t="s">
        <v>164</v>
      </c>
      <c r="AD21" s="3" t="n">
        <v>415</v>
      </c>
      <c r="AE21" s="2" t="n">
        <v>99</v>
      </c>
      <c r="AF21" s="2" t="n">
        <f aca="false">COUNTIFS(secondary_acts!$A$2:$A$771,$A21,secondary_acts!$E$2:$E$771,"implementing")</f>
        <v>11</v>
      </c>
      <c r="AG21" s="2" t="n">
        <f aca="false">COUNTIFS(secondary_acts!$A$2:$A$771,$A21,secondary_acts!$E$2:$E$771,"delegated")</f>
        <v>0</v>
      </c>
      <c r="AH21" s="2" t="n">
        <f aca="false">COUNTIFS(secondary_acts!$A$2:$A$771,$A21,secondary_acts!$E$2:$E$771,"other Commission/Council act")</f>
        <v>0</v>
      </c>
      <c r="AI21" s="2" t="n">
        <f aca="false">COUNTIFS(secondary_acts!$A$2:$A$771,$A21,secondary_acts!$E$2:$E$771,"guidance")</f>
        <v>2</v>
      </c>
      <c r="AJ21" s="2" t="n">
        <f aca="false">COUNTIF(guidance_web!$A$2:$A$7,$A21)</f>
        <v>0</v>
      </c>
      <c r="AK21" s="3" t="n">
        <f aca="false">SUMIFS(secondary_acts!$S$2:$S$771,secondary_acts!$A$2:$A$771,$A21,secondary_acts!$E$2:$E$771,"implementing")+SUMIFS(secondary_acts!$S$2:$S$771,secondary_acts!$A$2:$A$771,$A21,secondary_acts!$E$2:$E$771,"delegated")</f>
        <v>927</v>
      </c>
      <c r="AL21" s="3"/>
      <c r="AM21" s="2"/>
      <c r="AN21" s="2"/>
    </row>
    <row r="22" customFormat="false" ht="15" hidden="false" customHeight="false" outlineLevel="0" collapsed="false">
      <c r="A22" s="2" t="n">
        <v>21</v>
      </c>
      <c r="B22" s="2" t="s">
        <v>165</v>
      </c>
      <c r="C22" s="2" t="s">
        <v>166</v>
      </c>
      <c r="D22" s="2" t="s">
        <v>161</v>
      </c>
      <c r="E22" s="2" t="s">
        <v>84</v>
      </c>
      <c r="F22" s="2" t="s">
        <v>44</v>
      </c>
      <c r="G22" s="2" t="s">
        <v>44</v>
      </c>
      <c r="H22" s="2" t="s">
        <v>167</v>
      </c>
      <c r="I22" s="2" t="s">
        <v>46</v>
      </c>
      <c r="J22" s="2" t="s">
        <v>168</v>
      </c>
      <c r="K22" s="3" t="n">
        <v>43</v>
      </c>
      <c r="L22" s="3" t="n">
        <v>26710</v>
      </c>
      <c r="M22" s="3" t="n">
        <v>12941</v>
      </c>
      <c r="N22" s="3" t="n">
        <v>12790</v>
      </c>
      <c r="O22" s="3" t="n">
        <v>13769</v>
      </c>
      <c r="P22" s="3" t="n">
        <v>0</v>
      </c>
      <c r="Q22" s="3" t="n">
        <v>0</v>
      </c>
      <c r="R22" s="3" t="n">
        <v>0</v>
      </c>
      <c r="S22" s="3" t="n">
        <v>225</v>
      </c>
      <c r="T22" s="3" t="n">
        <v>206</v>
      </c>
      <c r="U22" s="3" t="n">
        <v>11</v>
      </c>
      <c r="V22" s="3" t="n">
        <v>1</v>
      </c>
      <c r="W22" s="3" t="n">
        <v>2</v>
      </c>
      <c r="X22" s="3" t="n">
        <v>5</v>
      </c>
      <c r="Y22" s="3" t="n">
        <v>25</v>
      </c>
      <c r="Z22" s="3" t="n">
        <v>129</v>
      </c>
      <c r="AA22" s="3" t="n">
        <v>26</v>
      </c>
      <c r="AB22" s="3" t="n">
        <v>45</v>
      </c>
      <c r="AC22" s="2" t="s">
        <v>169</v>
      </c>
      <c r="AD22" s="3" t="n">
        <v>225</v>
      </c>
      <c r="AE22" s="2" t="n">
        <v>25</v>
      </c>
      <c r="AF22" s="2" t="n">
        <f aca="false">COUNTIFS(secondary_acts!$A$2:$A$771,$A22,secondary_acts!$E$2:$E$771,"implementing")</f>
        <v>3</v>
      </c>
      <c r="AG22" s="2" t="n">
        <f aca="false">COUNTIFS(secondary_acts!$A$2:$A$771,$A22,secondary_acts!$E$2:$E$771,"delegated")</f>
        <v>0</v>
      </c>
      <c r="AH22" s="2" t="n">
        <f aca="false">COUNTIFS(secondary_acts!$A$2:$A$771,$A22,secondary_acts!$E$2:$E$771,"other Commission/Council act")</f>
        <v>0</v>
      </c>
      <c r="AI22" s="2" t="n">
        <f aca="false">COUNTIFS(secondary_acts!$A$2:$A$771,$A22,secondary_acts!$E$2:$E$771,"guidance")</f>
        <v>0</v>
      </c>
      <c r="AJ22" s="2" t="n">
        <f aca="false">COUNTIF(guidance_web!$A$2:$A$7,$A22)</f>
        <v>0</v>
      </c>
      <c r="AK22" s="3" t="n">
        <f aca="false">SUMIFS(secondary_acts!$S$2:$S$771,secondary_acts!$A$2:$A$771,$A22,secondary_acts!$E$2:$E$771,"implementing")+SUMIFS(secondary_acts!$S$2:$S$771,secondary_acts!$A$2:$A$771,$A22,secondary_acts!$E$2:$E$771,"delegated")</f>
        <v>5</v>
      </c>
      <c r="AL22" s="3" t="n">
        <v>3772</v>
      </c>
      <c r="AM22" s="2" t="n">
        <v>28</v>
      </c>
      <c r="AN22" s="2"/>
    </row>
    <row r="23" customFormat="false" ht="15" hidden="false" customHeight="false" outlineLevel="0" collapsed="false">
      <c r="A23" s="2" t="n">
        <v>22</v>
      </c>
      <c r="B23" s="2" t="s">
        <v>170</v>
      </c>
      <c r="C23" s="2" t="s">
        <v>171</v>
      </c>
      <c r="D23" s="2" t="s">
        <v>172</v>
      </c>
      <c r="E23" s="2" t="s">
        <v>84</v>
      </c>
      <c r="F23" s="2" t="s">
        <v>44</v>
      </c>
      <c r="G23" s="2" t="s">
        <v>44</v>
      </c>
      <c r="H23" s="2" t="s">
        <v>173</v>
      </c>
      <c r="I23" s="2" t="s">
        <v>46</v>
      </c>
      <c r="J23" s="2" t="s">
        <v>174</v>
      </c>
      <c r="K23" s="3" t="n">
        <v>42</v>
      </c>
      <c r="L23" s="3" t="n">
        <v>18535</v>
      </c>
      <c r="M23" s="3" t="n">
        <v>5975</v>
      </c>
      <c r="N23" s="3" t="n">
        <v>5856</v>
      </c>
      <c r="O23" s="3" t="n">
        <v>11516</v>
      </c>
      <c r="P23" s="3" t="n">
        <v>1044</v>
      </c>
      <c r="Q23" s="3" t="n">
        <v>0</v>
      </c>
      <c r="R23" s="3" t="n">
        <v>0</v>
      </c>
      <c r="S23" s="3" t="n">
        <v>181</v>
      </c>
      <c r="T23" s="3" t="n">
        <v>154</v>
      </c>
      <c r="U23" s="3" t="n">
        <v>16</v>
      </c>
      <c r="V23" s="3" t="n">
        <v>5</v>
      </c>
      <c r="W23" s="3" t="n">
        <v>2</v>
      </c>
      <c r="X23" s="3" t="n">
        <v>4</v>
      </c>
      <c r="Y23" s="3" t="n">
        <v>26</v>
      </c>
      <c r="Z23" s="3" t="n">
        <v>45</v>
      </c>
      <c r="AA23" s="3" t="n">
        <v>52</v>
      </c>
      <c r="AB23" s="3" t="n">
        <v>58</v>
      </c>
      <c r="AC23" s="2" t="s">
        <v>175</v>
      </c>
      <c r="AD23" s="3" t="n">
        <v>428</v>
      </c>
      <c r="AE23" s="2" t="n">
        <v>76</v>
      </c>
      <c r="AF23" s="2" t="n">
        <f aca="false">COUNTIFS(secondary_acts!$A$2:$A$771,$A23,secondary_acts!$E$2:$E$771,"implementing")</f>
        <v>43</v>
      </c>
      <c r="AG23" s="2" t="n">
        <f aca="false">COUNTIFS(secondary_acts!$A$2:$A$771,$A23,secondary_acts!$E$2:$E$771,"delegated")</f>
        <v>0</v>
      </c>
      <c r="AH23" s="2" t="n">
        <f aca="false">COUNTIFS(secondary_acts!$A$2:$A$771,$A23,secondary_acts!$E$2:$E$771,"other Commission/Council act")</f>
        <v>0</v>
      </c>
      <c r="AI23" s="2" t="n">
        <f aca="false">COUNTIFS(secondary_acts!$A$2:$A$771,$A23,secondary_acts!$E$2:$E$771,"guidance")</f>
        <v>0</v>
      </c>
      <c r="AJ23" s="2" t="n">
        <f aca="false">COUNTIF(guidance_web!$A$2:$A$7,$A23)</f>
        <v>0</v>
      </c>
      <c r="AK23" s="3" t="n">
        <f aca="false">SUMIFS(secondary_acts!$S$2:$S$771,secondary_acts!$A$2:$A$771,$A23,secondary_acts!$E$2:$E$771,"implementing")+SUMIFS(secondary_acts!$S$2:$S$771,secondary_acts!$A$2:$A$771,$A23,secondary_acts!$E$2:$E$771,"delegated")</f>
        <v>1377</v>
      </c>
      <c r="AL23" s="3"/>
      <c r="AM23" s="2"/>
      <c r="AN23" s="2"/>
    </row>
    <row r="24" customFormat="false" ht="15" hidden="false" customHeight="false" outlineLevel="0" collapsed="false">
      <c r="A24" s="2" t="n">
        <v>23</v>
      </c>
      <c r="B24" s="2" t="s">
        <v>176</v>
      </c>
      <c r="C24" s="2" t="s">
        <v>177</v>
      </c>
      <c r="D24" s="2" t="s">
        <v>178</v>
      </c>
      <c r="E24" s="2" t="s">
        <v>84</v>
      </c>
      <c r="F24" s="2" t="s">
        <v>44</v>
      </c>
      <c r="G24" s="2" t="s">
        <v>44</v>
      </c>
      <c r="H24" s="2" t="s">
        <v>179</v>
      </c>
      <c r="I24" s="2" t="s">
        <v>46</v>
      </c>
      <c r="J24" s="2" t="s">
        <v>180</v>
      </c>
      <c r="K24" s="3" t="n">
        <v>93</v>
      </c>
      <c r="L24" s="3" t="n">
        <v>47656</v>
      </c>
      <c r="M24" s="3" t="n">
        <v>14399</v>
      </c>
      <c r="N24" s="3" t="n">
        <v>14254</v>
      </c>
      <c r="O24" s="3" t="n">
        <v>31276</v>
      </c>
      <c r="P24" s="3" t="n">
        <v>1981</v>
      </c>
      <c r="Q24" s="3" t="n">
        <v>0</v>
      </c>
      <c r="R24" s="3" t="n">
        <v>0</v>
      </c>
      <c r="S24" s="3" t="n">
        <v>462</v>
      </c>
      <c r="T24" s="3" t="n">
        <v>354</v>
      </c>
      <c r="U24" s="3" t="n">
        <v>46</v>
      </c>
      <c r="V24" s="3" t="n">
        <v>7</v>
      </c>
      <c r="W24" s="3" t="n">
        <v>4</v>
      </c>
      <c r="X24" s="3" t="n">
        <v>51</v>
      </c>
      <c r="Y24" s="3" t="n">
        <v>172</v>
      </c>
      <c r="Z24" s="3" t="n">
        <v>171</v>
      </c>
      <c r="AA24" s="3" t="n">
        <v>44</v>
      </c>
      <c r="AB24" s="3" t="n">
        <v>75</v>
      </c>
      <c r="AC24" s="2" t="s">
        <v>181</v>
      </c>
      <c r="AD24" s="3" t="n">
        <v>470</v>
      </c>
      <c r="AE24" s="2" t="n">
        <v>173</v>
      </c>
      <c r="AF24" s="2" t="n">
        <f aca="false">COUNTIFS(secondary_acts!$A$2:$A$771,$A24,secondary_acts!$E$2:$E$771,"implementing")</f>
        <v>1</v>
      </c>
      <c r="AG24" s="2" t="n">
        <f aca="false">COUNTIFS(secondary_acts!$A$2:$A$771,$A24,secondary_acts!$E$2:$E$771,"delegated")</f>
        <v>8</v>
      </c>
      <c r="AH24" s="2" t="n">
        <f aca="false">COUNTIFS(secondary_acts!$A$2:$A$771,$A24,secondary_acts!$E$2:$E$771,"other Commission/Council act")</f>
        <v>0</v>
      </c>
      <c r="AI24" s="2" t="n">
        <f aca="false">COUNTIFS(secondary_acts!$A$2:$A$771,$A24,secondary_acts!$E$2:$E$771,"guidance")</f>
        <v>0</v>
      </c>
      <c r="AJ24" s="2" t="n">
        <f aca="false">COUNTIF(guidance_web!$A$2:$A$7,$A24)</f>
        <v>0</v>
      </c>
      <c r="AK24" s="3" t="n">
        <f aca="false">SUMIFS(secondary_acts!$S$2:$S$771,secondary_acts!$A$2:$A$771,$A24,secondary_acts!$E$2:$E$771,"implementing")+SUMIFS(secondary_acts!$S$2:$S$771,secondary_acts!$A$2:$A$771,$A24,secondary_acts!$E$2:$E$771,"delegated")</f>
        <v>468</v>
      </c>
      <c r="AL24" s="3" t="n">
        <v>2499</v>
      </c>
      <c r="AM24" s="2" t="n">
        <v>28</v>
      </c>
      <c r="AN24" s="2"/>
    </row>
    <row r="25" customFormat="false" ht="15" hidden="false" customHeight="false" outlineLevel="0" collapsed="false">
      <c r="A25" s="2" t="n">
        <v>24</v>
      </c>
      <c r="B25" s="2" t="s">
        <v>182</v>
      </c>
      <c r="C25" s="2" t="s">
        <v>183</v>
      </c>
      <c r="D25" s="2" t="s">
        <v>184</v>
      </c>
      <c r="E25" s="2" t="s">
        <v>84</v>
      </c>
      <c r="F25" s="2" t="s">
        <v>44</v>
      </c>
      <c r="G25" s="2" t="s">
        <v>44</v>
      </c>
      <c r="H25" s="2" t="s">
        <v>185</v>
      </c>
      <c r="I25" s="2" t="s">
        <v>46</v>
      </c>
      <c r="J25" s="2" t="s">
        <v>186</v>
      </c>
      <c r="K25" s="3" t="n">
        <v>18</v>
      </c>
      <c r="L25" s="3" t="n">
        <v>11290</v>
      </c>
      <c r="M25" s="3" t="n">
        <v>4983</v>
      </c>
      <c r="N25" s="3" t="n">
        <v>4826</v>
      </c>
      <c r="O25" s="3" t="n">
        <v>6307</v>
      </c>
      <c r="P25" s="3" t="n">
        <v>0</v>
      </c>
      <c r="Q25" s="3" t="n">
        <v>0</v>
      </c>
      <c r="R25" s="3" t="n">
        <v>0</v>
      </c>
      <c r="S25" s="3" t="n">
        <v>72</v>
      </c>
      <c r="T25" s="3" t="n">
        <v>59</v>
      </c>
      <c r="U25" s="3" t="n">
        <v>10</v>
      </c>
      <c r="V25" s="3" t="n">
        <v>2</v>
      </c>
      <c r="W25" s="3" t="n">
        <v>0</v>
      </c>
      <c r="X25" s="3" t="n">
        <v>1</v>
      </c>
      <c r="Y25" s="3" t="n">
        <v>29</v>
      </c>
      <c r="Z25" s="3" t="n">
        <v>11</v>
      </c>
      <c r="AA25" s="3" t="n">
        <v>18</v>
      </c>
      <c r="AB25" s="3" t="n">
        <v>14</v>
      </c>
      <c r="AC25" s="2" t="s">
        <v>187</v>
      </c>
      <c r="AD25" s="3" t="n">
        <v>72</v>
      </c>
      <c r="AE25" s="2" t="n">
        <v>29</v>
      </c>
      <c r="AF25" s="2" t="n">
        <f aca="false">COUNTIFS(secondary_acts!$A$2:$A$771,$A25,secondary_acts!$E$2:$E$771,"implementing")</f>
        <v>1</v>
      </c>
      <c r="AG25" s="2" t="n">
        <f aca="false">COUNTIFS(secondary_acts!$A$2:$A$771,$A25,secondary_acts!$E$2:$E$771,"delegated")</f>
        <v>0</v>
      </c>
      <c r="AH25" s="2" t="n">
        <f aca="false">COUNTIFS(secondary_acts!$A$2:$A$771,$A25,secondary_acts!$E$2:$E$771,"other Commission/Council act")</f>
        <v>0</v>
      </c>
      <c r="AI25" s="2" t="n">
        <f aca="false">COUNTIFS(secondary_acts!$A$2:$A$771,$A25,secondary_acts!$E$2:$E$771,"guidance")</f>
        <v>0</v>
      </c>
      <c r="AJ25" s="2" t="n">
        <f aca="false">COUNTIF(guidance_web!$A$2:$A$7,$A25)</f>
        <v>0</v>
      </c>
      <c r="AK25" s="3" t="n">
        <f aca="false">SUMIFS(secondary_acts!$S$2:$S$771,secondary_acts!$A$2:$A$771,$A25,secondary_acts!$E$2:$E$771,"implementing")+SUMIFS(secondary_acts!$S$2:$S$771,secondary_acts!$A$2:$A$771,$A25,secondary_acts!$E$2:$E$771,"delegated")</f>
        <v>10</v>
      </c>
      <c r="AL25" s="3"/>
      <c r="AM25" s="2"/>
      <c r="AN25" s="2" t="s">
        <v>62</v>
      </c>
    </row>
    <row r="26" customFormat="false" ht="15" hidden="false" customHeight="false" outlineLevel="0" collapsed="false">
      <c r="A26" s="2" t="n">
        <v>25</v>
      </c>
      <c r="B26" s="2" t="s">
        <v>188</v>
      </c>
      <c r="C26" s="2" t="s">
        <v>189</v>
      </c>
      <c r="D26" s="2" t="s">
        <v>190</v>
      </c>
      <c r="E26" s="2" t="s">
        <v>43</v>
      </c>
      <c r="F26" s="2" t="s">
        <v>44</v>
      </c>
      <c r="G26" s="2" t="s">
        <v>44</v>
      </c>
      <c r="H26" s="2" t="s">
        <v>191</v>
      </c>
      <c r="I26" s="2" t="s">
        <v>46</v>
      </c>
      <c r="J26" s="2" t="s">
        <v>192</v>
      </c>
      <c r="K26" s="3" t="n">
        <v>7</v>
      </c>
      <c r="L26" s="3" t="n">
        <v>4660</v>
      </c>
      <c r="M26" s="3" t="n">
        <v>1553</v>
      </c>
      <c r="N26" s="3" t="n">
        <v>1431</v>
      </c>
      <c r="O26" s="3" t="n">
        <v>3107</v>
      </c>
      <c r="P26" s="3" t="n">
        <v>0</v>
      </c>
      <c r="Q26" s="3" t="n">
        <v>0</v>
      </c>
      <c r="R26" s="3" t="n">
        <v>0</v>
      </c>
      <c r="S26" s="3" t="n">
        <v>0</v>
      </c>
      <c r="T26" s="3" t="n">
        <v>0</v>
      </c>
      <c r="U26" s="3" t="n">
        <v>0</v>
      </c>
      <c r="V26" s="3" t="n">
        <v>0</v>
      </c>
      <c r="W26" s="3" t="n">
        <v>0</v>
      </c>
      <c r="X26" s="3" t="n">
        <v>0</v>
      </c>
      <c r="Y26" s="3" t="n">
        <v>0</v>
      </c>
      <c r="Z26" s="3" t="n">
        <v>0</v>
      </c>
      <c r="AA26" s="3" t="n">
        <v>0</v>
      </c>
      <c r="AB26" s="3" t="n">
        <v>0</v>
      </c>
      <c r="AC26" s="2" t="s">
        <v>193</v>
      </c>
      <c r="AD26" s="3" t="n">
        <v>0</v>
      </c>
      <c r="AE26" s="2" t="n">
        <v>0</v>
      </c>
      <c r="AF26" s="2" t="n">
        <f aca="false">COUNTIFS(secondary_acts!$A$2:$A$771,$A26,secondary_acts!$E$2:$E$771,"implementing")</f>
        <v>0</v>
      </c>
      <c r="AG26" s="2" t="n">
        <f aca="false">COUNTIFS(secondary_acts!$A$2:$A$771,$A26,secondary_acts!$E$2:$E$771,"delegated")</f>
        <v>0</v>
      </c>
      <c r="AH26" s="2" t="n">
        <f aca="false">COUNTIFS(secondary_acts!$A$2:$A$771,$A26,secondary_acts!$E$2:$E$771,"other Commission/Council act")</f>
        <v>0</v>
      </c>
      <c r="AI26" s="2" t="n">
        <f aca="false">COUNTIFS(secondary_acts!$A$2:$A$771,$A26,secondary_acts!$E$2:$E$771,"guidance")</f>
        <v>0</v>
      </c>
      <c r="AJ26" s="2" t="n">
        <f aca="false">COUNTIF(guidance_web!$A$2:$A$7,$A26)</f>
        <v>0</v>
      </c>
      <c r="AK26" s="3" t="n">
        <f aca="false">SUMIFS(secondary_acts!$S$2:$S$771,secondary_acts!$A$2:$A$771,$A26,secondary_acts!$E$2:$E$771,"implementing")+SUMIFS(secondary_acts!$S$2:$S$771,secondary_acts!$A$2:$A$771,$A26,secondary_acts!$E$2:$E$771,"delegated")</f>
        <v>0</v>
      </c>
      <c r="AL26" s="3"/>
      <c r="AM26" s="2"/>
      <c r="AN26" s="2" t="s">
        <v>194</v>
      </c>
    </row>
    <row r="27" customFormat="false" ht="15" hidden="false" customHeight="false" outlineLevel="0" collapsed="false">
      <c r="A27" s="2" t="n">
        <v>26</v>
      </c>
      <c r="B27" s="2" t="s">
        <v>195</v>
      </c>
      <c r="C27" s="2" t="s">
        <v>196</v>
      </c>
      <c r="D27" s="2" t="s">
        <v>197</v>
      </c>
      <c r="E27" s="2" t="s">
        <v>84</v>
      </c>
      <c r="F27" s="2" t="s">
        <v>44</v>
      </c>
      <c r="G27" s="2" t="s">
        <v>44</v>
      </c>
      <c r="H27" s="2" t="s">
        <v>198</v>
      </c>
      <c r="I27" s="2" t="s">
        <v>46</v>
      </c>
      <c r="J27" s="2" t="s">
        <v>199</v>
      </c>
      <c r="K27" s="3" t="n">
        <v>18</v>
      </c>
      <c r="L27" s="3" t="n">
        <v>9919</v>
      </c>
      <c r="M27" s="3" t="n">
        <v>5447</v>
      </c>
      <c r="N27" s="3" t="n">
        <v>5326</v>
      </c>
      <c r="O27" s="3" t="n">
        <v>4472</v>
      </c>
      <c r="P27" s="3" t="n">
        <v>0</v>
      </c>
      <c r="Q27" s="3" t="n">
        <v>0</v>
      </c>
      <c r="R27" s="3" t="n">
        <v>0</v>
      </c>
      <c r="S27" s="3" t="n">
        <v>60</v>
      </c>
      <c r="T27" s="3" t="n">
        <v>38</v>
      </c>
      <c r="U27" s="3" t="n">
        <v>5</v>
      </c>
      <c r="V27" s="3" t="n">
        <v>0</v>
      </c>
      <c r="W27" s="3" t="n">
        <v>1</v>
      </c>
      <c r="X27" s="3" t="n">
        <v>16</v>
      </c>
      <c r="Y27" s="3" t="n">
        <v>4</v>
      </c>
      <c r="Z27" s="3" t="n">
        <v>38</v>
      </c>
      <c r="AA27" s="3" t="n">
        <v>4</v>
      </c>
      <c r="AB27" s="3" t="n">
        <v>14</v>
      </c>
      <c r="AC27" s="2" t="s">
        <v>200</v>
      </c>
      <c r="AD27" s="3" t="n">
        <v>60</v>
      </c>
      <c r="AE27" s="2" t="n">
        <v>4</v>
      </c>
      <c r="AF27" s="2" t="n">
        <f aca="false">COUNTIFS(secondary_acts!$A$2:$A$771,$A27,secondary_acts!$E$2:$E$771,"implementing")</f>
        <v>0</v>
      </c>
      <c r="AG27" s="2" t="n">
        <f aca="false">COUNTIFS(secondary_acts!$A$2:$A$771,$A27,secondary_acts!$E$2:$E$771,"delegated")</f>
        <v>0</v>
      </c>
      <c r="AH27" s="2" t="n">
        <f aca="false">COUNTIFS(secondary_acts!$A$2:$A$771,$A27,secondary_acts!$E$2:$E$771,"other Commission/Council act")</f>
        <v>0</v>
      </c>
      <c r="AI27" s="2" t="n">
        <f aca="false">COUNTIFS(secondary_acts!$A$2:$A$771,$A27,secondary_acts!$E$2:$E$771,"guidance")</f>
        <v>0</v>
      </c>
      <c r="AJ27" s="2" t="n">
        <f aca="false">COUNTIF(guidance_web!$A$2:$A$7,$A27)</f>
        <v>0</v>
      </c>
      <c r="AK27" s="3" t="n">
        <f aca="false">SUMIFS(secondary_acts!$S$2:$S$771,secondary_acts!$A$2:$A$771,$A27,secondary_acts!$E$2:$E$771,"implementing")+SUMIFS(secondary_acts!$S$2:$S$771,secondary_acts!$A$2:$A$771,$A27,secondary_acts!$E$2:$E$771,"delegated")</f>
        <v>0</v>
      </c>
      <c r="AL27" s="3" t="n">
        <v>1446</v>
      </c>
      <c r="AM27" s="2" t="n">
        <v>28</v>
      </c>
      <c r="AN27" s="2" t="s">
        <v>62</v>
      </c>
    </row>
    <row r="28" customFormat="false" ht="15" hidden="false" customHeight="false" outlineLevel="0" collapsed="false">
      <c r="A28" s="2" t="n">
        <v>27</v>
      </c>
      <c r="B28" s="2" t="s">
        <v>201</v>
      </c>
      <c r="C28" s="2" t="s">
        <v>202</v>
      </c>
      <c r="D28" s="2" t="s">
        <v>203</v>
      </c>
      <c r="E28" s="2" t="s">
        <v>84</v>
      </c>
      <c r="F28" s="2" t="s">
        <v>44</v>
      </c>
      <c r="G28" s="2" t="s">
        <v>44</v>
      </c>
      <c r="H28" s="2" t="s">
        <v>204</v>
      </c>
      <c r="I28" s="2" t="s">
        <v>46</v>
      </c>
      <c r="J28" s="2" t="s">
        <v>205</v>
      </c>
      <c r="K28" s="3" t="n">
        <v>27</v>
      </c>
      <c r="L28" s="3" t="n">
        <v>18391</v>
      </c>
      <c r="M28" s="3" t="n">
        <v>12610</v>
      </c>
      <c r="N28" s="3" t="n">
        <v>12493</v>
      </c>
      <c r="O28" s="3" t="n">
        <v>5781</v>
      </c>
      <c r="P28" s="3" t="n">
        <v>0</v>
      </c>
      <c r="Q28" s="3" t="n">
        <v>0</v>
      </c>
      <c r="R28" s="3" t="n">
        <v>0</v>
      </c>
      <c r="S28" s="3" t="n">
        <v>51</v>
      </c>
      <c r="T28" s="3" t="n">
        <v>41</v>
      </c>
      <c r="U28" s="3" t="n">
        <v>4</v>
      </c>
      <c r="V28" s="3" t="n">
        <v>0</v>
      </c>
      <c r="W28" s="3" t="n">
        <v>1</v>
      </c>
      <c r="X28" s="3" t="n">
        <v>5</v>
      </c>
      <c r="Y28" s="3" t="n">
        <v>21</v>
      </c>
      <c r="Z28" s="3" t="n">
        <v>12</v>
      </c>
      <c r="AA28" s="3" t="n">
        <v>1</v>
      </c>
      <c r="AB28" s="3" t="n">
        <v>17</v>
      </c>
      <c r="AC28" s="2" t="s">
        <v>206</v>
      </c>
      <c r="AD28" s="3" t="n">
        <v>51</v>
      </c>
      <c r="AE28" s="2" t="n">
        <v>21</v>
      </c>
      <c r="AF28" s="2" t="n">
        <f aca="false">COUNTIFS(secondary_acts!$A$2:$A$771,$A28,secondary_acts!$E$2:$E$771,"implementing")</f>
        <v>0</v>
      </c>
      <c r="AG28" s="2" t="n">
        <f aca="false">COUNTIFS(secondary_acts!$A$2:$A$771,$A28,secondary_acts!$E$2:$E$771,"delegated")</f>
        <v>0</v>
      </c>
      <c r="AH28" s="2" t="n">
        <f aca="false">COUNTIFS(secondary_acts!$A$2:$A$771,$A28,secondary_acts!$E$2:$E$771,"other Commission/Council act")</f>
        <v>0</v>
      </c>
      <c r="AI28" s="2" t="n">
        <f aca="false">COUNTIFS(secondary_acts!$A$2:$A$771,$A28,secondary_acts!$E$2:$E$771,"guidance")</f>
        <v>0</v>
      </c>
      <c r="AJ28" s="2" t="n">
        <f aca="false">COUNTIF(guidance_web!$A$2:$A$7,$A28)</f>
        <v>0</v>
      </c>
      <c r="AK28" s="3" t="n">
        <f aca="false">SUMIFS(secondary_acts!$S$2:$S$771,secondary_acts!$A$2:$A$771,$A28,secondary_acts!$E$2:$E$771,"implementing")+SUMIFS(secondary_acts!$S$2:$S$771,secondary_acts!$A$2:$A$771,$A28,secondary_acts!$E$2:$E$771,"delegated")</f>
        <v>0</v>
      </c>
      <c r="AL28" s="3" t="n">
        <v>1331</v>
      </c>
      <c r="AM28" s="2" t="n">
        <v>27</v>
      </c>
      <c r="AN28" s="2" t="s">
        <v>62</v>
      </c>
    </row>
    <row r="29" customFormat="false" ht="15" hidden="false" customHeight="false" outlineLevel="0" collapsed="false">
      <c r="A29" s="2" t="n">
        <v>28</v>
      </c>
      <c r="B29" s="2" t="s">
        <v>207</v>
      </c>
      <c r="C29" s="2" t="s">
        <v>208</v>
      </c>
      <c r="D29" s="2" t="s">
        <v>203</v>
      </c>
      <c r="E29" s="2" t="s">
        <v>84</v>
      </c>
      <c r="F29" s="2" t="s">
        <v>44</v>
      </c>
      <c r="G29" s="2" t="s">
        <v>44</v>
      </c>
      <c r="H29" s="2" t="s">
        <v>209</v>
      </c>
      <c r="I29" s="2" t="s">
        <v>46</v>
      </c>
      <c r="J29" s="2" t="s">
        <v>210</v>
      </c>
      <c r="K29" s="3" t="n">
        <v>23</v>
      </c>
      <c r="L29" s="3" t="n">
        <v>14331</v>
      </c>
      <c r="M29" s="3" t="n">
        <v>9215</v>
      </c>
      <c r="N29" s="3" t="n">
        <v>9086</v>
      </c>
      <c r="O29" s="3" t="n">
        <v>4770</v>
      </c>
      <c r="P29" s="3" t="n">
        <v>346</v>
      </c>
      <c r="Q29" s="3" t="n">
        <v>0</v>
      </c>
      <c r="R29" s="3" t="n">
        <v>0</v>
      </c>
      <c r="S29" s="3" t="n">
        <v>42</v>
      </c>
      <c r="T29" s="3" t="n">
        <v>31</v>
      </c>
      <c r="U29" s="3" t="n">
        <v>4</v>
      </c>
      <c r="V29" s="3" t="n">
        <v>1</v>
      </c>
      <c r="W29" s="3" t="n">
        <v>1</v>
      </c>
      <c r="X29" s="3" t="n">
        <v>5</v>
      </c>
      <c r="Y29" s="3" t="n">
        <v>11</v>
      </c>
      <c r="Z29" s="3" t="n">
        <v>12</v>
      </c>
      <c r="AA29" s="3" t="n">
        <v>1</v>
      </c>
      <c r="AB29" s="3" t="n">
        <v>18</v>
      </c>
      <c r="AC29" s="2" t="s">
        <v>211</v>
      </c>
      <c r="AD29" s="3" t="n">
        <v>44</v>
      </c>
      <c r="AE29" s="2" t="n">
        <v>12</v>
      </c>
      <c r="AF29" s="2" t="n">
        <f aca="false">COUNTIFS(secondary_acts!$A$2:$A$771,$A29,secondary_acts!$E$2:$E$771,"implementing")</f>
        <v>0</v>
      </c>
      <c r="AG29" s="2" t="n">
        <f aca="false">COUNTIFS(secondary_acts!$A$2:$A$771,$A29,secondary_acts!$E$2:$E$771,"delegated")</f>
        <v>0</v>
      </c>
      <c r="AH29" s="2" t="n">
        <f aca="false">COUNTIFS(secondary_acts!$A$2:$A$771,$A29,secondary_acts!$E$2:$E$771,"other Commission/Council act")</f>
        <v>0</v>
      </c>
      <c r="AI29" s="2" t="n">
        <f aca="false">COUNTIFS(secondary_acts!$A$2:$A$771,$A29,secondary_acts!$E$2:$E$771,"guidance")</f>
        <v>0</v>
      </c>
      <c r="AJ29" s="2" t="n">
        <f aca="false">COUNTIF(guidance_web!$A$2:$A$7,$A29)</f>
        <v>0</v>
      </c>
      <c r="AK29" s="3" t="n">
        <f aca="false">SUMIFS(secondary_acts!$S$2:$S$771,secondary_acts!$A$2:$A$771,$A29,secondary_acts!$E$2:$E$771,"implementing")+SUMIFS(secondary_acts!$S$2:$S$771,secondary_acts!$A$2:$A$771,$A29,secondary_acts!$E$2:$E$771,"delegated")</f>
        <v>0</v>
      </c>
      <c r="AL29" s="3" t="n">
        <v>1291</v>
      </c>
      <c r="AM29" s="2" t="n">
        <v>27</v>
      </c>
      <c r="AN29" s="2"/>
    </row>
    <row r="30" customFormat="false" ht="15" hidden="false" customHeight="false" outlineLevel="0" collapsed="false">
      <c r="A30" s="2" t="n">
        <v>29</v>
      </c>
      <c r="B30" s="2" t="s">
        <v>212</v>
      </c>
      <c r="C30" s="2" t="s">
        <v>213</v>
      </c>
      <c r="D30" s="2" t="s">
        <v>214</v>
      </c>
      <c r="E30" s="2" t="s">
        <v>52</v>
      </c>
      <c r="F30" s="2" t="s">
        <v>44</v>
      </c>
      <c r="G30" s="2" t="s">
        <v>44</v>
      </c>
      <c r="H30" s="2" t="s">
        <v>215</v>
      </c>
      <c r="I30" s="2" t="s">
        <v>46</v>
      </c>
      <c r="J30" s="2" t="s">
        <v>216</v>
      </c>
      <c r="K30" s="3" t="n">
        <v>82</v>
      </c>
      <c r="L30" s="3" t="n">
        <v>39977</v>
      </c>
      <c r="M30" s="3" t="n">
        <v>5821</v>
      </c>
      <c r="N30" s="3" t="n">
        <v>5409</v>
      </c>
      <c r="O30" s="3" t="n">
        <v>32119</v>
      </c>
      <c r="P30" s="3" t="n">
        <v>2037</v>
      </c>
      <c r="Q30" s="3" t="n">
        <v>0</v>
      </c>
      <c r="R30" s="3" t="n">
        <v>0</v>
      </c>
      <c r="S30" s="3" t="n">
        <v>436</v>
      </c>
      <c r="T30" s="3" t="n">
        <v>314</v>
      </c>
      <c r="U30" s="3" t="n">
        <v>78</v>
      </c>
      <c r="V30" s="3" t="n">
        <v>16</v>
      </c>
      <c r="W30" s="3" t="n">
        <v>8</v>
      </c>
      <c r="X30" s="3" t="n">
        <v>20</v>
      </c>
      <c r="Y30" s="3" t="n">
        <v>116</v>
      </c>
      <c r="Z30" s="3" t="n">
        <v>132</v>
      </c>
      <c r="AA30" s="3" t="n">
        <v>22</v>
      </c>
      <c r="AB30" s="3" t="n">
        <v>166</v>
      </c>
      <c r="AC30" s="2" t="s">
        <v>217</v>
      </c>
      <c r="AD30" s="3" t="n">
        <v>777</v>
      </c>
      <c r="AE30" s="2" t="n">
        <v>156</v>
      </c>
      <c r="AF30" s="2" t="n">
        <f aca="false">COUNTIFS(secondary_acts!$A$2:$A$771,$A30,secondary_acts!$E$2:$E$771,"implementing")</f>
        <v>2</v>
      </c>
      <c r="AG30" s="2" t="n">
        <f aca="false">COUNTIFS(secondary_acts!$A$2:$A$771,$A30,secondary_acts!$E$2:$E$771,"delegated")</f>
        <v>0</v>
      </c>
      <c r="AH30" s="2" t="n">
        <f aca="false">COUNTIFS(secondary_acts!$A$2:$A$771,$A30,secondary_acts!$E$2:$E$771,"other Commission/Council act")</f>
        <v>0</v>
      </c>
      <c r="AI30" s="2" t="n">
        <f aca="false">COUNTIFS(secondary_acts!$A$2:$A$771,$A30,secondary_acts!$E$2:$E$771,"guidance")</f>
        <v>0</v>
      </c>
      <c r="AJ30" s="2" t="n">
        <f aca="false">COUNTIF(guidance_web!$A$2:$A$7,$A30)</f>
        <v>0</v>
      </c>
      <c r="AK30" s="3" t="n">
        <f aca="false">SUMIFS(secondary_acts!$S$2:$S$771,secondary_acts!$A$2:$A$771,$A30,secondary_acts!$E$2:$E$771,"implementing")+SUMIFS(secondary_acts!$S$2:$S$771,secondary_acts!$A$2:$A$771,$A30,secondary_acts!$E$2:$E$771,"delegated")</f>
        <v>292</v>
      </c>
      <c r="AL30" s="3" t="n">
        <v>1440</v>
      </c>
      <c r="AM30" s="2" t="n">
        <v>10</v>
      </c>
      <c r="AN30" s="2"/>
    </row>
    <row r="31" customFormat="false" ht="15" hidden="false" customHeight="false" outlineLevel="0" collapsed="false">
      <c r="A31" s="2" t="n">
        <v>30</v>
      </c>
      <c r="B31" s="2" t="s">
        <v>218</v>
      </c>
      <c r="C31" s="2" t="s">
        <v>219</v>
      </c>
      <c r="D31" s="2" t="s">
        <v>220</v>
      </c>
      <c r="E31" s="2" t="s">
        <v>84</v>
      </c>
      <c r="F31" s="2" t="s">
        <v>44</v>
      </c>
      <c r="G31" s="2" t="s">
        <v>44</v>
      </c>
      <c r="H31" s="2" t="s">
        <v>221</v>
      </c>
      <c r="I31" s="2" t="s">
        <v>46</v>
      </c>
      <c r="J31" s="2" t="s">
        <v>222</v>
      </c>
      <c r="K31" s="3" t="n">
        <v>15</v>
      </c>
      <c r="L31" s="3" t="n">
        <v>8827</v>
      </c>
      <c r="M31" s="3" t="n">
        <v>6051</v>
      </c>
      <c r="N31" s="3" t="n">
        <v>5908</v>
      </c>
      <c r="O31" s="3" t="n">
        <v>2776</v>
      </c>
      <c r="P31" s="3" t="n">
        <v>0</v>
      </c>
      <c r="Q31" s="3" t="n">
        <v>0</v>
      </c>
      <c r="R31" s="3" t="n">
        <v>0</v>
      </c>
      <c r="S31" s="3" t="n">
        <v>24</v>
      </c>
      <c r="T31" s="3" t="n">
        <v>12</v>
      </c>
      <c r="U31" s="3" t="n">
        <v>10</v>
      </c>
      <c r="V31" s="3" t="n">
        <v>0</v>
      </c>
      <c r="W31" s="3" t="n">
        <v>1</v>
      </c>
      <c r="X31" s="3" t="n">
        <v>1</v>
      </c>
      <c r="Y31" s="3" t="n">
        <v>6</v>
      </c>
      <c r="Z31" s="3" t="n">
        <v>5</v>
      </c>
      <c r="AA31" s="3" t="n">
        <v>2</v>
      </c>
      <c r="AB31" s="3" t="n">
        <v>11</v>
      </c>
      <c r="AC31" s="2" t="s">
        <v>223</v>
      </c>
      <c r="AD31" s="3" t="n">
        <v>24</v>
      </c>
      <c r="AE31" s="2" t="n">
        <v>6</v>
      </c>
      <c r="AF31" s="2" t="n">
        <f aca="false">COUNTIFS(secondary_acts!$A$2:$A$771,$A31,secondary_acts!$E$2:$E$771,"implementing")</f>
        <v>0</v>
      </c>
      <c r="AG31" s="2" t="n">
        <f aca="false">COUNTIFS(secondary_acts!$A$2:$A$771,$A31,secondary_acts!$E$2:$E$771,"delegated")</f>
        <v>0</v>
      </c>
      <c r="AH31" s="2" t="n">
        <f aca="false">COUNTIFS(secondary_acts!$A$2:$A$771,$A31,secondary_acts!$E$2:$E$771,"other Commission/Council act")</f>
        <v>0</v>
      </c>
      <c r="AI31" s="2" t="n">
        <f aca="false">COUNTIFS(secondary_acts!$A$2:$A$771,$A31,secondary_acts!$E$2:$E$771,"guidance")</f>
        <v>0</v>
      </c>
      <c r="AJ31" s="2" t="n">
        <f aca="false">COUNTIF(guidance_web!$A$2:$A$7,$A31)</f>
        <v>0</v>
      </c>
      <c r="AK31" s="3" t="n">
        <f aca="false">SUMIFS(secondary_acts!$S$2:$S$771,secondary_acts!$A$2:$A$771,$A31,secondary_acts!$E$2:$E$771,"implementing")+SUMIFS(secondary_acts!$S$2:$S$771,secondary_acts!$A$2:$A$771,$A31,secondary_acts!$E$2:$E$771,"delegated")</f>
        <v>0</v>
      </c>
      <c r="AL31" s="3"/>
      <c r="AM31" s="2"/>
      <c r="AN31" s="2" t="s">
        <v>62</v>
      </c>
    </row>
    <row r="32" customFormat="false" ht="15" hidden="false" customHeight="false" outlineLevel="0" collapsed="false">
      <c r="A32" s="2" t="n">
        <v>31</v>
      </c>
      <c r="B32" s="2" t="s">
        <v>224</v>
      </c>
      <c r="C32" s="2" t="s">
        <v>225</v>
      </c>
      <c r="D32" s="2" t="s">
        <v>220</v>
      </c>
      <c r="E32" s="2" t="s">
        <v>84</v>
      </c>
      <c r="F32" s="2" t="s">
        <v>44</v>
      </c>
      <c r="G32" s="2" t="s">
        <v>44</v>
      </c>
      <c r="H32" s="2" t="s">
        <v>226</v>
      </c>
      <c r="I32" s="2" t="s">
        <v>46</v>
      </c>
      <c r="J32" s="2" t="s">
        <v>227</v>
      </c>
      <c r="K32" s="3" t="n">
        <v>26</v>
      </c>
      <c r="L32" s="3" t="n">
        <v>15509</v>
      </c>
      <c r="M32" s="3" t="n">
        <v>5040</v>
      </c>
      <c r="N32" s="3" t="n">
        <v>4917</v>
      </c>
      <c r="O32" s="3" t="n">
        <v>9233</v>
      </c>
      <c r="P32" s="3" t="n">
        <v>1236</v>
      </c>
      <c r="Q32" s="3" t="n">
        <v>0</v>
      </c>
      <c r="R32" s="3" t="n">
        <v>0</v>
      </c>
      <c r="S32" s="3" t="n">
        <v>151</v>
      </c>
      <c r="T32" s="3" t="n">
        <v>135</v>
      </c>
      <c r="U32" s="3" t="n">
        <v>5</v>
      </c>
      <c r="V32" s="3" t="n">
        <v>3</v>
      </c>
      <c r="W32" s="3" t="n">
        <v>0</v>
      </c>
      <c r="X32" s="3" t="n">
        <v>8</v>
      </c>
      <c r="Y32" s="3" t="n">
        <v>7</v>
      </c>
      <c r="Z32" s="3" t="n">
        <v>83</v>
      </c>
      <c r="AA32" s="3" t="n">
        <v>32</v>
      </c>
      <c r="AB32" s="3" t="n">
        <v>29</v>
      </c>
      <c r="AC32" s="2" t="s">
        <v>228</v>
      </c>
      <c r="AD32" s="3" t="n">
        <v>151</v>
      </c>
      <c r="AE32" s="2" t="n">
        <v>7</v>
      </c>
      <c r="AF32" s="2" t="n">
        <f aca="false">COUNTIFS(secondary_acts!$A$2:$A$771,$A32,secondary_acts!$E$2:$E$771,"implementing")</f>
        <v>1</v>
      </c>
      <c r="AG32" s="2" t="n">
        <f aca="false">COUNTIFS(secondary_acts!$A$2:$A$771,$A32,secondary_acts!$E$2:$E$771,"delegated")</f>
        <v>0</v>
      </c>
      <c r="AH32" s="2" t="n">
        <f aca="false">COUNTIFS(secondary_acts!$A$2:$A$771,$A32,secondary_acts!$E$2:$E$771,"other Commission/Council act")</f>
        <v>0</v>
      </c>
      <c r="AI32" s="2" t="n">
        <f aca="false">COUNTIFS(secondary_acts!$A$2:$A$771,$A32,secondary_acts!$E$2:$E$771,"guidance")</f>
        <v>0</v>
      </c>
      <c r="AJ32" s="2" t="n">
        <f aca="false">COUNTIF(guidance_web!$A$2:$A$7,$A32)</f>
        <v>0</v>
      </c>
      <c r="AK32" s="3" t="n">
        <f aca="false">SUMIFS(secondary_acts!$S$2:$S$771,secondary_acts!$A$2:$A$771,$A32,secondary_acts!$E$2:$E$771,"implementing")+SUMIFS(secondary_acts!$S$2:$S$771,secondary_acts!$A$2:$A$771,$A32,secondary_acts!$E$2:$E$771,"delegated")</f>
        <v>4</v>
      </c>
      <c r="AL32" s="3"/>
      <c r="AM32" s="2"/>
      <c r="AN32" s="2"/>
    </row>
    <row r="33" customFormat="false" ht="15" hidden="false" customHeight="false" outlineLevel="0" collapsed="false">
      <c r="A33" s="2" t="n">
        <v>32</v>
      </c>
      <c r="B33" s="2" t="s">
        <v>229</v>
      </c>
      <c r="C33" s="2" t="s">
        <v>230</v>
      </c>
      <c r="D33" s="2" t="s">
        <v>231</v>
      </c>
      <c r="E33" s="2" t="s">
        <v>84</v>
      </c>
      <c r="F33" s="2" t="s">
        <v>44</v>
      </c>
      <c r="G33" s="2" t="s">
        <v>44</v>
      </c>
      <c r="H33" s="2" t="s">
        <v>232</v>
      </c>
      <c r="I33" s="2" t="s">
        <v>46</v>
      </c>
      <c r="J33" s="2" t="s">
        <v>233</v>
      </c>
      <c r="K33" s="3" t="n">
        <v>179</v>
      </c>
      <c r="L33" s="3" t="n">
        <v>97406</v>
      </c>
      <c r="M33" s="3" t="n">
        <v>42601</v>
      </c>
      <c r="N33" s="3" t="n">
        <v>42479</v>
      </c>
      <c r="O33" s="3" t="n">
        <v>46896</v>
      </c>
      <c r="P33" s="3" t="n">
        <v>7909</v>
      </c>
      <c r="Q33" s="3" t="n">
        <v>0</v>
      </c>
      <c r="R33" s="3" t="n">
        <v>0</v>
      </c>
      <c r="S33" s="3" t="n">
        <v>835</v>
      </c>
      <c r="T33" s="3" t="n">
        <v>630</v>
      </c>
      <c r="U33" s="3" t="n">
        <v>53</v>
      </c>
      <c r="V33" s="3" t="n">
        <v>6</v>
      </c>
      <c r="W33" s="3" t="n">
        <v>8</v>
      </c>
      <c r="X33" s="3" t="n">
        <v>138</v>
      </c>
      <c r="Y33" s="3" t="n">
        <v>95</v>
      </c>
      <c r="Z33" s="3" t="n">
        <v>464</v>
      </c>
      <c r="AA33" s="3" t="n">
        <v>114</v>
      </c>
      <c r="AB33" s="3" t="n">
        <v>162</v>
      </c>
      <c r="AC33" s="2" t="s">
        <v>234</v>
      </c>
      <c r="AD33" s="3" t="n">
        <v>815</v>
      </c>
      <c r="AE33" s="2" t="n">
        <v>89</v>
      </c>
      <c r="AF33" s="2" t="n">
        <f aca="false">COUNTIFS(secondary_acts!$A$2:$A$771,$A33,secondary_acts!$E$2:$E$771,"implementing")</f>
        <v>7</v>
      </c>
      <c r="AG33" s="2" t="n">
        <f aca="false">COUNTIFS(secondary_acts!$A$2:$A$771,$A33,secondary_acts!$E$2:$E$771,"delegated")</f>
        <v>2</v>
      </c>
      <c r="AH33" s="2" t="n">
        <f aca="false">COUNTIFS(secondary_acts!$A$2:$A$771,$A33,secondary_acts!$E$2:$E$771,"other Commission/Council act")</f>
        <v>0</v>
      </c>
      <c r="AI33" s="2" t="n">
        <f aca="false">COUNTIFS(secondary_acts!$A$2:$A$771,$A33,secondary_acts!$E$2:$E$771,"guidance")</f>
        <v>2</v>
      </c>
      <c r="AJ33" s="2" t="n">
        <f aca="false">COUNTIF(guidance_web!$A$2:$A$7,$A33)</f>
        <v>0</v>
      </c>
      <c r="AK33" s="3" t="n">
        <f aca="false">SUMIFS(secondary_acts!$S$2:$S$771,secondary_acts!$A$2:$A$771,$A33,secondary_acts!$E$2:$E$771,"implementing")+SUMIFS(secondary_acts!$S$2:$S$771,secondary_acts!$A$2:$A$771,$A33,secondary_acts!$E$2:$E$771,"delegated")</f>
        <v>135</v>
      </c>
      <c r="AL33" s="3" t="n">
        <v>3034</v>
      </c>
      <c r="AM33" s="2" t="n">
        <v>28</v>
      </c>
      <c r="AN33" s="2"/>
    </row>
    <row r="34" customFormat="false" ht="15" hidden="false" customHeight="false" outlineLevel="0" collapsed="false">
      <c r="A34" s="2" t="n">
        <v>33</v>
      </c>
      <c r="B34" s="2" t="s">
        <v>235</v>
      </c>
      <c r="C34" s="2" t="s">
        <v>236</v>
      </c>
      <c r="D34" s="2" t="s">
        <v>231</v>
      </c>
      <c r="E34" s="2" t="s">
        <v>84</v>
      </c>
      <c r="F34" s="2" t="s">
        <v>44</v>
      </c>
      <c r="G34" s="2" t="s">
        <v>44</v>
      </c>
      <c r="H34" s="2" t="s">
        <v>237</v>
      </c>
      <c r="I34" s="2" t="s">
        <v>46</v>
      </c>
      <c r="J34" s="2" t="s">
        <v>238</v>
      </c>
      <c r="K34" s="3" t="n">
        <v>34</v>
      </c>
      <c r="L34" s="3" t="n">
        <v>22678</v>
      </c>
      <c r="M34" s="3" t="n">
        <v>15128</v>
      </c>
      <c r="N34" s="3" t="n">
        <v>14987</v>
      </c>
      <c r="O34" s="3" t="n">
        <v>7550</v>
      </c>
      <c r="P34" s="3" t="n">
        <v>0</v>
      </c>
      <c r="Q34" s="3" t="n">
        <v>0</v>
      </c>
      <c r="R34" s="3" t="n">
        <v>0</v>
      </c>
      <c r="S34" s="3" t="n">
        <v>100</v>
      </c>
      <c r="T34" s="3" t="n">
        <v>75</v>
      </c>
      <c r="U34" s="3" t="n">
        <v>9</v>
      </c>
      <c r="V34" s="3" t="n">
        <v>1</v>
      </c>
      <c r="W34" s="3" t="n">
        <v>1</v>
      </c>
      <c r="X34" s="3" t="n">
        <v>14</v>
      </c>
      <c r="Y34" s="3" t="n">
        <v>9</v>
      </c>
      <c r="Z34" s="3" t="n">
        <v>55</v>
      </c>
      <c r="AA34" s="3" t="n">
        <v>7</v>
      </c>
      <c r="AB34" s="3" t="n">
        <v>29</v>
      </c>
      <c r="AC34" s="2" t="s">
        <v>239</v>
      </c>
      <c r="AD34" s="3" t="n">
        <v>100</v>
      </c>
      <c r="AE34" s="2" t="n">
        <v>9</v>
      </c>
      <c r="AF34" s="2" t="n">
        <f aca="false">COUNTIFS(secondary_acts!$A$2:$A$771,$A34,secondary_acts!$E$2:$E$771,"implementing")</f>
        <v>0</v>
      </c>
      <c r="AG34" s="2" t="n">
        <f aca="false">COUNTIFS(secondary_acts!$A$2:$A$771,$A34,secondary_acts!$E$2:$E$771,"delegated")</f>
        <v>0</v>
      </c>
      <c r="AH34" s="2" t="n">
        <f aca="false">COUNTIFS(secondary_acts!$A$2:$A$771,$A34,secondary_acts!$E$2:$E$771,"other Commission/Council act")</f>
        <v>0</v>
      </c>
      <c r="AI34" s="2" t="n">
        <f aca="false">COUNTIFS(secondary_acts!$A$2:$A$771,$A34,secondary_acts!$E$2:$E$771,"guidance")</f>
        <v>1</v>
      </c>
      <c r="AJ34" s="2" t="n">
        <f aca="false">COUNTIF(guidance_web!$A$2:$A$7,$A34)</f>
        <v>0</v>
      </c>
      <c r="AK34" s="3" t="n">
        <f aca="false">SUMIFS(secondary_acts!$S$2:$S$771,secondary_acts!$A$2:$A$771,$A34,secondary_acts!$E$2:$E$771,"implementing")+SUMIFS(secondary_acts!$S$2:$S$771,secondary_acts!$A$2:$A$771,$A34,secondary_acts!$E$2:$E$771,"delegated")</f>
        <v>0</v>
      </c>
      <c r="AL34" s="3" t="n">
        <v>1039</v>
      </c>
      <c r="AM34" s="2" t="n">
        <v>27</v>
      </c>
      <c r="AN34" s="2" t="s">
        <v>62</v>
      </c>
    </row>
    <row r="35" customFormat="false" ht="15" hidden="false" customHeight="false" outlineLevel="0" collapsed="false">
      <c r="A35" s="2" t="n">
        <v>34</v>
      </c>
      <c r="B35" s="2" t="s">
        <v>240</v>
      </c>
      <c r="C35" s="2" t="s">
        <v>241</v>
      </c>
      <c r="D35" s="2" t="s">
        <v>231</v>
      </c>
      <c r="E35" s="2" t="s">
        <v>84</v>
      </c>
      <c r="F35" s="2" t="s">
        <v>44</v>
      </c>
      <c r="G35" s="2" t="s">
        <v>44</v>
      </c>
      <c r="H35" s="2" t="s">
        <v>242</v>
      </c>
      <c r="I35" s="2" t="s">
        <v>46</v>
      </c>
      <c r="J35" s="2" t="s">
        <v>243</v>
      </c>
      <c r="K35" s="3" t="n">
        <v>10</v>
      </c>
      <c r="L35" s="3" t="n">
        <v>5980</v>
      </c>
      <c r="M35" s="3" t="n">
        <v>4056</v>
      </c>
      <c r="N35" s="3" t="n">
        <v>3909</v>
      </c>
      <c r="O35" s="3" t="n">
        <v>1924</v>
      </c>
      <c r="P35" s="3" t="n">
        <v>0</v>
      </c>
      <c r="Q35" s="3" t="n">
        <v>0</v>
      </c>
      <c r="R35" s="3" t="n">
        <v>0</v>
      </c>
      <c r="S35" s="3" t="n">
        <v>23</v>
      </c>
      <c r="T35" s="3" t="n">
        <v>17</v>
      </c>
      <c r="U35" s="3" t="n">
        <v>1</v>
      </c>
      <c r="V35" s="3" t="n">
        <v>0</v>
      </c>
      <c r="W35" s="3" t="n">
        <v>0</v>
      </c>
      <c r="X35" s="3" t="n">
        <v>5</v>
      </c>
      <c r="Y35" s="3" t="n">
        <v>1</v>
      </c>
      <c r="Z35" s="3" t="n">
        <v>16</v>
      </c>
      <c r="AA35" s="3" t="n">
        <v>1</v>
      </c>
      <c r="AB35" s="3" t="n">
        <v>5</v>
      </c>
      <c r="AC35" s="2" t="s">
        <v>244</v>
      </c>
      <c r="AD35" s="3" t="n">
        <v>23</v>
      </c>
      <c r="AE35" s="2" t="n">
        <v>1</v>
      </c>
      <c r="AF35" s="2" t="n">
        <f aca="false">COUNTIFS(secondary_acts!$A$2:$A$771,$A35,secondary_acts!$E$2:$E$771,"implementing")</f>
        <v>0</v>
      </c>
      <c r="AG35" s="2" t="n">
        <f aca="false">COUNTIFS(secondary_acts!$A$2:$A$771,$A35,secondary_acts!$E$2:$E$771,"delegated")</f>
        <v>0</v>
      </c>
      <c r="AH35" s="2" t="n">
        <f aca="false">COUNTIFS(secondary_acts!$A$2:$A$771,$A35,secondary_acts!$E$2:$E$771,"other Commission/Council act")</f>
        <v>0</v>
      </c>
      <c r="AI35" s="2" t="n">
        <f aca="false">COUNTIFS(secondary_acts!$A$2:$A$771,$A35,secondary_acts!$E$2:$E$771,"guidance")</f>
        <v>0</v>
      </c>
      <c r="AJ35" s="2" t="n">
        <f aca="false">COUNTIF(guidance_web!$A$2:$A$7,$A35)</f>
        <v>0</v>
      </c>
      <c r="AK35" s="3" t="n">
        <f aca="false">SUMIFS(secondary_acts!$S$2:$S$771,secondary_acts!$A$2:$A$771,$A35,secondary_acts!$E$2:$E$771,"implementing")+SUMIFS(secondary_acts!$S$2:$S$771,secondary_acts!$A$2:$A$771,$A35,secondary_acts!$E$2:$E$771,"delegated")</f>
        <v>0</v>
      </c>
      <c r="AL35" s="3" t="n">
        <v>550</v>
      </c>
      <c r="AM35" s="2" t="n">
        <v>26</v>
      </c>
      <c r="AN35" s="2" t="s">
        <v>62</v>
      </c>
    </row>
    <row r="36" customFormat="false" ht="15" hidden="false" customHeight="false" outlineLevel="0" collapsed="false">
      <c r="A36" s="2" t="n">
        <v>35</v>
      </c>
      <c r="B36" s="2" t="s">
        <v>245</v>
      </c>
      <c r="C36" s="2" t="s">
        <v>246</v>
      </c>
      <c r="D36" s="2" t="s">
        <v>247</v>
      </c>
      <c r="E36" s="2" t="s">
        <v>84</v>
      </c>
      <c r="F36" s="2" t="s">
        <v>44</v>
      </c>
      <c r="G36" s="2" t="s">
        <v>44</v>
      </c>
      <c r="H36" s="2" t="s">
        <v>248</v>
      </c>
      <c r="I36" s="2" t="s">
        <v>46</v>
      </c>
      <c r="J36" s="2" t="s">
        <v>249</v>
      </c>
      <c r="K36" s="3" t="n">
        <v>60</v>
      </c>
      <c r="L36" s="3" t="n">
        <v>37418</v>
      </c>
      <c r="M36" s="3" t="n">
        <v>12539</v>
      </c>
      <c r="N36" s="3" t="n">
        <v>12392</v>
      </c>
      <c r="O36" s="3" t="n">
        <v>24879</v>
      </c>
      <c r="P36" s="3" t="n">
        <v>0</v>
      </c>
      <c r="Q36" s="3" t="n">
        <v>0</v>
      </c>
      <c r="R36" s="3" t="n">
        <v>0</v>
      </c>
      <c r="S36" s="3" t="n">
        <v>333</v>
      </c>
      <c r="T36" s="3" t="n">
        <v>289</v>
      </c>
      <c r="U36" s="3" t="n">
        <v>24</v>
      </c>
      <c r="V36" s="3" t="n">
        <v>3</v>
      </c>
      <c r="W36" s="3" t="n">
        <v>9</v>
      </c>
      <c r="X36" s="3" t="n">
        <v>8</v>
      </c>
      <c r="Y36" s="3" t="n">
        <v>142</v>
      </c>
      <c r="Z36" s="3" t="n">
        <v>6</v>
      </c>
      <c r="AA36" s="3" t="n">
        <v>91</v>
      </c>
      <c r="AB36" s="3" t="n">
        <v>94</v>
      </c>
      <c r="AC36" s="2" t="s">
        <v>250</v>
      </c>
      <c r="AD36" s="3" t="n">
        <v>333</v>
      </c>
      <c r="AE36" s="2" t="n">
        <v>142</v>
      </c>
      <c r="AF36" s="2" t="n">
        <f aca="false">COUNTIFS(secondary_acts!$A$2:$A$771,$A36,secondary_acts!$E$2:$E$771,"implementing")</f>
        <v>2</v>
      </c>
      <c r="AG36" s="2" t="n">
        <f aca="false">COUNTIFS(secondary_acts!$A$2:$A$771,$A36,secondary_acts!$E$2:$E$771,"delegated")</f>
        <v>0</v>
      </c>
      <c r="AH36" s="2" t="n">
        <f aca="false">COUNTIFS(secondary_acts!$A$2:$A$771,$A36,secondary_acts!$E$2:$E$771,"other Commission/Council act")</f>
        <v>0</v>
      </c>
      <c r="AI36" s="2" t="n">
        <f aca="false">COUNTIFS(secondary_acts!$A$2:$A$771,$A36,secondary_acts!$E$2:$E$771,"guidance")</f>
        <v>0</v>
      </c>
      <c r="AJ36" s="2" t="n">
        <f aca="false">COUNTIF(guidance_web!$A$2:$A$7,$A36)</f>
        <v>0</v>
      </c>
      <c r="AK36" s="3" t="n">
        <f aca="false">SUMIFS(secondary_acts!$S$2:$S$771,secondary_acts!$A$2:$A$771,$A36,secondary_acts!$E$2:$E$771,"implementing")+SUMIFS(secondary_acts!$S$2:$S$771,secondary_acts!$A$2:$A$771,$A36,secondary_acts!$E$2:$E$771,"delegated")</f>
        <v>115</v>
      </c>
      <c r="AL36" s="3"/>
      <c r="AM36" s="2"/>
      <c r="AN36" s="2" t="s">
        <v>62</v>
      </c>
    </row>
    <row r="37" customFormat="false" ht="15" hidden="false" customHeight="false" outlineLevel="0" collapsed="false">
      <c r="A37" s="2" t="n">
        <v>36</v>
      </c>
      <c r="B37" s="2" t="s">
        <v>251</v>
      </c>
      <c r="C37" s="2" t="s">
        <v>252</v>
      </c>
      <c r="D37" s="2" t="s">
        <v>253</v>
      </c>
      <c r="E37" s="2" t="s">
        <v>84</v>
      </c>
      <c r="F37" s="2" t="s">
        <v>44</v>
      </c>
      <c r="G37" s="2" t="s">
        <v>44</v>
      </c>
      <c r="H37" s="2" t="s">
        <v>254</v>
      </c>
      <c r="I37" s="2" t="s">
        <v>46</v>
      </c>
      <c r="J37" s="2" t="s">
        <v>255</v>
      </c>
      <c r="K37" s="3" t="n">
        <v>38</v>
      </c>
      <c r="L37" s="3" t="n">
        <v>20255</v>
      </c>
      <c r="M37" s="3" t="n">
        <v>9449</v>
      </c>
      <c r="N37" s="3" t="n">
        <v>9316</v>
      </c>
      <c r="O37" s="3" t="n">
        <v>8396</v>
      </c>
      <c r="P37" s="3" t="n">
        <v>2410</v>
      </c>
      <c r="Q37" s="3" t="n">
        <v>0</v>
      </c>
      <c r="R37" s="3" t="n">
        <v>0</v>
      </c>
      <c r="S37" s="3" t="n">
        <v>138</v>
      </c>
      <c r="T37" s="3" t="n">
        <v>110</v>
      </c>
      <c r="U37" s="3" t="n">
        <v>4</v>
      </c>
      <c r="V37" s="3" t="n">
        <v>3</v>
      </c>
      <c r="W37" s="3" t="n">
        <v>5</v>
      </c>
      <c r="X37" s="3" t="n">
        <v>16</v>
      </c>
      <c r="Y37" s="3" t="n">
        <v>6</v>
      </c>
      <c r="Z37" s="3" t="n">
        <v>39</v>
      </c>
      <c r="AA37" s="3" t="n">
        <v>67</v>
      </c>
      <c r="AB37" s="3" t="n">
        <v>26</v>
      </c>
      <c r="AC37" s="2" t="s">
        <v>256</v>
      </c>
      <c r="AD37" s="3" t="n">
        <v>135</v>
      </c>
      <c r="AE37" s="2" t="n">
        <v>6</v>
      </c>
      <c r="AF37" s="2" t="n">
        <f aca="false">COUNTIFS(secondary_acts!$A$2:$A$771,$A37,secondary_acts!$E$2:$E$771,"implementing")</f>
        <v>2</v>
      </c>
      <c r="AG37" s="2" t="n">
        <f aca="false">COUNTIFS(secondary_acts!$A$2:$A$771,$A37,secondary_acts!$E$2:$E$771,"delegated")</f>
        <v>0</v>
      </c>
      <c r="AH37" s="2" t="n">
        <f aca="false">COUNTIFS(secondary_acts!$A$2:$A$771,$A37,secondary_acts!$E$2:$E$771,"other Commission/Council act")</f>
        <v>0</v>
      </c>
      <c r="AI37" s="2" t="n">
        <f aca="false">COUNTIFS(secondary_acts!$A$2:$A$771,$A37,secondary_acts!$E$2:$E$771,"guidance")</f>
        <v>4</v>
      </c>
      <c r="AJ37" s="2" t="n">
        <f aca="false">COUNTIF(guidance_web!$A$2:$A$7,$A37)</f>
        <v>0</v>
      </c>
      <c r="AK37" s="3" t="n">
        <f aca="false">SUMIFS(secondary_acts!$S$2:$S$771,secondary_acts!$A$2:$A$771,$A37,secondary_acts!$E$2:$E$771,"implementing")+SUMIFS(secondary_acts!$S$2:$S$771,secondary_acts!$A$2:$A$771,$A37,secondary_acts!$E$2:$E$771,"delegated")</f>
        <v>173</v>
      </c>
      <c r="AL37" s="3"/>
      <c r="AM37" s="2"/>
      <c r="AN37" s="2"/>
    </row>
    <row r="38" customFormat="false" ht="15" hidden="false" customHeight="false" outlineLevel="0" collapsed="false">
      <c r="A38" s="2" t="n">
        <v>37</v>
      </c>
      <c r="B38" s="2" t="s">
        <v>257</v>
      </c>
      <c r="C38" s="2" t="s">
        <v>258</v>
      </c>
      <c r="D38" s="2" t="s">
        <v>259</v>
      </c>
      <c r="E38" s="2" t="s">
        <v>84</v>
      </c>
      <c r="F38" s="2" t="s">
        <v>44</v>
      </c>
      <c r="G38" s="2" t="s">
        <v>44</v>
      </c>
      <c r="H38" s="2" t="s">
        <v>260</v>
      </c>
      <c r="I38" s="2" t="s">
        <v>46</v>
      </c>
      <c r="J38" s="2" t="s">
        <v>261</v>
      </c>
      <c r="K38" s="3" t="n">
        <v>55</v>
      </c>
      <c r="L38" s="3" t="n">
        <v>30460</v>
      </c>
      <c r="M38" s="3" t="n">
        <v>12254</v>
      </c>
      <c r="N38" s="3" t="n">
        <v>12114</v>
      </c>
      <c r="O38" s="3" t="n">
        <v>17006</v>
      </c>
      <c r="P38" s="3" t="n">
        <v>1200</v>
      </c>
      <c r="Q38" s="3" t="n">
        <v>0</v>
      </c>
      <c r="R38" s="3" t="n">
        <v>0</v>
      </c>
      <c r="S38" s="3" t="n">
        <v>382</v>
      </c>
      <c r="T38" s="3" t="n">
        <v>354</v>
      </c>
      <c r="U38" s="3" t="n">
        <v>20</v>
      </c>
      <c r="V38" s="3" t="n">
        <v>0</v>
      </c>
      <c r="W38" s="3" t="n">
        <v>2</v>
      </c>
      <c r="X38" s="3" t="n">
        <v>6</v>
      </c>
      <c r="Y38" s="3" t="n">
        <v>18</v>
      </c>
      <c r="Z38" s="3" t="n">
        <v>43</v>
      </c>
      <c r="AA38" s="3" t="n">
        <v>219</v>
      </c>
      <c r="AB38" s="3" t="n">
        <v>102</v>
      </c>
      <c r="AC38" s="2" t="s">
        <v>262</v>
      </c>
      <c r="AD38" s="3" t="n">
        <v>388</v>
      </c>
      <c r="AE38" s="2" t="n">
        <v>15</v>
      </c>
      <c r="AF38" s="2" t="n">
        <f aca="false">COUNTIFS(secondary_acts!$A$2:$A$771,$A38,secondary_acts!$E$2:$E$771,"implementing")</f>
        <v>5</v>
      </c>
      <c r="AG38" s="2" t="n">
        <f aca="false">COUNTIFS(secondary_acts!$A$2:$A$771,$A38,secondary_acts!$E$2:$E$771,"delegated")</f>
        <v>0</v>
      </c>
      <c r="AH38" s="2" t="n">
        <f aca="false">COUNTIFS(secondary_acts!$A$2:$A$771,$A38,secondary_acts!$E$2:$E$771,"other Commission/Council act")</f>
        <v>0</v>
      </c>
      <c r="AI38" s="2" t="n">
        <f aca="false">COUNTIFS(secondary_acts!$A$2:$A$771,$A38,secondary_acts!$E$2:$E$771,"guidance")</f>
        <v>0</v>
      </c>
      <c r="AJ38" s="2" t="n">
        <f aca="false">COUNTIF(guidance_web!$A$2:$A$7,$A38)</f>
        <v>0</v>
      </c>
      <c r="AK38" s="3" t="n">
        <f aca="false">SUMIFS(secondary_acts!$S$2:$S$771,secondary_acts!$A$2:$A$771,$A38,secondary_acts!$E$2:$E$771,"implementing")+SUMIFS(secondary_acts!$S$2:$S$771,secondary_acts!$A$2:$A$771,$A38,secondary_acts!$E$2:$E$771,"delegated")</f>
        <v>383</v>
      </c>
      <c r="AL38" s="3"/>
      <c r="AM38" s="2"/>
      <c r="AN38" s="2"/>
    </row>
    <row r="39" customFormat="false" ht="15" hidden="false" customHeight="false" outlineLevel="0" collapsed="false">
      <c r="A39" s="2" t="n">
        <v>38</v>
      </c>
      <c r="B39" s="2" t="s">
        <v>263</v>
      </c>
      <c r="C39" s="2" t="s">
        <v>264</v>
      </c>
      <c r="D39" s="2" t="s">
        <v>259</v>
      </c>
      <c r="E39" s="2" t="s">
        <v>84</v>
      </c>
      <c r="F39" s="2" t="s">
        <v>44</v>
      </c>
      <c r="G39" s="2" t="s">
        <v>44</v>
      </c>
      <c r="H39" s="2" t="s">
        <v>265</v>
      </c>
      <c r="I39" s="2" t="s">
        <v>46</v>
      </c>
      <c r="J39" s="2" t="s">
        <v>266</v>
      </c>
      <c r="K39" s="3" t="n">
        <v>10</v>
      </c>
      <c r="L39" s="3" t="n">
        <v>6275</v>
      </c>
      <c r="M39" s="3" t="n">
        <v>4213</v>
      </c>
      <c r="N39" s="3" t="n">
        <v>4089</v>
      </c>
      <c r="O39" s="3" t="n">
        <v>2062</v>
      </c>
      <c r="P39" s="3" t="n">
        <v>0</v>
      </c>
      <c r="Q39" s="3" t="n">
        <v>0</v>
      </c>
      <c r="R39" s="3" t="n">
        <v>0</v>
      </c>
      <c r="S39" s="3" t="n">
        <v>31</v>
      </c>
      <c r="T39" s="3" t="n">
        <v>26</v>
      </c>
      <c r="U39" s="3" t="n">
        <v>2</v>
      </c>
      <c r="V39" s="3" t="n">
        <v>0</v>
      </c>
      <c r="W39" s="3" t="n">
        <v>1</v>
      </c>
      <c r="X39" s="3" t="n">
        <v>2</v>
      </c>
      <c r="Y39" s="3" t="n">
        <v>0</v>
      </c>
      <c r="Z39" s="3" t="n">
        <v>17</v>
      </c>
      <c r="AA39" s="3" t="n">
        <v>10</v>
      </c>
      <c r="AB39" s="3" t="n">
        <v>4</v>
      </c>
      <c r="AC39" s="2"/>
      <c r="AD39" s="3"/>
      <c r="AE39" s="2"/>
      <c r="AF39" s="2" t="n">
        <f aca="false">COUNTIFS(secondary_acts!$A$2:$A$771,$A39,secondary_acts!$E$2:$E$771,"implementing")</f>
        <v>0</v>
      </c>
      <c r="AG39" s="2" t="n">
        <f aca="false">COUNTIFS(secondary_acts!$A$2:$A$771,$A39,secondary_acts!$E$2:$E$771,"delegated")</f>
        <v>0</v>
      </c>
      <c r="AH39" s="2" t="n">
        <f aca="false">COUNTIFS(secondary_acts!$A$2:$A$771,$A39,secondary_acts!$E$2:$E$771,"other Commission/Council act")</f>
        <v>0</v>
      </c>
      <c r="AI39" s="2" t="n">
        <f aca="false">COUNTIFS(secondary_acts!$A$2:$A$771,$A39,secondary_acts!$E$2:$E$771,"guidance")</f>
        <v>1</v>
      </c>
      <c r="AJ39" s="2" t="n">
        <f aca="false">COUNTIF(guidance_web!$A$2:$A$7,$A39)</f>
        <v>0</v>
      </c>
      <c r="AK39" s="3" t="n">
        <f aca="false">SUMIFS(secondary_acts!$S$2:$S$771,secondary_acts!$A$2:$A$771,$A39,secondary_acts!$E$2:$E$771,"implementing")+SUMIFS(secondary_acts!$S$2:$S$771,secondary_acts!$A$2:$A$771,$A39,secondary_acts!$E$2:$E$771,"delegated")</f>
        <v>0</v>
      </c>
      <c r="AL39" s="3"/>
      <c r="AM39" s="2"/>
      <c r="AN39" s="2"/>
    </row>
    <row r="40" customFormat="false" ht="15" hidden="false" customHeight="false" outlineLevel="0" collapsed="false">
      <c r="A40" s="2" t="n">
        <v>39</v>
      </c>
      <c r="B40" s="2" t="s">
        <v>267</v>
      </c>
      <c r="C40" s="2" t="s">
        <v>268</v>
      </c>
      <c r="D40" s="2" t="s">
        <v>259</v>
      </c>
      <c r="E40" s="2" t="s">
        <v>84</v>
      </c>
      <c r="F40" s="2" t="s">
        <v>44</v>
      </c>
      <c r="G40" s="2" t="s">
        <v>44</v>
      </c>
      <c r="H40" s="2" t="s">
        <v>269</v>
      </c>
      <c r="I40" s="2" t="s">
        <v>46</v>
      </c>
      <c r="J40" s="2" t="s">
        <v>270</v>
      </c>
      <c r="K40" s="3" t="n">
        <v>14</v>
      </c>
      <c r="L40" s="3" t="n">
        <v>7814</v>
      </c>
      <c r="M40" s="3" t="n">
        <v>3363</v>
      </c>
      <c r="N40" s="3" t="n">
        <v>3238</v>
      </c>
      <c r="O40" s="3" t="n">
        <v>3948</v>
      </c>
      <c r="P40" s="3" t="n">
        <v>503</v>
      </c>
      <c r="Q40" s="3" t="n">
        <v>0</v>
      </c>
      <c r="R40" s="3" t="n">
        <v>0</v>
      </c>
      <c r="S40" s="3" t="n">
        <v>70</v>
      </c>
      <c r="T40" s="3" t="n">
        <v>67</v>
      </c>
      <c r="U40" s="3" t="n">
        <v>0</v>
      </c>
      <c r="V40" s="3" t="n">
        <v>0</v>
      </c>
      <c r="W40" s="3" t="n">
        <v>0</v>
      </c>
      <c r="X40" s="3" t="n">
        <v>3</v>
      </c>
      <c r="Y40" s="3" t="n">
        <v>5</v>
      </c>
      <c r="Z40" s="3" t="n">
        <v>24</v>
      </c>
      <c r="AA40" s="3" t="n">
        <v>25</v>
      </c>
      <c r="AB40" s="3" t="n">
        <v>16</v>
      </c>
      <c r="AC40" s="2" t="s">
        <v>271</v>
      </c>
      <c r="AD40" s="3" t="n">
        <v>70</v>
      </c>
      <c r="AE40" s="2" t="n">
        <v>5</v>
      </c>
      <c r="AF40" s="2" t="n">
        <f aca="false">COUNTIFS(secondary_acts!$A$2:$A$771,$A40,secondary_acts!$E$2:$E$771,"implementing")</f>
        <v>0</v>
      </c>
      <c r="AG40" s="2" t="n">
        <f aca="false">COUNTIFS(secondary_acts!$A$2:$A$771,$A40,secondary_acts!$E$2:$E$771,"delegated")</f>
        <v>2</v>
      </c>
      <c r="AH40" s="2" t="n">
        <f aca="false">COUNTIFS(secondary_acts!$A$2:$A$771,$A40,secondary_acts!$E$2:$E$771,"other Commission/Council act")</f>
        <v>0</v>
      </c>
      <c r="AI40" s="2" t="n">
        <f aca="false">COUNTIFS(secondary_acts!$A$2:$A$771,$A40,secondary_acts!$E$2:$E$771,"guidance")</f>
        <v>1</v>
      </c>
      <c r="AJ40" s="2" t="n">
        <f aca="false">COUNTIF(guidance_web!$A$2:$A$7,$A40)</f>
        <v>0</v>
      </c>
      <c r="AK40" s="3" t="n">
        <f aca="false">SUMIFS(secondary_acts!$S$2:$S$771,secondary_acts!$A$2:$A$771,$A40,secondary_acts!$E$2:$E$771,"implementing")+SUMIFS(secondary_acts!$S$2:$S$771,secondary_acts!$A$2:$A$771,$A40,secondary_acts!$E$2:$E$771,"delegated")</f>
        <v>1</v>
      </c>
      <c r="AL40" s="3"/>
      <c r="AM40" s="2"/>
      <c r="AN40" s="2"/>
    </row>
    <row r="41" customFormat="false" ht="15" hidden="false" customHeight="false" outlineLevel="0" collapsed="false">
      <c r="A41" s="2" t="n">
        <v>40</v>
      </c>
      <c r="B41" s="2" t="s">
        <v>272</v>
      </c>
      <c r="C41" s="2" t="s">
        <v>273</v>
      </c>
      <c r="D41" s="2" t="s">
        <v>259</v>
      </c>
      <c r="E41" s="2" t="s">
        <v>84</v>
      </c>
      <c r="F41" s="2" t="s">
        <v>44</v>
      </c>
      <c r="G41" s="2" t="s">
        <v>44</v>
      </c>
      <c r="H41" s="2" t="s">
        <v>274</v>
      </c>
      <c r="I41" s="2" t="s">
        <v>46</v>
      </c>
      <c r="J41" s="2" t="s">
        <v>275</v>
      </c>
      <c r="K41" s="3" t="n">
        <v>12</v>
      </c>
      <c r="L41" s="3" t="n">
        <v>6609</v>
      </c>
      <c r="M41" s="3" t="n">
        <v>3611</v>
      </c>
      <c r="N41" s="3" t="n">
        <v>3493</v>
      </c>
      <c r="O41" s="3" t="n">
        <v>2998</v>
      </c>
      <c r="P41" s="3" t="n">
        <v>0</v>
      </c>
      <c r="Q41" s="3" t="n">
        <v>0</v>
      </c>
      <c r="R41" s="3" t="n">
        <v>0</v>
      </c>
      <c r="S41" s="3" t="n">
        <v>52</v>
      </c>
      <c r="T41" s="3" t="n">
        <v>46</v>
      </c>
      <c r="U41" s="3" t="n">
        <v>1</v>
      </c>
      <c r="V41" s="3" t="n">
        <v>0</v>
      </c>
      <c r="W41" s="3" t="n">
        <v>0</v>
      </c>
      <c r="X41" s="3" t="n">
        <v>5</v>
      </c>
      <c r="Y41" s="3" t="n">
        <v>1</v>
      </c>
      <c r="Z41" s="3" t="n">
        <v>42</v>
      </c>
      <c r="AA41" s="3" t="n">
        <v>7</v>
      </c>
      <c r="AB41" s="3" t="n">
        <v>2</v>
      </c>
      <c r="AC41" s="2"/>
      <c r="AD41" s="3"/>
      <c r="AE41" s="2"/>
      <c r="AF41" s="2" t="n">
        <f aca="false">COUNTIFS(secondary_acts!$A$2:$A$771,$A41,secondary_acts!$E$2:$E$771,"implementing")</f>
        <v>0</v>
      </c>
      <c r="AG41" s="2" t="n">
        <f aca="false">COUNTIFS(secondary_acts!$A$2:$A$771,$A41,secondary_acts!$E$2:$E$771,"delegated")</f>
        <v>0</v>
      </c>
      <c r="AH41" s="2" t="n">
        <f aca="false">COUNTIFS(secondary_acts!$A$2:$A$771,$A41,secondary_acts!$E$2:$E$771,"other Commission/Council act")</f>
        <v>0</v>
      </c>
      <c r="AI41" s="2" t="n">
        <f aca="false">COUNTIFS(secondary_acts!$A$2:$A$771,$A41,secondary_acts!$E$2:$E$771,"guidance")</f>
        <v>0</v>
      </c>
      <c r="AJ41" s="2" t="n">
        <f aca="false">COUNTIF(guidance_web!$A$2:$A$7,$A41)</f>
        <v>0</v>
      </c>
      <c r="AK41" s="3" t="n">
        <f aca="false">SUMIFS(secondary_acts!$S$2:$S$771,secondary_acts!$A$2:$A$771,$A41,secondary_acts!$E$2:$E$771,"implementing")+SUMIFS(secondary_acts!$S$2:$S$771,secondary_acts!$A$2:$A$771,$A41,secondary_acts!$E$2:$E$771,"delegated")</f>
        <v>0</v>
      </c>
      <c r="AL41" s="3" t="n">
        <v>2301</v>
      </c>
      <c r="AM41" s="2" t="n">
        <v>25</v>
      </c>
      <c r="AN41" s="2"/>
    </row>
    <row r="42" customFormat="false" ht="15" hidden="false" customHeight="false" outlineLevel="0" collapsed="false">
      <c r="A42" s="2" t="n">
        <v>41</v>
      </c>
      <c r="B42" s="2" t="s">
        <v>276</v>
      </c>
      <c r="C42" s="2" t="s">
        <v>277</v>
      </c>
      <c r="D42" s="2" t="s">
        <v>278</v>
      </c>
      <c r="E42" s="2" t="s">
        <v>84</v>
      </c>
      <c r="F42" s="2" t="s">
        <v>44</v>
      </c>
      <c r="G42" s="2" t="s">
        <v>44</v>
      </c>
      <c r="H42" s="2" t="s">
        <v>279</v>
      </c>
      <c r="I42" s="2" t="s">
        <v>46</v>
      </c>
      <c r="J42" s="2" t="s">
        <v>280</v>
      </c>
      <c r="K42" s="3" t="n">
        <v>44</v>
      </c>
      <c r="L42" s="3" t="n">
        <v>24088</v>
      </c>
      <c r="M42" s="3" t="n">
        <v>6826</v>
      </c>
      <c r="N42" s="3" t="n">
        <v>6697</v>
      </c>
      <c r="O42" s="3" t="n">
        <v>12819</v>
      </c>
      <c r="P42" s="3" t="n">
        <v>4443</v>
      </c>
      <c r="Q42" s="3" t="n">
        <v>0</v>
      </c>
      <c r="R42" s="3" t="n">
        <v>0</v>
      </c>
      <c r="S42" s="3" t="n">
        <v>198</v>
      </c>
      <c r="T42" s="3" t="n">
        <v>179</v>
      </c>
      <c r="U42" s="3" t="n">
        <v>6</v>
      </c>
      <c r="V42" s="3" t="n">
        <v>3</v>
      </c>
      <c r="W42" s="3" t="n">
        <v>3</v>
      </c>
      <c r="X42" s="3" t="n">
        <v>7</v>
      </c>
      <c r="Y42" s="3" t="n">
        <v>15</v>
      </c>
      <c r="Z42" s="3" t="n">
        <v>81</v>
      </c>
      <c r="AA42" s="3" t="n">
        <v>45</v>
      </c>
      <c r="AB42" s="3" t="n">
        <v>57</v>
      </c>
      <c r="AC42" s="2" t="s">
        <v>281</v>
      </c>
      <c r="AD42" s="3" t="n">
        <v>198</v>
      </c>
      <c r="AE42" s="2" t="n">
        <v>15</v>
      </c>
      <c r="AF42" s="2" t="n">
        <f aca="false">COUNTIFS(secondary_acts!$A$2:$A$771,$A42,secondary_acts!$E$2:$E$771,"implementing")</f>
        <v>10</v>
      </c>
      <c r="AG42" s="2" t="n">
        <f aca="false">COUNTIFS(secondary_acts!$A$2:$A$771,$A42,secondary_acts!$E$2:$E$771,"delegated")</f>
        <v>0</v>
      </c>
      <c r="AH42" s="2" t="n">
        <f aca="false">COUNTIFS(secondary_acts!$A$2:$A$771,$A42,secondary_acts!$E$2:$E$771,"other Commission/Council act")</f>
        <v>0</v>
      </c>
      <c r="AI42" s="2" t="n">
        <f aca="false">COUNTIFS(secondary_acts!$A$2:$A$771,$A42,secondary_acts!$E$2:$E$771,"guidance")</f>
        <v>1</v>
      </c>
      <c r="AJ42" s="2" t="n">
        <f aca="false">COUNTIF(guidance_web!$A$2:$A$7,$A42)</f>
        <v>0</v>
      </c>
      <c r="AK42" s="3" t="n">
        <f aca="false">SUMIFS(secondary_acts!$S$2:$S$771,secondary_acts!$A$2:$A$771,$A42,secondary_acts!$E$2:$E$771,"implementing")+SUMIFS(secondary_acts!$S$2:$S$771,secondary_acts!$A$2:$A$771,$A42,secondary_acts!$E$2:$E$771,"delegated")</f>
        <v>117</v>
      </c>
      <c r="AL42" s="3"/>
      <c r="AM42" s="2"/>
      <c r="AN42" s="2"/>
    </row>
    <row r="43" customFormat="false" ht="15" hidden="false" customHeight="false" outlineLevel="0" collapsed="false">
      <c r="A43" s="2" t="n">
        <v>42</v>
      </c>
      <c r="B43" s="2" t="s">
        <v>282</v>
      </c>
      <c r="C43" s="2" t="s">
        <v>283</v>
      </c>
      <c r="D43" s="2" t="s">
        <v>284</v>
      </c>
      <c r="E43" s="2" t="s">
        <v>84</v>
      </c>
      <c r="F43" s="2" t="s">
        <v>44</v>
      </c>
      <c r="G43" s="2" t="s">
        <v>44</v>
      </c>
      <c r="H43" s="2" t="s">
        <v>285</v>
      </c>
      <c r="I43" s="2" t="s">
        <v>46</v>
      </c>
      <c r="J43" s="2" t="s">
        <v>286</v>
      </c>
      <c r="K43" s="3" t="n">
        <v>63</v>
      </c>
      <c r="L43" s="3" t="n">
        <v>31180</v>
      </c>
      <c r="M43" s="3" t="n">
        <v>12820</v>
      </c>
      <c r="N43" s="3" t="n">
        <v>12696</v>
      </c>
      <c r="O43" s="3" t="n">
        <v>11844</v>
      </c>
      <c r="P43" s="3" t="n">
        <v>6516</v>
      </c>
      <c r="Q43" s="3" t="n">
        <v>0</v>
      </c>
      <c r="R43" s="3" t="n">
        <v>0</v>
      </c>
      <c r="S43" s="3" t="n">
        <v>208</v>
      </c>
      <c r="T43" s="3" t="n">
        <v>178</v>
      </c>
      <c r="U43" s="3" t="n">
        <v>7</v>
      </c>
      <c r="V43" s="3" t="n">
        <v>12</v>
      </c>
      <c r="W43" s="3" t="n">
        <v>3</v>
      </c>
      <c r="X43" s="3" t="n">
        <v>8</v>
      </c>
      <c r="Y43" s="3" t="n">
        <v>13</v>
      </c>
      <c r="Z43" s="3" t="n">
        <v>90</v>
      </c>
      <c r="AA43" s="3" t="n">
        <v>24</v>
      </c>
      <c r="AB43" s="3" t="n">
        <v>81</v>
      </c>
      <c r="AC43" s="2" t="s">
        <v>287</v>
      </c>
      <c r="AD43" s="3" t="n">
        <v>208</v>
      </c>
      <c r="AE43" s="2" t="n">
        <v>14</v>
      </c>
      <c r="AF43" s="2" t="n">
        <f aca="false">COUNTIFS(secondary_acts!$A$2:$A$771,$A43,secondary_acts!$E$2:$E$771,"implementing")</f>
        <v>1</v>
      </c>
      <c r="AG43" s="2" t="n">
        <f aca="false">COUNTIFS(secondary_acts!$A$2:$A$771,$A43,secondary_acts!$E$2:$E$771,"delegated")</f>
        <v>0</v>
      </c>
      <c r="AH43" s="2" t="n">
        <f aca="false">COUNTIFS(secondary_acts!$A$2:$A$771,$A43,secondary_acts!$E$2:$E$771,"other Commission/Council act")</f>
        <v>0</v>
      </c>
      <c r="AI43" s="2" t="n">
        <f aca="false">COUNTIFS(secondary_acts!$A$2:$A$771,$A43,secondary_acts!$E$2:$E$771,"guidance")</f>
        <v>0</v>
      </c>
      <c r="AJ43" s="2" t="n">
        <f aca="false">COUNTIF(guidance_web!$A$2:$A$7,$A43)</f>
        <v>0</v>
      </c>
      <c r="AK43" s="3" t="n">
        <f aca="false">SUMIFS(secondary_acts!$S$2:$S$771,secondary_acts!$A$2:$A$771,$A43,secondary_acts!$E$2:$E$771,"implementing")+SUMIFS(secondary_acts!$S$2:$S$771,secondary_acts!$A$2:$A$771,$A43,secondary_acts!$E$2:$E$771,"delegated")</f>
        <v>59</v>
      </c>
      <c r="AL43" s="3"/>
      <c r="AM43" s="2"/>
      <c r="AN43" s="2"/>
    </row>
    <row r="44" customFormat="false" ht="15" hidden="false" customHeight="false" outlineLevel="0" collapsed="false">
      <c r="A44" s="2" t="n">
        <v>43</v>
      </c>
      <c r="B44" s="2" t="s">
        <v>288</v>
      </c>
      <c r="C44" s="2" t="s">
        <v>289</v>
      </c>
      <c r="D44" s="2" t="s">
        <v>290</v>
      </c>
      <c r="E44" s="2" t="s">
        <v>84</v>
      </c>
      <c r="F44" s="2" t="s">
        <v>44</v>
      </c>
      <c r="G44" s="2" t="s">
        <v>44</v>
      </c>
      <c r="H44" s="2" t="s">
        <v>291</v>
      </c>
      <c r="I44" s="2" t="s">
        <v>46</v>
      </c>
      <c r="J44" s="2" t="s">
        <v>292</v>
      </c>
      <c r="K44" s="3" t="n">
        <v>28</v>
      </c>
      <c r="L44" s="3" t="n">
        <v>14648</v>
      </c>
      <c r="M44" s="3" t="n">
        <v>8645</v>
      </c>
      <c r="N44" s="3" t="n">
        <v>8528</v>
      </c>
      <c r="O44" s="3" t="n">
        <v>5395</v>
      </c>
      <c r="P44" s="3" t="n">
        <v>608</v>
      </c>
      <c r="Q44" s="3" t="n">
        <v>0</v>
      </c>
      <c r="R44" s="3" t="n">
        <v>0</v>
      </c>
      <c r="S44" s="3" t="n">
        <v>98</v>
      </c>
      <c r="T44" s="3" t="n">
        <v>79</v>
      </c>
      <c r="U44" s="3" t="n">
        <v>11</v>
      </c>
      <c r="V44" s="3" t="n">
        <v>0</v>
      </c>
      <c r="W44" s="3" t="n">
        <v>4</v>
      </c>
      <c r="X44" s="3" t="n">
        <v>4</v>
      </c>
      <c r="Y44" s="3" t="n">
        <v>8</v>
      </c>
      <c r="Z44" s="3" t="n">
        <v>39</v>
      </c>
      <c r="AA44" s="3" t="n">
        <v>11</v>
      </c>
      <c r="AB44" s="3" t="n">
        <v>40</v>
      </c>
      <c r="AC44" s="2"/>
      <c r="AD44" s="3"/>
      <c r="AE44" s="2"/>
      <c r="AF44" s="2" t="n">
        <f aca="false">COUNTIFS(secondary_acts!$A$2:$A$771,$A44,secondary_acts!$E$2:$E$771,"implementing")</f>
        <v>1</v>
      </c>
      <c r="AG44" s="2" t="n">
        <f aca="false">COUNTIFS(secondary_acts!$A$2:$A$771,$A44,secondary_acts!$E$2:$E$771,"delegated")</f>
        <v>0</v>
      </c>
      <c r="AH44" s="2" t="n">
        <f aca="false">COUNTIFS(secondary_acts!$A$2:$A$771,$A44,secondary_acts!$E$2:$E$771,"other Commission/Council act")</f>
        <v>0</v>
      </c>
      <c r="AI44" s="2" t="n">
        <f aca="false">COUNTIFS(secondary_acts!$A$2:$A$771,$A44,secondary_acts!$E$2:$E$771,"guidance")</f>
        <v>0</v>
      </c>
      <c r="AJ44" s="2" t="n">
        <f aca="false">COUNTIF(guidance_web!$A$2:$A$7,$A44)</f>
        <v>0</v>
      </c>
      <c r="AK44" s="3" t="n">
        <f aca="false">SUMIFS(secondary_acts!$S$2:$S$771,secondary_acts!$A$2:$A$771,$A44,secondary_acts!$E$2:$E$771,"implementing")+SUMIFS(secondary_acts!$S$2:$S$771,secondary_acts!$A$2:$A$771,$A44,secondary_acts!$E$2:$E$771,"delegated")</f>
        <v>59</v>
      </c>
      <c r="AL44" s="3" t="n">
        <v>1064</v>
      </c>
      <c r="AM44" s="2" t="n">
        <v>27</v>
      </c>
      <c r="AN44" s="2"/>
    </row>
    <row r="45" customFormat="false" ht="15" hidden="false" customHeight="false" outlineLevel="0" collapsed="false">
      <c r="A45" s="2" t="n">
        <v>44</v>
      </c>
      <c r="B45" s="2" t="s">
        <v>293</v>
      </c>
      <c r="C45" s="2" t="s">
        <v>294</v>
      </c>
      <c r="D45" s="2" t="s">
        <v>295</v>
      </c>
      <c r="E45" s="2" t="s">
        <v>84</v>
      </c>
      <c r="F45" s="2" t="s">
        <v>44</v>
      </c>
      <c r="G45" s="2" t="s">
        <v>44</v>
      </c>
      <c r="H45" s="2" t="s">
        <v>296</v>
      </c>
      <c r="I45" s="2" t="s">
        <v>46</v>
      </c>
      <c r="J45" s="2" t="s">
        <v>297</v>
      </c>
      <c r="K45" s="3" t="n">
        <v>23</v>
      </c>
      <c r="L45" s="3" t="n">
        <v>14939</v>
      </c>
      <c r="M45" s="3" t="n">
        <v>8985</v>
      </c>
      <c r="N45" s="3" t="n">
        <v>8863</v>
      </c>
      <c r="O45" s="3" t="n">
        <v>5954</v>
      </c>
      <c r="P45" s="3" t="n">
        <v>0</v>
      </c>
      <c r="Q45" s="3" t="n">
        <v>0</v>
      </c>
      <c r="R45" s="3" t="n">
        <v>0</v>
      </c>
      <c r="S45" s="3" t="n">
        <v>78</v>
      </c>
      <c r="T45" s="3" t="n">
        <v>70</v>
      </c>
      <c r="U45" s="3" t="n">
        <v>1</v>
      </c>
      <c r="V45" s="3" t="n">
        <v>1</v>
      </c>
      <c r="W45" s="3" t="n">
        <v>1</v>
      </c>
      <c r="X45" s="3" t="n">
        <v>5</v>
      </c>
      <c r="Y45" s="3" t="n">
        <v>40</v>
      </c>
      <c r="Z45" s="3" t="n">
        <v>8</v>
      </c>
      <c r="AA45" s="3" t="n">
        <v>13</v>
      </c>
      <c r="AB45" s="3" t="n">
        <v>17</v>
      </c>
      <c r="AC45" s="2" t="s">
        <v>298</v>
      </c>
      <c r="AD45" s="3" t="n">
        <v>78</v>
      </c>
      <c r="AE45" s="2" t="n">
        <v>40</v>
      </c>
      <c r="AF45" s="2" t="n">
        <f aca="false">COUNTIFS(secondary_acts!$A$2:$A$771,$A45,secondary_acts!$E$2:$E$771,"implementing")</f>
        <v>0</v>
      </c>
      <c r="AG45" s="2" t="n">
        <f aca="false">COUNTIFS(secondary_acts!$A$2:$A$771,$A45,secondary_acts!$E$2:$E$771,"delegated")</f>
        <v>0</v>
      </c>
      <c r="AH45" s="2" t="n">
        <f aca="false">COUNTIFS(secondary_acts!$A$2:$A$771,$A45,secondary_acts!$E$2:$E$771,"other Commission/Council act")</f>
        <v>0</v>
      </c>
      <c r="AI45" s="2" t="n">
        <f aca="false">COUNTIFS(secondary_acts!$A$2:$A$771,$A45,secondary_acts!$E$2:$E$771,"guidance")</f>
        <v>1</v>
      </c>
      <c r="AJ45" s="2" t="n">
        <f aca="false">COUNTIF(guidance_web!$A$2:$A$7,$A45)</f>
        <v>0</v>
      </c>
      <c r="AK45" s="3" t="n">
        <f aca="false">SUMIFS(secondary_acts!$S$2:$S$771,secondary_acts!$A$2:$A$771,$A45,secondary_acts!$E$2:$E$771,"implementing")+SUMIFS(secondary_acts!$S$2:$S$771,secondary_acts!$A$2:$A$771,$A45,secondary_acts!$E$2:$E$771,"delegated")</f>
        <v>0</v>
      </c>
      <c r="AL45" s="3"/>
      <c r="AM45" s="2"/>
      <c r="AN45" s="2" t="s">
        <v>62</v>
      </c>
    </row>
    <row r="46" customFormat="false" ht="15" hidden="false" customHeight="false" outlineLevel="0" collapsed="false">
      <c r="A46" s="2" t="n">
        <v>45</v>
      </c>
      <c r="B46" s="2" t="s">
        <v>299</v>
      </c>
      <c r="C46" s="2" t="s">
        <v>300</v>
      </c>
      <c r="D46" s="2" t="s">
        <v>301</v>
      </c>
      <c r="E46" s="2" t="s">
        <v>84</v>
      </c>
      <c r="F46" s="2" t="s">
        <v>44</v>
      </c>
      <c r="G46" s="2" t="s">
        <v>44</v>
      </c>
      <c r="H46" s="2" t="s">
        <v>302</v>
      </c>
      <c r="I46" s="2" t="s">
        <v>46</v>
      </c>
      <c r="J46" s="2" t="s">
        <v>303</v>
      </c>
      <c r="K46" s="3" t="n">
        <v>34</v>
      </c>
      <c r="L46" s="3" t="n">
        <v>17444</v>
      </c>
      <c r="M46" s="3" t="n">
        <v>6687</v>
      </c>
      <c r="N46" s="3" t="n">
        <v>6557</v>
      </c>
      <c r="O46" s="3" t="n">
        <v>7371</v>
      </c>
      <c r="P46" s="3" t="n">
        <v>3386</v>
      </c>
      <c r="Q46" s="3" t="n">
        <v>0</v>
      </c>
      <c r="R46" s="3" t="n">
        <v>0</v>
      </c>
      <c r="S46" s="3" t="n">
        <v>132</v>
      </c>
      <c r="T46" s="3" t="n">
        <v>115</v>
      </c>
      <c r="U46" s="3" t="n">
        <v>3</v>
      </c>
      <c r="V46" s="3" t="n">
        <v>1</v>
      </c>
      <c r="W46" s="3" t="n">
        <v>1</v>
      </c>
      <c r="X46" s="3" t="n">
        <v>12</v>
      </c>
      <c r="Y46" s="3" t="n">
        <v>8</v>
      </c>
      <c r="Z46" s="3" t="n">
        <v>2</v>
      </c>
      <c r="AA46" s="3" t="n">
        <v>45</v>
      </c>
      <c r="AB46" s="3" t="n">
        <v>77</v>
      </c>
      <c r="AC46" s="2" t="s">
        <v>304</v>
      </c>
      <c r="AD46" s="3" t="n">
        <v>143</v>
      </c>
      <c r="AE46" s="2" t="n">
        <v>8</v>
      </c>
      <c r="AF46" s="2" t="n">
        <f aca="false">COUNTIFS(secondary_acts!$A$2:$A$771,$A46,secondary_acts!$E$2:$E$771,"implementing")</f>
        <v>1</v>
      </c>
      <c r="AG46" s="2" t="n">
        <f aca="false">COUNTIFS(secondary_acts!$A$2:$A$771,$A46,secondary_acts!$E$2:$E$771,"delegated")</f>
        <v>0</v>
      </c>
      <c r="AH46" s="2" t="n">
        <f aca="false">COUNTIFS(secondary_acts!$A$2:$A$771,$A46,secondary_acts!$E$2:$E$771,"other Commission/Council act")</f>
        <v>0</v>
      </c>
      <c r="AI46" s="2" t="n">
        <f aca="false">COUNTIFS(secondary_acts!$A$2:$A$771,$A46,secondary_acts!$E$2:$E$771,"guidance")</f>
        <v>0</v>
      </c>
      <c r="AJ46" s="2" t="n">
        <f aca="false">COUNTIF(guidance_web!$A$2:$A$7,$A46)</f>
        <v>0</v>
      </c>
      <c r="AK46" s="3" t="n">
        <f aca="false">SUMIFS(secondary_acts!$S$2:$S$771,secondary_acts!$A$2:$A$771,$A46,secondary_acts!$E$2:$E$771,"implementing")+SUMIFS(secondary_acts!$S$2:$S$771,secondary_acts!$A$2:$A$771,$A46,secondary_acts!$E$2:$E$771,"delegated")</f>
        <v>0</v>
      </c>
      <c r="AL46" s="3"/>
      <c r="AM46" s="2"/>
      <c r="AN46" s="2"/>
    </row>
    <row r="47" customFormat="false" ht="15" hidden="false" customHeight="false" outlineLevel="0" collapsed="false">
      <c r="A47" s="2" t="n">
        <v>46</v>
      </c>
      <c r="B47" s="2" t="s">
        <v>305</v>
      </c>
      <c r="C47" s="2" t="s">
        <v>306</v>
      </c>
      <c r="D47" s="2" t="s">
        <v>301</v>
      </c>
      <c r="E47" s="2" t="s">
        <v>84</v>
      </c>
      <c r="F47" s="2" t="s">
        <v>44</v>
      </c>
      <c r="G47" s="2" t="s">
        <v>44</v>
      </c>
      <c r="H47" s="2" t="s">
        <v>307</v>
      </c>
      <c r="I47" s="2" t="s">
        <v>46</v>
      </c>
      <c r="J47" s="2" t="s">
        <v>308</v>
      </c>
      <c r="K47" s="3" t="n">
        <v>60</v>
      </c>
      <c r="L47" s="3" t="n">
        <v>32522</v>
      </c>
      <c r="M47" s="3" t="n">
        <v>9593</v>
      </c>
      <c r="N47" s="3" t="n">
        <v>9470</v>
      </c>
      <c r="O47" s="3" t="n">
        <v>16804</v>
      </c>
      <c r="P47" s="3" t="n">
        <v>6125</v>
      </c>
      <c r="Q47" s="3" t="n">
        <v>0</v>
      </c>
      <c r="R47" s="3" t="n">
        <v>0</v>
      </c>
      <c r="S47" s="3" t="n">
        <v>262</v>
      </c>
      <c r="T47" s="3" t="n">
        <v>247</v>
      </c>
      <c r="U47" s="3" t="n">
        <v>6</v>
      </c>
      <c r="V47" s="3" t="n">
        <v>3</v>
      </c>
      <c r="W47" s="3" t="n">
        <v>0</v>
      </c>
      <c r="X47" s="3" t="n">
        <v>6</v>
      </c>
      <c r="Y47" s="3" t="n">
        <v>18</v>
      </c>
      <c r="Z47" s="3" t="n">
        <v>9</v>
      </c>
      <c r="AA47" s="3" t="n">
        <v>101</v>
      </c>
      <c r="AB47" s="3" t="n">
        <v>134</v>
      </c>
      <c r="AC47" s="2" t="s">
        <v>309</v>
      </c>
      <c r="AD47" s="3" t="n">
        <v>285</v>
      </c>
      <c r="AE47" s="2" t="n">
        <v>21</v>
      </c>
      <c r="AF47" s="2" t="n">
        <f aca="false">COUNTIFS(secondary_acts!$A$2:$A$771,$A47,secondary_acts!$E$2:$E$771,"implementing")</f>
        <v>2</v>
      </c>
      <c r="AG47" s="2" t="n">
        <f aca="false">COUNTIFS(secondary_acts!$A$2:$A$771,$A47,secondary_acts!$E$2:$E$771,"delegated")</f>
        <v>3</v>
      </c>
      <c r="AH47" s="2" t="n">
        <f aca="false">COUNTIFS(secondary_acts!$A$2:$A$771,$A47,secondary_acts!$E$2:$E$771,"other Commission/Council act")</f>
        <v>0</v>
      </c>
      <c r="AI47" s="2" t="n">
        <f aca="false">COUNTIFS(secondary_acts!$A$2:$A$771,$A47,secondary_acts!$E$2:$E$771,"guidance")</f>
        <v>2</v>
      </c>
      <c r="AJ47" s="2" t="n">
        <f aca="false">COUNTIF(guidance_web!$A$2:$A$7,$A47)</f>
        <v>0</v>
      </c>
      <c r="AK47" s="3" t="n">
        <f aca="false">SUMIFS(secondary_acts!$S$2:$S$771,secondary_acts!$A$2:$A$771,$A47,secondary_acts!$E$2:$E$771,"implementing")+SUMIFS(secondary_acts!$S$2:$S$771,secondary_acts!$A$2:$A$771,$A47,secondary_acts!$E$2:$E$771,"delegated")</f>
        <v>300</v>
      </c>
      <c r="AL47" s="3"/>
      <c r="AM47" s="2"/>
      <c r="AN47" s="2"/>
    </row>
    <row r="48" customFormat="false" ht="15" hidden="false" customHeight="false" outlineLevel="0" collapsed="false">
      <c r="A48" s="2" t="n">
        <v>47</v>
      </c>
      <c r="B48" s="2" t="s">
        <v>310</v>
      </c>
      <c r="C48" s="2" t="s">
        <v>311</v>
      </c>
      <c r="D48" s="2" t="s">
        <v>301</v>
      </c>
      <c r="E48" s="2" t="s">
        <v>84</v>
      </c>
      <c r="F48" s="2" t="s">
        <v>44</v>
      </c>
      <c r="G48" s="2" t="s">
        <v>44</v>
      </c>
      <c r="H48" s="2" t="s">
        <v>312</v>
      </c>
      <c r="I48" s="2" t="s">
        <v>46</v>
      </c>
      <c r="J48" s="2" t="s">
        <v>313</v>
      </c>
      <c r="K48" s="3" t="n">
        <v>44</v>
      </c>
      <c r="L48" s="3" t="n">
        <v>21097</v>
      </c>
      <c r="M48" s="3" t="n">
        <v>7484</v>
      </c>
      <c r="N48" s="3" t="n">
        <v>7350</v>
      </c>
      <c r="O48" s="3" t="n">
        <v>9591</v>
      </c>
      <c r="P48" s="3" t="n">
        <v>4022</v>
      </c>
      <c r="Q48" s="3" t="n">
        <v>0</v>
      </c>
      <c r="R48" s="3" t="n">
        <v>0</v>
      </c>
      <c r="S48" s="3" t="n">
        <v>138</v>
      </c>
      <c r="T48" s="3" t="n">
        <v>117</v>
      </c>
      <c r="U48" s="3" t="n">
        <v>16</v>
      </c>
      <c r="V48" s="3" t="n">
        <v>2</v>
      </c>
      <c r="W48" s="3" t="n">
        <v>1</v>
      </c>
      <c r="X48" s="3" t="n">
        <v>2</v>
      </c>
      <c r="Y48" s="3" t="n">
        <v>11</v>
      </c>
      <c r="Z48" s="3" t="n">
        <v>6</v>
      </c>
      <c r="AA48" s="3" t="n">
        <v>37</v>
      </c>
      <c r="AB48" s="3" t="n">
        <v>84</v>
      </c>
      <c r="AC48" s="2" t="s">
        <v>314</v>
      </c>
      <c r="AD48" s="3" t="n">
        <v>141</v>
      </c>
      <c r="AE48" s="2" t="n">
        <v>11</v>
      </c>
      <c r="AF48" s="2" t="n">
        <f aca="false">COUNTIFS(secondary_acts!$A$2:$A$771,$A48,secondary_acts!$E$2:$E$771,"implementing")</f>
        <v>1</v>
      </c>
      <c r="AG48" s="2" t="n">
        <f aca="false">COUNTIFS(secondary_acts!$A$2:$A$771,$A48,secondary_acts!$E$2:$E$771,"delegated")</f>
        <v>6</v>
      </c>
      <c r="AH48" s="2" t="n">
        <f aca="false">COUNTIFS(secondary_acts!$A$2:$A$771,$A48,secondary_acts!$E$2:$E$771,"other Commission/Council act")</f>
        <v>0</v>
      </c>
      <c r="AI48" s="2" t="n">
        <f aca="false">COUNTIFS(secondary_acts!$A$2:$A$771,$A48,secondary_acts!$E$2:$E$771,"guidance")</f>
        <v>1</v>
      </c>
      <c r="AJ48" s="2" t="n">
        <f aca="false">COUNTIF(guidance_web!$A$2:$A$7,$A48)</f>
        <v>0</v>
      </c>
      <c r="AK48" s="3" t="n">
        <f aca="false">SUMIFS(secondary_acts!$S$2:$S$771,secondary_acts!$A$2:$A$771,$A48,secondary_acts!$E$2:$E$771,"implementing")+SUMIFS(secondary_acts!$S$2:$S$771,secondary_acts!$A$2:$A$771,$A48,secondary_acts!$E$2:$E$771,"delegated")</f>
        <v>53</v>
      </c>
      <c r="AL48" s="3"/>
      <c r="AM48" s="2"/>
      <c r="AN48" s="2"/>
    </row>
    <row r="49" customFormat="false" ht="15" hidden="false" customHeight="false" outlineLevel="0" collapsed="false">
      <c r="A49" s="2" t="n">
        <v>48</v>
      </c>
      <c r="B49" s="2" t="s">
        <v>315</v>
      </c>
      <c r="C49" s="2" t="s">
        <v>316</v>
      </c>
      <c r="D49" s="2" t="s">
        <v>317</v>
      </c>
      <c r="E49" s="2" t="s">
        <v>84</v>
      </c>
      <c r="F49" s="2" t="s">
        <v>44</v>
      </c>
      <c r="G49" s="2" t="s">
        <v>44</v>
      </c>
      <c r="H49" s="2" t="s">
        <v>318</v>
      </c>
      <c r="I49" s="2" t="s">
        <v>46</v>
      </c>
      <c r="J49" s="2" t="s">
        <v>319</v>
      </c>
      <c r="K49" s="3" t="n">
        <v>68</v>
      </c>
      <c r="L49" s="3" t="n">
        <v>35488</v>
      </c>
      <c r="M49" s="3" t="n">
        <v>8462</v>
      </c>
      <c r="N49" s="3" t="n">
        <v>8304</v>
      </c>
      <c r="O49" s="3" t="n">
        <v>18587</v>
      </c>
      <c r="P49" s="3" t="n">
        <v>8439</v>
      </c>
      <c r="Q49" s="3" t="n">
        <v>0</v>
      </c>
      <c r="R49" s="3" t="n">
        <v>0</v>
      </c>
      <c r="S49" s="3" t="n">
        <v>365</v>
      </c>
      <c r="T49" s="3" t="n">
        <v>304</v>
      </c>
      <c r="U49" s="3" t="n">
        <v>17</v>
      </c>
      <c r="V49" s="3" t="n">
        <v>1</v>
      </c>
      <c r="W49" s="3" t="n">
        <v>4</v>
      </c>
      <c r="X49" s="3" t="n">
        <v>39</v>
      </c>
      <c r="Y49" s="3" t="n">
        <v>52</v>
      </c>
      <c r="Z49" s="3" t="n">
        <v>6</v>
      </c>
      <c r="AA49" s="3" t="n">
        <v>66</v>
      </c>
      <c r="AB49" s="3" t="n">
        <v>241</v>
      </c>
      <c r="AC49" s="2" t="s">
        <v>320</v>
      </c>
      <c r="AD49" s="3" t="n">
        <v>372</v>
      </c>
      <c r="AE49" s="2" t="n">
        <v>55</v>
      </c>
      <c r="AF49" s="2" t="n">
        <f aca="false">COUNTIFS(secondary_acts!$A$2:$A$771,$A49,secondary_acts!$E$2:$E$771,"implementing")</f>
        <v>0</v>
      </c>
      <c r="AG49" s="2" t="n">
        <f aca="false">COUNTIFS(secondary_acts!$A$2:$A$771,$A49,secondary_acts!$E$2:$E$771,"delegated")</f>
        <v>0</v>
      </c>
      <c r="AH49" s="2" t="n">
        <f aca="false">COUNTIFS(secondary_acts!$A$2:$A$771,$A49,secondary_acts!$E$2:$E$771,"other Commission/Council act")</f>
        <v>0</v>
      </c>
      <c r="AI49" s="2" t="n">
        <f aca="false">COUNTIFS(secondary_acts!$A$2:$A$771,$A49,secondary_acts!$E$2:$E$771,"guidance")</f>
        <v>0</v>
      </c>
      <c r="AJ49" s="2" t="n">
        <f aca="false">COUNTIF(guidance_web!$A$2:$A$7,$A49)</f>
        <v>0</v>
      </c>
      <c r="AK49" s="3" t="n">
        <f aca="false">SUMIFS(secondary_acts!$S$2:$S$771,secondary_acts!$A$2:$A$771,$A49,secondary_acts!$E$2:$E$771,"implementing")+SUMIFS(secondary_acts!$S$2:$S$771,secondary_acts!$A$2:$A$771,$A49,secondary_acts!$E$2:$E$771,"delegated")</f>
        <v>0</v>
      </c>
      <c r="AL49" s="3"/>
      <c r="AM49" s="2"/>
      <c r="AN49" s="2"/>
    </row>
    <row r="50" customFormat="false" ht="15" hidden="false" customHeight="false" outlineLevel="0" collapsed="false">
      <c r="A50" s="2" t="n">
        <v>49</v>
      </c>
      <c r="B50" s="2" t="s">
        <v>321</v>
      </c>
      <c r="C50" s="2" t="s">
        <v>322</v>
      </c>
      <c r="D50" s="2" t="s">
        <v>317</v>
      </c>
      <c r="E50" s="2" t="s">
        <v>84</v>
      </c>
      <c r="F50" s="2" t="s">
        <v>44</v>
      </c>
      <c r="G50" s="2" t="s">
        <v>44</v>
      </c>
      <c r="H50" s="2" t="s">
        <v>323</v>
      </c>
      <c r="I50" s="2" t="s">
        <v>46</v>
      </c>
      <c r="J50" s="2" t="s">
        <v>324</v>
      </c>
      <c r="K50" s="3" t="n">
        <v>47</v>
      </c>
      <c r="L50" s="3" t="n">
        <v>25687</v>
      </c>
      <c r="M50" s="3" t="n">
        <v>12659</v>
      </c>
      <c r="N50" s="3" t="n">
        <v>12483</v>
      </c>
      <c r="O50" s="3" t="n">
        <v>8347</v>
      </c>
      <c r="P50" s="3" t="n">
        <v>4681</v>
      </c>
      <c r="Q50" s="3" t="n">
        <v>0</v>
      </c>
      <c r="R50" s="3" t="n">
        <v>0</v>
      </c>
      <c r="S50" s="3" t="n">
        <v>78</v>
      </c>
      <c r="T50" s="3" t="n">
        <v>74</v>
      </c>
      <c r="U50" s="3" t="n">
        <v>3</v>
      </c>
      <c r="V50" s="3" t="n">
        <v>0</v>
      </c>
      <c r="W50" s="3" t="n">
        <v>0</v>
      </c>
      <c r="X50" s="3" t="n">
        <v>1</v>
      </c>
      <c r="Y50" s="3" t="n">
        <v>2</v>
      </c>
      <c r="Z50" s="3" t="n">
        <v>3</v>
      </c>
      <c r="AA50" s="3" t="n">
        <v>32</v>
      </c>
      <c r="AB50" s="3" t="n">
        <v>41</v>
      </c>
      <c r="AC50" s="2" t="s">
        <v>325</v>
      </c>
      <c r="AD50" s="3" t="n">
        <v>78</v>
      </c>
      <c r="AE50" s="2" t="n">
        <v>2</v>
      </c>
      <c r="AF50" s="2" t="n">
        <f aca="false">COUNTIFS(secondary_acts!$A$2:$A$771,$A50,secondary_acts!$E$2:$E$771,"implementing")</f>
        <v>0</v>
      </c>
      <c r="AG50" s="2" t="n">
        <f aca="false">COUNTIFS(secondary_acts!$A$2:$A$771,$A50,secondary_acts!$E$2:$E$771,"delegated")</f>
        <v>1</v>
      </c>
      <c r="AH50" s="2" t="n">
        <f aca="false">COUNTIFS(secondary_acts!$A$2:$A$771,$A50,secondary_acts!$E$2:$E$771,"other Commission/Council act")</f>
        <v>0</v>
      </c>
      <c r="AI50" s="2" t="n">
        <f aca="false">COUNTIFS(secondary_acts!$A$2:$A$771,$A50,secondary_acts!$E$2:$E$771,"guidance")</f>
        <v>0</v>
      </c>
      <c r="AJ50" s="2" t="n">
        <f aca="false">COUNTIF(guidance_web!$A$2:$A$7,$A50)</f>
        <v>0</v>
      </c>
      <c r="AK50" s="3" t="n">
        <f aca="false">SUMIFS(secondary_acts!$S$2:$S$771,secondary_acts!$A$2:$A$771,$A50,secondary_acts!$E$2:$E$771,"implementing")+SUMIFS(secondary_acts!$S$2:$S$771,secondary_acts!$A$2:$A$771,$A50,secondary_acts!$E$2:$E$771,"delegated")</f>
        <v>7</v>
      </c>
      <c r="AL50" s="3"/>
      <c r="AM50" s="2"/>
      <c r="AN50" s="2" t="s">
        <v>62</v>
      </c>
    </row>
    <row r="51" customFormat="false" ht="15" hidden="false" customHeight="false" outlineLevel="0" collapsed="false">
      <c r="A51" s="2" t="n">
        <v>50</v>
      </c>
      <c r="B51" s="2" t="s">
        <v>326</v>
      </c>
      <c r="C51" s="2" t="s">
        <v>327</v>
      </c>
      <c r="D51" s="2" t="s">
        <v>328</v>
      </c>
      <c r="E51" s="2" t="s">
        <v>84</v>
      </c>
      <c r="F51" s="2" t="s">
        <v>44</v>
      </c>
      <c r="G51" s="2" t="s">
        <v>44</v>
      </c>
      <c r="H51" s="2" t="s">
        <v>329</v>
      </c>
      <c r="I51" s="2" t="s">
        <v>46</v>
      </c>
      <c r="J51" s="2" t="s">
        <v>330</v>
      </c>
      <c r="K51" s="3" t="n">
        <v>31</v>
      </c>
      <c r="L51" s="3" t="n">
        <v>18406</v>
      </c>
      <c r="M51" s="3" t="n">
        <v>4968</v>
      </c>
      <c r="N51" s="3" t="n">
        <v>4844</v>
      </c>
      <c r="O51" s="3" t="n">
        <v>13438</v>
      </c>
      <c r="P51" s="3" t="n">
        <v>0</v>
      </c>
      <c r="Q51" s="3" t="n">
        <v>0</v>
      </c>
      <c r="R51" s="3" t="n">
        <v>0</v>
      </c>
      <c r="S51" s="3" t="n">
        <v>241</v>
      </c>
      <c r="T51" s="3" t="n">
        <v>227</v>
      </c>
      <c r="U51" s="3" t="n">
        <v>7</v>
      </c>
      <c r="V51" s="3" t="n">
        <v>0</v>
      </c>
      <c r="W51" s="3" t="n">
        <v>0</v>
      </c>
      <c r="X51" s="3" t="n">
        <v>7</v>
      </c>
      <c r="Y51" s="3" t="n">
        <v>6</v>
      </c>
      <c r="Z51" s="3" t="n">
        <v>32</v>
      </c>
      <c r="AA51" s="3" t="n">
        <v>102</v>
      </c>
      <c r="AB51" s="3" t="n">
        <v>101</v>
      </c>
      <c r="AC51" s="2"/>
      <c r="AD51" s="3"/>
      <c r="AE51" s="2"/>
      <c r="AF51" s="2" t="n">
        <f aca="false">COUNTIFS(secondary_acts!$A$2:$A$771,$A51,secondary_acts!$E$2:$E$771,"implementing")</f>
        <v>0</v>
      </c>
      <c r="AG51" s="2" t="n">
        <f aca="false">COUNTIFS(secondary_acts!$A$2:$A$771,$A51,secondary_acts!$E$2:$E$771,"delegated")</f>
        <v>0</v>
      </c>
      <c r="AH51" s="2" t="n">
        <f aca="false">COUNTIFS(secondary_acts!$A$2:$A$771,$A51,secondary_acts!$E$2:$E$771,"other Commission/Council act")</f>
        <v>0</v>
      </c>
      <c r="AI51" s="2" t="n">
        <f aca="false">COUNTIFS(secondary_acts!$A$2:$A$771,$A51,secondary_acts!$E$2:$E$771,"guidance")</f>
        <v>0</v>
      </c>
      <c r="AJ51" s="2" t="n">
        <f aca="false">COUNTIF(guidance_web!$A$2:$A$7,$A51)</f>
        <v>0</v>
      </c>
      <c r="AK51" s="3" t="n">
        <f aca="false">SUMIFS(secondary_acts!$S$2:$S$771,secondary_acts!$A$2:$A$771,$A51,secondary_acts!$E$2:$E$771,"implementing")+SUMIFS(secondary_acts!$S$2:$S$771,secondary_acts!$A$2:$A$771,$A51,secondary_acts!$E$2:$E$771,"delegated")</f>
        <v>0</v>
      </c>
      <c r="AL51" s="3"/>
      <c r="AM51" s="2"/>
      <c r="AN51" s="2"/>
    </row>
    <row r="52" customFormat="false" ht="15" hidden="false" customHeight="false" outlineLevel="0" collapsed="false">
      <c r="A52" s="2" t="n">
        <v>51</v>
      </c>
      <c r="B52" s="2" t="s">
        <v>331</v>
      </c>
      <c r="C52" s="2" t="s">
        <v>332</v>
      </c>
      <c r="D52" s="2" t="s">
        <v>328</v>
      </c>
      <c r="E52" s="2" t="s">
        <v>84</v>
      </c>
      <c r="F52" s="2" t="s">
        <v>44</v>
      </c>
      <c r="G52" s="2" t="s">
        <v>44</v>
      </c>
      <c r="H52" s="2" t="s">
        <v>333</v>
      </c>
      <c r="I52" s="2" t="s">
        <v>46</v>
      </c>
      <c r="J52" s="2" t="s">
        <v>334</v>
      </c>
      <c r="K52" s="3" t="n">
        <v>31</v>
      </c>
      <c r="L52" s="3" t="n">
        <v>14863</v>
      </c>
      <c r="M52" s="3" t="n">
        <v>7025</v>
      </c>
      <c r="N52" s="3" t="n">
        <v>6914</v>
      </c>
      <c r="O52" s="3" t="n">
        <v>6635</v>
      </c>
      <c r="P52" s="3" t="n">
        <v>1203</v>
      </c>
      <c r="Q52" s="3" t="n">
        <v>0</v>
      </c>
      <c r="R52" s="3" t="n">
        <v>0</v>
      </c>
      <c r="S52" s="3" t="n">
        <v>118</v>
      </c>
      <c r="T52" s="3" t="n">
        <v>101</v>
      </c>
      <c r="U52" s="3" t="n">
        <v>6</v>
      </c>
      <c r="V52" s="3" t="n">
        <v>0</v>
      </c>
      <c r="W52" s="3" t="n">
        <v>1</v>
      </c>
      <c r="X52" s="3" t="n">
        <v>10</v>
      </c>
      <c r="Y52" s="3" t="n">
        <v>37</v>
      </c>
      <c r="Z52" s="3" t="n">
        <v>37</v>
      </c>
      <c r="AA52" s="3" t="n">
        <v>11</v>
      </c>
      <c r="AB52" s="3" t="n">
        <v>33</v>
      </c>
      <c r="AC52" s="2" t="s">
        <v>335</v>
      </c>
      <c r="AD52" s="3" t="n">
        <v>118</v>
      </c>
      <c r="AE52" s="2" t="n">
        <v>37</v>
      </c>
      <c r="AF52" s="2" t="n">
        <f aca="false">COUNTIFS(secondary_acts!$A$2:$A$771,$A52,secondary_acts!$E$2:$E$771,"implementing")</f>
        <v>0</v>
      </c>
      <c r="AG52" s="2" t="n">
        <f aca="false">COUNTIFS(secondary_acts!$A$2:$A$771,$A52,secondary_acts!$E$2:$E$771,"delegated")</f>
        <v>0</v>
      </c>
      <c r="AH52" s="2" t="n">
        <f aca="false">COUNTIFS(secondary_acts!$A$2:$A$771,$A52,secondary_acts!$E$2:$E$771,"other Commission/Council act")</f>
        <v>0</v>
      </c>
      <c r="AI52" s="2" t="n">
        <f aca="false">COUNTIFS(secondary_acts!$A$2:$A$771,$A52,secondary_acts!$E$2:$E$771,"guidance")</f>
        <v>0</v>
      </c>
      <c r="AJ52" s="2" t="n">
        <f aca="false">COUNTIF(guidance_web!$A$2:$A$7,$A52)</f>
        <v>0</v>
      </c>
      <c r="AK52" s="3" t="n">
        <f aca="false">SUMIFS(secondary_acts!$S$2:$S$771,secondary_acts!$A$2:$A$771,$A52,secondary_acts!$E$2:$E$771,"implementing")+SUMIFS(secondary_acts!$S$2:$S$771,secondary_acts!$A$2:$A$771,$A52,secondary_acts!$E$2:$E$771,"delegated")</f>
        <v>0</v>
      </c>
      <c r="AL52" s="3"/>
      <c r="AM52" s="2"/>
      <c r="AN52" s="2" t="s">
        <v>62</v>
      </c>
    </row>
    <row r="53" customFormat="false" ht="15" hidden="false" customHeight="false" outlineLevel="0" collapsed="false">
      <c r="A53" s="2" t="n">
        <v>52</v>
      </c>
      <c r="B53" s="2" t="s">
        <v>336</v>
      </c>
      <c r="C53" s="2" t="s">
        <v>337</v>
      </c>
      <c r="D53" s="2" t="s">
        <v>338</v>
      </c>
      <c r="E53" s="2" t="s">
        <v>84</v>
      </c>
      <c r="F53" s="2" t="s">
        <v>44</v>
      </c>
      <c r="G53" s="2" t="s">
        <v>44</v>
      </c>
      <c r="H53" s="2" t="s">
        <v>339</v>
      </c>
      <c r="I53" s="2" t="s">
        <v>46</v>
      </c>
      <c r="J53" s="2" t="s">
        <v>340</v>
      </c>
      <c r="K53" s="3" t="n">
        <v>59</v>
      </c>
      <c r="L53" s="3" t="n">
        <v>29391</v>
      </c>
      <c r="M53" s="3" t="n">
        <v>8842</v>
      </c>
      <c r="N53" s="3" t="n">
        <v>8721</v>
      </c>
      <c r="O53" s="3" t="n">
        <v>11556</v>
      </c>
      <c r="P53" s="3" t="n">
        <v>8993</v>
      </c>
      <c r="Q53" s="3" t="n">
        <v>0</v>
      </c>
      <c r="R53" s="3" t="n">
        <v>0</v>
      </c>
      <c r="S53" s="3" t="n">
        <v>189</v>
      </c>
      <c r="T53" s="3" t="n">
        <v>177</v>
      </c>
      <c r="U53" s="3" t="n">
        <v>7</v>
      </c>
      <c r="V53" s="3" t="n">
        <v>3</v>
      </c>
      <c r="W53" s="3" t="n">
        <v>1</v>
      </c>
      <c r="X53" s="3" t="n">
        <v>1</v>
      </c>
      <c r="Y53" s="3" t="n">
        <v>8</v>
      </c>
      <c r="Z53" s="3" t="n">
        <v>29</v>
      </c>
      <c r="AA53" s="3" t="n">
        <v>91</v>
      </c>
      <c r="AB53" s="3" t="n">
        <v>61</v>
      </c>
      <c r="AC53" s="2" t="s">
        <v>341</v>
      </c>
      <c r="AD53" s="3" t="n">
        <v>226</v>
      </c>
      <c r="AE53" s="2" t="n">
        <v>14</v>
      </c>
      <c r="AF53" s="2" t="n">
        <f aca="false">COUNTIFS(secondary_acts!$A$2:$A$771,$A53,secondary_acts!$E$2:$E$771,"implementing")</f>
        <v>1</v>
      </c>
      <c r="AG53" s="2" t="n">
        <f aca="false">COUNTIFS(secondary_acts!$A$2:$A$771,$A53,secondary_acts!$E$2:$E$771,"delegated")</f>
        <v>2</v>
      </c>
      <c r="AH53" s="2" t="n">
        <f aca="false">COUNTIFS(secondary_acts!$A$2:$A$771,$A53,secondary_acts!$E$2:$E$771,"other Commission/Council act")</f>
        <v>0</v>
      </c>
      <c r="AI53" s="2" t="n">
        <f aca="false">COUNTIFS(secondary_acts!$A$2:$A$771,$A53,secondary_acts!$E$2:$E$771,"guidance")</f>
        <v>4</v>
      </c>
      <c r="AJ53" s="2" t="n">
        <f aca="false">COUNTIF(guidance_web!$A$2:$A$7,$A53)</f>
        <v>0</v>
      </c>
      <c r="AK53" s="3" t="n">
        <f aca="false">SUMIFS(secondary_acts!$S$2:$S$771,secondary_acts!$A$2:$A$771,$A53,secondary_acts!$E$2:$E$771,"implementing")+SUMIFS(secondary_acts!$S$2:$S$771,secondary_acts!$A$2:$A$771,$A53,secondary_acts!$E$2:$E$771,"delegated")</f>
        <v>111</v>
      </c>
      <c r="AL53" s="3"/>
      <c r="AM53" s="2"/>
      <c r="AN53" s="2"/>
    </row>
    <row r="54" customFormat="false" ht="15" hidden="false" customHeight="false" outlineLevel="0" collapsed="false">
      <c r="A54" s="2" t="n">
        <v>53</v>
      </c>
      <c r="B54" s="2" t="s">
        <v>342</v>
      </c>
      <c r="C54" s="2" t="s">
        <v>343</v>
      </c>
      <c r="D54" s="2" t="s">
        <v>344</v>
      </c>
      <c r="E54" s="2" t="s">
        <v>84</v>
      </c>
      <c r="F54" s="2" t="s">
        <v>44</v>
      </c>
      <c r="G54" s="2" t="s">
        <v>44</v>
      </c>
      <c r="H54" s="2" t="s">
        <v>345</v>
      </c>
      <c r="I54" s="2" t="s">
        <v>46</v>
      </c>
      <c r="J54" s="2" t="s">
        <v>346</v>
      </c>
      <c r="K54" s="3" t="n">
        <v>11</v>
      </c>
      <c r="L54" s="3" t="n">
        <v>6315</v>
      </c>
      <c r="M54" s="3" t="n">
        <v>4021</v>
      </c>
      <c r="N54" s="3" t="n">
        <v>3869</v>
      </c>
      <c r="O54" s="3" t="n">
        <v>2294</v>
      </c>
      <c r="P54" s="3" t="n">
        <v>0</v>
      </c>
      <c r="Q54" s="3" t="n">
        <v>0</v>
      </c>
      <c r="R54" s="3" t="n">
        <v>0</v>
      </c>
      <c r="S54" s="3" t="n">
        <v>11</v>
      </c>
      <c r="T54" s="3" t="n">
        <v>11</v>
      </c>
      <c r="U54" s="3" t="n">
        <v>0</v>
      </c>
      <c r="V54" s="3" t="n">
        <v>0</v>
      </c>
      <c r="W54" s="3" t="n">
        <v>0</v>
      </c>
      <c r="X54" s="3" t="n">
        <v>0</v>
      </c>
      <c r="Y54" s="3" t="n">
        <v>2</v>
      </c>
      <c r="Z54" s="3" t="n">
        <v>1</v>
      </c>
      <c r="AA54" s="3" t="n">
        <v>7</v>
      </c>
      <c r="AB54" s="3" t="n">
        <v>1</v>
      </c>
      <c r="AC54" s="2" t="s">
        <v>347</v>
      </c>
      <c r="AD54" s="3" t="n">
        <v>16</v>
      </c>
      <c r="AE54" s="2" t="n">
        <v>2</v>
      </c>
      <c r="AF54" s="2" t="n">
        <f aca="false">COUNTIFS(secondary_acts!$A$2:$A$771,$A54,secondary_acts!$E$2:$E$771,"implementing")</f>
        <v>1</v>
      </c>
      <c r="AG54" s="2" t="n">
        <f aca="false">COUNTIFS(secondary_acts!$A$2:$A$771,$A54,secondary_acts!$E$2:$E$771,"delegated")</f>
        <v>0</v>
      </c>
      <c r="AH54" s="2" t="n">
        <f aca="false">COUNTIFS(secondary_acts!$A$2:$A$771,$A54,secondary_acts!$E$2:$E$771,"other Commission/Council act")</f>
        <v>0</v>
      </c>
      <c r="AI54" s="2" t="n">
        <f aca="false">COUNTIFS(secondary_acts!$A$2:$A$771,$A54,secondary_acts!$E$2:$E$771,"guidance")</f>
        <v>0</v>
      </c>
      <c r="AJ54" s="2" t="n">
        <f aca="false">COUNTIF(guidance_web!$A$2:$A$7,$A54)</f>
        <v>0</v>
      </c>
      <c r="AK54" s="3" t="n">
        <f aca="false">SUMIFS(secondary_acts!$S$2:$S$771,secondary_acts!$A$2:$A$771,$A54,secondary_acts!$E$2:$E$771,"implementing")+SUMIFS(secondary_acts!$S$2:$S$771,secondary_acts!$A$2:$A$771,$A54,secondary_acts!$E$2:$E$771,"delegated")</f>
        <v>1</v>
      </c>
      <c r="AL54" s="3"/>
      <c r="AM54" s="2"/>
      <c r="AN54" s="2"/>
    </row>
    <row r="55" customFormat="false" ht="15" hidden="false" customHeight="false" outlineLevel="0" collapsed="false">
      <c r="A55" s="2" t="n">
        <v>54</v>
      </c>
      <c r="B55" s="2" t="s">
        <v>348</v>
      </c>
      <c r="C55" s="2" t="s">
        <v>349</v>
      </c>
      <c r="D55" s="2" t="s">
        <v>350</v>
      </c>
      <c r="E55" s="2" t="s">
        <v>84</v>
      </c>
      <c r="F55" s="2" t="s">
        <v>44</v>
      </c>
      <c r="G55" s="2" t="s">
        <v>44</v>
      </c>
      <c r="H55" s="2" t="s">
        <v>351</v>
      </c>
      <c r="I55" s="2" t="s">
        <v>46</v>
      </c>
      <c r="J55" s="2" t="s">
        <v>352</v>
      </c>
      <c r="K55" s="3" t="n">
        <v>49</v>
      </c>
      <c r="L55" s="3" t="n">
        <v>26545</v>
      </c>
      <c r="M55" s="3" t="n">
        <v>7467</v>
      </c>
      <c r="N55" s="3" t="n">
        <v>7367</v>
      </c>
      <c r="O55" s="3" t="n">
        <v>11295</v>
      </c>
      <c r="P55" s="3" t="n">
        <v>7783</v>
      </c>
      <c r="Q55" s="3" t="n">
        <v>0</v>
      </c>
      <c r="R55" s="3" t="n">
        <v>0</v>
      </c>
      <c r="S55" s="3" t="n">
        <v>340</v>
      </c>
      <c r="T55" s="3" t="n">
        <v>313</v>
      </c>
      <c r="U55" s="3" t="n">
        <v>18</v>
      </c>
      <c r="V55" s="3" t="n">
        <v>3</v>
      </c>
      <c r="W55" s="3" t="n">
        <v>1</v>
      </c>
      <c r="X55" s="3" t="n">
        <v>5</v>
      </c>
      <c r="Y55" s="3" t="n">
        <v>33</v>
      </c>
      <c r="Z55" s="3" t="n">
        <v>7</v>
      </c>
      <c r="AA55" s="3" t="n">
        <v>204</v>
      </c>
      <c r="AB55" s="3" t="n">
        <v>96</v>
      </c>
      <c r="AC55" s="2" t="s">
        <v>353</v>
      </c>
      <c r="AD55" s="3" t="n">
        <v>438</v>
      </c>
      <c r="AE55" s="2" t="n">
        <v>47</v>
      </c>
      <c r="AF55" s="2" t="n">
        <f aca="false">COUNTIFS(secondary_acts!$A$2:$A$771,$A55,secondary_acts!$E$2:$E$771,"implementing")</f>
        <v>0</v>
      </c>
      <c r="AG55" s="2" t="n">
        <f aca="false">COUNTIFS(secondary_acts!$A$2:$A$771,$A55,secondary_acts!$E$2:$E$771,"delegated")</f>
        <v>0</v>
      </c>
      <c r="AH55" s="2" t="n">
        <f aca="false">COUNTIFS(secondary_acts!$A$2:$A$771,$A55,secondary_acts!$E$2:$E$771,"other Commission/Council act")</f>
        <v>0</v>
      </c>
      <c r="AI55" s="2" t="n">
        <f aca="false">COUNTIFS(secondary_acts!$A$2:$A$771,$A55,secondary_acts!$E$2:$E$771,"guidance")</f>
        <v>0</v>
      </c>
      <c r="AJ55" s="2" t="n">
        <f aca="false">COUNTIF(guidance_web!$A$2:$A$7,$A55)</f>
        <v>0</v>
      </c>
      <c r="AK55" s="3" t="n">
        <f aca="false">SUMIFS(secondary_acts!$S$2:$S$771,secondary_acts!$A$2:$A$771,$A55,secondary_acts!$E$2:$E$771,"implementing")+SUMIFS(secondary_acts!$S$2:$S$771,secondary_acts!$A$2:$A$771,$A55,secondary_acts!$E$2:$E$771,"delegated")</f>
        <v>0</v>
      </c>
      <c r="AL55" s="3"/>
      <c r="AM55" s="2"/>
      <c r="AN55" s="2"/>
    </row>
    <row r="56" customFormat="false" ht="15" hidden="false" customHeight="false" outlineLevel="0" collapsed="false">
      <c r="A56" s="2" t="n">
        <v>55</v>
      </c>
      <c r="B56" s="2" t="s">
        <v>354</v>
      </c>
      <c r="C56" s="2" t="s">
        <v>355</v>
      </c>
      <c r="D56" s="2" t="s">
        <v>356</v>
      </c>
      <c r="E56" s="2" t="s">
        <v>84</v>
      </c>
      <c r="F56" s="2" t="s">
        <v>44</v>
      </c>
      <c r="G56" s="2" t="s">
        <v>44</v>
      </c>
      <c r="H56" s="2" t="s">
        <v>357</v>
      </c>
      <c r="I56" s="2" t="s">
        <v>46</v>
      </c>
      <c r="J56" s="2" t="s">
        <v>358</v>
      </c>
      <c r="K56" s="3" t="n">
        <v>33</v>
      </c>
      <c r="L56" s="3" t="n">
        <v>20926</v>
      </c>
      <c r="M56" s="3" t="n">
        <v>8227</v>
      </c>
      <c r="N56" s="3" t="n">
        <v>8084</v>
      </c>
      <c r="O56" s="3" t="n">
        <v>12699</v>
      </c>
      <c r="P56" s="3" t="n">
        <v>0</v>
      </c>
      <c r="Q56" s="3" t="n">
        <v>0</v>
      </c>
      <c r="R56" s="3" t="n">
        <v>0</v>
      </c>
      <c r="S56" s="3" t="n">
        <v>178</v>
      </c>
      <c r="T56" s="3" t="n">
        <v>159</v>
      </c>
      <c r="U56" s="3" t="n">
        <v>11</v>
      </c>
      <c r="V56" s="3" t="n">
        <v>1</v>
      </c>
      <c r="W56" s="3" t="n">
        <v>1</v>
      </c>
      <c r="X56" s="3" t="n">
        <v>6</v>
      </c>
      <c r="Y56" s="3" t="n">
        <v>53</v>
      </c>
      <c r="Z56" s="3" t="n">
        <v>53</v>
      </c>
      <c r="AA56" s="3" t="n">
        <v>34</v>
      </c>
      <c r="AB56" s="3" t="n">
        <v>38</v>
      </c>
      <c r="AC56" s="2" t="s">
        <v>359</v>
      </c>
      <c r="AD56" s="3" t="n">
        <v>178</v>
      </c>
      <c r="AE56" s="2" t="n">
        <v>53</v>
      </c>
      <c r="AF56" s="2" t="n">
        <f aca="false">COUNTIFS(secondary_acts!$A$2:$A$771,$A56,secondary_acts!$E$2:$E$771,"implementing")</f>
        <v>0</v>
      </c>
      <c r="AG56" s="2" t="n">
        <f aca="false">COUNTIFS(secondary_acts!$A$2:$A$771,$A56,secondary_acts!$E$2:$E$771,"delegated")</f>
        <v>0</v>
      </c>
      <c r="AH56" s="2" t="n">
        <f aca="false">COUNTIFS(secondary_acts!$A$2:$A$771,$A56,secondary_acts!$E$2:$E$771,"other Commission/Council act")</f>
        <v>0</v>
      </c>
      <c r="AI56" s="2" t="n">
        <f aca="false">COUNTIFS(secondary_acts!$A$2:$A$771,$A56,secondary_acts!$E$2:$E$771,"guidance")</f>
        <v>0</v>
      </c>
      <c r="AJ56" s="2" t="n">
        <f aca="false">COUNTIF(guidance_web!$A$2:$A$7,$A56)</f>
        <v>0</v>
      </c>
      <c r="AK56" s="3" t="n">
        <f aca="false">SUMIFS(secondary_acts!$S$2:$S$771,secondary_acts!$A$2:$A$771,$A56,secondary_acts!$E$2:$E$771,"implementing")+SUMIFS(secondary_acts!$S$2:$S$771,secondary_acts!$A$2:$A$771,$A56,secondary_acts!$E$2:$E$771,"delegated")</f>
        <v>0</v>
      </c>
      <c r="AL56" s="3"/>
      <c r="AM56" s="2"/>
      <c r="AN56" s="2" t="s">
        <v>62</v>
      </c>
    </row>
    <row r="57" customFormat="false" ht="15" hidden="false" customHeight="false" outlineLevel="0" collapsed="false">
      <c r="A57" s="2" t="n">
        <v>56</v>
      </c>
      <c r="B57" s="2" t="s">
        <v>360</v>
      </c>
      <c r="C57" s="2" t="s">
        <v>361</v>
      </c>
      <c r="D57" s="2" t="s">
        <v>356</v>
      </c>
      <c r="E57" s="2" t="s">
        <v>84</v>
      </c>
      <c r="F57" s="2" t="s">
        <v>44</v>
      </c>
      <c r="G57" s="2" t="s">
        <v>44</v>
      </c>
      <c r="H57" s="2" t="s">
        <v>362</v>
      </c>
      <c r="I57" s="2" t="s">
        <v>46</v>
      </c>
      <c r="J57" s="2" t="s">
        <v>363</v>
      </c>
      <c r="K57" s="3" t="n">
        <v>166</v>
      </c>
      <c r="L57" s="3" t="n">
        <v>95588</v>
      </c>
      <c r="M57" s="3" t="n">
        <v>15644</v>
      </c>
      <c r="N57" s="3" t="n">
        <v>15505</v>
      </c>
      <c r="O57" s="3" t="n">
        <v>69742</v>
      </c>
      <c r="P57" s="3" t="n">
        <v>10202</v>
      </c>
      <c r="Q57" s="3" t="n">
        <v>0</v>
      </c>
      <c r="R57" s="3" t="n">
        <v>0</v>
      </c>
      <c r="S57" s="3" t="n">
        <v>1117</v>
      </c>
      <c r="T57" s="3" t="n">
        <v>969</v>
      </c>
      <c r="U57" s="3" t="n">
        <v>84</v>
      </c>
      <c r="V57" s="3" t="n">
        <v>13</v>
      </c>
      <c r="W57" s="3" t="n">
        <v>14</v>
      </c>
      <c r="X57" s="3" t="n">
        <v>37</v>
      </c>
      <c r="Y57" s="3" t="n">
        <v>444</v>
      </c>
      <c r="Z57" s="3" t="n">
        <v>209</v>
      </c>
      <c r="AA57" s="3" t="n">
        <v>262</v>
      </c>
      <c r="AB57" s="3" t="n">
        <v>202</v>
      </c>
      <c r="AC57" s="2" t="s">
        <v>364</v>
      </c>
      <c r="AD57" s="3" t="n">
        <v>1129</v>
      </c>
      <c r="AE57" s="2" t="n">
        <v>446</v>
      </c>
      <c r="AF57" s="2" t="n">
        <f aca="false">COUNTIFS(secondary_acts!$A$2:$A$771,$A57,secondary_acts!$E$2:$E$771,"implementing")</f>
        <v>8</v>
      </c>
      <c r="AG57" s="2" t="n">
        <f aca="false">COUNTIFS(secondary_acts!$A$2:$A$771,$A57,secondary_acts!$E$2:$E$771,"delegated")</f>
        <v>29</v>
      </c>
      <c r="AH57" s="2" t="n">
        <f aca="false">COUNTIFS(secondary_acts!$A$2:$A$771,$A57,secondary_acts!$E$2:$E$771,"other Commission/Council act")</f>
        <v>0</v>
      </c>
      <c r="AI57" s="2" t="n">
        <f aca="false">COUNTIFS(secondary_acts!$A$2:$A$771,$A57,secondary_acts!$E$2:$E$771,"guidance")</f>
        <v>0</v>
      </c>
      <c r="AJ57" s="2" t="n">
        <f aca="false">COUNTIF(guidance_web!$A$2:$A$7,$A57)</f>
        <v>0</v>
      </c>
      <c r="AK57" s="3" t="n">
        <f aca="false">SUMIFS(secondary_acts!$S$2:$S$771,secondary_acts!$A$2:$A$771,$A57,secondary_acts!$E$2:$E$771,"implementing")+SUMIFS(secondary_acts!$S$2:$S$771,secondary_acts!$A$2:$A$771,$A57,secondary_acts!$E$2:$E$771,"delegated")</f>
        <v>1340</v>
      </c>
      <c r="AL57" s="3"/>
      <c r="AM57" s="2"/>
      <c r="AN57" s="2"/>
    </row>
    <row r="58" customFormat="false" ht="15" hidden="false" customHeight="false" outlineLevel="0" collapsed="false">
      <c r="A58" s="2" t="n">
        <v>57</v>
      </c>
      <c r="B58" s="2" t="s">
        <v>365</v>
      </c>
      <c r="C58" s="2" t="s">
        <v>366</v>
      </c>
      <c r="D58" s="2" t="s">
        <v>356</v>
      </c>
      <c r="E58" s="2" t="s">
        <v>84</v>
      </c>
      <c r="F58" s="2" t="s">
        <v>44</v>
      </c>
      <c r="G58" s="2" t="s">
        <v>44</v>
      </c>
      <c r="H58" s="2" t="s">
        <v>367</v>
      </c>
      <c r="I58" s="2" t="s">
        <v>46</v>
      </c>
      <c r="J58" s="2" t="s">
        <v>368</v>
      </c>
      <c r="K58" s="3" t="n">
        <v>79</v>
      </c>
      <c r="L58" s="3" t="n">
        <v>43943</v>
      </c>
      <c r="M58" s="3" t="n">
        <v>14445</v>
      </c>
      <c r="N58" s="3" t="n">
        <v>14300</v>
      </c>
      <c r="O58" s="3" t="n">
        <v>29498</v>
      </c>
      <c r="P58" s="3" t="n">
        <v>0</v>
      </c>
      <c r="Q58" s="3" t="n">
        <v>0</v>
      </c>
      <c r="R58" s="3" t="n">
        <v>0</v>
      </c>
      <c r="S58" s="3" t="n">
        <v>431</v>
      </c>
      <c r="T58" s="3" t="n">
        <v>397</v>
      </c>
      <c r="U58" s="3" t="n">
        <v>8</v>
      </c>
      <c r="V58" s="3" t="n">
        <v>5</v>
      </c>
      <c r="W58" s="3" t="n">
        <v>8</v>
      </c>
      <c r="X58" s="3" t="n">
        <v>13</v>
      </c>
      <c r="Y58" s="3" t="n">
        <v>185</v>
      </c>
      <c r="Z58" s="3" t="n">
        <v>48</v>
      </c>
      <c r="AA58" s="3" t="n">
        <v>30</v>
      </c>
      <c r="AB58" s="3" t="n">
        <v>168</v>
      </c>
      <c r="AC58" s="2" t="s">
        <v>369</v>
      </c>
      <c r="AD58" s="3" t="n">
        <v>431</v>
      </c>
      <c r="AE58" s="2" t="n">
        <v>185</v>
      </c>
      <c r="AF58" s="2" t="n">
        <f aca="false">COUNTIFS(secondary_acts!$A$2:$A$771,$A58,secondary_acts!$E$2:$E$771,"implementing")</f>
        <v>2</v>
      </c>
      <c r="AG58" s="2" t="n">
        <f aca="false">COUNTIFS(secondary_acts!$A$2:$A$771,$A58,secondary_acts!$E$2:$E$771,"delegated")</f>
        <v>10</v>
      </c>
      <c r="AH58" s="2" t="n">
        <f aca="false">COUNTIFS(secondary_acts!$A$2:$A$771,$A58,secondary_acts!$E$2:$E$771,"other Commission/Council act")</f>
        <v>0</v>
      </c>
      <c r="AI58" s="2" t="n">
        <f aca="false">COUNTIFS(secondary_acts!$A$2:$A$771,$A58,secondary_acts!$E$2:$E$771,"guidance")</f>
        <v>0</v>
      </c>
      <c r="AJ58" s="2" t="n">
        <f aca="false">COUNTIF(guidance_web!$A$2:$A$7,$A58)</f>
        <v>0</v>
      </c>
      <c r="AK58" s="3" t="n">
        <f aca="false">SUMIFS(secondary_acts!$S$2:$S$771,secondary_acts!$A$2:$A$771,$A58,secondary_acts!$E$2:$E$771,"implementing")+SUMIFS(secondary_acts!$S$2:$S$771,secondary_acts!$A$2:$A$771,$A58,secondary_acts!$E$2:$E$771,"delegated")</f>
        <v>828</v>
      </c>
      <c r="AL58" s="3"/>
      <c r="AM58" s="2"/>
      <c r="AN58" s="2" t="s">
        <v>62</v>
      </c>
    </row>
    <row r="59" customFormat="false" ht="15" hidden="false" customHeight="false" outlineLevel="0" collapsed="false">
      <c r="A59" s="2" t="n">
        <v>58</v>
      </c>
      <c r="B59" s="2" t="s">
        <v>370</v>
      </c>
      <c r="C59" s="2" t="s">
        <v>371</v>
      </c>
      <c r="D59" s="2" t="s">
        <v>372</v>
      </c>
      <c r="E59" s="2" t="s">
        <v>84</v>
      </c>
      <c r="F59" s="2" t="s">
        <v>44</v>
      </c>
      <c r="G59" s="2" t="s">
        <v>44</v>
      </c>
      <c r="H59" s="2" t="s">
        <v>373</v>
      </c>
      <c r="I59" s="2" t="s">
        <v>46</v>
      </c>
      <c r="J59" s="2" t="s">
        <v>374</v>
      </c>
      <c r="K59" s="3" t="n">
        <v>44</v>
      </c>
      <c r="L59" s="3" t="n">
        <v>27006</v>
      </c>
      <c r="M59" s="3" t="n">
        <v>12417</v>
      </c>
      <c r="N59" s="3" t="n">
        <v>12294</v>
      </c>
      <c r="O59" s="3" t="n">
        <v>14589</v>
      </c>
      <c r="P59" s="3" t="n">
        <v>0</v>
      </c>
      <c r="Q59" s="3" t="n">
        <v>0</v>
      </c>
      <c r="R59" s="3" t="n">
        <v>0</v>
      </c>
      <c r="S59" s="3" t="n">
        <v>215</v>
      </c>
      <c r="T59" s="3" t="n">
        <v>191</v>
      </c>
      <c r="U59" s="3" t="n">
        <v>15</v>
      </c>
      <c r="V59" s="3" t="n">
        <v>0</v>
      </c>
      <c r="W59" s="3" t="n">
        <v>1</v>
      </c>
      <c r="X59" s="3" t="n">
        <v>8</v>
      </c>
      <c r="Y59" s="3" t="n">
        <v>54</v>
      </c>
      <c r="Z59" s="3" t="n">
        <v>78</v>
      </c>
      <c r="AA59" s="3" t="n">
        <v>37</v>
      </c>
      <c r="AB59" s="3" t="n">
        <v>46</v>
      </c>
      <c r="AC59" s="2" t="s">
        <v>375</v>
      </c>
      <c r="AD59" s="3" t="n">
        <v>215</v>
      </c>
      <c r="AE59" s="2" t="n">
        <v>54</v>
      </c>
      <c r="AF59" s="2" t="n">
        <f aca="false">COUNTIFS(secondary_acts!$A$2:$A$771,$A59,secondary_acts!$E$2:$E$771,"implementing")</f>
        <v>1</v>
      </c>
      <c r="AG59" s="2" t="n">
        <f aca="false">COUNTIFS(secondary_acts!$A$2:$A$771,$A59,secondary_acts!$E$2:$E$771,"delegated")</f>
        <v>0</v>
      </c>
      <c r="AH59" s="2" t="n">
        <f aca="false">COUNTIFS(secondary_acts!$A$2:$A$771,$A59,secondary_acts!$E$2:$E$771,"other Commission/Council act")</f>
        <v>0</v>
      </c>
      <c r="AI59" s="2" t="n">
        <f aca="false">COUNTIFS(secondary_acts!$A$2:$A$771,$A59,secondary_acts!$E$2:$E$771,"guidance")</f>
        <v>0</v>
      </c>
      <c r="AJ59" s="2" t="n">
        <f aca="false">COUNTIF(guidance_web!$A$2:$A$7,$A59)</f>
        <v>1</v>
      </c>
      <c r="AK59" s="3" t="n">
        <f aca="false">SUMIFS(secondary_acts!$S$2:$S$771,secondary_acts!$A$2:$A$771,$A59,secondary_acts!$E$2:$E$771,"implementing")+SUMIFS(secondary_acts!$S$2:$S$771,secondary_acts!$A$2:$A$771,$A59,secondary_acts!$E$2:$E$771,"delegated")</f>
        <v>7</v>
      </c>
      <c r="AL59" s="3"/>
      <c r="AM59" s="2"/>
      <c r="AN59" s="2" t="s">
        <v>62</v>
      </c>
    </row>
    <row r="60" customFormat="false" ht="15" hidden="false" customHeight="false" outlineLevel="0" collapsed="false">
      <c r="A60" s="2" t="n">
        <v>59</v>
      </c>
      <c r="B60" s="2" t="s">
        <v>376</v>
      </c>
      <c r="C60" s="2" t="s">
        <v>377</v>
      </c>
      <c r="D60" s="2" t="s">
        <v>378</v>
      </c>
      <c r="E60" s="2" t="s">
        <v>84</v>
      </c>
      <c r="F60" s="2" t="s">
        <v>44</v>
      </c>
      <c r="G60" s="2" t="s">
        <v>44</v>
      </c>
      <c r="H60" s="2" t="s">
        <v>379</v>
      </c>
      <c r="I60" s="2" t="s">
        <v>46</v>
      </c>
      <c r="J60" s="2" t="s">
        <v>380</v>
      </c>
      <c r="K60" s="3" t="n">
        <v>66</v>
      </c>
      <c r="L60" s="3" t="n">
        <v>39028</v>
      </c>
      <c r="M60" s="3" t="n">
        <v>18191</v>
      </c>
      <c r="N60" s="3" t="n">
        <v>18054</v>
      </c>
      <c r="O60" s="3" t="n">
        <v>18770</v>
      </c>
      <c r="P60" s="3" t="n">
        <v>2067</v>
      </c>
      <c r="Q60" s="3" t="n">
        <v>0</v>
      </c>
      <c r="R60" s="3" t="n">
        <v>0</v>
      </c>
      <c r="S60" s="3" t="n">
        <v>281</v>
      </c>
      <c r="T60" s="3" t="n">
        <v>233</v>
      </c>
      <c r="U60" s="3" t="n">
        <v>34</v>
      </c>
      <c r="V60" s="3" t="n">
        <v>3</v>
      </c>
      <c r="W60" s="3" t="n">
        <v>4</v>
      </c>
      <c r="X60" s="3" t="n">
        <v>7</v>
      </c>
      <c r="Y60" s="3" t="n">
        <v>111</v>
      </c>
      <c r="Z60" s="3" t="n">
        <v>20</v>
      </c>
      <c r="AA60" s="3" t="n">
        <v>118</v>
      </c>
      <c r="AB60" s="3" t="n">
        <v>32</v>
      </c>
      <c r="AC60" s="2" t="s">
        <v>381</v>
      </c>
      <c r="AD60" s="3" t="n">
        <v>281</v>
      </c>
      <c r="AE60" s="2" t="n">
        <v>111</v>
      </c>
      <c r="AF60" s="2" t="n">
        <f aca="false">COUNTIFS(secondary_acts!$A$2:$A$771,$A60,secondary_acts!$E$2:$E$771,"implementing")</f>
        <v>1</v>
      </c>
      <c r="AG60" s="2" t="n">
        <f aca="false">COUNTIFS(secondary_acts!$A$2:$A$771,$A60,secondary_acts!$E$2:$E$771,"delegated")</f>
        <v>0</v>
      </c>
      <c r="AH60" s="2" t="n">
        <f aca="false">COUNTIFS(secondary_acts!$A$2:$A$771,$A60,secondary_acts!$E$2:$E$771,"other Commission/Council act")</f>
        <v>0</v>
      </c>
      <c r="AI60" s="2" t="n">
        <f aca="false">COUNTIFS(secondary_acts!$A$2:$A$771,$A60,secondary_acts!$E$2:$E$771,"guidance")</f>
        <v>0</v>
      </c>
      <c r="AJ60" s="2" t="n">
        <f aca="false">COUNTIF(guidance_web!$A$2:$A$7,$A60)</f>
        <v>0</v>
      </c>
      <c r="AK60" s="3" t="n">
        <f aca="false">SUMIFS(secondary_acts!$S$2:$S$771,secondary_acts!$A$2:$A$771,$A60,secondary_acts!$E$2:$E$771,"implementing")+SUMIFS(secondary_acts!$S$2:$S$771,secondary_acts!$A$2:$A$771,$A60,secondary_acts!$E$2:$E$771,"delegated")</f>
        <v>72</v>
      </c>
      <c r="AL60" s="3"/>
      <c r="AM60" s="2"/>
      <c r="AN60" s="2"/>
    </row>
    <row r="61" customFormat="false" ht="15" hidden="false" customHeight="false" outlineLevel="0" collapsed="false">
      <c r="A61" s="2" t="n">
        <v>60</v>
      </c>
      <c r="B61" s="2" t="s">
        <v>382</v>
      </c>
      <c r="C61" s="2" t="s">
        <v>383</v>
      </c>
      <c r="D61" s="2" t="s">
        <v>378</v>
      </c>
      <c r="E61" s="2" t="s">
        <v>84</v>
      </c>
      <c r="F61" s="2" t="s">
        <v>44</v>
      </c>
      <c r="G61" s="2" t="s">
        <v>44</v>
      </c>
      <c r="H61" s="2" t="s">
        <v>384</v>
      </c>
      <c r="I61" s="2" t="s">
        <v>46</v>
      </c>
      <c r="J61" s="2" t="s">
        <v>385</v>
      </c>
      <c r="K61" s="3" t="n">
        <v>102</v>
      </c>
      <c r="L61" s="3" t="n">
        <v>62625</v>
      </c>
      <c r="M61" s="3" t="n">
        <v>29191</v>
      </c>
      <c r="N61" s="3" t="n">
        <v>29060</v>
      </c>
      <c r="O61" s="3" t="n">
        <v>33434</v>
      </c>
      <c r="P61" s="3" t="n">
        <v>0</v>
      </c>
      <c r="Q61" s="3" t="n">
        <v>0</v>
      </c>
      <c r="R61" s="3" t="n">
        <v>0</v>
      </c>
      <c r="S61" s="3" t="n">
        <v>479</v>
      </c>
      <c r="T61" s="3" t="n">
        <v>413</v>
      </c>
      <c r="U61" s="3" t="n">
        <v>28</v>
      </c>
      <c r="V61" s="3" t="n">
        <v>4</v>
      </c>
      <c r="W61" s="3" t="n">
        <v>2</v>
      </c>
      <c r="X61" s="3" t="n">
        <v>32</v>
      </c>
      <c r="Y61" s="3" t="n">
        <v>139</v>
      </c>
      <c r="Z61" s="3" t="n">
        <v>101</v>
      </c>
      <c r="AA61" s="3" t="n">
        <v>151</v>
      </c>
      <c r="AB61" s="3" t="n">
        <v>88</v>
      </c>
      <c r="AC61" s="2" t="s">
        <v>386</v>
      </c>
      <c r="AD61" s="3" t="n">
        <v>479</v>
      </c>
      <c r="AE61" s="2" t="n">
        <v>139</v>
      </c>
      <c r="AF61" s="2" t="n">
        <f aca="false">COUNTIFS(secondary_acts!$A$2:$A$771,$A61,secondary_acts!$E$2:$E$771,"implementing")</f>
        <v>3</v>
      </c>
      <c r="AG61" s="2" t="n">
        <f aca="false">COUNTIFS(secondary_acts!$A$2:$A$771,$A61,secondary_acts!$E$2:$E$771,"delegated")</f>
        <v>3</v>
      </c>
      <c r="AH61" s="2" t="n">
        <f aca="false">COUNTIFS(secondary_acts!$A$2:$A$771,$A61,secondary_acts!$E$2:$E$771,"other Commission/Council act")</f>
        <v>0</v>
      </c>
      <c r="AI61" s="2" t="n">
        <f aca="false">COUNTIFS(secondary_acts!$A$2:$A$771,$A61,secondary_acts!$E$2:$E$771,"guidance")</f>
        <v>2</v>
      </c>
      <c r="AJ61" s="2" t="n">
        <f aca="false">COUNTIF(guidance_web!$A$2:$A$7,$A61)</f>
        <v>0</v>
      </c>
      <c r="AK61" s="3" t="n">
        <f aca="false">SUMIFS(secondary_acts!$S$2:$S$771,secondary_acts!$A$2:$A$771,$A61,secondary_acts!$E$2:$E$771,"implementing")+SUMIFS(secondary_acts!$S$2:$S$771,secondary_acts!$A$2:$A$771,$A61,secondary_acts!$E$2:$E$771,"delegated")</f>
        <v>543</v>
      </c>
      <c r="AL61" s="3"/>
      <c r="AM61" s="2"/>
      <c r="AN61" s="2" t="s">
        <v>62</v>
      </c>
    </row>
    <row r="62" customFormat="false" ht="15" hidden="false" customHeight="false" outlineLevel="0" collapsed="false">
      <c r="A62" s="2" t="n">
        <v>61</v>
      </c>
      <c r="B62" s="2" t="s">
        <v>387</v>
      </c>
      <c r="C62" s="2" t="s">
        <v>388</v>
      </c>
      <c r="D62" s="2" t="s">
        <v>389</v>
      </c>
      <c r="E62" s="2" t="s">
        <v>84</v>
      </c>
      <c r="F62" s="2" t="s">
        <v>44</v>
      </c>
      <c r="G62" s="2" t="s">
        <v>44</v>
      </c>
      <c r="H62" s="2" t="s">
        <v>390</v>
      </c>
      <c r="I62" s="2" t="s">
        <v>46</v>
      </c>
      <c r="J62" s="2" t="s">
        <v>391</v>
      </c>
      <c r="K62" s="3" t="n">
        <v>73</v>
      </c>
      <c r="L62" s="3" t="n">
        <v>40220</v>
      </c>
      <c r="M62" s="3" t="n">
        <v>18851</v>
      </c>
      <c r="N62" s="3" t="n">
        <v>18698</v>
      </c>
      <c r="O62" s="3" t="n">
        <v>18071</v>
      </c>
      <c r="P62" s="3" t="n">
        <v>3298</v>
      </c>
      <c r="Q62" s="3" t="n">
        <v>0</v>
      </c>
      <c r="R62" s="3" t="n">
        <v>0</v>
      </c>
      <c r="S62" s="3" t="n">
        <v>288</v>
      </c>
      <c r="T62" s="3" t="n">
        <v>219</v>
      </c>
      <c r="U62" s="3" t="n">
        <v>7</v>
      </c>
      <c r="V62" s="3" t="n">
        <v>0</v>
      </c>
      <c r="W62" s="3" t="n">
        <v>2</v>
      </c>
      <c r="X62" s="3" t="n">
        <v>60</v>
      </c>
      <c r="Y62" s="3" t="n">
        <v>11</v>
      </c>
      <c r="Z62" s="3" t="n">
        <v>179</v>
      </c>
      <c r="AA62" s="3" t="n">
        <v>52</v>
      </c>
      <c r="AB62" s="3" t="n">
        <v>46</v>
      </c>
      <c r="AC62" s="2" t="s">
        <v>392</v>
      </c>
      <c r="AD62" s="3" t="n">
        <v>288</v>
      </c>
      <c r="AE62" s="2" t="n">
        <v>11</v>
      </c>
      <c r="AF62" s="2" t="n">
        <f aca="false">COUNTIFS(secondary_acts!$A$2:$A$771,$A62,secondary_acts!$E$2:$E$771,"implementing")</f>
        <v>1</v>
      </c>
      <c r="AG62" s="2" t="n">
        <f aca="false">COUNTIFS(secondary_acts!$A$2:$A$771,$A62,secondary_acts!$E$2:$E$771,"delegated")</f>
        <v>0</v>
      </c>
      <c r="AH62" s="2" t="n">
        <f aca="false">COUNTIFS(secondary_acts!$A$2:$A$771,$A62,secondary_acts!$E$2:$E$771,"other Commission/Council act")</f>
        <v>0</v>
      </c>
      <c r="AI62" s="2" t="n">
        <f aca="false">COUNTIFS(secondary_acts!$A$2:$A$771,$A62,secondary_acts!$E$2:$E$771,"guidance")</f>
        <v>3</v>
      </c>
      <c r="AJ62" s="2" t="n">
        <f aca="false">COUNTIF(guidance_web!$A$2:$A$7,$A62)</f>
        <v>0</v>
      </c>
      <c r="AK62" s="3" t="n">
        <f aca="false">SUMIFS(secondary_acts!$S$2:$S$771,secondary_acts!$A$2:$A$771,$A62,secondary_acts!$E$2:$E$771,"implementing")+SUMIFS(secondary_acts!$S$2:$S$771,secondary_acts!$A$2:$A$771,$A62,secondary_acts!$E$2:$E$771,"delegated")</f>
        <v>219</v>
      </c>
      <c r="AL62" s="3" t="n">
        <v>3232</v>
      </c>
      <c r="AM62" s="2" t="n">
        <v>25</v>
      </c>
      <c r="AN62" s="2"/>
    </row>
    <row r="63" customFormat="false" ht="15" hidden="false" customHeight="false" outlineLevel="0" collapsed="false">
      <c r="A63" s="2" t="n">
        <v>62</v>
      </c>
      <c r="B63" s="2" t="s">
        <v>393</v>
      </c>
      <c r="C63" s="2" t="s">
        <v>394</v>
      </c>
      <c r="D63" s="2" t="s">
        <v>395</v>
      </c>
      <c r="E63" s="2" t="s">
        <v>84</v>
      </c>
      <c r="F63" s="2" t="s">
        <v>44</v>
      </c>
      <c r="G63" s="2" t="s">
        <v>44</v>
      </c>
      <c r="H63" s="2" t="s">
        <v>396</v>
      </c>
      <c r="I63" s="2" t="s">
        <v>46</v>
      </c>
      <c r="J63" s="2" t="s">
        <v>397</v>
      </c>
      <c r="K63" s="3" t="n">
        <v>103</v>
      </c>
      <c r="L63" s="3" t="n">
        <v>50649</v>
      </c>
      <c r="M63" s="3" t="n">
        <v>13039</v>
      </c>
      <c r="N63" s="3" t="n">
        <v>12915</v>
      </c>
      <c r="O63" s="3" t="n">
        <v>34391</v>
      </c>
      <c r="P63" s="3" t="n">
        <v>3219</v>
      </c>
      <c r="Q63" s="3" t="n">
        <v>0</v>
      </c>
      <c r="R63" s="3" t="n">
        <v>0</v>
      </c>
      <c r="S63" s="3" t="n">
        <v>553</v>
      </c>
      <c r="T63" s="3" t="n">
        <v>504</v>
      </c>
      <c r="U63" s="3" t="n">
        <v>28</v>
      </c>
      <c r="V63" s="3" t="n">
        <v>2</v>
      </c>
      <c r="W63" s="3" t="n">
        <v>3</v>
      </c>
      <c r="X63" s="3" t="n">
        <v>16</v>
      </c>
      <c r="Y63" s="3" t="n">
        <v>13</v>
      </c>
      <c r="Z63" s="3" t="n">
        <v>11</v>
      </c>
      <c r="AA63" s="3" t="n">
        <v>361</v>
      </c>
      <c r="AB63" s="3" t="n">
        <v>168</v>
      </c>
      <c r="AC63" s="2" t="s">
        <v>398</v>
      </c>
      <c r="AD63" s="3" t="n">
        <v>573</v>
      </c>
      <c r="AE63" s="2" t="n">
        <v>14</v>
      </c>
      <c r="AF63" s="2" t="n">
        <f aca="false">COUNTIFS(secondary_acts!$A$2:$A$771,$A63,secondary_acts!$E$2:$E$771,"implementing")</f>
        <v>0</v>
      </c>
      <c r="AG63" s="2" t="n">
        <f aca="false">COUNTIFS(secondary_acts!$A$2:$A$771,$A63,secondary_acts!$E$2:$E$771,"delegated")</f>
        <v>0</v>
      </c>
      <c r="AH63" s="2" t="n">
        <f aca="false">COUNTIFS(secondary_acts!$A$2:$A$771,$A63,secondary_acts!$E$2:$E$771,"other Commission/Council act")</f>
        <v>0</v>
      </c>
      <c r="AI63" s="2" t="n">
        <f aca="false">COUNTIFS(secondary_acts!$A$2:$A$771,$A63,secondary_acts!$E$2:$E$771,"guidance")</f>
        <v>0</v>
      </c>
      <c r="AJ63" s="2" t="n">
        <f aca="false">COUNTIF(guidance_web!$A$2:$A$7,$A63)</f>
        <v>0</v>
      </c>
      <c r="AK63" s="3" t="n">
        <f aca="false">SUMIFS(secondary_acts!$S$2:$S$771,secondary_acts!$A$2:$A$771,$A63,secondary_acts!$E$2:$E$771,"implementing")+SUMIFS(secondary_acts!$S$2:$S$771,secondary_acts!$A$2:$A$771,$A63,secondary_acts!$E$2:$E$771,"delegated")</f>
        <v>0</v>
      </c>
      <c r="AL63" s="3"/>
      <c r="AM63" s="2"/>
      <c r="AN63" s="2"/>
    </row>
    <row r="64" customFormat="false" ht="15" hidden="false" customHeight="false" outlineLevel="0" collapsed="false">
      <c r="A64" s="2" t="n">
        <v>63</v>
      </c>
      <c r="B64" s="2" t="s">
        <v>399</v>
      </c>
      <c r="C64" s="2" t="s">
        <v>400</v>
      </c>
      <c r="D64" s="2" t="s">
        <v>401</v>
      </c>
      <c r="E64" s="2" t="s">
        <v>84</v>
      </c>
      <c r="F64" s="2" t="s">
        <v>44</v>
      </c>
      <c r="G64" s="2" t="s">
        <v>44</v>
      </c>
      <c r="H64" s="2" t="s">
        <v>402</v>
      </c>
      <c r="I64" s="2" t="s">
        <v>46</v>
      </c>
      <c r="J64" s="2" t="s">
        <v>403</v>
      </c>
      <c r="K64" s="3" t="n">
        <v>37</v>
      </c>
      <c r="L64" s="3" t="n">
        <v>22492</v>
      </c>
      <c r="M64" s="3" t="n">
        <v>11653</v>
      </c>
      <c r="N64" s="3" t="n">
        <v>11532</v>
      </c>
      <c r="O64" s="3" t="n">
        <v>10036</v>
      </c>
      <c r="P64" s="3" t="n">
        <v>803</v>
      </c>
      <c r="Q64" s="3" t="n">
        <v>0</v>
      </c>
      <c r="R64" s="3" t="n">
        <v>0</v>
      </c>
      <c r="S64" s="3" t="n">
        <v>162</v>
      </c>
      <c r="T64" s="3" t="n">
        <v>141</v>
      </c>
      <c r="U64" s="3" t="n">
        <v>14</v>
      </c>
      <c r="V64" s="3" t="n">
        <v>1</v>
      </c>
      <c r="W64" s="3" t="n">
        <v>0</v>
      </c>
      <c r="X64" s="3" t="n">
        <v>6</v>
      </c>
      <c r="Y64" s="3" t="n">
        <v>60</v>
      </c>
      <c r="Z64" s="3" t="n">
        <v>29</v>
      </c>
      <c r="AA64" s="3" t="n">
        <v>25</v>
      </c>
      <c r="AB64" s="3" t="n">
        <v>48</v>
      </c>
      <c r="AC64" s="2" t="s">
        <v>404</v>
      </c>
      <c r="AD64" s="3" t="n">
        <v>162</v>
      </c>
      <c r="AE64" s="2" t="n">
        <v>60</v>
      </c>
      <c r="AF64" s="2" t="n">
        <f aca="false">COUNTIFS(secondary_acts!$A$2:$A$771,$A64,secondary_acts!$E$2:$E$771,"implementing")</f>
        <v>0</v>
      </c>
      <c r="AG64" s="2" t="n">
        <f aca="false">COUNTIFS(secondary_acts!$A$2:$A$771,$A64,secondary_acts!$E$2:$E$771,"delegated")</f>
        <v>0</v>
      </c>
      <c r="AH64" s="2" t="n">
        <f aca="false">COUNTIFS(secondary_acts!$A$2:$A$771,$A64,secondary_acts!$E$2:$E$771,"other Commission/Council act")</f>
        <v>0</v>
      </c>
      <c r="AI64" s="2" t="n">
        <f aca="false">COUNTIFS(secondary_acts!$A$2:$A$771,$A64,secondary_acts!$E$2:$E$771,"guidance")</f>
        <v>0</v>
      </c>
      <c r="AJ64" s="2" t="n">
        <f aca="false">COUNTIF(guidance_web!$A$2:$A$7,$A64)</f>
        <v>0</v>
      </c>
      <c r="AK64" s="3" t="n">
        <f aca="false">SUMIFS(secondary_acts!$S$2:$S$771,secondary_acts!$A$2:$A$771,$A64,secondary_acts!$E$2:$E$771,"implementing")+SUMIFS(secondary_acts!$S$2:$S$771,secondary_acts!$A$2:$A$771,$A64,secondary_acts!$E$2:$E$771,"delegated")</f>
        <v>0</v>
      </c>
      <c r="AL64" s="3"/>
      <c r="AM64" s="2"/>
      <c r="AN64" s="2" t="s">
        <v>62</v>
      </c>
    </row>
    <row r="65" customFormat="false" ht="15" hidden="false" customHeight="false" outlineLevel="0" collapsed="false">
      <c r="A65" s="2" t="n">
        <v>64</v>
      </c>
      <c r="B65" s="2" t="s">
        <v>405</v>
      </c>
      <c r="C65" s="2" t="s">
        <v>406</v>
      </c>
      <c r="D65" s="2" t="s">
        <v>407</v>
      </c>
      <c r="E65" s="2" t="s">
        <v>84</v>
      </c>
      <c r="F65" s="2" t="s">
        <v>44</v>
      </c>
      <c r="G65" s="2" t="s">
        <v>44</v>
      </c>
      <c r="H65" s="2" t="s">
        <v>408</v>
      </c>
      <c r="I65" s="2" t="s">
        <v>46</v>
      </c>
      <c r="J65" s="2" t="s">
        <v>409</v>
      </c>
      <c r="K65" s="3" t="n">
        <v>144</v>
      </c>
      <c r="L65" s="3" t="n">
        <v>88508</v>
      </c>
      <c r="M65" s="3" t="n">
        <v>34913</v>
      </c>
      <c r="N65" s="3" t="n">
        <v>34737</v>
      </c>
      <c r="O65" s="3" t="n">
        <v>45964</v>
      </c>
      <c r="P65" s="3" t="n">
        <v>7631</v>
      </c>
      <c r="Q65" s="3" t="n">
        <v>0</v>
      </c>
      <c r="R65" s="3" t="n">
        <v>0</v>
      </c>
      <c r="S65" s="3" t="n">
        <v>767</v>
      </c>
      <c r="T65" s="3" t="n">
        <v>688</v>
      </c>
      <c r="U65" s="3" t="n">
        <v>37</v>
      </c>
      <c r="V65" s="3" t="n">
        <v>4</v>
      </c>
      <c r="W65" s="3" t="n">
        <v>5</v>
      </c>
      <c r="X65" s="3" t="n">
        <v>33</v>
      </c>
      <c r="Y65" s="3" t="n">
        <v>217</v>
      </c>
      <c r="Z65" s="3" t="n">
        <v>133</v>
      </c>
      <c r="AA65" s="3" t="n">
        <v>173</v>
      </c>
      <c r="AB65" s="3" t="n">
        <v>244</v>
      </c>
      <c r="AC65" s="2" t="s">
        <v>410</v>
      </c>
      <c r="AD65" s="3" t="n">
        <v>863</v>
      </c>
      <c r="AE65" s="2" t="n">
        <v>229</v>
      </c>
      <c r="AF65" s="2" t="n">
        <f aca="false">COUNTIFS(secondary_acts!$A$2:$A$771,$A65,secondary_acts!$E$2:$E$771,"implementing")</f>
        <v>2</v>
      </c>
      <c r="AG65" s="2" t="n">
        <f aca="false">COUNTIFS(secondary_acts!$A$2:$A$771,$A65,secondary_acts!$E$2:$E$771,"delegated")</f>
        <v>0</v>
      </c>
      <c r="AH65" s="2" t="n">
        <f aca="false">COUNTIFS(secondary_acts!$A$2:$A$771,$A65,secondary_acts!$E$2:$E$771,"other Commission/Council act")</f>
        <v>0</v>
      </c>
      <c r="AI65" s="2" t="n">
        <f aca="false">COUNTIFS(secondary_acts!$A$2:$A$771,$A65,secondary_acts!$E$2:$E$771,"guidance")</f>
        <v>0</v>
      </c>
      <c r="AJ65" s="2" t="n">
        <f aca="false">COUNTIF(guidance_web!$A$2:$A$7,$A65)</f>
        <v>3</v>
      </c>
      <c r="AK65" s="3" t="n">
        <f aca="false">SUMIFS(secondary_acts!$S$2:$S$771,secondary_acts!$A$2:$A$771,$A65,secondary_acts!$E$2:$E$771,"implementing")+SUMIFS(secondary_acts!$S$2:$S$771,secondary_acts!$A$2:$A$771,$A65,secondary_acts!$E$2:$E$771,"delegated")</f>
        <v>159</v>
      </c>
      <c r="AL65" s="3"/>
      <c r="AM65" s="2"/>
      <c r="AN65" s="2"/>
    </row>
    <row r="66" customFormat="false" ht="15" hidden="false" customHeight="false" outlineLevel="0" collapsed="false">
      <c r="A66" s="2" t="n">
        <v>65</v>
      </c>
      <c r="B66" s="2" t="s">
        <v>411</v>
      </c>
      <c r="C66" s="2" t="s">
        <v>412</v>
      </c>
      <c r="D66" s="2" t="s">
        <v>407</v>
      </c>
      <c r="E66" s="2" t="s">
        <v>84</v>
      </c>
      <c r="F66" s="2" t="s">
        <v>44</v>
      </c>
      <c r="G66" s="2" t="s">
        <v>44</v>
      </c>
      <c r="H66" s="2" t="s">
        <v>413</v>
      </c>
      <c r="I66" s="2" t="s">
        <v>46</v>
      </c>
      <c r="J66" s="2" t="s">
        <v>414</v>
      </c>
      <c r="K66" s="3" t="n">
        <v>102</v>
      </c>
      <c r="L66" s="3" t="n">
        <v>51980</v>
      </c>
      <c r="M66" s="3" t="n">
        <v>7189</v>
      </c>
      <c r="N66" s="3" t="n">
        <v>7064</v>
      </c>
      <c r="O66" s="3" t="n">
        <v>16691</v>
      </c>
      <c r="P66" s="3" t="n">
        <v>28100</v>
      </c>
      <c r="Q66" s="3" t="n">
        <v>0</v>
      </c>
      <c r="R66" s="3" t="n">
        <v>0</v>
      </c>
      <c r="S66" s="3" t="n">
        <v>921</v>
      </c>
      <c r="T66" s="3" t="n">
        <v>806</v>
      </c>
      <c r="U66" s="3" t="n">
        <v>62</v>
      </c>
      <c r="V66" s="3" t="n">
        <v>8</v>
      </c>
      <c r="W66" s="3" t="n">
        <v>8</v>
      </c>
      <c r="X66" s="3" t="n">
        <v>37</v>
      </c>
      <c r="Y66" s="3" t="n">
        <v>292</v>
      </c>
      <c r="Z66" s="3" t="n">
        <v>53</v>
      </c>
      <c r="AA66" s="3" t="n">
        <v>61</v>
      </c>
      <c r="AB66" s="3" t="n">
        <v>515</v>
      </c>
      <c r="AC66" s="2" t="s">
        <v>415</v>
      </c>
      <c r="AD66" s="3" t="n">
        <v>956</v>
      </c>
      <c r="AE66" s="2" t="n">
        <v>297</v>
      </c>
      <c r="AF66" s="2" t="n">
        <f aca="false">COUNTIFS(secondary_acts!$A$2:$A$771,$A66,secondary_acts!$E$2:$E$771,"implementing")</f>
        <v>1</v>
      </c>
      <c r="AG66" s="2" t="n">
        <f aca="false">COUNTIFS(secondary_acts!$A$2:$A$771,$A66,secondary_acts!$E$2:$E$771,"delegated")</f>
        <v>0</v>
      </c>
      <c r="AH66" s="2" t="n">
        <f aca="false">COUNTIFS(secondary_acts!$A$2:$A$771,$A66,secondary_acts!$E$2:$E$771,"other Commission/Council act")</f>
        <v>0</v>
      </c>
      <c r="AI66" s="2" t="n">
        <f aca="false">COUNTIFS(secondary_acts!$A$2:$A$771,$A66,secondary_acts!$E$2:$E$771,"guidance")</f>
        <v>1</v>
      </c>
      <c r="AJ66" s="2" t="n">
        <f aca="false">COUNTIF(guidance_web!$A$2:$A$7,$A66)</f>
        <v>0</v>
      </c>
      <c r="AK66" s="3" t="n">
        <f aca="false">SUMIFS(secondary_acts!$S$2:$S$771,secondary_acts!$A$2:$A$771,$A66,secondary_acts!$E$2:$E$771,"implementing")+SUMIFS(secondary_acts!$S$2:$S$771,secondary_acts!$A$2:$A$771,$A66,secondary_acts!$E$2:$E$771,"delegated")</f>
        <v>1</v>
      </c>
      <c r="AL66" s="3"/>
      <c r="AM66" s="2"/>
      <c r="AN66" s="2"/>
    </row>
    <row r="67" customFormat="false" ht="15" hidden="false" customHeight="false" outlineLevel="0" collapsed="false">
      <c r="A67" s="2" t="n">
        <v>66</v>
      </c>
      <c r="B67" s="2" t="s">
        <v>416</v>
      </c>
      <c r="C67" s="2" t="s">
        <v>417</v>
      </c>
      <c r="D67" s="2" t="s">
        <v>418</v>
      </c>
      <c r="E67" s="2" t="s">
        <v>84</v>
      </c>
      <c r="F67" s="2" t="s">
        <v>44</v>
      </c>
      <c r="G67" s="2" t="s">
        <v>44</v>
      </c>
      <c r="H67" s="2" t="s">
        <v>419</v>
      </c>
      <c r="I67" s="2" t="s">
        <v>46</v>
      </c>
      <c r="J67" s="2" t="s">
        <v>420</v>
      </c>
      <c r="K67" s="3" t="n">
        <v>45</v>
      </c>
      <c r="L67" s="3" t="n">
        <v>23466</v>
      </c>
      <c r="M67" s="3" t="n">
        <v>7459</v>
      </c>
      <c r="N67" s="3" t="n">
        <v>7351</v>
      </c>
      <c r="O67" s="3" t="n">
        <v>16007</v>
      </c>
      <c r="P67" s="3" t="n">
        <v>0</v>
      </c>
      <c r="Q67" s="3" t="n">
        <v>0</v>
      </c>
      <c r="R67" s="3" t="n">
        <v>0</v>
      </c>
      <c r="S67" s="3" t="n">
        <v>176</v>
      </c>
      <c r="T67" s="3" t="n">
        <v>146</v>
      </c>
      <c r="U67" s="3" t="n">
        <v>26</v>
      </c>
      <c r="V67" s="3" t="n">
        <v>0</v>
      </c>
      <c r="W67" s="3" t="n">
        <v>2</v>
      </c>
      <c r="X67" s="3" t="n">
        <v>2</v>
      </c>
      <c r="Y67" s="3" t="n">
        <v>20</v>
      </c>
      <c r="Z67" s="3" t="n">
        <v>14</v>
      </c>
      <c r="AA67" s="3" t="n">
        <v>86</v>
      </c>
      <c r="AB67" s="3" t="n">
        <v>56</v>
      </c>
      <c r="AC67" s="2" t="s">
        <v>421</v>
      </c>
      <c r="AD67" s="3" t="n">
        <v>176</v>
      </c>
      <c r="AE67" s="2" t="n">
        <v>20</v>
      </c>
      <c r="AF67" s="2" t="n">
        <f aca="false">COUNTIFS(secondary_acts!$A$2:$A$771,$A67,secondary_acts!$E$2:$E$771,"implementing")</f>
        <v>2</v>
      </c>
      <c r="AG67" s="2" t="n">
        <f aca="false">COUNTIFS(secondary_acts!$A$2:$A$771,$A67,secondary_acts!$E$2:$E$771,"delegated")</f>
        <v>0</v>
      </c>
      <c r="AH67" s="2" t="n">
        <f aca="false">COUNTIFS(secondary_acts!$A$2:$A$771,$A67,secondary_acts!$E$2:$E$771,"other Commission/Council act")</f>
        <v>0</v>
      </c>
      <c r="AI67" s="2" t="n">
        <f aca="false">COUNTIFS(secondary_acts!$A$2:$A$771,$A67,secondary_acts!$E$2:$E$771,"guidance")</f>
        <v>1</v>
      </c>
      <c r="AJ67" s="2" t="n">
        <f aca="false">COUNTIF(guidance_web!$A$2:$A$7,$A67)</f>
        <v>0</v>
      </c>
      <c r="AK67" s="3" t="n">
        <f aca="false">SUMIFS(secondary_acts!$S$2:$S$771,secondary_acts!$A$2:$A$771,$A67,secondary_acts!$E$2:$E$771,"implementing")+SUMIFS(secondary_acts!$S$2:$S$771,secondary_acts!$A$2:$A$771,$A67,secondary_acts!$E$2:$E$771,"delegated")</f>
        <v>191</v>
      </c>
      <c r="AL67" s="3"/>
      <c r="AM67" s="2"/>
      <c r="AN67" s="2"/>
    </row>
    <row r="68" customFormat="false" ht="15" hidden="false" customHeight="false" outlineLevel="0" collapsed="false">
      <c r="A68" s="2" t="n">
        <v>67</v>
      </c>
      <c r="B68" s="2" t="s">
        <v>422</v>
      </c>
      <c r="C68" s="2" t="s">
        <v>423</v>
      </c>
      <c r="D68" s="2" t="s">
        <v>424</v>
      </c>
      <c r="E68" s="2" t="s">
        <v>84</v>
      </c>
      <c r="F68" s="2" t="s">
        <v>44</v>
      </c>
      <c r="G68" s="2" t="s">
        <v>44</v>
      </c>
      <c r="H68" s="2" t="s">
        <v>425</v>
      </c>
      <c r="I68" s="2" t="s">
        <v>46</v>
      </c>
      <c r="J68" s="2" t="s">
        <v>426</v>
      </c>
      <c r="K68" s="3" t="n">
        <v>51</v>
      </c>
      <c r="L68" s="3" t="n">
        <v>27494</v>
      </c>
      <c r="M68" s="3" t="n">
        <v>11555</v>
      </c>
      <c r="N68" s="3" t="n">
        <v>11402</v>
      </c>
      <c r="O68" s="3" t="n">
        <v>15446</v>
      </c>
      <c r="P68" s="3" t="n">
        <v>493</v>
      </c>
      <c r="Q68" s="3" t="n">
        <v>0</v>
      </c>
      <c r="R68" s="3" t="n">
        <v>0</v>
      </c>
      <c r="S68" s="3" t="n">
        <v>249</v>
      </c>
      <c r="T68" s="3" t="n">
        <v>209</v>
      </c>
      <c r="U68" s="3" t="n">
        <v>11</v>
      </c>
      <c r="V68" s="3" t="n">
        <v>7</v>
      </c>
      <c r="W68" s="3" t="n">
        <v>1</v>
      </c>
      <c r="X68" s="3" t="n">
        <v>21</v>
      </c>
      <c r="Y68" s="3" t="n">
        <v>102</v>
      </c>
      <c r="Z68" s="3" t="n">
        <v>33</v>
      </c>
      <c r="AA68" s="3" t="n">
        <v>74</v>
      </c>
      <c r="AB68" s="3" t="n">
        <v>40</v>
      </c>
      <c r="AC68" s="2" t="s">
        <v>427</v>
      </c>
      <c r="AD68" s="3" t="n">
        <v>248</v>
      </c>
      <c r="AE68" s="2" t="n">
        <v>102</v>
      </c>
      <c r="AF68" s="2" t="n">
        <f aca="false">COUNTIFS(secondary_acts!$A$2:$A$771,$A68,secondary_acts!$E$2:$E$771,"implementing")</f>
        <v>5</v>
      </c>
      <c r="AG68" s="2" t="n">
        <f aca="false">COUNTIFS(secondary_acts!$A$2:$A$771,$A68,secondary_acts!$E$2:$E$771,"delegated")</f>
        <v>1</v>
      </c>
      <c r="AH68" s="2" t="n">
        <f aca="false">COUNTIFS(secondary_acts!$A$2:$A$771,$A68,secondary_acts!$E$2:$E$771,"other Commission/Council act")</f>
        <v>0</v>
      </c>
      <c r="AI68" s="2" t="n">
        <f aca="false">COUNTIFS(secondary_acts!$A$2:$A$771,$A68,secondary_acts!$E$2:$E$771,"guidance")</f>
        <v>2</v>
      </c>
      <c r="AJ68" s="2" t="n">
        <f aca="false">COUNTIF(guidance_web!$A$2:$A$7,$A68)</f>
        <v>0</v>
      </c>
      <c r="AK68" s="3" t="n">
        <f aca="false">SUMIFS(secondary_acts!$S$2:$S$771,secondary_acts!$A$2:$A$771,$A68,secondary_acts!$E$2:$E$771,"implementing")+SUMIFS(secondary_acts!$S$2:$S$771,secondary_acts!$A$2:$A$771,$A68,secondary_acts!$E$2:$E$771,"delegated")</f>
        <v>138</v>
      </c>
      <c r="AL68" s="3"/>
      <c r="AM68" s="2"/>
      <c r="AN68" s="2"/>
    </row>
    <row r="69" customFormat="false" ht="15" hidden="false" customHeight="false" outlineLevel="0" collapsed="false">
      <c r="A69" s="2" t="n">
        <v>68</v>
      </c>
      <c r="B69" s="2" t="s">
        <v>428</v>
      </c>
      <c r="C69" s="2" t="s">
        <v>429</v>
      </c>
      <c r="D69" s="2" t="s">
        <v>430</v>
      </c>
      <c r="E69" s="2" t="s">
        <v>84</v>
      </c>
      <c r="F69" s="2" t="s">
        <v>44</v>
      </c>
      <c r="G69" s="2" t="s">
        <v>44</v>
      </c>
      <c r="H69" s="2" t="s">
        <v>431</v>
      </c>
      <c r="I69" s="2" t="s">
        <v>46</v>
      </c>
      <c r="J69" s="2" t="s">
        <v>432</v>
      </c>
      <c r="K69" s="3" t="n">
        <v>111</v>
      </c>
      <c r="L69" s="3" t="n">
        <v>63417</v>
      </c>
      <c r="M69" s="3" t="n">
        <v>25391</v>
      </c>
      <c r="N69" s="3" t="n">
        <v>25257</v>
      </c>
      <c r="O69" s="3" t="n">
        <v>35314</v>
      </c>
      <c r="P69" s="3" t="n">
        <v>2712</v>
      </c>
      <c r="Q69" s="3" t="n">
        <v>0</v>
      </c>
      <c r="R69" s="3" t="n">
        <v>0</v>
      </c>
      <c r="S69" s="3" t="n">
        <v>467</v>
      </c>
      <c r="T69" s="3" t="n">
        <v>408</v>
      </c>
      <c r="U69" s="3" t="n">
        <v>26</v>
      </c>
      <c r="V69" s="3" t="n">
        <v>8</v>
      </c>
      <c r="W69" s="3" t="n">
        <v>4</v>
      </c>
      <c r="X69" s="3" t="n">
        <v>21</v>
      </c>
      <c r="Y69" s="3" t="n">
        <v>234</v>
      </c>
      <c r="Z69" s="3" t="n">
        <v>48</v>
      </c>
      <c r="AA69" s="3" t="n">
        <v>87</v>
      </c>
      <c r="AB69" s="3" t="n">
        <v>98</v>
      </c>
      <c r="AC69" s="2" t="s">
        <v>433</v>
      </c>
      <c r="AD69" s="3" t="n">
        <v>467</v>
      </c>
      <c r="AE69" s="2" t="n">
        <v>234</v>
      </c>
      <c r="AF69" s="2" t="n">
        <f aca="false">COUNTIFS(secondary_acts!$A$2:$A$771,$A69,secondary_acts!$E$2:$E$771,"implementing")</f>
        <v>0</v>
      </c>
      <c r="AG69" s="2" t="n">
        <f aca="false">COUNTIFS(secondary_acts!$A$2:$A$771,$A69,secondary_acts!$E$2:$E$771,"delegated")</f>
        <v>0</v>
      </c>
      <c r="AH69" s="2" t="n">
        <f aca="false">COUNTIFS(secondary_acts!$A$2:$A$771,$A69,secondary_acts!$E$2:$E$771,"other Commission/Council act")</f>
        <v>0</v>
      </c>
      <c r="AI69" s="2" t="n">
        <f aca="false">COUNTIFS(secondary_acts!$A$2:$A$771,$A69,secondary_acts!$E$2:$E$771,"guidance")</f>
        <v>0</v>
      </c>
      <c r="AJ69" s="2" t="n">
        <f aca="false">COUNTIF(guidance_web!$A$2:$A$7,$A69)</f>
        <v>0</v>
      </c>
      <c r="AK69" s="3" t="n">
        <f aca="false">SUMIFS(secondary_acts!$S$2:$S$771,secondary_acts!$A$2:$A$771,$A69,secondary_acts!$E$2:$E$771,"implementing")+SUMIFS(secondary_acts!$S$2:$S$771,secondary_acts!$A$2:$A$771,$A69,secondary_acts!$E$2:$E$771,"delegated")</f>
        <v>0</v>
      </c>
      <c r="AL69" s="3"/>
      <c r="AM69" s="2"/>
      <c r="AN69" s="2" t="s">
        <v>62</v>
      </c>
    </row>
    <row r="70" customFormat="false" ht="15" hidden="false" customHeight="false" outlineLevel="0" collapsed="false">
      <c r="A70" s="2" t="n">
        <v>69</v>
      </c>
      <c r="B70" s="2" t="s">
        <v>434</v>
      </c>
      <c r="C70" s="2" t="s">
        <v>435</v>
      </c>
      <c r="D70" s="2" t="s">
        <v>436</v>
      </c>
      <c r="E70" s="2" t="s">
        <v>43</v>
      </c>
      <c r="F70" s="2" t="s">
        <v>44</v>
      </c>
      <c r="G70" s="2" t="s">
        <v>44</v>
      </c>
      <c r="H70" s="2" t="s">
        <v>437</v>
      </c>
      <c r="I70" s="2" t="s">
        <v>46</v>
      </c>
      <c r="J70" s="2" t="s">
        <v>438</v>
      </c>
      <c r="K70" s="3" t="n">
        <v>10</v>
      </c>
      <c r="L70" s="3" t="n">
        <v>5548</v>
      </c>
      <c r="M70" s="3" t="n">
        <v>1985</v>
      </c>
      <c r="N70" s="3" t="n">
        <v>1860</v>
      </c>
      <c r="O70" s="3" t="n">
        <v>3563</v>
      </c>
      <c r="P70" s="3" t="n">
        <v>0</v>
      </c>
      <c r="Q70" s="3" t="n">
        <v>0</v>
      </c>
      <c r="R70" s="3" t="n">
        <v>0</v>
      </c>
      <c r="S70" s="3" t="n">
        <v>4</v>
      </c>
      <c r="T70" s="3" t="n">
        <v>3</v>
      </c>
      <c r="U70" s="3" t="n">
        <v>1</v>
      </c>
      <c r="V70" s="3" t="n">
        <v>0</v>
      </c>
      <c r="W70" s="3" t="n">
        <v>0</v>
      </c>
      <c r="X70" s="3" t="n">
        <v>0</v>
      </c>
      <c r="Y70" s="3" t="n">
        <v>1</v>
      </c>
      <c r="Z70" s="3" t="n">
        <v>0</v>
      </c>
      <c r="AA70" s="3" t="n">
        <v>0</v>
      </c>
      <c r="AB70" s="3" t="n">
        <v>3</v>
      </c>
      <c r="AC70" s="2" t="s">
        <v>439</v>
      </c>
      <c r="AD70" s="3" t="n">
        <v>4</v>
      </c>
      <c r="AE70" s="2" t="n">
        <v>1</v>
      </c>
      <c r="AF70" s="2" t="n">
        <f aca="false">COUNTIFS(secondary_acts!$A$2:$A$771,$A70,secondary_acts!$E$2:$E$771,"implementing")</f>
        <v>0</v>
      </c>
      <c r="AG70" s="2" t="n">
        <f aca="false">COUNTIFS(secondary_acts!$A$2:$A$771,$A70,secondary_acts!$E$2:$E$771,"delegated")</f>
        <v>0</v>
      </c>
      <c r="AH70" s="2" t="n">
        <f aca="false">COUNTIFS(secondary_acts!$A$2:$A$771,$A70,secondary_acts!$E$2:$E$771,"other Commission/Council act")</f>
        <v>0</v>
      </c>
      <c r="AI70" s="2" t="n">
        <f aca="false">COUNTIFS(secondary_acts!$A$2:$A$771,$A70,secondary_acts!$E$2:$E$771,"guidance")</f>
        <v>1</v>
      </c>
      <c r="AJ70" s="2" t="n">
        <f aca="false">COUNTIF(guidance_web!$A$2:$A$7,$A70)</f>
        <v>0</v>
      </c>
      <c r="AK70" s="3" t="n">
        <f aca="false">SUMIFS(secondary_acts!$S$2:$S$771,secondary_acts!$A$2:$A$771,$A70,secondary_acts!$E$2:$E$771,"implementing")+SUMIFS(secondary_acts!$S$2:$S$771,secondary_acts!$A$2:$A$771,$A70,secondary_acts!$E$2:$E$771,"delegated")</f>
        <v>0</v>
      </c>
      <c r="AL70" s="3"/>
      <c r="AM70" s="2"/>
      <c r="AN70" s="2" t="s">
        <v>194</v>
      </c>
    </row>
    <row r="71" customFormat="false" ht="15" hidden="false" customHeight="false" outlineLevel="0" collapsed="false">
      <c r="A71" s="2" t="n">
        <v>70</v>
      </c>
      <c r="B71" s="2" t="s">
        <v>440</v>
      </c>
      <c r="C71" s="2" t="s">
        <v>441</v>
      </c>
      <c r="D71" s="2" t="s">
        <v>442</v>
      </c>
      <c r="E71" s="2" t="s">
        <v>84</v>
      </c>
      <c r="F71" s="2" t="s">
        <v>44</v>
      </c>
      <c r="G71" s="2" t="s">
        <v>44</v>
      </c>
      <c r="H71" s="2" t="s">
        <v>443</v>
      </c>
      <c r="I71" s="2" t="s">
        <v>46</v>
      </c>
      <c r="J71" s="2" t="s">
        <v>444</v>
      </c>
      <c r="K71" s="3" t="n">
        <v>23</v>
      </c>
      <c r="L71" s="3" t="n">
        <v>12229</v>
      </c>
      <c r="M71" s="3" t="n">
        <v>5675</v>
      </c>
      <c r="N71" s="3" t="n">
        <v>5557</v>
      </c>
      <c r="O71" s="3" t="n">
        <v>6391</v>
      </c>
      <c r="P71" s="3" t="n">
        <v>163</v>
      </c>
      <c r="Q71" s="3" t="n">
        <v>0</v>
      </c>
      <c r="R71" s="3" t="n">
        <v>0</v>
      </c>
      <c r="S71" s="3" t="n">
        <v>114</v>
      </c>
      <c r="T71" s="3" t="n">
        <v>110</v>
      </c>
      <c r="U71" s="3" t="n">
        <v>2</v>
      </c>
      <c r="V71" s="3" t="n">
        <v>0</v>
      </c>
      <c r="W71" s="3" t="n">
        <v>1</v>
      </c>
      <c r="X71" s="3" t="n">
        <v>1</v>
      </c>
      <c r="Y71" s="3" t="n">
        <v>0</v>
      </c>
      <c r="Z71" s="3" t="n">
        <v>20</v>
      </c>
      <c r="AA71" s="3" t="n">
        <v>50</v>
      </c>
      <c r="AB71" s="3" t="n">
        <v>44</v>
      </c>
      <c r="AC71" s="2"/>
      <c r="AD71" s="3"/>
      <c r="AE71" s="2"/>
      <c r="AF71" s="2" t="n">
        <f aca="false">COUNTIFS(secondary_acts!$A$2:$A$771,$A71,secondary_acts!$E$2:$E$771,"implementing")</f>
        <v>8</v>
      </c>
      <c r="AG71" s="2" t="n">
        <f aca="false">COUNTIFS(secondary_acts!$A$2:$A$771,$A71,secondary_acts!$E$2:$E$771,"delegated")</f>
        <v>0</v>
      </c>
      <c r="AH71" s="2" t="n">
        <f aca="false">COUNTIFS(secondary_acts!$A$2:$A$771,$A71,secondary_acts!$E$2:$E$771,"other Commission/Council act")</f>
        <v>0</v>
      </c>
      <c r="AI71" s="2" t="n">
        <f aca="false">COUNTIFS(secondary_acts!$A$2:$A$771,$A71,secondary_acts!$E$2:$E$771,"guidance")</f>
        <v>1</v>
      </c>
      <c r="AJ71" s="2" t="n">
        <f aca="false">COUNTIF(guidance_web!$A$2:$A$7,$A71)</f>
        <v>0</v>
      </c>
      <c r="AK71" s="3" t="n">
        <f aca="false">SUMIFS(secondary_acts!$S$2:$S$771,secondary_acts!$A$2:$A$771,$A71,secondary_acts!$E$2:$E$771,"implementing")+SUMIFS(secondary_acts!$S$2:$S$771,secondary_acts!$A$2:$A$771,$A71,secondary_acts!$E$2:$E$771,"delegated")</f>
        <v>68</v>
      </c>
      <c r="AL71" s="3"/>
      <c r="AM71" s="2"/>
      <c r="AN71" s="2"/>
    </row>
    <row r="72" customFormat="false" ht="15" hidden="false" customHeight="false" outlineLevel="0" collapsed="false">
      <c r="A72" s="2" t="n">
        <v>71</v>
      </c>
      <c r="B72" s="2" t="s">
        <v>445</v>
      </c>
      <c r="C72" s="2" t="s">
        <v>446</v>
      </c>
      <c r="D72" s="2" t="s">
        <v>447</v>
      </c>
      <c r="E72" s="2" t="s">
        <v>84</v>
      </c>
      <c r="F72" s="2" t="s">
        <v>44</v>
      </c>
      <c r="G72" s="2" t="s">
        <v>44</v>
      </c>
      <c r="H72" s="2" t="s">
        <v>448</v>
      </c>
      <c r="I72" s="2" t="s">
        <v>46</v>
      </c>
      <c r="J72" s="2" t="s">
        <v>449</v>
      </c>
      <c r="K72" s="3" t="n">
        <v>44</v>
      </c>
      <c r="L72" s="3" t="n">
        <v>25259</v>
      </c>
      <c r="M72" s="3" t="n">
        <v>14100</v>
      </c>
      <c r="N72" s="3" t="n">
        <v>13974</v>
      </c>
      <c r="O72" s="3" t="n">
        <v>11159</v>
      </c>
      <c r="P72" s="3" t="n">
        <v>0</v>
      </c>
      <c r="Q72" s="3" t="n">
        <v>0</v>
      </c>
      <c r="R72" s="3" t="n">
        <v>0</v>
      </c>
      <c r="S72" s="3" t="n">
        <v>187</v>
      </c>
      <c r="T72" s="3" t="n">
        <v>157</v>
      </c>
      <c r="U72" s="3" t="n">
        <v>9</v>
      </c>
      <c r="V72" s="3" t="n">
        <v>1</v>
      </c>
      <c r="W72" s="3" t="n">
        <v>0</v>
      </c>
      <c r="X72" s="3" t="n">
        <v>20</v>
      </c>
      <c r="Y72" s="3" t="n">
        <v>77</v>
      </c>
      <c r="Z72" s="3" t="n">
        <v>44</v>
      </c>
      <c r="AA72" s="3" t="n">
        <v>23</v>
      </c>
      <c r="AB72" s="3" t="n">
        <v>43</v>
      </c>
      <c r="AC72" s="2" t="s">
        <v>450</v>
      </c>
      <c r="AD72" s="3" t="n">
        <v>187</v>
      </c>
      <c r="AE72" s="2" t="n">
        <v>77</v>
      </c>
      <c r="AF72" s="2" t="n">
        <f aca="false">COUNTIFS(secondary_acts!$A$2:$A$771,$A72,secondary_acts!$E$2:$E$771,"implementing")</f>
        <v>2</v>
      </c>
      <c r="AG72" s="2" t="n">
        <f aca="false">COUNTIFS(secondary_acts!$A$2:$A$771,$A72,secondary_acts!$E$2:$E$771,"delegated")</f>
        <v>0</v>
      </c>
      <c r="AH72" s="2" t="n">
        <f aca="false">COUNTIFS(secondary_acts!$A$2:$A$771,$A72,secondary_acts!$E$2:$E$771,"other Commission/Council act")</f>
        <v>0</v>
      </c>
      <c r="AI72" s="2" t="n">
        <f aca="false">COUNTIFS(secondary_acts!$A$2:$A$771,$A72,secondary_acts!$E$2:$E$771,"guidance")</f>
        <v>1</v>
      </c>
      <c r="AJ72" s="2" t="n">
        <f aca="false">COUNTIF(guidance_web!$A$2:$A$7,$A72)</f>
        <v>0</v>
      </c>
      <c r="AK72" s="3" t="n">
        <f aca="false">SUMIFS(secondary_acts!$S$2:$S$771,secondary_acts!$A$2:$A$771,$A72,secondary_acts!$E$2:$E$771,"implementing")+SUMIFS(secondary_acts!$S$2:$S$771,secondary_acts!$A$2:$A$771,$A72,secondary_acts!$E$2:$E$771,"delegated")</f>
        <v>70</v>
      </c>
      <c r="AL72" s="3"/>
      <c r="AM72" s="2"/>
      <c r="AN72" s="2" t="s">
        <v>62</v>
      </c>
    </row>
    <row r="73" customFormat="false" ht="15" hidden="false" customHeight="false" outlineLevel="0" collapsed="false">
      <c r="A73" s="2" t="n">
        <v>72</v>
      </c>
      <c r="B73" s="2" t="s">
        <v>451</v>
      </c>
      <c r="C73" s="2" t="s">
        <v>452</v>
      </c>
      <c r="D73" s="2" t="s">
        <v>453</v>
      </c>
      <c r="E73" s="2" t="s">
        <v>84</v>
      </c>
      <c r="F73" s="2" t="s">
        <v>44</v>
      </c>
      <c r="G73" s="2" t="s">
        <v>44</v>
      </c>
      <c r="H73" s="2" t="s">
        <v>454</v>
      </c>
      <c r="I73" s="2" t="s">
        <v>46</v>
      </c>
      <c r="J73" s="2" t="s">
        <v>455</v>
      </c>
      <c r="K73" s="3" t="n">
        <v>29</v>
      </c>
      <c r="L73" s="3" t="n">
        <v>15400</v>
      </c>
      <c r="M73" s="3" t="n">
        <v>5996</v>
      </c>
      <c r="N73" s="3" t="n">
        <v>5858</v>
      </c>
      <c r="O73" s="3" t="n">
        <v>8635</v>
      </c>
      <c r="P73" s="3" t="n">
        <v>769</v>
      </c>
      <c r="Q73" s="3" t="n">
        <v>0</v>
      </c>
      <c r="R73" s="3" t="n">
        <v>0</v>
      </c>
      <c r="S73" s="3" t="n">
        <v>135</v>
      </c>
      <c r="T73" s="3" t="n">
        <v>121</v>
      </c>
      <c r="U73" s="3" t="n">
        <v>4</v>
      </c>
      <c r="V73" s="3" t="n">
        <v>0</v>
      </c>
      <c r="W73" s="3" t="n">
        <v>1</v>
      </c>
      <c r="X73" s="3" t="n">
        <v>9</v>
      </c>
      <c r="Y73" s="3" t="n">
        <v>9</v>
      </c>
      <c r="Z73" s="3" t="n">
        <v>63</v>
      </c>
      <c r="AA73" s="3" t="n">
        <v>25</v>
      </c>
      <c r="AB73" s="3" t="n">
        <v>38</v>
      </c>
      <c r="AC73" s="2" t="s">
        <v>456</v>
      </c>
      <c r="AD73" s="3" t="n">
        <v>125</v>
      </c>
      <c r="AE73" s="2" t="n">
        <v>9</v>
      </c>
      <c r="AF73" s="2" t="n">
        <f aca="false">COUNTIFS(secondary_acts!$A$2:$A$771,$A73,secondary_acts!$E$2:$E$771,"implementing")</f>
        <v>2</v>
      </c>
      <c r="AG73" s="2" t="n">
        <f aca="false">COUNTIFS(secondary_acts!$A$2:$A$771,$A73,secondary_acts!$E$2:$E$771,"delegated")</f>
        <v>0</v>
      </c>
      <c r="AH73" s="2" t="n">
        <f aca="false">COUNTIFS(secondary_acts!$A$2:$A$771,$A73,secondary_acts!$E$2:$E$771,"other Commission/Council act")</f>
        <v>0</v>
      </c>
      <c r="AI73" s="2" t="n">
        <f aca="false">COUNTIFS(secondary_acts!$A$2:$A$771,$A73,secondary_acts!$E$2:$E$771,"guidance")</f>
        <v>0</v>
      </c>
      <c r="AJ73" s="2" t="n">
        <f aca="false">COUNTIF(guidance_web!$A$2:$A$7,$A73)</f>
        <v>0</v>
      </c>
      <c r="AK73" s="3" t="n">
        <f aca="false">SUMIFS(secondary_acts!$S$2:$S$771,secondary_acts!$A$2:$A$771,$A73,secondary_acts!$E$2:$E$771,"implementing")+SUMIFS(secondary_acts!$S$2:$S$771,secondary_acts!$A$2:$A$771,$A73,secondary_acts!$E$2:$E$771,"delegated")</f>
        <v>214</v>
      </c>
      <c r="AL73" s="3"/>
      <c r="AM73" s="2"/>
      <c r="AN73" s="2"/>
    </row>
    <row r="74" customFormat="false" ht="15" hidden="false" customHeight="false" outlineLevel="0" collapsed="false">
      <c r="A74" s="2" t="n">
        <v>73</v>
      </c>
      <c r="B74" s="2" t="s">
        <v>457</v>
      </c>
      <c r="C74" s="2" t="s">
        <v>458</v>
      </c>
      <c r="D74" s="2" t="s">
        <v>459</v>
      </c>
      <c r="E74" s="2" t="s">
        <v>84</v>
      </c>
      <c r="F74" s="2" t="s">
        <v>44</v>
      </c>
      <c r="G74" s="2" t="s">
        <v>44</v>
      </c>
      <c r="H74" s="2" t="s">
        <v>460</v>
      </c>
      <c r="I74" s="2" t="s">
        <v>46</v>
      </c>
      <c r="J74" s="2" t="s">
        <v>461</v>
      </c>
      <c r="K74" s="3" t="n">
        <v>26</v>
      </c>
      <c r="L74" s="3" t="n">
        <v>16094</v>
      </c>
      <c r="M74" s="3" t="n">
        <v>9641</v>
      </c>
      <c r="N74" s="3" t="n">
        <v>9503</v>
      </c>
      <c r="O74" s="3" t="n">
        <v>6453</v>
      </c>
      <c r="P74" s="3" t="n">
        <v>0</v>
      </c>
      <c r="Q74" s="3" t="n">
        <v>0</v>
      </c>
      <c r="R74" s="3" t="n">
        <v>0</v>
      </c>
      <c r="S74" s="3" t="n">
        <v>100</v>
      </c>
      <c r="T74" s="3" t="n">
        <v>77</v>
      </c>
      <c r="U74" s="3" t="n">
        <v>4</v>
      </c>
      <c r="V74" s="3" t="n">
        <v>0</v>
      </c>
      <c r="W74" s="3" t="n">
        <v>0</v>
      </c>
      <c r="X74" s="3" t="n">
        <v>19</v>
      </c>
      <c r="Y74" s="3" t="n">
        <v>33</v>
      </c>
      <c r="Z74" s="3" t="n">
        <v>50</v>
      </c>
      <c r="AA74" s="3" t="n">
        <v>2</v>
      </c>
      <c r="AB74" s="3" t="n">
        <v>15</v>
      </c>
      <c r="AC74" s="2" t="s">
        <v>462</v>
      </c>
      <c r="AD74" s="3" t="n">
        <v>100</v>
      </c>
      <c r="AE74" s="2" t="n">
        <v>33</v>
      </c>
      <c r="AF74" s="2" t="n">
        <f aca="false">COUNTIFS(secondary_acts!$A$2:$A$771,$A74,secondary_acts!$E$2:$E$771,"implementing")</f>
        <v>0</v>
      </c>
      <c r="AG74" s="2" t="n">
        <f aca="false">COUNTIFS(secondary_acts!$A$2:$A$771,$A74,secondary_acts!$E$2:$E$771,"delegated")</f>
        <v>0</v>
      </c>
      <c r="AH74" s="2" t="n">
        <f aca="false">COUNTIFS(secondary_acts!$A$2:$A$771,$A74,secondary_acts!$E$2:$E$771,"other Commission/Council act")</f>
        <v>0</v>
      </c>
      <c r="AI74" s="2" t="n">
        <f aca="false">COUNTIFS(secondary_acts!$A$2:$A$771,$A74,secondary_acts!$E$2:$E$771,"guidance")</f>
        <v>0</v>
      </c>
      <c r="AJ74" s="2" t="n">
        <f aca="false">COUNTIF(guidance_web!$A$2:$A$7,$A74)</f>
        <v>0</v>
      </c>
      <c r="AK74" s="3" t="n">
        <f aca="false">SUMIFS(secondary_acts!$S$2:$S$771,secondary_acts!$A$2:$A$771,$A74,secondary_acts!$E$2:$E$771,"implementing")+SUMIFS(secondary_acts!$S$2:$S$771,secondary_acts!$A$2:$A$771,$A74,secondary_acts!$E$2:$E$771,"delegated")</f>
        <v>0</v>
      </c>
      <c r="AL74" s="3" t="n">
        <v>0</v>
      </c>
      <c r="AM74" s="2" t="n">
        <v>0</v>
      </c>
      <c r="AN74" s="2"/>
    </row>
    <row r="75" customFormat="false" ht="15" hidden="false" customHeight="false" outlineLevel="0" collapsed="false">
      <c r="A75" s="2" t="n">
        <v>74</v>
      </c>
      <c r="B75" s="2" t="s">
        <v>463</v>
      </c>
      <c r="C75" s="2" t="s">
        <v>464</v>
      </c>
      <c r="D75" s="2" t="s">
        <v>465</v>
      </c>
      <c r="E75" s="2" t="s">
        <v>84</v>
      </c>
      <c r="F75" s="2" t="s">
        <v>44</v>
      </c>
      <c r="G75" s="2" t="s">
        <v>44</v>
      </c>
      <c r="H75" s="2" t="s">
        <v>466</v>
      </c>
      <c r="I75" s="2" t="s">
        <v>46</v>
      </c>
      <c r="J75" s="2" t="s">
        <v>467</v>
      </c>
      <c r="K75" s="3" t="n">
        <v>53</v>
      </c>
      <c r="L75" s="3" t="n">
        <v>28299</v>
      </c>
      <c r="M75" s="3" t="n">
        <v>11733</v>
      </c>
      <c r="N75" s="3" t="n">
        <v>11596</v>
      </c>
      <c r="O75" s="3" t="n">
        <v>14035</v>
      </c>
      <c r="P75" s="3" t="n">
        <v>2531</v>
      </c>
      <c r="Q75" s="3" t="n">
        <v>0</v>
      </c>
      <c r="R75" s="3" t="n">
        <v>0</v>
      </c>
      <c r="S75" s="3" t="n">
        <v>242</v>
      </c>
      <c r="T75" s="3" t="n">
        <v>210</v>
      </c>
      <c r="U75" s="3" t="n">
        <v>12</v>
      </c>
      <c r="V75" s="3" t="n">
        <v>0</v>
      </c>
      <c r="W75" s="3" t="n">
        <v>5</v>
      </c>
      <c r="X75" s="3" t="n">
        <v>15</v>
      </c>
      <c r="Y75" s="3" t="n">
        <v>14</v>
      </c>
      <c r="Z75" s="3" t="n">
        <v>28</v>
      </c>
      <c r="AA75" s="3" t="n">
        <v>114</v>
      </c>
      <c r="AB75" s="3" t="n">
        <v>86</v>
      </c>
      <c r="AC75" s="2"/>
      <c r="AD75" s="3"/>
      <c r="AE75" s="2"/>
      <c r="AF75" s="2" t="n">
        <f aca="false">COUNTIFS(secondary_acts!$A$2:$A$771,$A75,secondary_acts!$E$2:$E$771,"implementing")</f>
        <v>0</v>
      </c>
      <c r="AG75" s="2" t="n">
        <f aca="false">COUNTIFS(secondary_acts!$A$2:$A$771,$A75,secondary_acts!$E$2:$E$771,"delegated")</f>
        <v>0</v>
      </c>
      <c r="AH75" s="2" t="n">
        <f aca="false">COUNTIFS(secondary_acts!$A$2:$A$771,$A75,secondary_acts!$E$2:$E$771,"other Commission/Council act")</f>
        <v>0</v>
      </c>
      <c r="AI75" s="2" t="n">
        <f aca="false">COUNTIFS(secondary_acts!$A$2:$A$771,$A75,secondary_acts!$E$2:$E$771,"guidance")</f>
        <v>1</v>
      </c>
      <c r="AJ75" s="2" t="n">
        <f aca="false">COUNTIF(guidance_web!$A$2:$A$7,$A75)</f>
        <v>0</v>
      </c>
      <c r="AK75" s="3" t="n">
        <f aca="false">SUMIFS(secondary_acts!$S$2:$S$771,secondary_acts!$A$2:$A$771,$A75,secondary_acts!$E$2:$E$771,"implementing")+SUMIFS(secondary_acts!$S$2:$S$771,secondary_acts!$A$2:$A$771,$A75,secondary_acts!$E$2:$E$771,"delegated")</f>
        <v>0</v>
      </c>
      <c r="AL75" s="3"/>
      <c r="AM75" s="2"/>
      <c r="AN75" s="2"/>
    </row>
    <row r="76" customFormat="false" ht="15" hidden="false" customHeight="false" outlineLevel="0" collapsed="false">
      <c r="A76" s="2" t="n">
        <v>75</v>
      </c>
      <c r="B76" s="2" t="s">
        <v>468</v>
      </c>
      <c r="C76" s="2" t="s">
        <v>469</v>
      </c>
      <c r="D76" s="2" t="s">
        <v>470</v>
      </c>
      <c r="E76" s="2" t="s">
        <v>84</v>
      </c>
      <c r="F76" s="2" t="s">
        <v>44</v>
      </c>
      <c r="G76" s="2" t="s">
        <v>44</v>
      </c>
      <c r="H76" s="2" t="s">
        <v>471</v>
      </c>
      <c r="I76" s="2" t="s">
        <v>46</v>
      </c>
      <c r="J76" s="2" t="s">
        <v>472</v>
      </c>
      <c r="K76" s="3" t="n">
        <v>39</v>
      </c>
      <c r="L76" s="3" t="n">
        <v>19825</v>
      </c>
      <c r="M76" s="3" t="n">
        <v>8242</v>
      </c>
      <c r="N76" s="3" t="n">
        <v>8145</v>
      </c>
      <c r="O76" s="3" t="n">
        <v>10757</v>
      </c>
      <c r="P76" s="3" t="n">
        <v>826</v>
      </c>
      <c r="Q76" s="3" t="n">
        <v>0</v>
      </c>
      <c r="R76" s="3" t="n">
        <v>0</v>
      </c>
      <c r="S76" s="3" t="n">
        <v>174</v>
      </c>
      <c r="T76" s="3" t="n">
        <v>154</v>
      </c>
      <c r="U76" s="3" t="n">
        <v>4</v>
      </c>
      <c r="V76" s="3" t="n">
        <v>0</v>
      </c>
      <c r="W76" s="3" t="n">
        <v>1</v>
      </c>
      <c r="X76" s="3" t="n">
        <v>15</v>
      </c>
      <c r="Y76" s="3" t="n">
        <v>10</v>
      </c>
      <c r="Z76" s="3" t="n">
        <v>14</v>
      </c>
      <c r="AA76" s="3" t="n">
        <v>82</v>
      </c>
      <c r="AB76" s="3" t="n">
        <v>68</v>
      </c>
      <c r="AC76" s="2"/>
      <c r="AD76" s="3"/>
      <c r="AE76" s="2"/>
      <c r="AF76" s="2" t="n">
        <f aca="false">COUNTIFS(secondary_acts!$A$2:$A$771,$A76,secondary_acts!$E$2:$E$771,"implementing")</f>
        <v>2</v>
      </c>
      <c r="AG76" s="2" t="n">
        <f aca="false">COUNTIFS(secondary_acts!$A$2:$A$771,$A76,secondary_acts!$E$2:$E$771,"delegated")</f>
        <v>0</v>
      </c>
      <c r="AH76" s="2" t="n">
        <f aca="false">COUNTIFS(secondary_acts!$A$2:$A$771,$A76,secondary_acts!$E$2:$E$771,"other Commission/Council act")</f>
        <v>0</v>
      </c>
      <c r="AI76" s="2" t="n">
        <f aca="false">COUNTIFS(secondary_acts!$A$2:$A$771,$A76,secondary_acts!$E$2:$E$771,"guidance")</f>
        <v>0</v>
      </c>
      <c r="AJ76" s="2" t="n">
        <f aca="false">COUNTIF(guidance_web!$A$2:$A$7,$A76)</f>
        <v>0</v>
      </c>
      <c r="AK76" s="3" t="n">
        <f aca="false">SUMIFS(secondary_acts!$S$2:$S$771,secondary_acts!$A$2:$A$771,$A76,secondary_acts!$E$2:$E$771,"implementing")+SUMIFS(secondary_acts!$S$2:$S$771,secondary_acts!$A$2:$A$771,$A76,secondary_acts!$E$2:$E$771,"delegated")</f>
        <v>16</v>
      </c>
      <c r="AL76" s="3"/>
      <c r="AM76" s="2"/>
      <c r="AN76" s="2"/>
    </row>
    <row r="77" customFormat="false" ht="15" hidden="false" customHeight="false" outlineLevel="0" collapsed="false">
      <c r="A77" s="2" t="n">
        <v>76</v>
      </c>
      <c r="B77" s="2" t="s">
        <v>473</v>
      </c>
      <c r="C77" s="2" t="s">
        <v>474</v>
      </c>
      <c r="D77" s="2" t="s">
        <v>475</v>
      </c>
      <c r="E77" s="2" t="s">
        <v>84</v>
      </c>
      <c r="F77" s="2" t="s">
        <v>44</v>
      </c>
      <c r="G77" s="2" t="s">
        <v>44</v>
      </c>
      <c r="H77" s="2" t="s">
        <v>476</v>
      </c>
      <c r="I77" s="2" t="s">
        <v>46</v>
      </c>
      <c r="J77" s="2" t="s">
        <v>477</v>
      </c>
      <c r="K77" s="3" t="n">
        <v>71</v>
      </c>
      <c r="L77" s="3" t="n">
        <v>44522</v>
      </c>
      <c r="M77" s="3" t="n">
        <v>22506</v>
      </c>
      <c r="N77" s="3" t="n">
        <v>22355</v>
      </c>
      <c r="O77" s="3" t="n">
        <v>22016</v>
      </c>
      <c r="P77" s="3" t="n">
        <v>0</v>
      </c>
      <c r="Q77" s="3" t="n">
        <v>0</v>
      </c>
      <c r="R77" s="3" t="n">
        <v>0</v>
      </c>
      <c r="S77" s="3" t="n">
        <v>264</v>
      </c>
      <c r="T77" s="3" t="n">
        <v>216</v>
      </c>
      <c r="U77" s="3" t="n">
        <v>37</v>
      </c>
      <c r="V77" s="3" t="n">
        <v>2</v>
      </c>
      <c r="W77" s="3" t="n">
        <v>5</v>
      </c>
      <c r="X77" s="3" t="n">
        <v>4</v>
      </c>
      <c r="Y77" s="3" t="n">
        <v>110</v>
      </c>
      <c r="Z77" s="3" t="n">
        <v>44</v>
      </c>
      <c r="AA77" s="3" t="n">
        <v>56</v>
      </c>
      <c r="AB77" s="3" t="n">
        <v>54</v>
      </c>
      <c r="AC77" s="2" t="s">
        <v>478</v>
      </c>
      <c r="AD77" s="3" t="n">
        <v>264</v>
      </c>
      <c r="AE77" s="2" t="n">
        <v>110</v>
      </c>
      <c r="AF77" s="2" t="n">
        <f aca="false">COUNTIFS(secondary_acts!$A$2:$A$771,$A77,secondary_acts!$E$2:$E$771,"implementing")</f>
        <v>0</v>
      </c>
      <c r="AG77" s="2" t="n">
        <f aca="false">COUNTIFS(secondary_acts!$A$2:$A$771,$A77,secondary_acts!$E$2:$E$771,"delegated")</f>
        <v>0</v>
      </c>
      <c r="AH77" s="2" t="n">
        <f aca="false">COUNTIFS(secondary_acts!$A$2:$A$771,$A77,secondary_acts!$E$2:$E$771,"other Commission/Council act")</f>
        <v>0</v>
      </c>
      <c r="AI77" s="2" t="n">
        <f aca="false">COUNTIFS(secondary_acts!$A$2:$A$771,$A77,secondary_acts!$E$2:$E$771,"guidance")</f>
        <v>1</v>
      </c>
      <c r="AJ77" s="2" t="n">
        <f aca="false">COUNTIF(guidance_web!$A$2:$A$7,$A77)</f>
        <v>0</v>
      </c>
      <c r="AK77" s="3" t="n">
        <f aca="false">SUMIFS(secondary_acts!$S$2:$S$771,secondary_acts!$A$2:$A$771,$A77,secondary_acts!$E$2:$E$771,"implementing")+SUMIFS(secondary_acts!$S$2:$S$771,secondary_acts!$A$2:$A$771,$A77,secondary_acts!$E$2:$E$771,"delegated")</f>
        <v>0</v>
      </c>
      <c r="AL77" s="3"/>
      <c r="AM77" s="2"/>
      <c r="AN77" s="2" t="s">
        <v>62</v>
      </c>
    </row>
    <row r="78" customFormat="false" ht="15" hidden="false" customHeight="false" outlineLevel="0" collapsed="false">
      <c r="A78" s="2" t="n">
        <v>77</v>
      </c>
      <c r="B78" s="2" t="s">
        <v>479</v>
      </c>
      <c r="C78" s="2" t="s">
        <v>480</v>
      </c>
      <c r="D78" s="2" t="s">
        <v>481</v>
      </c>
      <c r="E78" s="2" t="s">
        <v>84</v>
      </c>
      <c r="F78" s="2" t="s">
        <v>44</v>
      </c>
      <c r="G78" s="2" t="s">
        <v>44</v>
      </c>
      <c r="H78" s="2" t="s">
        <v>482</v>
      </c>
      <c r="I78" s="2" t="s">
        <v>46</v>
      </c>
      <c r="J78" s="2" t="s">
        <v>483</v>
      </c>
      <c r="K78" s="3" t="n">
        <v>36</v>
      </c>
      <c r="L78" s="3" t="n">
        <v>21341</v>
      </c>
      <c r="M78" s="3" t="n">
        <v>10771</v>
      </c>
      <c r="N78" s="3" t="n">
        <v>10658</v>
      </c>
      <c r="O78" s="3" t="n">
        <v>10570</v>
      </c>
      <c r="P78" s="3" t="n">
        <v>0</v>
      </c>
      <c r="Q78" s="3" t="n">
        <v>0</v>
      </c>
      <c r="R78" s="3" t="n">
        <v>0</v>
      </c>
      <c r="S78" s="3" t="n">
        <v>206</v>
      </c>
      <c r="T78" s="3" t="n">
        <v>132</v>
      </c>
      <c r="U78" s="3" t="n">
        <v>3</v>
      </c>
      <c r="V78" s="3" t="n">
        <v>0</v>
      </c>
      <c r="W78" s="3" t="n">
        <v>0</v>
      </c>
      <c r="X78" s="3" t="n">
        <v>71</v>
      </c>
      <c r="Y78" s="3" t="n">
        <v>6</v>
      </c>
      <c r="Z78" s="3" t="n">
        <v>131</v>
      </c>
      <c r="AA78" s="3" t="n">
        <v>3</v>
      </c>
      <c r="AB78" s="3" t="n">
        <v>66</v>
      </c>
      <c r="AC78" s="2"/>
      <c r="AD78" s="3"/>
      <c r="AE78" s="2"/>
      <c r="AF78" s="2" t="n">
        <f aca="false">COUNTIFS(secondary_acts!$A$2:$A$771,$A78,secondary_acts!$E$2:$E$771,"implementing")</f>
        <v>0</v>
      </c>
      <c r="AG78" s="2" t="n">
        <f aca="false">COUNTIFS(secondary_acts!$A$2:$A$771,$A78,secondary_acts!$E$2:$E$771,"delegated")</f>
        <v>0</v>
      </c>
      <c r="AH78" s="2" t="n">
        <f aca="false">COUNTIFS(secondary_acts!$A$2:$A$771,$A78,secondary_acts!$E$2:$E$771,"other Commission/Council act")</f>
        <v>0</v>
      </c>
      <c r="AI78" s="2" t="n">
        <f aca="false">COUNTIFS(secondary_acts!$A$2:$A$771,$A78,secondary_acts!$E$2:$E$771,"guidance")</f>
        <v>0</v>
      </c>
      <c r="AJ78" s="2" t="n">
        <f aca="false">COUNTIF(guidance_web!$A$2:$A$7,$A78)</f>
        <v>0</v>
      </c>
      <c r="AK78" s="3" t="n">
        <f aca="false">SUMIFS(secondary_acts!$S$2:$S$771,secondary_acts!$A$2:$A$771,$A78,secondary_acts!$E$2:$E$771,"implementing")+SUMIFS(secondary_acts!$S$2:$S$771,secondary_acts!$A$2:$A$771,$A78,secondary_acts!$E$2:$E$771,"delegated")</f>
        <v>0</v>
      </c>
      <c r="AL78" s="3" t="n">
        <v>3503</v>
      </c>
      <c r="AM78" s="2" t="n">
        <v>4</v>
      </c>
      <c r="AN78" s="2"/>
    </row>
    <row r="79" customFormat="false" ht="15" hidden="false" customHeight="false" outlineLevel="0" collapsed="false">
      <c r="A79" s="2" t="n">
        <v>78</v>
      </c>
      <c r="B79" s="2" t="s">
        <v>484</v>
      </c>
      <c r="C79" s="2" t="s">
        <v>485</v>
      </c>
      <c r="D79" s="2" t="s">
        <v>486</v>
      </c>
      <c r="E79" s="2" t="s">
        <v>84</v>
      </c>
      <c r="F79" s="2" t="s">
        <v>44</v>
      </c>
      <c r="G79" s="2" t="s">
        <v>44</v>
      </c>
      <c r="H79" s="2" t="s">
        <v>487</v>
      </c>
      <c r="I79" s="2" t="s">
        <v>46</v>
      </c>
      <c r="J79" s="2" t="s">
        <v>488</v>
      </c>
      <c r="K79" s="3" t="n">
        <v>27</v>
      </c>
      <c r="L79" s="3" t="n">
        <v>14545</v>
      </c>
      <c r="M79" s="3" t="n">
        <v>5325</v>
      </c>
      <c r="N79" s="3" t="n">
        <v>5200</v>
      </c>
      <c r="O79" s="3" t="n">
        <v>9220</v>
      </c>
      <c r="P79" s="3" t="n">
        <v>0</v>
      </c>
      <c r="Q79" s="3" t="n">
        <v>0</v>
      </c>
      <c r="R79" s="3" t="n">
        <v>0</v>
      </c>
      <c r="S79" s="3" t="n">
        <v>166</v>
      </c>
      <c r="T79" s="3" t="n">
        <v>153</v>
      </c>
      <c r="U79" s="3" t="n">
        <v>6</v>
      </c>
      <c r="V79" s="3" t="n">
        <v>1</v>
      </c>
      <c r="W79" s="3" t="n">
        <v>2</v>
      </c>
      <c r="X79" s="3" t="n">
        <v>4</v>
      </c>
      <c r="Y79" s="3" t="n">
        <v>1</v>
      </c>
      <c r="Z79" s="3" t="n">
        <v>1</v>
      </c>
      <c r="AA79" s="3" t="n">
        <v>126</v>
      </c>
      <c r="AB79" s="3" t="n">
        <v>38</v>
      </c>
      <c r="AC79" s="2" t="s">
        <v>489</v>
      </c>
      <c r="AD79" s="3" t="n">
        <v>166</v>
      </c>
      <c r="AE79" s="2" t="n">
        <v>1</v>
      </c>
      <c r="AF79" s="2" t="n">
        <f aca="false">COUNTIFS(secondary_acts!$A$2:$A$771,$A79,secondary_acts!$E$2:$E$771,"implementing")</f>
        <v>0</v>
      </c>
      <c r="AG79" s="2" t="n">
        <f aca="false">COUNTIFS(secondary_acts!$A$2:$A$771,$A79,secondary_acts!$E$2:$E$771,"delegated")</f>
        <v>0</v>
      </c>
      <c r="AH79" s="2" t="n">
        <f aca="false">COUNTIFS(secondary_acts!$A$2:$A$771,$A79,secondary_acts!$E$2:$E$771,"other Commission/Council act")</f>
        <v>0</v>
      </c>
      <c r="AI79" s="2" t="n">
        <f aca="false">COUNTIFS(secondary_acts!$A$2:$A$771,$A79,secondary_acts!$E$2:$E$771,"guidance")</f>
        <v>0</v>
      </c>
      <c r="AJ79" s="2" t="n">
        <f aca="false">COUNTIF(guidance_web!$A$2:$A$7,$A79)</f>
        <v>0</v>
      </c>
      <c r="AK79" s="3" t="n">
        <f aca="false">SUMIFS(secondary_acts!$S$2:$S$771,secondary_acts!$A$2:$A$771,$A79,secondary_acts!$E$2:$E$771,"implementing")+SUMIFS(secondary_acts!$S$2:$S$771,secondary_acts!$A$2:$A$771,$A79,secondary_acts!$E$2:$E$771,"delegated")</f>
        <v>0</v>
      </c>
      <c r="AL79" s="3"/>
      <c r="AM79" s="2"/>
      <c r="AN79" s="2" t="s">
        <v>62</v>
      </c>
    </row>
    <row r="80" customFormat="false" ht="15" hidden="false" customHeight="false" outlineLevel="0" collapsed="false">
      <c r="A80" s="2" t="n">
        <v>79</v>
      </c>
      <c r="B80" s="2" t="s">
        <v>490</v>
      </c>
      <c r="C80" s="2" t="s">
        <v>491</v>
      </c>
      <c r="D80" s="2" t="s">
        <v>486</v>
      </c>
      <c r="E80" s="2" t="s">
        <v>84</v>
      </c>
      <c r="F80" s="2" t="s">
        <v>492</v>
      </c>
      <c r="G80" s="2" t="s">
        <v>492</v>
      </c>
      <c r="H80" s="2" t="s">
        <v>493</v>
      </c>
      <c r="I80" s="2" t="s">
        <v>494</v>
      </c>
      <c r="J80" s="2" t="s">
        <v>495</v>
      </c>
      <c r="K80" s="3" t="n">
        <v>90</v>
      </c>
      <c r="L80" s="3" t="n">
        <v>22121</v>
      </c>
      <c r="M80" s="3" t="n">
        <v>2056</v>
      </c>
      <c r="N80" s="3" t="n">
        <v>1958</v>
      </c>
      <c r="O80" s="3" t="n">
        <v>13090</v>
      </c>
      <c r="P80" s="3" t="n">
        <v>6975</v>
      </c>
      <c r="Q80" s="3" t="n">
        <v>3755</v>
      </c>
      <c r="R80" s="3" t="n">
        <v>4388</v>
      </c>
      <c r="S80" s="3" t="n">
        <v>398</v>
      </c>
      <c r="T80" s="3" t="n">
        <v>364</v>
      </c>
      <c r="U80" s="3" t="n">
        <v>19</v>
      </c>
      <c r="V80" s="3" t="n">
        <v>5</v>
      </c>
      <c r="W80" s="3" t="n">
        <v>2</v>
      </c>
      <c r="X80" s="3" t="n">
        <v>8</v>
      </c>
      <c r="Y80" s="3" t="n">
        <v>30</v>
      </c>
      <c r="Z80" s="3" t="n">
        <v>15</v>
      </c>
      <c r="AA80" s="3" t="n">
        <v>163</v>
      </c>
      <c r="AB80" s="3" t="n">
        <v>190</v>
      </c>
      <c r="AC80" s="2"/>
      <c r="AD80" s="3"/>
      <c r="AE80" s="2"/>
      <c r="AF80" s="2" t="n">
        <f aca="false">COUNTIFS(secondary_acts!$A$2:$A$771,$A80,secondary_acts!$E$2:$E$771,"implementing")</f>
        <v>0</v>
      </c>
      <c r="AG80" s="2" t="n">
        <f aca="false">COUNTIFS(secondary_acts!$A$2:$A$771,$A80,secondary_acts!$E$2:$E$771,"delegated")</f>
        <v>0</v>
      </c>
      <c r="AH80" s="2" t="n">
        <f aca="false">COUNTIFS(secondary_acts!$A$2:$A$771,$A80,secondary_acts!$E$2:$E$771,"other Commission/Council act")</f>
        <v>0</v>
      </c>
      <c r="AI80" s="2" t="n">
        <f aca="false">COUNTIFS(secondary_acts!$A$2:$A$771,$A80,secondary_acts!$E$2:$E$771,"guidance")</f>
        <v>0</v>
      </c>
      <c r="AJ80" s="2" t="n">
        <f aca="false">COUNTIF(guidance_web!$A$2:$A$7,$A80)</f>
        <v>0</v>
      </c>
      <c r="AK80" s="3" t="n">
        <f aca="false">SUMIFS(secondary_acts!$S$2:$S$771,secondary_acts!$A$2:$A$771,$A80,secondary_acts!$E$2:$E$771,"implementing")+SUMIFS(secondary_acts!$S$2:$S$771,secondary_acts!$A$2:$A$771,$A80,secondary_acts!$E$2:$E$771,"delegated")</f>
        <v>0</v>
      </c>
      <c r="AL80" s="3"/>
      <c r="AM80" s="2"/>
      <c r="AN80" s="2"/>
    </row>
    <row r="81" customFormat="false" ht="15" hidden="false" customHeight="false" outlineLevel="0" collapsed="false">
      <c r="A81" s="2" t="n">
        <v>80</v>
      </c>
      <c r="B81" s="2" t="s">
        <v>496</v>
      </c>
      <c r="C81" s="2" t="s">
        <v>497</v>
      </c>
      <c r="D81" s="2" t="s">
        <v>498</v>
      </c>
      <c r="E81" s="2" t="s">
        <v>84</v>
      </c>
      <c r="F81" s="2" t="s">
        <v>44</v>
      </c>
      <c r="G81" s="2" t="s">
        <v>44</v>
      </c>
      <c r="H81" s="2" t="s">
        <v>499</v>
      </c>
      <c r="I81" s="2" t="s">
        <v>46</v>
      </c>
      <c r="J81" s="2" t="s">
        <v>500</v>
      </c>
      <c r="K81" s="3" t="n">
        <v>89</v>
      </c>
      <c r="L81" s="3" t="n">
        <v>49096</v>
      </c>
      <c r="M81" s="3" t="n">
        <v>18418</v>
      </c>
      <c r="N81" s="3" t="n">
        <v>18286</v>
      </c>
      <c r="O81" s="3" t="n">
        <v>27289</v>
      </c>
      <c r="P81" s="3" t="n">
        <v>3389</v>
      </c>
      <c r="Q81" s="3" t="n">
        <v>0</v>
      </c>
      <c r="R81" s="3" t="n">
        <v>0</v>
      </c>
      <c r="S81" s="3" t="n">
        <v>466</v>
      </c>
      <c r="T81" s="3" t="n">
        <v>395</v>
      </c>
      <c r="U81" s="3" t="n">
        <v>34</v>
      </c>
      <c r="V81" s="3" t="n">
        <v>6</v>
      </c>
      <c r="W81" s="3" t="n">
        <v>4</v>
      </c>
      <c r="X81" s="3" t="n">
        <v>27</v>
      </c>
      <c r="Y81" s="3" t="n">
        <v>116</v>
      </c>
      <c r="Z81" s="3" t="n">
        <v>58</v>
      </c>
      <c r="AA81" s="3" t="n">
        <v>149</v>
      </c>
      <c r="AB81" s="3" t="n">
        <v>143</v>
      </c>
      <c r="AC81" s="2" t="s">
        <v>501</v>
      </c>
      <c r="AD81" s="3" t="n">
        <v>466</v>
      </c>
      <c r="AE81" s="2" t="n">
        <v>116</v>
      </c>
      <c r="AF81" s="2" t="n">
        <f aca="false">COUNTIFS(secondary_acts!$A$2:$A$771,$A81,secondary_acts!$E$2:$E$771,"implementing")</f>
        <v>2</v>
      </c>
      <c r="AG81" s="2" t="n">
        <f aca="false">COUNTIFS(secondary_acts!$A$2:$A$771,$A81,secondary_acts!$E$2:$E$771,"delegated")</f>
        <v>1</v>
      </c>
      <c r="AH81" s="2" t="n">
        <f aca="false">COUNTIFS(secondary_acts!$A$2:$A$771,$A81,secondary_acts!$E$2:$E$771,"other Commission/Council act")</f>
        <v>0</v>
      </c>
      <c r="AI81" s="2" t="n">
        <f aca="false">COUNTIFS(secondary_acts!$A$2:$A$771,$A81,secondary_acts!$E$2:$E$771,"guidance")</f>
        <v>0</v>
      </c>
      <c r="AJ81" s="2" t="n">
        <f aca="false">COUNTIF(guidance_web!$A$2:$A$7,$A81)</f>
        <v>0</v>
      </c>
      <c r="AK81" s="3" t="n">
        <f aca="false">SUMIFS(secondary_acts!$S$2:$S$771,secondary_acts!$A$2:$A$771,$A81,secondary_acts!$E$2:$E$771,"implementing")+SUMIFS(secondary_acts!$S$2:$S$771,secondary_acts!$A$2:$A$771,$A81,secondary_acts!$E$2:$E$771,"delegated")</f>
        <v>145</v>
      </c>
      <c r="AL81" s="3"/>
      <c r="AM81" s="2"/>
      <c r="AN81" s="2"/>
    </row>
    <row r="82" customFormat="false" ht="15" hidden="false" customHeight="false" outlineLevel="0" collapsed="false">
      <c r="A82" s="2" t="n">
        <v>81</v>
      </c>
      <c r="B82" s="2" t="s">
        <v>502</v>
      </c>
      <c r="C82" s="2" t="s">
        <v>503</v>
      </c>
      <c r="D82" s="2" t="s">
        <v>504</v>
      </c>
      <c r="E82" s="2" t="s">
        <v>84</v>
      </c>
      <c r="F82" s="2" t="s">
        <v>44</v>
      </c>
      <c r="G82" s="2" t="s">
        <v>44</v>
      </c>
      <c r="H82" s="2" t="s">
        <v>505</v>
      </c>
      <c r="I82" s="2" t="s">
        <v>46</v>
      </c>
      <c r="J82" s="2" t="s">
        <v>506</v>
      </c>
      <c r="K82" s="3" t="n">
        <v>96</v>
      </c>
      <c r="L82" s="3" t="n">
        <v>59369</v>
      </c>
      <c r="M82" s="3" t="n">
        <v>22349</v>
      </c>
      <c r="N82" s="3" t="n">
        <v>22214</v>
      </c>
      <c r="O82" s="3" t="n">
        <v>35353</v>
      </c>
      <c r="P82" s="3" t="n">
        <v>1667</v>
      </c>
      <c r="Q82" s="3" t="n">
        <v>0</v>
      </c>
      <c r="R82" s="3" t="n">
        <v>0</v>
      </c>
      <c r="S82" s="3" t="n">
        <v>609</v>
      </c>
      <c r="T82" s="3" t="n">
        <v>541</v>
      </c>
      <c r="U82" s="3" t="n">
        <v>26</v>
      </c>
      <c r="V82" s="3" t="n">
        <v>6</v>
      </c>
      <c r="W82" s="3" t="n">
        <v>4</v>
      </c>
      <c r="X82" s="3" t="n">
        <v>32</v>
      </c>
      <c r="Y82" s="3" t="n">
        <v>164</v>
      </c>
      <c r="Z82" s="3" t="n">
        <v>128</v>
      </c>
      <c r="AA82" s="3" t="n">
        <v>140</v>
      </c>
      <c r="AB82" s="3" t="n">
        <v>177</v>
      </c>
      <c r="AC82" s="2" t="s">
        <v>507</v>
      </c>
      <c r="AD82" s="3" t="n">
        <v>609</v>
      </c>
      <c r="AE82" s="2" t="n">
        <v>164</v>
      </c>
      <c r="AF82" s="2" t="n">
        <f aca="false">COUNTIFS(secondary_acts!$A$2:$A$771,$A82,secondary_acts!$E$2:$E$771,"implementing")</f>
        <v>4</v>
      </c>
      <c r="AG82" s="2" t="n">
        <f aca="false">COUNTIFS(secondary_acts!$A$2:$A$771,$A82,secondary_acts!$E$2:$E$771,"delegated")</f>
        <v>0</v>
      </c>
      <c r="AH82" s="2" t="n">
        <f aca="false">COUNTIFS(secondary_acts!$A$2:$A$771,$A82,secondary_acts!$E$2:$E$771,"other Commission/Council act")</f>
        <v>0</v>
      </c>
      <c r="AI82" s="2" t="n">
        <f aca="false">COUNTIFS(secondary_acts!$A$2:$A$771,$A82,secondary_acts!$E$2:$E$771,"guidance")</f>
        <v>0</v>
      </c>
      <c r="AJ82" s="2" t="n">
        <f aca="false">COUNTIF(guidance_web!$A$2:$A$7,$A82)</f>
        <v>0</v>
      </c>
      <c r="AK82" s="3" t="n">
        <f aca="false">SUMIFS(secondary_acts!$S$2:$S$771,secondary_acts!$A$2:$A$771,$A82,secondary_acts!$E$2:$E$771,"implementing")+SUMIFS(secondary_acts!$S$2:$S$771,secondary_acts!$A$2:$A$771,$A82,secondary_acts!$E$2:$E$771,"delegated")</f>
        <v>144</v>
      </c>
      <c r="AL82" s="3"/>
      <c r="AM82" s="2"/>
      <c r="AN82" s="2" t="s">
        <v>62</v>
      </c>
    </row>
    <row r="83" customFormat="false" ht="15" hidden="false" customHeight="false" outlineLevel="0" collapsed="false">
      <c r="A83" s="2" t="n">
        <v>82</v>
      </c>
      <c r="B83" s="2" t="s">
        <v>508</v>
      </c>
      <c r="C83" s="2" t="s">
        <v>509</v>
      </c>
      <c r="D83" s="2" t="s">
        <v>510</v>
      </c>
      <c r="E83" s="2" t="s">
        <v>84</v>
      </c>
      <c r="F83" s="2" t="s">
        <v>492</v>
      </c>
      <c r="G83" s="2" t="s">
        <v>492</v>
      </c>
      <c r="H83" s="2" t="s">
        <v>511</v>
      </c>
      <c r="I83" s="2" t="s">
        <v>494</v>
      </c>
      <c r="J83" s="2" t="s">
        <v>512</v>
      </c>
      <c r="K83" s="3" t="n">
        <v>156</v>
      </c>
      <c r="L83" s="3" t="n">
        <v>41850</v>
      </c>
      <c r="M83" s="3" t="n">
        <v>9755</v>
      </c>
      <c r="N83" s="3" t="n">
        <v>9630</v>
      </c>
      <c r="O83" s="3" t="n">
        <v>28710</v>
      </c>
      <c r="P83" s="3" t="n">
        <v>3385</v>
      </c>
      <c r="Q83" s="3" t="n">
        <v>10245</v>
      </c>
      <c r="R83" s="3" t="n">
        <v>8749</v>
      </c>
      <c r="S83" s="3" t="n">
        <v>467</v>
      </c>
      <c r="T83" s="3" t="n">
        <v>410</v>
      </c>
      <c r="U83" s="3" t="n">
        <v>20</v>
      </c>
      <c r="V83" s="3" t="n">
        <v>5</v>
      </c>
      <c r="W83" s="3" t="n">
        <v>5</v>
      </c>
      <c r="X83" s="3" t="n">
        <v>27</v>
      </c>
      <c r="Y83" s="3" t="n">
        <v>67</v>
      </c>
      <c r="Z83" s="3" t="n">
        <v>124</v>
      </c>
      <c r="AA83" s="3" t="n">
        <v>125</v>
      </c>
      <c r="AB83" s="3" t="n">
        <v>151</v>
      </c>
      <c r="AC83" s="2"/>
      <c r="AD83" s="3"/>
      <c r="AE83" s="2"/>
      <c r="AF83" s="2" t="n">
        <f aca="false">COUNTIFS(secondary_acts!$A$2:$A$771,$A83,secondary_acts!$E$2:$E$771,"implementing")</f>
        <v>0</v>
      </c>
      <c r="AG83" s="2" t="n">
        <f aca="false">COUNTIFS(secondary_acts!$A$2:$A$771,$A83,secondary_acts!$E$2:$E$771,"delegated")</f>
        <v>0</v>
      </c>
      <c r="AH83" s="2" t="n">
        <f aca="false">COUNTIFS(secondary_acts!$A$2:$A$771,$A83,secondary_acts!$E$2:$E$771,"other Commission/Council act")</f>
        <v>0</v>
      </c>
      <c r="AI83" s="2" t="n">
        <f aca="false">COUNTIFS(secondary_acts!$A$2:$A$771,$A83,secondary_acts!$E$2:$E$771,"guidance")</f>
        <v>0</v>
      </c>
      <c r="AJ83" s="2" t="n">
        <f aca="false">COUNTIF(guidance_web!$A$2:$A$7,$A83)</f>
        <v>0</v>
      </c>
      <c r="AK83" s="3" t="n">
        <f aca="false">SUMIFS(secondary_acts!$S$2:$S$771,secondary_acts!$A$2:$A$771,$A83,secondary_acts!$E$2:$E$771,"implementing")+SUMIFS(secondary_acts!$S$2:$S$771,secondary_acts!$A$2:$A$771,$A83,secondary_acts!$E$2:$E$771,"delegated")</f>
        <v>0</v>
      </c>
      <c r="AL83" s="3"/>
      <c r="AM83" s="2"/>
      <c r="AN83" s="2"/>
    </row>
    <row r="84" customFormat="false" ht="15" hidden="false" customHeight="false" outlineLevel="0" collapsed="false">
      <c r="A84" s="2" t="n">
        <v>83</v>
      </c>
      <c r="B84" s="2" t="s">
        <v>513</v>
      </c>
      <c r="C84" s="2" t="s">
        <v>514</v>
      </c>
      <c r="D84" s="2" t="s">
        <v>515</v>
      </c>
      <c r="E84" s="2" t="s">
        <v>84</v>
      </c>
      <c r="F84" s="2" t="s">
        <v>44</v>
      </c>
      <c r="G84" s="2" t="s">
        <v>44</v>
      </c>
      <c r="H84" s="2" t="s">
        <v>516</v>
      </c>
      <c r="I84" s="2" t="s">
        <v>46</v>
      </c>
      <c r="J84" s="2" t="s">
        <v>517</v>
      </c>
      <c r="K84" s="3" t="n">
        <v>81</v>
      </c>
      <c r="L84" s="3" t="n">
        <v>51049</v>
      </c>
      <c r="M84" s="3" t="n">
        <v>21364</v>
      </c>
      <c r="N84" s="3" t="n">
        <v>21224</v>
      </c>
      <c r="O84" s="3" t="n">
        <v>23872</v>
      </c>
      <c r="P84" s="3" t="n">
        <v>5813</v>
      </c>
      <c r="Q84" s="3" t="n">
        <v>0</v>
      </c>
      <c r="R84" s="3" t="n">
        <v>0</v>
      </c>
      <c r="S84" s="3" t="n">
        <v>501</v>
      </c>
      <c r="T84" s="3" t="n">
        <v>451</v>
      </c>
      <c r="U84" s="3" t="n">
        <v>18</v>
      </c>
      <c r="V84" s="3" t="n">
        <v>2</v>
      </c>
      <c r="W84" s="3" t="n">
        <v>3</v>
      </c>
      <c r="X84" s="3" t="n">
        <v>27</v>
      </c>
      <c r="Y84" s="3" t="n">
        <v>183</v>
      </c>
      <c r="Z84" s="3" t="n">
        <v>90</v>
      </c>
      <c r="AA84" s="3" t="n">
        <v>102</v>
      </c>
      <c r="AB84" s="3" t="n">
        <v>126</v>
      </c>
      <c r="AC84" s="2" t="s">
        <v>518</v>
      </c>
      <c r="AD84" s="3" t="n">
        <v>501</v>
      </c>
      <c r="AE84" s="2" t="n">
        <v>183</v>
      </c>
      <c r="AF84" s="2" t="n">
        <f aca="false">COUNTIFS(secondary_acts!$A$2:$A$771,$A84,secondary_acts!$E$2:$E$771,"implementing")</f>
        <v>1</v>
      </c>
      <c r="AG84" s="2" t="n">
        <f aca="false">COUNTIFS(secondary_acts!$A$2:$A$771,$A84,secondary_acts!$E$2:$E$771,"delegated")</f>
        <v>2</v>
      </c>
      <c r="AH84" s="2" t="n">
        <f aca="false">COUNTIFS(secondary_acts!$A$2:$A$771,$A84,secondary_acts!$E$2:$E$771,"other Commission/Council act")</f>
        <v>0</v>
      </c>
      <c r="AI84" s="2" t="n">
        <f aca="false">COUNTIFS(secondary_acts!$A$2:$A$771,$A84,secondary_acts!$E$2:$E$771,"guidance")</f>
        <v>0</v>
      </c>
      <c r="AJ84" s="2" t="n">
        <f aca="false">COUNTIF(guidance_web!$A$2:$A$7,$A84)</f>
        <v>2</v>
      </c>
      <c r="AK84" s="3" t="n">
        <f aca="false">SUMIFS(secondary_acts!$S$2:$S$771,secondary_acts!$A$2:$A$771,$A84,secondary_acts!$E$2:$E$771,"implementing")+SUMIFS(secondary_acts!$S$2:$S$771,secondary_acts!$A$2:$A$771,$A84,secondary_acts!$E$2:$E$771,"delegated")</f>
        <v>7</v>
      </c>
      <c r="AL84" s="3"/>
      <c r="AM84" s="2"/>
      <c r="AN84" s="2"/>
    </row>
    <row r="85" customFormat="false" ht="15" hidden="false" customHeight="false" outlineLevel="0" collapsed="false">
      <c r="A85" s="2" t="n">
        <v>84</v>
      </c>
      <c r="B85" s="2" t="s">
        <v>519</v>
      </c>
      <c r="C85" s="2" t="s">
        <v>520</v>
      </c>
      <c r="D85" s="2" t="s">
        <v>521</v>
      </c>
      <c r="E85" s="2" t="s">
        <v>84</v>
      </c>
      <c r="F85" s="2" t="s">
        <v>44</v>
      </c>
      <c r="G85" s="2" t="s">
        <v>44</v>
      </c>
      <c r="H85" s="2" t="s">
        <v>522</v>
      </c>
      <c r="I85" s="2" t="s">
        <v>46</v>
      </c>
      <c r="J85" s="2" t="s">
        <v>523</v>
      </c>
      <c r="K85" s="3" t="n">
        <v>37</v>
      </c>
      <c r="L85" s="3" t="n">
        <v>26160</v>
      </c>
      <c r="M85" s="3" t="n">
        <v>16599</v>
      </c>
      <c r="N85" s="3" t="n">
        <v>16462</v>
      </c>
      <c r="O85" s="3" t="n">
        <v>9561</v>
      </c>
      <c r="P85" s="3" t="n">
        <v>0</v>
      </c>
      <c r="Q85" s="3" t="n">
        <v>0</v>
      </c>
      <c r="R85" s="3" t="n">
        <v>0</v>
      </c>
      <c r="S85" s="3" t="n">
        <v>153</v>
      </c>
      <c r="T85" s="3" t="n">
        <v>131</v>
      </c>
      <c r="U85" s="3" t="n">
        <v>3</v>
      </c>
      <c r="V85" s="3" t="n">
        <v>1</v>
      </c>
      <c r="W85" s="3" t="n">
        <v>1</v>
      </c>
      <c r="X85" s="3" t="n">
        <v>17</v>
      </c>
      <c r="Y85" s="3" t="n">
        <v>24</v>
      </c>
      <c r="Z85" s="3" t="n">
        <v>48</v>
      </c>
      <c r="AA85" s="3" t="n">
        <v>63</v>
      </c>
      <c r="AB85" s="3" t="n">
        <v>18</v>
      </c>
      <c r="AC85" s="2" t="s">
        <v>524</v>
      </c>
      <c r="AD85" s="3" t="n">
        <v>153</v>
      </c>
      <c r="AE85" s="2" t="n">
        <v>24</v>
      </c>
      <c r="AF85" s="2" t="n">
        <f aca="false">COUNTIFS(secondary_acts!$A$2:$A$771,$A85,secondary_acts!$E$2:$E$771,"implementing")</f>
        <v>0</v>
      </c>
      <c r="AG85" s="2" t="n">
        <f aca="false">COUNTIFS(secondary_acts!$A$2:$A$771,$A85,secondary_acts!$E$2:$E$771,"delegated")</f>
        <v>0</v>
      </c>
      <c r="AH85" s="2" t="n">
        <f aca="false">COUNTIFS(secondary_acts!$A$2:$A$771,$A85,secondary_acts!$E$2:$E$771,"other Commission/Council act")</f>
        <v>0</v>
      </c>
      <c r="AI85" s="2" t="n">
        <f aca="false">COUNTIFS(secondary_acts!$A$2:$A$771,$A85,secondary_acts!$E$2:$E$771,"guidance")</f>
        <v>1</v>
      </c>
      <c r="AJ85" s="2" t="n">
        <f aca="false">COUNTIF(guidance_web!$A$2:$A$7,$A85)</f>
        <v>0</v>
      </c>
      <c r="AK85" s="3" t="n">
        <f aca="false">SUMIFS(secondary_acts!$S$2:$S$771,secondary_acts!$A$2:$A$771,$A85,secondary_acts!$E$2:$E$771,"implementing")+SUMIFS(secondary_acts!$S$2:$S$771,secondary_acts!$A$2:$A$771,$A85,secondary_acts!$E$2:$E$771,"delegated")</f>
        <v>0</v>
      </c>
      <c r="AL85" s="3"/>
      <c r="AM85" s="2"/>
      <c r="AN85" s="2" t="s">
        <v>62</v>
      </c>
    </row>
    <row r="86" customFormat="false" ht="15" hidden="false" customHeight="false" outlineLevel="0" collapsed="false">
      <c r="A86" s="2" t="n">
        <v>85</v>
      </c>
      <c r="B86" s="2" t="s">
        <v>525</v>
      </c>
      <c r="C86" s="2" t="s">
        <v>526</v>
      </c>
      <c r="D86" s="2" t="s">
        <v>527</v>
      </c>
      <c r="E86" s="2" t="s">
        <v>84</v>
      </c>
      <c r="F86" s="2" t="s">
        <v>44</v>
      </c>
      <c r="G86" s="2" t="s">
        <v>44</v>
      </c>
      <c r="H86" s="2" t="s">
        <v>528</v>
      </c>
      <c r="I86" s="2" t="s">
        <v>46</v>
      </c>
      <c r="J86" s="2" t="s">
        <v>529</v>
      </c>
      <c r="K86" s="3" t="n">
        <v>43</v>
      </c>
      <c r="L86" s="3" t="n">
        <v>24374</v>
      </c>
      <c r="M86" s="3" t="n">
        <v>10138</v>
      </c>
      <c r="N86" s="3" t="n">
        <v>9986</v>
      </c>
      <c r="O86" s="3" t="n">
        <v>14236</v>
      </c>
      <c r="P86" s="3" t="n">
        <v>0</v>
      </c>
      <c r="Q86" s="3" t="n">
        <v>0</v>
      </c>
      <c r="R86" s="3" t="n">
        <v>0</v>
      </c>
      <c r="S86" s="3" t="n">
        <v>204</v>
      </c>
      <c r="T86" s="3" t="n">
        <v>172</v>
      </c>
      <c r="U86" s="3" t="n">
        <v>15</v>
      </c>
      <c r="V86" s="3" t="n">
        <v>2</v>
      </c>
      <c r="W86" s="3" t="n">
        <v>1</v>
      </c>
      <c r="X86" s="3" t="n">
        <v>14</v>
      </c>
      <c r="Y86" s="3" t="n">
        <v>8</v>
      </c>
      <c r="Z86" s="3" t="n">
        <v>33</v>
      </c>
      <c r="AA86" s="3" t="n">
        <v>127</v>
      </c>
      <c r="AB86" s="3" t="n">
        <v>36</v>
      </c>
      <c r="AC86" s="2" t="s">
        <v>530</v>
      </c>
      <c r="AD86" s="3" t="n">
        <v>204</v>
      </c>
      <c r="AE86" s="2" t="n">
        <v>8</v>
      </c>
      <c r="AF86" s="2" t="n">
        <f aca="false">COUNTIFS(secondary_acts!$A$2:$A$771,$A86,secondary_acts!$E$2:$E$771,"implementing")</f>
        <v>0</v>
      </c>
      <c r="AG86" s="2" t="n">
        <f aca="false">COUNTIFS(secondary_acts!$A$2:$A$771,$A86,secondary_acts!$E$2:$E$771,"delegated")</f>
        <v>0</v>
      </c>
      <c r="AH86" s="2" t="n">
        <f aca="false">COUNTIFS(secondary_acts!$A$2:$A$771,$A86,secondary_acts!$E$2:$E$771,"other Commission/Council act")</f>
        <v>0</v>
      </c>
      <c r="AI86" s="2" t="n">
        <f aca="false">COUNTIFS(secondary_acts!$A$2:$A$771,$A86,secondary_acts!$E$2:$E$771,"guidance")</f>
        <v>0</v>
      </c>
      <c r="AJ86" s="2" t="n">
        <f aca="false">COUNTIF(guidance_web!$A$2:$A$7,$A86)</f>
        <v>0</v>
      </c>
      <c r="AK86" s="3" t="n">
        <f aca="false">SUMIFS(secondary_acts!$S$2:$S$771,secondary_acts!$A$2:$A$771,$A86,secondary_acts!$E$2:$E$771,"implementing")+SUMIFS(secondary_acts!$S$2:$S$771,secondary_acts!$A$2:$A$771,$A86,secondary_acts!$E$2:$E$771,"delegated")</f>
        <v>0</v>
      </c>
      <c r="AL86" s="3"/>
      <c r="AM86" s="2"/>
      <c r="AN86" s="2" t="s">
        <v>62</v>
      </c>
    </row>
    <row r="87" customFormat="false" ht="15" hidden="false" customHeight="false" outlineLevel="0" collapsed="false">
      <c r="A87" s="2" t="n">
        <v>86</v>
      </c>
      <c r="B87" s="2" t="s">
        <v>531</v>
      </c>
      <c r="C87" s="2" t="s">
        <v>532</v>
      </c>
      <c r="D87" s="2" t="s">
        <v>533</v>
      </c>
      <c r="E87" s="2" t="s">
        <v>84</v>
      </c>
      <c r="F87" s="2" t="s">
        <v>44</v>
      </c>
      <c r="G87" s="2" t="s">
        <v>44</v>
      </c>
      <c r="H87" s="2" t="s">
        <v>534</v>
      </c>
      <c r="I87" s="2" t="s">
        <v>46</v>
      </c>
      <c r="J87" s="2" t="s">
        <v>535</v>
      </c>
      <c r="K87" s="3" t="n">
        <v>22</v>
      </c>
      <c r="L87" s="3" t="n">
        <v>13026</v>
      </c>
      <c r="M87" s="3" t="n">
        <v>8269</v>
      </c>
      <c r="N87" s="3" t="n">
        <v>8153</v>
      </c>
      <c r="O87" s="3" t="n">
        <v>4486</v>
      </c>
      <c r="P87" s="3" t="n">
        <v>271</v>
      </c>
      <c r="Q87" s="3" t="n">
        <v>0</v>
      </c>
      <c r="R87" s="3" t="n">
        <v>0</v>
      </c>
      <c r="S87" s="3" t="n">
        <v>46</v>
      </c>
      <c r="T87" s="3" t="n">
        <v>24</v>
      </c>
      <c r="U87" s="3" t="n">
        <v>4</v>
      </c>
      <c r="V87" s="3" t="n">
        <v>0</v>
      </c>
      <c r="W87" s="3" t="n">
        <v>2</v>
      </c>
      <c r="X87" s="3" t="n">
        <v>16</v>
      </c>
      <c r="Y87" s="3" t="n">
        <v>5</v>
      </c>
      <c r="Z87" s="3" t="n">
        <v>30</v>
      </c>
      <c r="AA87" s="3" t="n">
        <v>4</v>
      </c>
      <c r="AB87" s="3" t="n">
        <v>7</v>
      </c>
      <c r="AC87" s="2" t="s">
        <v>536</v>
      </c>
      <c r="AD87" s="3" t="n">
        <v>46</v>
      </c>
      <c r="AE87" s="2" t="n">
        <v>5</v>
      </c>
      <c r="AF87" s="2" t="n">
        <f aca="false">COUNTIFS(secondary_acts!$A$2:$A$771,$A87,secondary_acts!$E$2:$E$771,"implementing")</f>
        <v>0</v>
      </c>
      <c r="AG87" s="2" t="n">
        <f aca="false">COUNTIFS(secondary_acts!$A$2:$A$771,$A87,secondary_acts!$E$2:$E$771,"delegated")</f>
        <v>0</v>
      </c>
      <c r="AH87" s="2" t="n">
        <f aca="false">COUNTIFS(secondary_acts!$A$2:$A$771,$A87,secondary_acts!$E$2:$E$771,"other Commission/Council act")</f>
        <v>0</v>
      </c>
      <c r="AI87" s="2" t="n">
        <f aca="false">COUNTIFS(secondary_acts!$A$2:$A$771,$A87,secondary_acts!$E$2:$E$771,"guidance")</f>
        <v>0</v>
      </c>
      <c r="AJ87" s="2" t="n">
        <f aca="false">COUNTIF(guidance_web!$A$2:$A$7,$A87)</f>
        <v>0</v>
      </c>
      <c r="AK87" s="3" t="n">
        <f aca="false">SUMIFS(secondary_acts!$S$2:$S$771,secondary_acts!$A$2:$A$771,$A87,secondary_acts!$E$2:$E$771,"implementing")+SUMIFS(secondary_acts!$S$2:$S$771,secondary_acts!$A$2:$A$771,$A87,secondary_acts!$E$2:$E$771,"delegated")</f>
        <v>0</v>
      </c>
      <c r="AL87" s="3" t="n">
        <v>80</v>
      </c>
      <c r="AM87" s="2" t="n">
        <v>2</v>
      </c>
      <c r="AN87" s="2"/>
    </row>
    <row r="88" customFormat="false" ht="15" hidden="false" customHeight="false" outlineLevel="0" collapsed="false">
      <c r="A88" s="2" t="n">
        <v>87</v>
      </c>
      <c r="B88" s="2" t="s">
        <v>537</v>
      </c>
      <c r="C88" s="2" t="s">
        <v>538</v>
      </c>
      <c r="D88" s="2" t="s">
        <v>539</v>
      </c>
      <c r="E88" s="2" t="s">
        <v>43</v>
      </c>
      <c r="F88" s="2" t="s">
        <v>44</v>
      </c>
      <c r="G88" s="2" t="s">
        <v>44</v>
      </c>
      <c r="H88" s="2" t="s">
        <v>540</v>
      </c>
      <c r="I88" s="2" t="s">
        <v>46</v>
      </c>
      <c r="J88" s="2" t="s">
        <v>541</v>
      </c>
      <c r="K88" s="3" t="n">
        <v>18</v>
      </c>
      <c r="L88" s="3" t="n">
        <v>8700</v>
      </c>
      <c r="M88" s="3" t="n">
        <v>3248</v>
      </c>
      <c r="N88" s="3" t="n">
        <v>2996</v>
      </c>
      <c r="O88" s="3" t="n">
        <v>5452</v>
      </c>
      <c r="P88" s="3" t="n">
        <v>0</v>
      </c>
      <c r="Q88" s="3" t="n">
        <v>0</v>
      </c>
      <c r="R88" s="3" t="n">
        <v>0</v>
      </c>
      <c r="S88" s="3" t="n">
        <v>12</v>
      </c>
      <c r="T88" s="3" t="n">
        <v>5</v>
      </c>
      <c r="U88" s="3" t="n">
        <v>2</v>
      </c>
      <c r="V88" s="3" t="n">
        <v>0</v>
      </c>
      <c r="W88" s="3" t="n">
        <v>5</v>
      </c>
      <c r="X88" s="3" t="n">
        <v>0</v>
      </c>
      <c r="Y88" s="3" t="n">
        <v>2</v>
      </c>
      <c r="Z88" s="3" t="n">
        <v>0</v>
      </c>
      <c r="AA88" s="3" t="n">
        <v>0</v>
      </c>
      <c r="AB88" s="3" t="n">
        <v>10</v>
      </c>
      <c r="AC88" s="2" t="s">
        <v>542</v>
      </c>
      <c r="AD88" s="3" t="n">
        <v>12</v>
      </c>
      <c r="AE88" s="2" t="n">
        <v>2</v>
      </c>
      <c r="AF88" s="2" t="n">
        <f aca="false">COUNTIFS(secondary_acts!$A$2:$A$771,$A88,secondary_acts!$E$2:$E$771,"implementing")</f>
        <v>0</v>
      </c>
      <c r="AG88" s="2" t="n">
        <f aca="false">COUNTIFS(secondary_acts!$A$2:$A$771,$A88,secondary_acts!$E$2:$E$771,"delegated")</f>
        <v>0</v>
      </c>
      <c r="AH88" s="2" t="n">
        <f aca="false">COUNTIFS(secondary_acts!$A$2:$A$771,$A88,secondary_acts!$E$2:$E$771,"other Commission/Council act")</f>
        <v>0</v>
      </c>
      <c r="AI88" s="2" t="n">
        <f aca="false">COUNTIFS(secondary_acts!$A$2:$A$771,$A88,secondary_acts!$E$2:$E$771,"guidance")</f>
        <v>0</v>
      </c>
      <c r="AJ88" s="2" t="n">
        <f aca="false">COUNTIF(guidance_web!$A$2:$A$7,$A88)</f>
        <v>0</v>
      </c>
      <c r="AK88" s="3" t="n">
        <f aca="false">SUMIFS(secondary_acts!$S$2:$S$771,secondary_acts!$A$2:$A$771,$A88,secondary_acts!$E$2:$E$771,"implementing")+SUMIFS(secondary_acts!$S$2:$S$771,secondary_acts!$A$2:$A$771,$A88,secondary_acts!$E$2:$E$771,"delegated")</f>
        <v>0</v>
      </c>
      <c r="AL88" s="3"/>
      <c r="AM88" s="2"/>
      <c r="AN88" s="2" t="s">
        <v>194</v>
      </c>
    </row>
    <row r="89" customFormat="false" ht="15" hidden="false" customHeight="false" outlineLevel="0" collapsed="false">
      <c r="A89" s="2" t="n">
        <v>88</v>
      </c>
      <c r="B89" s="2" t="s">
        <v>543</v>
      </c>
      <c r="C89" s="2" t="s">
        <v>544</v>
      </c>
      <c r="D89" s="2" t="s">
        <v>545</v>
      </c>
      <c r="E89" s="2" t="s">
        <v>84</v>
      </c>
      <c r="F89" s="2" t="s">
        <v>44</v>
      </c>
      <c r="G89" s="2" t="s">
        <v>44</v>
      </c>
      <c r="H89" s="2" t="s">
        <v>546</v>
      </c>
      <c r="I89" s="2" t="s">
        <v>46</v>
      </c>
      <c r="J89" s="2" t="s">
        <v>547</v>
      </c>
      <c r="K89" s="3" t="n">
        <v>26</v>
      </c>
      <c r="L89" s="3" t="n">
        <v>13633</v>
      </c>
      <c r="M89" s="3" t="n">
        <v>6335</v>
      </c>
      <c r="N89" s="3" t="n">
        <v>6206</v>
      </c>
      <c r="O89" s="3" t="n">
        <v>7199</v>
      </c>
      <c r="P89" s="3" t="n">
        <v>99</v>
      </c>
      <c r="Q89" s="3" t="n">
        <v>0</v>
      </c>
      <c r="R89" s="3" t="n">
        <v>0</v>
      </c>
      <c r="S89" s="3" t="n">
        <v>129</v>
      </c>
      <c r="T89" s="3" t="n">
        <v>116</v>
      </c>
      <c r="U89" s="3" t="n">
        <v>8</v>
      </c>
      <c r="V89" s="3" t="n">
        <v>0</v>
      </c>
      <c r="W89" s="3" t="n">
        <v>1</v>
      </c>
      <c r="X89" s="3" t="n">
        <v>4</v>
      </c>
      <c r="Y89" s="3" t="n">
        <v>6</v>
      </c>
      <c r="Z89" s="3" t="n">
        <v>14</v>
      </c>
      <c r="AA89" s="3" t="n">
        <v>66</v>
      </c>
      <c r="AB89" s="3" t="n">
        <v>43</v>
      </c>
      <c r="AC89" s="2"/>
      <c r="AD89" s="3"/>
      <c r="AE89" s="2"/>
      <c r="AF89" s="2" t="n">
        <f aca="false">COUNTIFS(secondary_acts!$A$2:$A$771,$A89,secondary_acts!$E$2:$E$771,"implementing")</f>
        <v>1</v>
      </c>
      <c r="AG89" s="2" t="n">
        <f aca="false">COUNTIFS(secondary_acts!$A$2:$A$771,$A89,secondary_acts!$E$2:$E$771,"delegated")</f>
        <v>0</v>
      </c>
      <c r="AH89" s="2" t="n">
        <f aca="false">COUNTIFS(secondary_acts!$A$2:$A$771,$A89,secondary_acts!$E$2:$E$771,"other Commission/Council act")</f>
        <v>0</v>
      </c>
      <c r="AI89" s="2" t="n">
        <f aca="false">COUNTIFS(secondary_acts!$A$2:$A$771,$A89,secondary_acts!$E$2:$E$771,"guidance")</f>
        <v>0</v>
      </c>
      <c r="AJ89" s="2" t="n">
        <f aca="false">COUNTIF(guidance_web!$A$2:$A$7,$A89)</f>
        <v>0</v>
      </c>
      <c r="AK89" s="3" t="n">
        <f aca="false">SUMIFS(secondary_acts!$S$2:$S$771,secondary_acts!$A$2:$A$771,$A89,secondary_acts!$E$2:$E$771,"implementing")+SUMIFS(secondary_acts!$S$2:$S$771,secondary_acts!$A$2:$A$771,$A89,secondary_acts!$E$2:$E$771,"delegated")</f>
        <v>55</v>
      </c>
      <c r="AL89" s="3"/>
      <c r="AM89" s="2"/>
      <c r="AN89" s="2"/>
    </row>
    <row r="90" customFormat="false" ht="15" hidden="false" customHeight="false" outlineLevel="0" collapsed="false">
      <c r="A90" s="2" t="n">
        <v>89</v>
      </c>
      <c r="B90" s="2" t="s">
        <v>548</v>
      </c>
      <c r="C90" s="2" t="s">
        <v>549</v>
      </c>
      <c r="D90" s="2" t="s">
        <v>550</v>
      </c>
      <c r="E90" s="2" t="s">
        <v>84</v>
      </c>
      <c r="F90" s="2" t="s">
        <v>44</v>
      </c>
      <c r="G90" s="2" t="s">
        <v>44</v>
      </c>
      <c r="H90" s="2" t="s">
        <v>551</v>
      </c>
      <c r="I90" s="2" t="s">
        <v>46</v>
      </c>
      <c r="J90" s="2" t="s">
        <v>552</v>
      </c>
      <c r="K90" s="3" t="n">
        <v>18</v>
      </c>
      <c r="L90" s="3" t="n">
        <v>9716</v>
      </c>
      <c r="M90" s="3" t="n">
        <v>4254</v>
      </c>
      <c r="N90" s="3" t="n">
        <v>4142</v>
      </c>
      <c r="O90" s="3" t="n">
        <v>5241</v>
      </c>
      <c r="P90" s="3" t="n">
        <v>221</v>
      </c>
      <c r="Q90" s="3" t="n">
        <v>0</v>
      </c>
      <c r="R90" s="3" t="n">
        <v>0</v>
      </c>
      <c r="S90" s="3" t="n">
        <v>69</v>
      </c>
      <c r="T90" s="3" t="n">
        <v>55</v>
      </c>
      <c r="U90" s="3" t="n">
        <v>14</v>
      </c>
      <c r="V90" s="3" t="n">
        <v>0</v>
      </c>
      <c r="W90" s="3" t="n">
        <v>0</v>
      </c>
      <c r="X90" s="3" t="n">
        <v>0</v>
      </c>
      <c r="Y90" s="3" t="n">
        <v>4</v>
      </c>
      <c r="Z90" s="3" t="n">
        <v>12</v>
      </c>
      <c r="AA90" s="3" t="n">
        <v>4</v>
      </c>
      <c r="AB90" s="3" t="n">
        <v>49</v>
      </c>
      <c r="AC90" s="2" t="s">
        <v>553</v>
      </c>
      <c r="AD90" s="3" t="n">
        <v>69</v>
      </c>
      <c r="AE90" s="2" t="n">
        <v>4</v>
      </c>
      <c r="AF90" s="2" t="n">
        <f aca="false">COUNTIFS(secondary_acts!$A$2:$A$771,$A90,secondary_acts!$E$2:$E$771,"implementing")</f>
        <v>0</v>
      </c>
      <c r="AG90" s="2" t="n">
        <f aca="false">COUNTIFS(secondary_acts!$A$2:$A$771,$A90,secondary_acts!$E$2:$E$771,"delegated")</f>
        <v>0</v>
      </c>
      <c r="AH90" s="2" t="n">
        <f aca="false">COUNTIFS(secondary_acts!$A$2:$A$771,$A90,secondary_acts!$E$2:$E$771,"other Commission/Council act")</f>
        <v>0</v>
      </c>
      <c r="AI90" s="2" t="n">
        <f aca="false">COUNTIFS(secondary_acts!$A$2:$A$771,$A90,secondary_acts!$E$2:$E$771,"guidance")</f>
        <v>0</v>
      </c>
      <c r="AJ90" s="2" t="n">
        <f aca="false">COUNTIF(guidance_web!$A$2:$A$7,$A90)</f>
        <v>0</v>
      </c>
      <c r="AK90" s="3" t="n">
        <f aca="false">SUMIFS(secondary_acts!$S$2:$S$771,secondary_acts!$A$2:$A$771,$A90,secondary_acts!$E$2:$E$771,"implementing")+SUMIFS(secondary_acts!$S$2:$S$771,secondary_acts!$A$2:$A$771,$A90,secondary_acts!$E$2:$E$771,"delegated")</f>
        <v>0</v>
      </c>
      <c r="AL90" s="3" t="n">
        <v>0</v>
      </c>
      <c r="AM90" s="2" t="n">
        <v>0</v>
      </c>
      <c r="AN90" s="2" t="s">
        <v>62</v>
      </c>
    </row>
    <row r="91" customFormat="false" ht="15" hidden="false" customHeight="false" outlineLevel="0" collapsed="false">
      <c r="A91" s="2" t="n">
        <v>90</v>
      </c>
      <c r="B91" s="2" t="s">
        <v>554</v>
      </c>
      <c r="C91" s="2" t="s">
        <v>555</v>
      </c>
      <c r="D91" s="2" t="s">
        <v>556</v>
      </c>
      <c r="E91" s="2" t="s">
        <v>84</v>
      </c>
      <c r="F91" s="2" t="s">
        <v>492</v>
      </c>
      <c r="G91" s="2" t="s">
        <v>44</v>
      </c>
      <c r="H91" s="2" t="s">
        <v>557</v>
      </c>
      <c r="I91" s="2" t="s">
        <v>46</v>
      </c>
      <c r="J91" s="2" t="s">
        <v>558</v>
      </c>
      <c r="K91" s="3" t="n">
        <v>28</v>
      </c>
      <c r="L91" s="3" t="n">
        <v>16279</v>
      </c>
      <c r="M91" s="3" t="n">
        <v>4856</v>
      </c>
      <c r="N91" s="3" t="n">
        <v>4745</v>
      </c>
      <c r="O91" s="3" t="n">
        <v>11423</v>
      </c>
      <c r="P91" s="3" t="n">
        <v>0</v>
      </c>
      <c r="Q91" s="3" t="n">
        <v>0</v>
      </c>
      <c r="R91" s="3" t="n">
        <v>0</v>
      </c>
      <c r="S91" s="3" t="n">
        <v>86</v>
      </c>
      <c r="T91" s="3" t="n">
        <v>76</v>
      </c>
      <c r="U91" s="3" t="n">
        <v>7</v>
      </c>
      <c r="V91" s="3" t="n">
        <v>0</v>
      </c>
      <c r="W91" s="3" t="n">
        <v>3</v>
      </c>
      <c r="X91" s="3" t="n">
        <v>0</v>
      </c>
      <c r="Y91" s="3" t="n">
        <v>19</v>
      </c>
      <c r="Z91" s="3" t="n">
        <v>31</v>
      </c>
      <c r="AA91" s="3" t="n">
        <v>4</v>
      </c>
      <c r="AB91" s="3" t="n">
        <v>32</v>
      </c>
      <c r="AC91" s="2" t="s">
        <v>559</v>
      </c>
      <c r="AD91" s="3" t="n">
        <v>86</v>
      </c>
      <c r="AE91" s="2" t="n">
        <v>19</v>
      </c>
      <c r="AF91" s="2" t="n">
        <f aca="false">COUNTIFS(secondary_acts!$A$2:$A$771,$A91,secondary_acts!$E$2:$E$771,"implementing")</f>
        <v>0</v>
      </c>
      <c r="AG91" s="2" t="n">
        <f aca="false">COUNTIFS(secondary_acts!$A$2:$A$771,$A91,secondary_acts!$E$2:$E$771,"delegated")</f>
        <v>0</v>
      </c>
      <c r="AH91" s="2" t="n">
        <f aca="false">COUNTIFS(secondary_acts!$A$2:$A$771,$A91,secondary_acts!$E$2:$E$771,"other Commission/Council act")</f>
        <v>0</v>
      </c>
      <c r="AI91" s="2" t="n">
        <f aca="false">COUNTIFS(secondary_acts!$A$2:$A$771,$A91,secondary_acts!$E$2:$E$771,"guidance")</f>
        <v>0</v>
      </c>
      <c r="AJ91" s="2" t="n">
        <f aca="false">COUNTIF(guidance_web!$A$2:$A$7,$A91)</f>
        <v>0</v>
      </c>
      <c r="AK91" s="3" t="n">
        <f aca="false">SUMIFS(secondary_acts!$S$2:$S$771,secondary_acts!$A$2:$A$771,$A91,secondary_acts!$E$2:$E$771,"implementing")+SUMIFS(secondary_acts!$S$2:$S$771,secondary_acts!$A$2:$A$771,$A91,secondary_acts!$E$2:$E$771,"delegated")</f>
        <v>0</v>
      </c>
      <c r="AL91" s="3" t="n">
        <v>87</v>
      </c>
      <c r="AM91" s="2" t="n">
        <v>5</v>
      </c>
      <c r="AN91" s="2" t="s">
        <v>560</v>
      </c>
    </row>
    <row r="92" customFormat="false" ht="15" hidden="false" customHeight="false" outlineLevel="0" collapsed="false">
      <c r="A92" s="2" t="n">
        <v>91</v>
      </c>
      <c r="B92" s="2" t="s">
        <v>561</v>
      </c>
      <c r="C92" s="2" t="s">
        <v>562</v>
      </c>
      <c r="D92" s="2" t="s">
        <v>563</v>
      </c>
      <c r="E92" s="2" t="s">
        <v>84</v>
      </c>
      <c r="F92" s="2" t="s">
        <v>44</v>
      </c>
      <c r="G92" s="2" t="s">
        <v>44</v>
      </c>
      <c r="H92" s="2" t="s">
        <v>564</v>
      </c>
      <c r="I92" s="2" t="s">
        <v>46</v>
      </c>
      <c r="J92" s="2" t="s">
        <v>565</v>
      </c>
      <c r="K92" s="3" t="n">
        <v>40</v>
      </c>
      <c r="L92" s="3" t="n">
        <v>23456</v>
      </c>
      <c r="M92" s="3" t="n">
        <v>13087</v>
      </c>
      <c r="N92" s="3" t="n">
        <v>12957</v>
      </c>
      <c r="O92" s="3" t="n">
        <v>9868</v>
      </c>
      <c r="P92" s="3" t="n">
        <v>501</v>
      </c>
      <c r="Q92" s="3" t="n">
        <v>0</v>
      </c>
      <c r="R92" s="3" t="n">
        <v>0</v>
      </c>
      <c r="S92" s="3" t="n">
        <v>114</v>
      </c>
      <c r="T92" s="3" t="n">
        <v>89</v>
      </c>
      <c r="U92" s="3" t="n">
        <v>12</v>
      </c>
      <c r="V92" s="3" t="n">
        <v>2</v>
      </c>
      <c r="W92" s="3" t="n">
        <v>2</v>
      </c>
      <c r="X92" s="3" t="n">
        <v>9</v>
      </c>
      <c r="Y92" s="3" t="n">
        <v>13</v>
      </c>
      <c r="Z92" s="3" t="n">
        <v>57</v>
      </c>
      <c r="AA92" s="3" t="n">
        <v>5</v>
      </c>
      <c r="AB92" s="3" t="n">
        <v>39</v>
      </c>
      <c r="AC92" s="2" t="s">
        <v>566</v>
      </c>
      <c r="AD92" s="3" t="n">
        <v>114</v>
      </c>
      <c r="AE92" s="2" t="n">
        <v>13</v>
      </c>
      <c r="AF92" s="2" t="n">
        <f aca="false">COUNTIFS(secondary_acts!$A$2:$A$771,$A92,secondary_acts!$E$2:$E$771,"implementing")</f>
        <v>0</v>
      </c>
      <c r="AG92" s="2" t="n">
        <f aca="false">COUNTIFS(secondary_acts!$A$2:$A$771,$A92,secondary_acts!$E$2:$E$771,"delegated")</f>
        <v>0</v>
      </c>
      <c r="AH92" s="2" t="n">
        <f aca="false">COUNTIFS(secondary_acts!$A$2:$A$771,$A92,secondary_acts!$E$2:$E$771,"other Commission/Council act")</f>
        <v>0</v>
      </c>
      <c r="AI92" s="2" t="n">
        <f aca="false">COUNTIFS(secondary_acts!$A$2:$A$771,$A92,secondary_acts!$E$2:$E$771,"guidance")</f>
        <v>0</v>
      </c>
      <c r="AJ92" s="2" t="n">
        <f aca="false">COUNTIF(guidance_web!$A$2:$A$7,$A92)</f>
        <v>0</v>
      </c>
      <c r="AK92" s="3" t="n">
        <f aca="false">SUMIFS(secondary_acts!$S$2:$S$771,secondary_acts!$A$2:$A$771,$A92,secondary_acts!$E$2:$E$771,"implementing")+SUMIFS(secondary_acts!$S$2:$S$771,secondary_acts!$A$2:$A$771,$A92,secondary_acts!$E$2:$E$771,"delegated")</f>
        <v>0</v>
      </c>
      <c r="AL92" s="3"/>
      <c r="AM92" s="2"/>
      <c r="AN92" s="2"/>
    </row>
    <row r="93" customFormat="false" ht="15" hidden="false" customHeight="false" outlineLevel="0" collapsed="false">
      <c r="A93" s="2" t="n">
        <v>92</v>
      </c>
      <c r="B93" s="2" t="s">
        <v>567</v>
      </c>
      <c r="C93" s="2" t="s">
        <v>568</v>
      </c>
      <c r="D93" s="2" t="s">
        <v>569</v>
      </c>
      <c r="E93" s="2" t="s">
        <v>84</v>
      </c>
      <c r="F93" s="2" t="s">
        <v>44</v>
      </c>
      <c r="G93" s="2" t="s">
        <v>44</v>
      </c>
      <c r="H93" s="2" t="s">
        <v>570</v>
      </c>
      <c r="I93" s="2" t="s">
        <v>46</v>
      </c>
      <c r="J93" s="2" t="s">
        <v>571</v>
      </c>
      <c r="K93" s="3" t="n">
        <v>67</v>
      </c>
      <c r="L93" s="3" t="n">
        <v>37779</v>
      </c>
      <c r="M93" s="3" t="n">
        <v>11892</v>
      </c>
      <c r="N93" s="3" t="n">
        <v>11757</v>
      </c>
      <c r="O93" s="3" t="n">
        <v>21960</v>
      </c>
      <c r="P93" s="3" t="n">
        <v>3927</v>
      </c>
      <c r="Q93" s="3" t="n">
        <v>0</v>
      </c>
      <c r="R93" s="3" t="n">
        <v>0</v>
      </c>
      <c r="S93" s="3" t="n">
        <v>364</v>
      </c>
      <c r="T93" s="3" t="n">
        <v>317</v>
      </c>
      <c r="U93" s="3" t="n">
        <v>20</v>
      </c>
      <c r="V93" s="3" t="n">
        <v>0</v>
      </c>
      <c r="W93" s="3" t="n">
        <v>6</v>
      </c>
      <c r="X93" s="3" t="n">
        <v>21</v>
      </c>
      <c r="Y93" s="3" t="n">
        <v>34</v>
      </c>
      <c r="Z93" s="3" t="n">
        <v>76</v>
      </c>
      <c r="AA93" s="3" t="n">
        <v>137</v>
      </c>
      <c r="AB93" s="3" t="n">
        <v>117</v>
      </c>
      <c r="AC93" s="2" t="s">
        <v>572</v>
      </c>
      <c r="AD93" s="3" t="n">
        <v>365</v>
      </c>
      <c r="AE93" s="2" t="n">
        <v>34</v>
      </c>
      <c r="AF93" s="2" t="n">
        <f aca="false">COUNTIFS(secondary_acts!$A$2:$A$771,$A93,secondary_acts!$E$2:$E$771,"implementing")</f>
        <v>2</v>
      </c>
      <c r="AG93" s="2" t="n">
        <f aca="false">COUNTIFS(secondary_acts!$A$2:$A$771,$A93,secondary_acts!$E$2:$E$771,"delegated")</f>
        <v>0</v>
      </c>
      <c r="AH93" s="2" t="n">
        <f aca="false">COUNTIFS(secondary_acts!$A$2:$A$771,$A93,secondary_acts!$E$2:$E$771,"other Commission/Council act")</f>
        <v>0</v>
      </c>
      <c r="AI93" s="2" t="n">
        <f aca="false">COUNTIFS(secondary_acts!$A$2:$A$771,$A93,secondary_acts!$E$2:$E$771,"guidance")</f>
        <v>0</v>
      </c>
      <c r="AJ93" s="2" t="n">
        <f aca="false">COUNTIF(guidance_web!$A$2:$A$7,$A93)</f>
        <v>0</v>
      </c>
      <c r="AK93" s="3" t="n">
        <f aca="false">SUMIFS(secondary_acts!$S$2:$S$771,secondary_acts!$A$2:$A$771,$A93,secondary_acts!$E$2:$E$771,"implementing")+SUMIFS(secondary_acts!$S$2:$S$771,secondary_acts!$A$2:$A$771,$A93,secondary_acts!$E$2:$E$771,"delegated")</f>
        <v>1</v>
      </c>
      <c r="AL93" s="3"/>
      <c r="AM93" s="2"/>
      <c r="AN93" s="2"/>
    </row>
    <row r="94" customFormat="false" ht="15" hidden="false" customHeight="false" outlineLevel="0" collapsed="false">
      <c r="A94" s="2" t="n">
        <v>93</v>
      </c>
      <c r="B94" s="2" t="s">
        <v>573</v>
      </c>
      <c r="C94" s="2" t="s">
        <v>574</v>
      </c>
      <c r="D94" s="2" t="s">
        <v>569</v>
      </c>
      <c r="E94" s="2" t="s">
        <v>84</v>
      </c>
      <c r="F94" s="2" t="s">
        <v>44</v>
      </c>
      <c r="G94" s="2" t="s">
        <v>44</v>
      </c>
      <c r="H94" s="2" t="s">
        <v>575</v>
      </c>
      <c r="I94" s="2" t="s">
        <v>46</v>
      </c>
      <c r="J94" s="2" t="s">
        <v>576</v>
      </c>
      <c r="K94" s="3" t="n">
        <v>63</v>
      </c>
      <c r="L94" s="3" t="n">
        <v>37451</v>
      </c>
      <c r="M94" s="3" t="n">
        <v>17117</v>
      </c>
      <c r="N94" s="3" t="n">
        <v>16982</v>
      </c>
      <c r="O94" s="3" t="n">
        <v>20058</v>
      </c>
      <c r="P94" s="3" t="n">
        <v>276</v>
      </c>
      <c r="Q94" s="3" t="n">
        <v>0</v>
      </c>
      <c r="R94" s="3" t="n">
        <v>0</v>
      </c>
      <c r="S94" s="3" t="n">
        <v>288</v>
      </c>
      <c r="T94" s="3" t="n">
        <v>248</v>
      </c>
      <c r="U94" s="3" t="n">
        <v>16</v>
      </c>
      <c r="V94" s="3" t="n">
        <v>2</v>
      </c>
      <c r="W94" s="3" t="n">
        <v>7</v>
      </c>
      <c r="X94" s="3" t="n">
        <v>15</v>
      </c>
      <c r="Y94" s="3" t="n">
        <v>6</v>
      </c>
      <c r="Z94" s="3" t="n">
        <v>92</v>
      </c>
      <c r="AA94" s="3" t="n">
        <v>96</v>
      </c>
      <c r="AB94" s="3" t="n">
        <v>94</v>
      </c>
      <c r="AC94" s="2" t="s">
        <v>577</v>
      </c>
      <c r="AD94" s="3" t="n">
        <v>289</v>
      </c>
      <c r="AE94" s="2" t="n">
        <v>6</v>
      </c>
      <c r="AF94" s="2" t="n">
        <f aca="false">COUNTIFS(secondary_acts!$A$2:$A$771,$A94,secondary_acts!$E$2:$E$771,"implementing")</f>
        <v>4</v>
      </c>
      <c r="AG94" s="2" t="n">
        <f aca="false">COUNTIFS(secondary_acts!$A$2:$A$771,$A94,secondary_acts!$E$2:$E$771,"delegated")</f>
        <v>2</v>
      </c>
      <c r="AH94" s="2" t="n">
        <f aca="false">COUNTIFS(secondary_acts!$A$2:$A$771,$A94,secondary_acts!$E$2:$E$771,"other Commission/Council act")</f>
        <v>0</v>
      </c>
      <c r="AI94" s="2" t="n">
        <f aca="false">COUNTIFS(secondary_acts!$A$2:$A$771,$A94,secondary_acts!$E$2:$E$771,"guidance")</f>
        <v>3</v>
      </c>
      <c r="AJ94" s="2" t="n">
        <f aca="false">COUNTIF(guidance_web!$A$2:$A$7,$A94)</f>
        <v>0</v>
      </c>
      <c r="AK94" s="3" t="n">
        <f aca="false">SUMIFS(secondary_acts!$S$2:$S$771,secondary_acts!$A$2:$A$771,$A94,secondary_acts!$E$2:$E$771,"implementing")+SUMIFS(secondary_acts!$S$2:$S$771,secondary_acts!$A$2:$A$771,$A94,secondary_acts!$E$2:$E$771,"delegated")</f>
        <v>88</v>
      </c>
      <c r="AL94" s="3"/>
      <c r="AM94" s="2"/>
      <c r="AN94" s="2"/>
    </row>
    <row r="95" customFormat="false" ht="15" hidden="false" customHeight="false" outlineLevel="0" collapsed="false">
      <c r="A95" s="2" t="n">
        <v>94</v>
      </c>
      <c r="B95" s="2" t="s">
        <v>578</v>
      </c>
      <c r="C95" s="2" t="s">
        <v>579</v>
      </c>
      <c r="D95" s="2" t="s">
        <v>580</v>
      </c>
      <c r="E95" s="2" t="s">
        <v>84</v>
      </c>
      <c r="F95" s="2" t="s">
        <v>44</v>
      </c>
      <c r="G95" s="2" t="s">
        <v>44</v>
      </c>
      <c r="H95" s="2" t="s">
        <v>581</v>
      </c>
      <c r="I95" s="2" t="s">
        <v>46</v>
      </c>
      <c r="J95" s="2" t="s">
        <v>582</v>
      </c>
      <c r="K95" s="3" t="n">
        <v>20</v>
      </c>
      <c r="L95" s="3" t="n">
        <v>11685</v>
      </c>
      <c r="M95" s="3" t="n">
        <v>6256</v>
      </c>
      <c r="N95" s="3" t="n">
        <v>6117</v>
      </c>
      <c r="O95" s="3" t="n">
        <v>4468</v>
      </c>
      <c r="P95" s="3" t="n">
        <v>961</v>
      </c>
      <c r="Q95" s="3" t="n">
        <v>0</v>
      </c>
      <c r="R95" s="3" t="n">
        <v>0</v>
      </c>
      <c r="S95" s="3" t="n">
        <v>77</v>
      </c>
      <c r="T95" s="3" t="n">
        <v>63</v>
      </c>
      <c r="U95" s="3" t="n">
        <v>6</v>
      </c>
      <c r="V95" s="3" t="n">
        <v>0</v>
      </c>
      <c r="W95" s="3" t="n">
        <v>2</v>
      </c>
      <c r="X95" s="3" t="n">
        <v>6</v>
      </c>
      <c r="Y95" s="3" t="n">
        <v>15</v>
      </c>
      <c r="Z95" s="3" t="n">
        <v>26</v>
      </c>
      <c r="AA95" s="3" t="n">
        <v>14</v>
      </c>
      <c r="AB95" s="3" t="n">
        <v>22</v>
      </c>
      <c r="AC95" s="2" t="s">
        <v>583</v>
      </c>
      <c r="AD95" s="3" t="n">
        <v>77</v>
      </c>
      <c r="AE95" s="2" t="n">
        <v>15</v>
      </c>
      <c r="AF95" s="2" t="n">
        <f aca="false">COUNTIFS(secondary_acts!$A$2:$A$771,$A95,secondary_acts!$E$2:$E$771,"implementing")</f>
        <v>0</v>
      </c>
      <c r="AG95" s="2" t="n">
        <f aca="false">COUNTIFS(secondary_acts!$A$2:$A$771,$A95,secondary_acts!$E$2:$E$771,"delegated")</f>
        <v>1</v>
      </c>
      <c r="AH95" s="2" t="n">
        <f aca="false">COUNTIFS(secondary_acts!$A$2:$A$771,$A95,secondary_acts!$E$2:$E$771,"other Commission/Council act")</f>
        <v>0</v>
      </c>
      <c r="AI95" s="2" t="n">
        <f aca="false">COUNTIFS(secondary_acts!$A$2:$A$771,$A95,secondary_acts!$E$2:$E$771,"guidance")</f>
        <v>0</v>
      </c>
      <c r="AJ95" s="2" t="n">
        <f aca="false">COUNTIF(guidance_web!$A$2:$A$7,$A95)</f>
        <v>0</v>
      </c>
      <c r="AK95" s="3" t="n">
        <f aca="false">SUMIFS(secondary_acts!$S$2:$S$771,secondary_acts!$A$2:$A$771,$A95,secondary_acts!$E$2:$E$771,"implementing")+SUMIFS(secondary_acts!$S$2:$S$771,secondary_acts!$A$2:$A$771,$A95,secondary_acts!$E$2:$E$771,"delegated")</f>
        <v>5</v>
      </c>
      <c r="AL95" s="3" t="n">
        <v>387</v>
      </c>
      <c r="AM95" s="2" t="n">
        <v>11</v>
      </c>
      <c r="AN95" s="2"/>
    </row>
    <row r="96" customFormat="false" ht="15" hidden="false" customHeight="false" outlineLevel="0" collapsed="false">
      <c r="A96" s="2" t="n">
        <v>95</v>
      </c>
      <c r="B96" s="2" t="s">
        <v>584</v>
      </c>
      <c r="C96" s="2" t="s">
        <v>585</v>
      </c>
      <c r="D96" s="2" t="s">
        <v>586</v>
      </c>
      <c r="E96" s="2" t="s">
        <v>84</v>
      </c>
      <c r="F96" s="2" t="s">
        <v>44</v>
      </c>
      <c r="G96" s="2" t="s">
        <v>44</v>
      </c>
      <c r="H96" s="2" t="s">
        <v>587</v>
      </c>
      <c r="I96" s="2" t="s">
        <v>46</v>
      </c>
      <c r="J96" s="2" t="s">
        <v>588</v>
      </c>
      <c r="K96" s="3" t="n">
        <v>34</v>
      </c>
      <c r="L96" s="3" t="n">
        <v>20994</v>
      </c>
      <c r="M96" s="3" t="n">
        <v>9482</v>
      </c>
      <c r="N96" s="3" t="n">
        <v>9321</v>
      </c>
      <c r="O96" s="3" t="n">
        <v>11054</v>
      </c>
      <c r="P96" s="3" t="n">
        <v>458</v>
      </c>
      <c r="Q96" s="3" t="n">
        <v>0</v>
      </c>
      <c r="R96" s="3" t="n">
        <v>0</v>
      </c>
      <c r="S96" s="3" t="n">
        <v>173</v>
      </c>
      <c r="T96" s="3" t="n">
        <v>162</v>
      </c>
      <c r="U96" s="3" t="n">
        <v>2</v>
      </c>
      <c r="V96" s="3" t="n">
        <v>2</v>
      </c>
      <c r="W96" s="3" t="n">
        <v>0</v>
      </c>
      <c r="X96" s="3" t="n">
        <v>7</v>
      </c>
      <c r="Y96" s="3" t="n">
        <v>28</v>
      </c>
      <c r="Z96" s="3" t="n">
        <v>25</v>
      </c>
      <c r="AA96" s="3" t="n">
        <v>62</v>
      </c>
      <c r="AB96" s="3" t="n">
        <v>58</v>
      </c>
      <c r="AC96" s="2" t="s">
        <v>589</v>
      </c>
      <c r="AD96" s="3" t="n">
        <v>173</v>
      </c>
      <c r="AE96" s="2" t="n">
        <v>28</v>
      </c>
      <c r="AF96" s="2" t="n">
        <f aca="false">COUNTIFS(secondary_acts!$A$2:$A$771,$A96,secondary_acts!$E$2:$E$771,"implementing")</f>
        <v>2</v>
      </c>
      <c r="AG96" s="2" t="n">
        <f aca="false">COUNTIFS(secondary_acts!$A$2:$A$771,$A96,secondary_acts!$E$2:$E$771,"delegated")</f>
        <v>0</v>
      </c>
      <c r="AH96" s="2" t="n">
        <f aca="false">COUNTIFS(secondary_acts!$A$2:$A$771,$A96,secondary_acts!$E$2:$E$771,"other Commission/Council act")</f>
        <v>0</v>
      </c>
      <c r="AI96" s="2" t="n">
        <f aca="false">COUNTIFS(secondary_acts!$A$2:$A$771,$A96,secondary_acts!$E$2:$E$771,"guidance")</f>
        <v>0</v>
      </c>
      <c r="AJ96" s="2" t="n">
        <f aca="false">COUNTIF(guidance_web!$A$2:$A$7,$A96)</f>
        <v>0</v>
      </c>
      <c r="AK96" s="3" t="n">
        <f aca="false">SUMIFS(secondary_acts!$S$2:$S$771,secondary_acts!$A$2:$A$771,$A96,secondary_acts!$E$2:$E$771,"implementing")+SUMIFS(secondary_acts!$S$2:$S$771,secondary_acts!$A$2:$A$771,$A96,secondary_acts!$E$2:$E$771,"delegated")</f>
        <v>0</v>
      </c>
      <c r="AL96" s="3"/>
      <c r="AM96" s="2"/>
      <c r="AN96" s="2"/>
    </row>
    <row r="97" customFormat="false" ht="15" hidden="false" customHeight="false" outlineLevel="0" collapsed="false">
      <c r="A97" s="2" t="n">
        <v>96</v>
      </c>
      <c r="B97" s="2" t="s">
        <v>590</v>
      </c>
      <c r="C97" s="2" t="s">
        <v>591</v>
      </c>
      <c r="D97" s="2" t="s">
        <v>592</v>
      </c>
      <c r="E97" s="2" t="s">
        <v>84</v>
      </c>
      <c r="F97" s="2" t="s">
        <v>492</v>
      </c>
      <c r="G97" s="2" t="s">
        <v>44</v>
      </c>
      <c r="H97" s="2" t="s">
        <v>593</v>
      </c>
      <c r="I97" s="2" t="s">
        <v>46</v>
      </c>
      <c r="J97" s="2" t="s">
        <v>594</v>
      </c>
      <c r="K97" s="3" t="n">
        <v>27</v>
      </c>
      <c r="L97" s="3" t="n">
        <v>16187</v>
      </c>
      <c r="M97" s="3" t="n">
        <v>9032</v>
      </c>
      <c r="N97" s="3" t="n">
        <v>8906</v>
      </c>
      <c r="O97" s="3" t="n">
        <v>6911</v>
      </c>
      <c r="P97" s="3" t="n">
        <v>244</v>
      </c>
      <c r="Q97" s="3" t="n">
        <v>0</v>
      </c>
      <c r="R97" s="3" t="n">
        <v>0</v>
      </c>
      <c r="S97" s="3" t="n">
        <v>112</v>
      </c>
      <c r="T97" s="3" t="n">
        <v>91</v>
      </c>
      <c r="U97" s="3" t="n">
        <v>10</v>
      </c>
      <c r="V97" s="3" t="n">
        <v>1</v>
      </c>
      <c r="W97" s="3" t="n">
        <v>3</v>
      </c>
      <c r="X97" s="3" t="n">
        <v>7</v>
      </c>
      <c r="Y97" s="3" t="n">
        <v>17</v>
      </c>
      <c r="Z97" s="3" t="n">
        <v>7</v>
      </c>
      <c r="AA97" s="3" t="n">
        <v>60</v>
      </c>
      <c r="AB97" s="3" t="n">
        <v>28</v>
      </c>
      <c r="AC97" s="2"/>
      <c r="AD97" s="3"/>
      <c r="AE97" s="2"/>
      <c r="AF97" s="2" t="n">
        <f aca="false">COUNTIFS(secondary_acts!$A$2:$A$771,$A97,secondary_acts!$E$2:$E$771,"implementing")</f>
        <v>0</v>
      </c>
      <c r="AG97" s="2" t="n">
        <f aca="false">COUNTIFS(secondary_acts!$A$2:$A$771,$A97,secondary_acts!$E$2:$E$771,"delegated")</f>
        <v>0</v>
      </c>
      <c r="AH97" s="2" t="n">
        <f aca="false">COUNTIFS(secondary_acts!$A$2:$A$771,$A97,secondary_acts!$E$2:$E$771,"other Commission/Council act")</f>
        <v>0</v>
      </c>
      <c r="AI97" s="2" t="n">
        <f aca="false">COUNTIFS(secondary_acts!$A$2:$A$771,$A97,secondary_acts!$E$2:$E$771,"guidance")</f>
        <v>0</v>
      </c>
      <c r="AJ97" s="2" t="n">
        <f aca="false">COUNTIF(guidance_web!$A$2:$A$7,$A97)</f>
        <v>0</v>
      </c>
      <c r="AK97" s="3" t="n">
        <f aca="false">SUMIFS(secondary_acts!$S$2:$S$771,secondary_acts!$A$2:$A$771,$A97,secondary_acts!$E$2:$E$771,"implementing")+SUMIFS(secondary_acts!$S$2:$S$771,secondary_acts!$A$2:$A$771,$A97,secondary_acts!$E$2:$E$771,"delegated")</f>
        <v>0</v>
      </c>
      <c r="AL97" s="3"/>
      <c r="AM97" s="2"/>
      <c r="AN97" s="2" t="s">
        <v>595</v>
      </c>
    </row>
    <row r="98" customFormat="false" ht="15" hidden="false" customHeight="false" outlineLevel="0" collapsed="false">
      <c r="A98" s="2" t="n">
        <v>97</v>
      </c>
      <c r="B98" s="2" t="s">
        <v>596</v>
      </c>
      <c r="C98" s="2" t="s">
        <v>597</v>
      </c>
      <c r="D98" s="2" t="s">
        <v>598</v>
      </c>
      <c r="E98" s="2" t="s">
        <v>84</v>
      </c>
      <c r="F98" s="2" t="s">
        <v>44</v>
      </c>
      <c r="G98" s="2" t="s">
        <v>44</v>
      </c>
      <c r="H98" s="2" t="s">
        <v>599</v>
      </c>
      <c r="I98" s="2" t="s">
        <v>46</v>
      </c>
      <c r="J98" s="2" t="s">
        <v>600</v>
      </c>
      <c r="K98" s="3" t="n">
        <v>27</v>
      </c>
      <c r="L98" s="3" t="n">
        <v>14337</v>
      </c>
      <c r="M98" s="3" t="n">
        <v>5782</v>
      </c>
      <c r="N98" s="3" t="n">
        <v>5603</v>
      </c>
      <c r="O98" s="3" t="n">
        <v>8555</v>
      </c>
      <c r="P98" s="3" t="n">
        <v>0</v>
      </c>
      <c r="Q98" s="3" t="n">
        <v>0</v>
      </c>
      <c r="R98" s="3" t="n">
        <v>0</v>
      </c>
      <c r="S98" s="3" t="n">
        <v>48</v>
      </c>
      <c r="T98" s="3" t="n">
        <v>45</v>
      </c>
      <c r="U98" s="3" t="n">
        <v>2</v>
      </c>
      <c r="V98" s="3" t="n">
        <v>0</v>
      </c>
      <c r="W98" s="3" t="n">
        <v>0</v>
      </c>
      <c r="X98" s="3" t="n">
        <v>1</v>
      </c>
      <c r="Y98" s="3" t="n">
        <v>3</v>
      </c>
      <c r="Z98" s="3" t="n">
        <v>7</v>
      </c>
      <c r="AA98" s="3" t="n">
        <v>11</v>
      </c>
      <c r="AB98" s="3" t="n">
        <v>27</v>
      </c>
      <c r="AC98" s="2" t="s">
        <v>601</v>
      </c>
      <c r="AD98" s="3" t="n">
        <v>49</v>
      </c>
      <c r="AE98" s="2" t="n">
        <v>3</v>
      </c>
      <c r="AF98" s="2" t="n">
        <f aca="false">COUNTIFS(secondary_acts!$A$2:$A$771,$A98,secondary_acts!$E$2:$E$771,"implementing")</f>
        <v>0</v>
      </c>
      <c r="AG98" s="2" t="n">
        <f aca="false">COUNTIFS(secondary_acts!$A$2:$A$771,$A98,secondary_acts!$E$2:$E$771,"delegated")</f>
        <v>0</v>
      </c>
      <c r="AH98" s="2" t="n">
        <f aca="false">COUNTIFS(secondary_acts!$A$2:$A$771,$A98,secondary_acts!$E$2:$E$771,"other Commission/Council act")</f>
        <v>0</v>
      </c>
      <c r="AI98" s="2" t="n">
        <f aca="false">COUNTIFS(secondary_acts!$A$2:$A$771,$A98,secondary_acts!$E$2:$E$771,"guidance")</f>
        <v>2</v>
      </c>
      <c r="AJ98" s="2" t="n">
        <f aca="false">COUNTIF(guidance_web!$A$2:$A$7,$A98)</f>
        <v>0</v>
      </c>
      <c r="AK98" s="3" t="n">
        <f aca="false">SUMIFS(secondary_acts!$S$2:$S$771,secondary_acts!$A$2:$A$771,$A98,secondary_acts!$E$2:$E$771,"implementing")+SUMIFS(secondary_acts!$S$2:$S$771,secondary_acts!$A$2:$A$771,$A98,secondary_acts!$E$2:$E$771,"delegated")</f>
        <v>0</v>
      </c>
      <c r="AL98" s="3"/>
      <c r="AM98" s="2"/>
      <c r="AN98" s="2"/>
    </row>
    <row r="99" customFormat="false" ht="15" hidden="false" customHeight="false" outlineLevel="0" collapsed="false">
      <c r="A99" s="2" t="n">
        <v>98</v>
      </c>
      <c r="B99" s="2" t="s">
        <v>602</v>
      </c>
      <c r="C99" s="2" t="s">
        <v>603</v>
      </c>
      <c r="D99" s="2" t="s">
        <v>604</v>
      </c>
      <c r="E99" s="2" t="s">
        <v>84</v>
      </c>
      <c r="F99" s="2" t="s">
        <v>492</v>
      </c>
      <c r="G99" s="2" t="s">
        <v>492</v>
      </c>
      <c r="H99" s="2" t="s">
        <v>605</v>
      </c>
      <c r="I99" s="2" t="s">
        <v>494</v>
      </c>
      <c r="J99" s="2" t="s">
        <v>606</v>
      </c>
      <c r="K99" s="3" t="n">
        <v>54</v>
      </c>
      <c r="L99" s="3" t="n">
        <v>19053</v>
      </c>
      <c r="M99" s="3" t="n">
        <v>7197</v>
      </c>
      <c r="N99" s="3" t="n">
        <v>7086</v>
      </c>
      <c r="O99" s="3" t="n">
        <v>11856</v>
      </c>
      <c r="P99" s="3" t="n">
        <v>0</v>
      </c>
      <c r="Q99" s="3" t="n">
        <v>5800</v>
      </c>
      <c r="R99" s="3" t="n">
        <v>0</v>
      </c>
      <c r="S99" s="3" t="n">
        <v>155</v>
      </c>
      <c r="T99" s="3" t="n">
        <v>134</v>
      </c>
      <c r="U99" s="3" t="n">
        <v>8</v>
      </c>
      <c r="V99" s="3" t="n">
        <v>4</v>
      </c>
      <c r="W99" s="3" t="n">
        <v>1</v>
      </c>
      <c r="X99" s="3" t="n">
        <v>8</v>
      </c>
      <c r="Y99" s="3" t="n">
        <v>42</v>
      </c>
      <c r="Z99" s="3" t="n">
        <v>53</v>
      </c>
      <c r="AA99" s="3" t="n">
        <v>24</v>
      </c>
      <c r="AB99" s="3" t="n">
        <v>36</v>
      </c>
      <c r="AC99" s="2"/>
      <c r="AD99" s="3"/>
      <c r="AE99" s="2"/>
      <c r="AF99" s="2" t="n">
        <f aca="false">COUNTIFS(secondary_acts!$A$2:$A$771,$A99,secondary_acts!$E$2:$E$771,"implementing")</f>
        <v>0</v>
      </c>
      <c r="AG99" s="2" t="n">
        <f aca="false">COUNTIFS(secondary_acts!$A$2:$A$771,$A99,secondary_acts!$E$2:$E$771,"delegated")</f>
        <v>0</v>
      </c>
      <c r="AH99" s="2" t="n">
        <f aca="false">COUNTIFS(secondary_acts!$A$2:$A$771,$A99,secondary_acts!$E$2:$E$771,"other Commission/Council act")</f>
        <v>0</v>
      </c>
      <c r="AI99" s="2" t="n">
        <f aca="false">COUNTIFS(secondary_acts!$A$2:$A$771,$A99,secondary_acts!$E$2:$E$771,"guidance")</f>
        <v>0</v>
      </c>
      <c r="AJ99" s="2" t="n">
        <f aca="false">COUNTIF(guidance_web!$A$2:$A$7,$A99)</f>
        <v>0</v>
      </c>
      <c r="AK99" s="3" t="n">
        <f aca="false">SUMIFS(secondary_acts!$S$2:$S$771,secondary_acts!$A$2:$A$771,$A99,secondary_acts!$E$2:$E$771,"implementing")+SUMIFS(secondary_acts!$S$2:$S$771,secondary_acts!$A$2:$A$771,$A99,secondary_acts!$E$2:$E$771,"delegated")</f>
        <v>0</v>
      </c>
      <c r="AL99" s="3"/>
      <c r="AM99" s="2"/>
      <c r="AN99" s="2"/>
    </row>
    <row r="100" customFormat="false" ht="15" hidden="false" customHeight="false" outlineLevel="0" collapsed="false">
      <c r="A100" s="2" t="n">
        <v>99</v>
      </c>
      <c r="B100" s="2" t="s">
        <v>607</v>
      </c>
      <c r="C100" s="2" t="s">
        <v>608</v>
      </c>
      <c r="D100" s="2" t="s">
        <v>604</v>
      </c>
      <c r="E100" s="2" t="s">
        <v>84</v>
      </c>
      <c r="F100" s="2" t="s">
        <v>492</v>
      </c>
      <c r="G100" s="2" t="s">
        <v>609</v>
      </c>
      <c r="H100" s="2" t="s">
        <v>610</v>
      </c>
      <c r="I100" s="2" t="s">
        <v>494</v>
      </c>
      <c r="J100" s="2" t="s">
        <v>611</v>
      </c>
      <c r="K100" s="3" t="n">
        <v>159</v>
      </c>
      <c r="L100" s="3" t="n">
        <v>55334</v>
      </c>
      <c r="M100" s="3" t="n">
        <v>19804</v>
      </c>
      <c r="N100" s="3" t="n">
        <v>19694</v>
      </c>
      <c r="O100" s="3" t="n">
        <v>32412</v>
      </c>
      <c r="P100" s="3" t="n">
        <v>3118</v>
      </c>
      <c r="Q100" s="3" t="n">
        <v>5272</v>
      </c>
      <c r="R100" s="3" t="n">
        <v>0</v>
      </c>
      <c r="S100" s="3" t="n">
        <v>447</v>
      </c>
      <c r="T100" s="3" t="n">
        <v>354</v>
      </c>
      <c r="U100" s="3" t="n">
        <v>50</v>
      </c>
      <c r="V100" s="3" t="n">
        <v>8</v>
      </c>
      <c r="W100" s="3" t="n">
        <v>6</v>
      </c>
      <c r="X100" s="3" t="n">
        <v>29</v>
      </c>
      <c r="Y100" s="3" t="n">
        <v>249</v>
      </c>
      <c r="Z100" s="3" t="n">
        <v>69</v>
      </c>
      <c r="AA100" s="3" t="n">
        <v>45</v>
      </c>
      <c r="AB100" s="3" t="n">
        <v>84</v>
      </c>
      <c r="AC100" s="2"/>
      <c r="AD100" s="3"/>
      <c r="AE100" s="2"/>
      <c r="AF100" s="2" t="n">
        <f aca="false">COUNTIFS(secondary_acts!$A$2:$A$771,$A100,secondary_acts!$E$2:$E$771,"implementing")</f>
        <v>0</v>
      </c>
      <c r="AG100" s="2" t="n">
        <f aca="false">COUNTIFS(secondary_acts!$A$2:$A$771,$A100,secondary_acts!$E$2:$E$771,"delegated")</f>
        <v>0</v>
      </c>
      <c r="AH100" s="2" t="n">
        <f aca="false">COUNTIFS(secondary_acts!$A$2:$A$771,$A100,secondary_acts!$E$2:$E$771,"other Commission/Council act")</f>
        <v>0</v>
      </c>
      <c r="AI100" s="2" t="n">
        <f aca="false">COUNTIFS(secondary_acts!$A$2:$A$771,$A100,secondary_acts!$E$2:$E$771,"guidance")</f>
        <v>0</v>
      </c>
      <c r="AJ100" s="2" t="n">
        <f aca="false">COUNTIF(guidance_web!$A$2:$A$7,$A100)</f>
        <v>0</v>
      </c>
      <c r="AK100" s="3" t="n">
        <f aca="false">SUMIFS(secondary_acts!$S$2:$S$771,secondary_acts!$A$2:$A$771,$A100,secondary_acts!$E$2:$E$771,"implementing")+SUMIFS(secondary_acts!$S$2:$S$771,secondary_acts!$A$2:$A$771,$A100,secondary_acts!$E$2:$E$771,"delegated")</f>
        <v>0</v>
      </c>
      <c r="AL100" s="3"/>
      <c r="AM100" s="2"/>
      <c r="AN100" s="2" t="s">
        <v>612</v>
      </c>
    </row>
    <row r="101" customFormat="false" ht="15" hidden="false" customHeight="false" outlineLevel="0" collapsed="false">
      <c r="A101" s="2" t="n">
        <v>100</v>
      </c>
      <c r="B101" s="2" t="s">
        <v>613</v>
      </c>
      <c r="C101" s="2" t="s">
        <v>614</v>
      </c>
      <c r="D101" s="2" t="s">
        <v>604</v>
      </c>
      <c r="E101" s="2" t="s">
        <v>84</v>
      </c>
      <c r="F101" s="2" t="s">
        <v>492</v>
      </c>
      <c r="G101" s="2" t="s">
        <v>609</v>
      </c>
      <c r="H101" s="2" t="s">
        <v>615</v>
      </c>
      <c r="I101" s="2" t="s">
        <v>494</v>
      </c>
      <c r="J101" s="2" t="s">
        <v>616</v>
      </c>
      <c r="K101" s="3" t="n">
        <v>99</v>
      </c>
      <c r="L101" s="3" t="n">
        <v>29148</v>
      </c>
      <c r="M101" s="3" t="n">
        <v>8708</v>
      </c>
      <c r="N101" s="3" t="n">
        <v>8583</v>
      </c>
      <c r="O101" s="3" t="n">
        <v>17309</v>
      </c>
      <c r="P101" s="3" t="n">
        <v>3131</v>
      </c>
      <c r="Q101" s="3" t="n">
        <v>3955</v>
      </c>
      <c r="R101" s="3" t="n">
        <v>0</v>
      </c>
      <c r="S101" s="3" t="n">
        <v>243</v>
      </c>
      <c r="T101" s="3" t="n">
        <v>193</v>
      </c>
      <c r="U101" s="3" t="n">
        <v>16</v>
      </c>
      <c r="V101" s="3" t="n">
        <v>5</v>
      </c>
      <c r="W101" s="3" t="n">
        <v>0</v>
      </c>
      <c r="X101" s="3" t="n">
        <v>29</v>
      </c>
      <c r="Y101" s="3" t="n">
        <v>48</v>
      </c>
      <c r="Z101" s="3" t="n">
        <v>135</v>
      </c>
      <c r="AA101" s="3" t="n">
        <v>28</v>
      </c>
      <c r="AB101" s="3" t="n">
        <v>32</v>
      </c>
      <c r="AC101" s="2"/>
      <c r="AD101" s="3"/>
      <c r="AE101" s="2"/>
      <c r="AF101" s="2" t="n">
        <f aca="false">COUNTIFS(secondary_acts!$A$2:$A$771,$A101,secondary_acts!$E$2:$E$771,"implementing")</f>
        <v>0</v>
      </c>
      <c r="AG101" s="2" t="n">
        <f aca="false">COUNTIFS(secondary_acts!$A$2:$A$771,$A101,secondary_acts!$E$2:$E$771,"delegated")</f>
        <v>0</v>
      </c>
      <c r="AH101" s="2" t="n">
        <f aca="false">COUNTIFS(secondary_acts!$A$2:$A$771,$A101,secondary_acts!$E$2:$E$771,"other Commission/Council act")</f>
        <v>0</v>
      </c>
      <c r="AI101" s="2" t="n">
        <f aca="false">COUNTIFS(secondary_acts!$A$2:$A$771,$A101,secondary_acts!$E$2:$E$771,"guidance")</f>
        <v>0</v>
      </c>
      <c r="AJ101" s="2" t="n">
        <f aca="false">COUNTIF(guidance_web!$A$2:$A$7,$A101)</f>
        <v>0</v>
      </c>
      <c r="AK101" s="3" t="n">
        <f aca="false">SUMIFS(secondary_acts!$S$2:$S$771,secondary_acts!$A$2:$A$771,$A101,secondary_acts!$E$2:$E$771,"implementing")+SUMIFS(secondary_acts!$S$2:$S$771,secondary_acts!$A$2:$A$771,$A101,secondary_acts!$E$2:$E$771,"delegated")</f>
        <v>0</v>
      </c>
      <c r="AL101" s="3"/>
      <c r="AM101" s="2"/>
      <c r="AN101" s="2" t="s">
        <v>617</v>
      </c>
    </row>
    <row r="102" customFormat="false" ht="15" hidden="false" customHeight="false" outlineLevel="0" collapsed="false">
      <c r="A102" s="2" t="n">
        <v>101</v>
      </c>
      <c r="B102" s="2" t="s">
        <v>618</v>
      </c>
      <c r="C102" s="2" t="s">
        <v>619</v>
      </c>
      <c r="D102" s="2" t="s">
        <v>604</v>
      </c>
      <c r="E102" s="2" t="s">
        <v>84</v>
      </c>
      <c r="F102" s="2" t="s">
        <v>492</v>
      </c>
      <c r="G102" s="2" t="s">
        <v>492</v>
      </c>
      <c r="H102" s="2" t="s">
        <v>620</v>
      </c>
      <c r="I102" s="2" t="s">
        <v>494</v>
      </c>
      <c r="J102" s="2" t="s">
        <v>621</v>
      </c>
      <c r="K102" s="3" t="n">
        <v>68</v>
      </c>
      <c r="L102" s="3" t="n">
        <v>23989</v>
      </c>
      <c r="M102" s="3" t="n">
        <v>12376</v>
      </c>
      <c r="N102" s="3" t="n">
        <v>12277</v>
      </c>
      <c r="O102" s="3" t="n">
        <v>10828</v>
      </c>
      <c r="P102" s="3" t="n">
        <v>785</v>
      </c>
      <c r="Q102" s="3" t="n">
        <v>7972</v>
      </c>
      <c r="R102" s="3" t="n">
        <v>0</v>
      </c>
      <c r="S102" s="3" t="n">
        <v>153</v>
      </c>
      <c r="T102" s="3" t="n">
        <v>123</v>
      </c>
      <c r="U102" s="3" t="n">
        <v>19</v>
      </c>
      <c r="V102" s="3" t="n">
        <v>6</v>
      </c>
      <c r="W102" s="3" t="n">
        <v>2</v>
      </c>
      <c r="X102" s="3" t="n">
        <v>3</v>
      </c>
      <c r="Y102" s="3" t="n">
        <v>74</v>
      </c>
      <c r="Z102" s="3" t="n">
        <v>16</v>
      </c>
      <c r="AA102" s="3" t="n">
        <v>16</v>
      </c>
      <c r="AB102" s="3" t="n">
        <v>47</v>
      </c>
      <c r="AC102" s="2"/>
      <c r="AD102" s="3"/>
      <c r="AE102" s="2"/>
      <c r="AF102" s="2" t="n">
        <f aca="false">COUNTIFS(secondary_acts!$A$2:$A$771,$A102,secondary_acts!$E$2:$E$771,"implementing")</f>
        <v>0</v>
      </c>
      <c r="AG102" s="2" t="n">
        <f aca="false">COUNTIFS(secondary_acts!$A$2:$A$771,$A102,secondary_acts!$E$2:$E$771,"delegated")</f>
        <v>0</v>
      </c>
      <c r="AH102" s="2" t="n">
        <f aca="false">COUNTIFS(secondary_acts!$A$2:$A$771,$A102,secondary_acts!$E$2:$E$771,"other Commission/Council act")</f>
        <v>0</v>
      </c>
      <c r="AI102" s="2" t="n">
        <f aca="false">COUNTIFS(secondary_acts!$A$2:$A$771,$A102,secondary_acts!$E$2:$E$771,"guidance")</f>
        <v>0</v>
      </c>
      <c r="AJ102" s="2" t="n">
        <f aca="false">COUNTIF(guidance_web!$A$2:$A$7,$A102)</f>
        <v>0</v>
      </c>
      <c r="AK102" s="3" t="n">
        <f aca="false">SUMIFS(secondary_acts!$S$2:$S$771,secondary_acts!$A$2:$A$771,$A102,secondary_acts!$E$2:$E$771,"implementing")+SUMIFS(secondary_acts!$S$2:$S$771,secondary_acts!$A$2:$A$771,$A102,secondary_acts!$E$2:$E$771,"delegated")</f>
        <v>0</v>
      </c>
      <c r="AL102" s="3"/>
      <c r="AM102" s="2"/>
      <c r="AN102" s="2"/>
    </row>
    <row r="103" customFormat="false" ht="15" hidden="false" customHeight="false" outlineLevel="0" collapsed="false">
      <c r="A103" s="2" t="n">
        <v>102</v>
      </c>
      <c r="B103" s="2" t="s">
        <v>622</v>
      </c>
      <c r="C103" s="2" t="s">
        <v>623</v>
      </c>
      <c r="D103" s="2" t="s">
        <v>624</v>
      </c>
      <c r="E103" s="2" t="s">
        <v>84</v>
      </c>
      <c r="F103" s="2" t="s">
        <v>492</v>
      </c>
      <c r="G103" s="2" t="s">
        <v>44</v>
      </c>
      <c r="H103" s="2" t="s">
        <v>625</v>
      </c>
      <c r="I103" s="2" t="s">
        <v>46</v>
      </c>
      <c r="J103" s="2" t="s">
        <v>626</v>
      </c>
      <c r="K103" s="3" t="n">
        <v>27</v>
      </c>
      <c r="L103" s="3" t="n">
        <v>17116</v>
      </c>
      <c r="M103" s="3" t="n">
        <v>6916</v>
      </c>
      <c r="N103" s="3" t="n">
        <v>6792</v>
      </c>
      <c r="O103" s="3" t="n">
        <v>10200</v>
      </c>
      <c r="P103" s="3" t="n">
        <v>0</v>
      </c>
      <c r="Q103" s="3" t="n">
        <v>0</v>
      </c>
      <c r="R103" s="3" t="n">
        <v>0</v>
      </c>
      <c r="S103" s="3" t="n">
        <v>133</v>
      </c>
      <c r="T103" s="3" t="n">
        <v>123</v>
      </c>
      <c r="U103" s="3" t="n">
        <v>5</v>
      </c>
      <c r="V103" s="3" t="n">
        <v>0</v>
      </c>
      <c r="W103" s="3" t="n">
        <v>3</v>
      </c>
      <c r="X103" s="3" t="n">
        <v>2</v>
      </c>
      <c r="Y103" s="3" t="n">
        <v>5</v>
      </c>
      <c r="Z103" s="3" t="n">
        <v>76</v>
      </c>
      <c r="AA103" s="3" t="n">
        <v>20</v>
      </c>
      <c r="AB103" s="3" t="n">
        <v>32</v>
      </c>
      <c r="AC103" s="2"/>
      <c r="AD103" s="3"/>
      <c r="AE103" s="2"/>
      <c r="AF103" s="2" t="n">
        <f aca="false">COUNTIFS(secondary_acts!$A$2:$A$771,$A103,secondary_acts!$E$2:$E$771,"implementing")</f>
        <v>0</v>
      </c>
      <c r="AG103" s="2" t="n">
        <f aca="false">COUNTIFS(secondary_acts!$A$2:$A$771,$A103,secondary_acts!$E$2:$E$771,"delegated")</f>
        <v>0</v>
      </c>
      <c r="AH103" s="2" t="n">
        <f aca="false">COUNTIFS(secondary_acts!$A$2:$A$771,$A103,secondary_acts!$E$2:$E$771,"other Commission/Council act")</f>
        <v>0</v>
      </c>
      <c r="AI103" s="2" t="n">
        <f aca="false">COUNTIFS(secondary_acts!$A$2:$A$771,$A103,secondary_acts!$E$2:$E$771,"guidance")</f>
        <v>0</v>
      </c>
      <c r="AJ103" s="2" t="n">
        <f aca="false">COUNTIF(guidance_web!$A$2:$A$7,$A103)</f>
        <v>0</v>
      </c>
      <c r="AK103" s="3" t="n">
        <f aca="false">SUMIFS(secondary_acts!$S$2:$S$771,secondary_acts!$A$2:$A$771,$A103,secondary_acts!$E$2:$E$771,"implementing")+SUMIFS(secondary_acts!$S$2:$S$771,secondary_acts!$A$2:$A$771,$A103,secondary_acts!$E$2:$E$771,"delegated")</f>
        <v>0</v>
      </c>
      <c r="AL103" s="3"/>
      <c r="AM103" s="2"/>
      <c r="AN103" s="2" t="s">
        <v>627</v>
      </c>
    </row>
    <row r="104" customFormat="false" ht="15" hidden="false" customHeight="false" outlineLevel="0" collapsed="false">
      <c r="A104" s="2" t="n">
        <v>103</v>
      </c>
      <c r="B104" s="2" t="s">
        <v>628</v>
      </c>
      <c r="C104" s="2" t="s">
        <v>629</v>
      </c>
      <c r="D104" s="2" t="s">
        <v>630</v>
      </c>
      <c r="E104" s="2" t="s">
        <v>84</v>
      </c>
      <c r="F104" s="2" t="s">
        <v>492</v>
      </c>
      <c r="G104" s="2" t="s">
        <v>44</v>
      </c>
      <c r="H104" s="2" t="s">
        <v>631</v>
      </c>
      <c r="I104" s="2" t="s">
        <v>46</v>
      </c>
      <c r="J104" s="2" t="s">
        <v>632</v>
      </c>
      <c r="K104" s="3" t="n">
        <v>82</v>
      </c>
      <c r="L104" s="3" t="n">
        <v>36819</v>
      </c>
      <c r="M104" s="3" t="n">
        <v>9321</v>
      </c>
      <c r="N104" s="3" t="n">
        <v>9206</v>
      </c>
      <c r="O104" s="3" t="n">
        <v>16538</v>
      </c>
      <c r="P104" s="3" t="n">
        <v>10960</v>
      </c>
      <c r="Q104" s="3" t="n">
        <v>0</v>
      </c>
      <c r="R104" s="3" t="n">
        <v>0</v>
      </c>
      <c r="S104" s="3" t="n">
        <v>478</v>
      </c>
      <c r="T104" s="3" t="n">
        <v>392</v>
      </c>
      <c r="U104" s="3" t="n">
        <v>56</v>
      </c>
      <c r="V104" s="3" t="n">
        <v>6</v>
      </c>
      <c r="W104" s="3" t="n">
        <v>1</v>
      </c>
      <c r="X104" s="3" t="n">
        <v>23</v>
      </c>
      <c r="Y104" s="3" t="n">
        <v>162</v>
      </c>
      <c r="Z104" s="3" t="n">
        <v>48</v>
      </c>
      <c r="AA104" s="3" t="n">
        <v>66</v>
      </c>
      <c r="AB104" s="3" t="n">
        <v>202</v>
      </c>
      <c r="AC104" s="2" t="s">
        <v>633</v>
      </c>
      <c r="AD104" s="3" t="n">
        <v>478</v>
      </c>
      <c r="AE104" s="2" t="n">
        <v>162</v>
      </c>
      <c r="AF104" s="2" t="n">
        <f aca="false">COUNTIFS(secondary_acts!$A$2:$A$771,$A104,secondary_acts!$E$2:$E$771,"implementing")</f>
        <v>0</v>
      </c>
      <c r="AG104" s="2" t="n">
        <f aca="false">COUNTIFS(secondary_acts!$A$2:$A$771,$A104,secondary_acts!$E$2:$E$771,"delegated")</f>
        <v>0</v>
      </c>
      <c r="AH104" s="2" t="n">
        <f aca="false">COUNTIFS(secondary_acts!$A$2:$A$771,$A104,secondary_acts!$E$2:$E$771,"other Commission/Council act")</f>
        <v>0</v>
      </c>
      <c r="AI104" s="2" t="n">
        <f aca="false">COUNTIFS(secondary_acts!$A$2:$A$771,$A104,secondary_acts!$E$2:$E$771,"guidance")</f>
        <v>0</v>
      </c>
      <c r="AJ104" s="2" t="n">
        <f aca="false">COUNTIF(guidance_web!$A$2:$A$7,$A104)</f>
        <v>0</v>
      </c>
      <c r="AK104" s="3" t="n">
        <f aca="false">SUMIFS(secondary_acts!$S$2:$S$771,secondary_acts!$A$2:$A$771,$A104,secondary_acts!$E$2:$E$771,"implementing")+SUMIFS(secondary_acts!$S$2:$S$771,secondary_acts!$A$2:$A$771,$A104,secondary_acts!$E$2:$E$771,"delegated")</f>
        <v>0</v>
      </c>
      <c r="AL104" s="3"/>
      <c r="AM104" s="2"/>
      <c r="AN104" s="2" t="s">
        <v>634</v>
      </c>
    </row>
    <row r="105" customFormat="false" ht="15" hidden="false" customHeight="false" outlineLevel="0" collapsed="false">
      <c r="A105" s="2" t="n">
        <v>104</v>
      </c>
      <c r="B105" s="2" t="s">
        <v>635</v>
      </c>
      <c r="C105" s="2" t="s">
        <v>636</v>
      </c>
      <c r="D105" s="2" t="s">
        <v>637</v>
      </c>
      <c r="E105" s="2" t="s">
        <v>84</v>
      </c>
      <c r="F105" s="2" t="s">
        <v>492</v>
      </c>
      <c r="G105" s="2" t="s">
        <v>492</v>
      </c>
      <c r="H105" s="2" t="s">
        <v>638</v>
      </c>
      <c r="I105" s="2" t="s">
        <v>494</v>
      </c>
      <c r="J105" s="2" t="s">
        <v>639</v>
      </c>
      <c r="K105" s="3" t="n">
        <v>26</v>
      </c>
      <c r="L105" s="3" t="n">
        <v>5601</v>
      </c>
      <c r="M105" s="3" t="n">
        <v>2616</v>
      </c>
      <c r="N105" s="3" t="n">
        <v>2524</v>
      </c>
      <c r="O105" s="3" t="n">
        <v>2985</v>
      </c>
      <c r="P105" s="3" t="n">
        <v>0</v>
      </c>
      <c r="Q105" s="3" t="n">
        <v>5166</v>
      </c>
      <c r="R105" s="3" t="n">
        <v>0</v>
      </c>
      <c r="S105" s="3" t="n">
        <v>56</v>
      </c>
      <c r="T105" s="3" t="n">
        <v>46</v>
      </c>
      <c r="U105" s="3" t="n">
        <v>6</v>
      </c>
      <c r="V105" s="3" t="n">
        <v>0</v>
      </c>
      <c r="W105" s="3" t="n">
        <v>0</v>
      </c>
      <c r="X105" s="3" t="n">
        <v>4</v>
      </c>
      <c r="Y105" s="3" t="n">
        <v>9</v>
      </c>
      <c r="Z105" s="3" t="n">
        <v>22</v>
      </c>
      <c r="AA105" s="3" t="n">
        <v>5</v>
      </c>
      <c r="AB105" s="3" t="n">
        <v>20</v>
      </c>
      <c r="AC105" s="2"/>
      <c r="AD105" s="3"/>
      <c r="AE105" s="2"/>
      <c r="AF105" s="2" t="n">
        <f aca="false">COUNTIFS(secondary_acts!$A$2:$A$771,$A105,secondary_acts!$E$2:$E$771,"implementing")</f>
        <v>0</v>
      </c>
      <c r="AG105" s="2" t="n">
        <f aca="false">COUNTIFS(secondary_acts!$A$2:$A$771,$A105,secondary_acts!$E$2:$E$771,"delegated")</f>
        <v>0</v>
      </c>
      <c r="AH105" s="2" t="n">
        <f aca="false">COUNTIFS(secondary_acts!$A$2:$A$771,$A105,secondary_acts!$E$2:$E$771,"other Commission/Council act")</f>
        <v>0</v>
      </c>
      <c r="AI105" s="2" t="n">
        <f aca="false">COUNTIFS(secondary_acts!$A$2:$A$771,$A105,secondary_acts!$E$2:$E$771,"guidance")</f>
        <v>0</v>
      </c>
      <c r="AJ105" s="2" t="n">
        <f aca="false">COUNTIF(guidance_web!$A$2:$A$7,$A105)</f>
        <v>0</v>
      </c>
      <c r="AK105" s="3" t="n">
        <f aca="false">SUMIFS(secondary_acts!$S$2:$S$771,secondary_acts!$A$2:$A$771,$A105,secondary_acts!$E$2:$E$771,"implementing")+SUMIFS(secondary_acts!$S$2:$S$771,secondary_acts!$A$2:$A$771,$A105,secondary_acts!$E$2:$E$771,"delegated")</f>
        <v>0</v>
      </c>
      <c r="AL105" s="3"/>
      <c r="AM105" s="2"/>
      <c r="AN105" s="2"/>
    </row>
    <row r="106" customFormat="false" ht="15" hidden="false" customHeight="false" outlineLevel="0" collapsed="false">
      <c r="A106" s="2" t="n">
        <v>105</v>
      </c>
      <c r="B106" s="2" t="s">
        <v>640</v>
      </c>
      <c r="C106" s="2" t="s">
        <v>641</v>
      </c>
      <c r="D106" s="2" t="s">
        <v>642</v>
      </c>
      <c r="E106" s="2" t="s">
        <v>84</v>
      </c>
      <c r="F106" s="2" t="s">
        <v>492</v>
      </c>
      <c r="G106" s="2" t="s">
        <v>492</v>
      </c>
      <c r="H106" s="2" t="s">
        <v>643</v>
      </c>
      <c r="I106" s="2" t="s">
        <v>494</v>
      </c>
      <c r="J106" s="2" t="s">
        <v>644</v>
      </c>
      <c r="K106" s="3" t="n">
        <v>82</v>
      </c>
      <c r="L106" s="3" t="n">
        <v>20780</v>
      </c>
      <c r="M106" s="3" t="n">
        <v>8856</v>
      </c>
      <c r="N106" s="3" t="n">
        <v>8736</v>
      </c>
      <c r="O106" s="3" t="n">
        <v>10327</v>
      </c>
      <c r="P106" s="3" t="n">
        <v>1597</v>
      </c>
      <c r="Q106" s="3" t="n">
        <v>7673</v>
      </c>
      <c r="R106" s="3" t="n">
        <v>0</v>
      </c>
      <c r="S106" s="3" t="n">
        <v>160</v>
      </c>
      <c r="T106" s="3" t="n">
        <v>140</v>
      </c>
      <c r="U106" s="3" t="n">
        <v>5</v>
      </c>
      <c r="V106" s="3" t="n">
        <v>0</v>
      </c>
      <c r="W106" s="3" t="n">
        <v>0</v>
      </c>
      <c r="X106" s="3" t="n">
        <v>15</v>
      </c>
      <c r="Y106" s="3" t="n">
        <v>2</v>
      </c>
      <c r="Z106" s="3" t="n">
        <v>107</v>
      </c>
      <c r="AA106" s="3" t="n">
        <v>3</v>
      </c>
      <c r="AB106" s="3" t="n">
        <v>48</v>
      </c>
      <c r="AC106" s="2"/>
      <c r="AD106" s="3"/>
      <c r="AE106" s="2"/>
      <c r="AF106" s="2" t="n">
        <f aca="false">COUNTIFS(secondary_acts!$A$2:$A$771,$A106,secondary_acts!$E$2:$E$771,"implementing")</f>
        <v>0</v>
      </c>
      <c r="AG106" s="2" t="n">
        <f aca="false">COUNTIFS(secondary_acts!$A$2:$A$771,$A106,secondary_acts!$E$2:$E$771,"delegated")</f>
        <v>0</v>
      </c>
      <c r="AH106" s="2" t="n">
        <f aca="false">COUNTIFS(secondary_acts!$A$2:$A$771,$A106,secondary_acts!$E$2:$E$771,"other Commission/Council act")</f>
        <v>0</v>
      </c>
      <c r="AI106" s="2" t="n">
        <f aca="false">COUNTIFS(secondary_acts!$A$2:$A$771,$A106,secondary_acts!$E$2:$E$771,"guidance")</f>
        <v>0</v>
      </c>
      <c r="AJ106" s="2" t="n">
        <f aca="false">COUNTIF(guidance_web!$A$2:$A$7,$A106)</f>
        <v>0</v>
      </c>
      <c r="AK106" s="3" t="n">
        <f aca="false">SUMIFS(secondary_acts!$S$2:$S$771,secondary_acts!$A$2:$A$771,$A106,secondary_acts!$E$2:$E$771,"implementing")+SUMIFS(secondary_acts!$S$2:$S$771,secondary_acts!$A$2:$A$771,$A106,secondary_acts!$E$2:$E$771,"delegated")</f>
        <v>0</v>
      </c>
      <c r="AL106" s="3"/>
      <c r="AM106" s="2"/>
      <c r="AN106" s="2"/>
    </row>
    <row r="107" customFormat="false" ht="15" hidden="false" customHeight="false" outlineLevel="0" collapsed="false">
      <c r="A107" s="2" t="n">
        <v>106</v>
      </c>
      <c r="B107" s="2" t="s">
        <v>645</v>
      </c>
      <c r="C107" s="2" t="s">
        <v>646</v>
      </c>
      <c r="D107" s="2" t="s">
        <v>647</v>
      </c>
      <c r="E107" s="2" t="s">
        <v>84</v>
      </c>
      <c r="F107" s="2" t="s">
        <v>492</v>
      </c>
      <c r="G107" s="2" t="s">
        <v>492</v>
      </c>
      <c r="H107" s="2" t="s">
        <v>648</v>
      </c>
      <c r="I107" s="2" t="s">
        <v>494</v>
      </c>
      <c r="J107" s="2" t="s">
        <v>649</v>
      </c>
      <c r="K107" s="3" t="n">
        <v>60</v>
      </c>
      <c r="L107" s="3" t="n">
        <v>7556</v>
      </c>
      <c r="M107" s="3" t="n">
        <v>3129</v>
      </c>
      <c r="N107" s="3" t="n">
        <v>3010</v>
      </c>
      <c r="O107" s="3" t="n">
        <v>4348</v>
      </c>
      <c r="P107" s="3" t="n">
        <v>79</v>
      </c>
      <c r="Q107" s="3" t="n">
        <v>6803</v>
      </c>
      <c r="R107" s="3" t="n">
        <v>6692</v>
      </c>
      <c r="S107" s="3" t="n">
        <v>53</v>
      </c>
      <c r="T107" s="3" t="n">
        <v>46</v>
      </c>
      <c r="U107" s="3" t="n">
        <v>2</v>
      </c>
      <c r="V107" s="3" t="n">
        <v>0</v>
      </c>
      <c r="W107" s="3" t="n">
        <v>0</v>
      </c>
      <c r="X107" s="3" t="n">
        <v>5</v>
      </c>
      <c r="Y107" s="3" t="n">
        <v>3</v>
      </c>
      <c r="Z107" s="3" t="n">
        <v>6</v>
      </c>
      <c r="AA107" s="3" t="n">
        <v>29</v>
      </c>
      <c r="AB107" s="3" t="n">
        <v>15</v>
      </c>
      <c r="AC107" s="2"/>
      <c r="AD107" s="3"/>
      <c r="AE107" s="2"/>
      <c r="AF107" s="2" t="n">
        <f aca="false">COUNTIFS(secondary_acts!$A$2:$A$771,$A107,secondary_acts!$E$2:$E$771,"implementing")</f>
        <v>0</v>
      </c>
      <c r="AG107" s="2" t="n">
        <f aca="false">COUNTIFS(secondary_acts!$A$2:$A$771,$A107,secondary_acts!$E$2:$E$771,"delegated")</f>
        <v>0</v>
      </c>
      <c r="AH107" s="2" t="n">
        <f aca="false">COUNTIFS(secondary_acts!$A$2:$A$771,$A107,secondary_acts!$E$2:$E$771,"other Commission/Council act")</f>
        <v>0</v>
      </c>
      <c r="AI107" s="2" t="n">
        <f aca="false">COUNTIFS(secondary_acts!$A$2:$A$771,$A107,secondary_acts!$E$2:$E$771,"guidance")</f>
        <v>0</v>
      </c>
      <c r="AJ107" s="2" t="n">
        <f aca="false">COUNTIF(guidance_web!$A$2:$A$7,$A107)</f>
        <v>0</v>
      </c>
      <c r="AK107" s="3" t="n">
        <f aca="false">SUMIFS(secondary_acts!$S$2:$S$771,secondary_acts!$A$2:$A$771,$A107,secondary_acts!$E$2:$E$771,"implementing")+SUMIFS(secondary_acts!$S$2:$S$771,secondary_acts!$A$2:$A$771,$A107,secondary_acts!$E$2:$E$771,"delegated")</f>
        <v>0</v>
      </c>
      <c r="AL107" s="3"/>
      <c r="AM107" s="2"/>
      <c r="AN107" s="2"/>
    </row>
    <row r="108" customFormat="false" ht="15" hidden="false" customHeight="false" outlineLevel="0" collapsed="false">
      <c r="A108" s="2" t="n">
        <v>107</v>
      </c>
      <c r="B108" s="2" t="s">
        <v>650</v>
      </c>
      <c r="C108" s="2" t="s">
        <v>651</v>
      </c>
      <c r="D108" s="2" t="s">
        <v>652</v>
      </c>
      <c r="E108" s="2" t="s">
        <v>52</v>
      </c>
      <c r="F108" s="2" t="s">
        <v>492</v>
      </c>
      <c r="G108" s="2" t="s">
        <v>492</v>
      </c>
      <c r="H108" s="2" t="s">
        <v>653</v>
      </c>
      <c r="I108" s="2" t="s">
        <v>494</v>
      </c>
      <c r="J108" s="2" t="s">
        <v>654</v>
      </c>
      <c r="K108" s="3" t="n">
        <v>186</v>
      </c>
      <c r="L108" s="3" t="n">
        <v>58336</v>
      </c>
      <c r="M108" s="3" t="n">
        <v>12071</v>
      </c>
      <c r="N108" s="3" t="n">
        <v>11964</v>
      </c>
      <c r="O108" s="3" t="n">
        <v>32425</v>
      </c>
      <c r="P108" s="3" t="n">
        <v>13840</v>
      </c>
      <c r="Q108" s="3" t="n">
        <v>5989</v>
      </c>
      <c r="R108" s="3" t="n">
        <v>9075</v>
      </c>
      <c r="S108" s="3" t="n">
        <v>800</v>
      </c>
      <c r="T108" s="3" t="n">
        <v>726</v>
      </c>
      <c r="U108" s="3" t="n">
        <v>17</v>
      </c>
      <c r="V108" s="3" t="n">
        <v>4</v>
      </c>
      <c r="W108" s="3" t="n">
        <v>4</v>
      </c>
      <c r="X108" s="3" t="n">
        <v>49</v>
      </c>
      <c r="Y108" s="3" t="n">
        <v>238</v>
      </c>
      <c r="Z108" s="3" t="n">
        <v>75</v>
      </c>
      <c r="AA108" s="3" t="n">
        <v>241</v>
      </c>
      <c r="AB108" s="3" t="n">
        <v>246</v>
      </c>
      <c r="AC108" s="2"/>
      <c r="AD108" s="3"/>
      <c r="AE108" s="2"/>
      <c r="AF108" s="2" t="n">
        <f aca="false">COUNTIFS(secondary_acts!$A$2:$A$771,$A108,secondary_acts!$E$2:$E$771,"implementing")</f>
        <v>0</v>
      </c>
      <c r="AG108" s="2" t="n">
        <f aca="false">COUNTIFS(secondary_acts!$A$2:$A$771,$A108,secondary_acts!$E$2:$E$771,"delegated")</f>
        <v>0</v>
      </c>
      <c r="AH108" s="2" t="n">
        <f aca="false">COUNTIFS(secondary_acts!$A$2:$A$771,$A108,secondary_acts!$E$2:$E$771,"other Commission/Council act")</f>
        <v>0</v>
      </c>
      <c r="AI108" s="2" t="n">
        <f aca="false">COUNTIFS(secondary_acts!$A$2:$A$771,$A108,secondary_acts!$E$2:$E$771,"guidance")</f>
        <v>0</v>
      </c>
      <c r="AJ108" s="2" t="n">
        <f aca="false">COUNTIF(guidance_web!$A$2:$A$7,$A108)</f>
        <v>0</v>
      </c>
      <c r="AK108" s="3" t="n">
        <f aca="false">SUMIFS(secondary_acts!$S$2:$S$771,secondary_acts!$A$2:$A$771,$A108,secondary_acts!$E$2:$E$771,"implementing")+SUMIFS(secondary_acts!$S$2:$S$771,secondary_acts!$A$2:$A$771,$A108,secondary_acts!$E$2:$E$771,"delegated")</f>
        <v>0</v>
      </c>
      <c r="AL108" s="3"/>
      <c r="AM108" s="2"/>
      <c r="AN108" s="2"/>
    </row>
    <row r="109" customFormat="false" ht="15" hidden="false" customHeight="false" outlineLevel="0" collapsed="false">
      <c r="A109" s="2" t="n">
        <v>108</v>
      </c>
      <c r="B109" s="2" t="s">
        <v>655</v>
      </c>
      <c r="C109" s="2" t="s">
        <v>656</v>
      </c>
      <c r="D109" s="2" t="s">
        <v>657</v>
      </c>
      <c r="E109" s="2" t="s">
        <v>84</v>
      </c>
      <c r="F109" s="2" t="s">
        <v>44</v>
      </c>
      <c r="G109" s="2" t="s">
        <v>44</v>
      </c>
      <c r="H109" s="2" t="s">
        <v>658</v>
      </c>
      <c r="I109" s="2" t="s">
        <v>46</v>
      </c>
      <c r="J109" s="2" t="s">
        <v>659</v>
      </c>
      <c r="K109" s="3" t="n">
        <v>22</v>
      </c>
      <c r="L109" s="3" t="n">
        <v>12297</v>
      </c>
      <c r="M109" s="3" t="n">
        <v>5610</v>
      </c>
      <c r="N109" s="3" t="n">
        <v>5434</v>
      </c>
      <c r="O109" s="3" t="n">
        <v>5609</v>
      </c>
      <c r="P109" s="3" t="n">
        <v>1078</v>
      </c>
      <c r="Q109" s="3" t="n">
        <v>0</v>
      </c>
      <c r="R109" s="3" t="n">
        <v>0</v>
      </c>
      <c r="S109" s="3" t="n">
        <v>77</v>
      </c>
      <c r="T109" s="3" t="n">
        <v>70</v>
      </c>
      <c r="U109" s="3" t="n">
        <v>6</v>
      </c>
      <c r="V109" s="3" t="n">
        <v>0</v>
      </c>
      <c r="W109" s="3" t="n">
        <v>0</v>
      </c>
      <c r="X109" s="3" t="n">
        <v>1</v>
      </c>
      <c r="Y109" s="3" t="n">
        <v>10</v>
      </c>
      <c r="Z109" s="3" t="n">
        <v>19</v>
      </c>
      <c r="AA109" s="3" t="n">
        <v>30</v>
      </c>
      <c r="AB109" s="3" t="n">
        <v>18</v>
      </c>
      <c r="AC109" s="2" t="s">
        <v>660</v>
      </c>
      <c r="AD109" s="3" t="n">
        <v>77</v>
      </c>
      <c r="AE109" s="2" t="n">
        <v>10</v>
      </c>
      <c r="AF109" s="2" t="n">
        <f aca="false">COUNTIFS(secondary_acts!$A$2:$A$771,$A109,secondary_acts!$E$2:$E$771,"implementing")</f>
        <v>189</v>
      </c>
      <c r="AG109" s="2" t="n">
        <f aca="false">COUNTIFS(secondary_acts!$A$2:$A$771,$A109,secondary_acts!$E$2:$E$771,"delegated")</f>
        <v>0</v>
      </c>
      <c r="AH109" s="2" t="n">
        <f aca="false">COUNTIFS(secondary_acts!$A$2:$A$771,$A109,secondary_acts!$E$2:$E$771,"other Commission/Council act")</f>
        <v>0</v>
      </c>
      <c r="AI109" s="2" t="n">
        <f aca="false">COUNTIFS(secondary_acts!$A$2:$A$771,$A109,secondary_acts!$E$2:$E$771,"guidance")</f>
        <v>0</v>
      </c>
      <c r="AJ109" s="2" t="n">
        <f aca="false">COUNTIF(guidance_web!$A$2:$A$7,$A109)</f>
        <v>0</v>
      </c>
      <c r="AK109" s="3" t="n">
        <f aca="false">SUMIFS(secondary_acts!$S$2:$S$771,secondary_acts!$A$2:$A$771,$A109,secondary_acts!$E$2:$E$771,"implementing")+SUMIFS(secondary_acts!$S$2:$S$771,secondary_acts!$A$2:$A$771,$A109,secondary_acts!$E$2:$E$771,"delegated")</f>
        <v>78</v>
      </c>
      <c r="AL109" s="3"/>
      <c r="AM109" s="2"/>
      <c r="AN109" s="2"/>
    </row>
    <row r="110" customFormat="false" ht="15" hidden="false" customHeight="false" outlineLevel="0" collapsed="false">
      <c r="A110" s="2" t="n">
        <v>109</v>
      </c>
      <c r="B110" s="2" t="s">
        <v>661</v>
      </c>
      <c r="C110" s="2" t="s">
        <v>662</v>
      </c>
      <c r="D110" s="2" t="s">
        <v>663</v>
      </c>
      <c r="E110" s="2" t="s">
        <v>84</v>
      </c>
      <c r="F110" s="2" t="s">
        <v>44</v>
      </c>
      <c r="G110" s="2" t="s">
        <v>44</v>
      </c>
      <c r="H110" s="2" t="s">
        <v>664</v>
      </c>
      <c r="I110" s="2" t="s">
        <v>46</v>
      </c>
      <c r="J110" s="2" t="s">
        <v>665</v>
      </c>
      <c r="K110" s="3" t="n">
        <v>28</v>
      </c>
      <c r="L110" s="3" t="n">
        <v>14216</v>
      </c>
      <c r="M110" s="3" t="n">
        <v>3466</v>
      </c>
      <c r="N110" s="3" t="n">
        <v>3348</v>
      </c>
      <c r="O110" s="3" t="n">
        <v>8270</v>
      </c>
      <c r="P110" s="3" t="n">
        <v>2480</v>
      </c>
      <c r="Q110" s="3" t="n">
        <v>0</v>
      </c>
      <c r="R110" s="3" t="n">
        <v>0</v>
      </c>
      <c r="S110" s="3" t="n">
        <v>243</v>
      </c>
      <c r="T110" s="3" t="n">
        <v>207</v>
      </c>
      <c r="U110" s="3" t="n">
        <v>15</v>
      </c>
      <c r="V110" s="3" t="n">
        <v>3</v>
      </c>
      <c r="W110" s="3" t="n">
        <v>0</v>
      </c>
      <c r="X110" s="3" t="n">
        <v>18</v>
      </c>
      <c r="Y110" s="3" t="n">
        <v>98</v>
      </c>
      <c r="Z110" s="3" t="n">
        <v>52</v>
      </c>
      <c r="AA110" s="3" t="n">
        <v>20</v>
      </c>
      <c r="AB110" s="3" t="n">
        <v>73</v>
      </c>
      <c r="AC110" s="2" t="s">
        <v>666</v>
      </c>
      <c r="AD110" s="3" t="n">
        <v>258</v>
      </c>
      <c r="AE110" s="2" t="n">
        <v>98</v>
      </c>
      <c r="AF110" s="2" t="n">
        <f aca="false">COUNTIFS(secondary_acts!$A$2:$A$771,$A110,secondary_acts!$E$2:$E$771,"implementing")</f>
        <v>0</v>
      </c>
      <c r="AG110" s="2" t="n">
        <f aca="false">COUNTIFS(secondary_acts!$A$2:$A$771,$A110,secondary_acts!$E$2:$E$771,"delegated")</f>
        <v>0</v>
      </c>
      <c r="AH110" s="2" t="n">
        <f aca="false">COUNTIFS(secondary_acts!$A$2:$A$771,$A110,secondary_acts!$E$2:$E$771,"other Commission/Council act")</f>
        <v>0</v>
      </c>
      <c r="AI110" s="2" t="n">
        <f aca="false">COUNTIFS(secondary_acts!$A$2:$A$771,$A110,secondary_acts!$E$2:$E$771,"guidance")</f>
        <v>0</v>
      </c>
      <c r="AJ110" s="2" t="n">
        <f aca="false">COUNTIF(guidance_web!$A$2:$A$7,$A110)</f>
        <v>0</v>
      </c>
      <c r="AK110" s="3" t="n">
        <f aca="false">SUMIFS(secondary_acts!$S$2:$S$771,secondary_acts!$A$2:$A$771,$A110,secondary_acts!$E$2:$E$771,"implementing")+SUMIFS(secondary_acts!$S$2:$S$771,secondary_acts!$A$2:$A$771,$A110,secondary_acts!$E$2:$E$771,"delegated")</f>
        <v>0</v>
      </c>
      <c r="AL110" s="3" t="n">
        <v>595</v>
      </c>
      <c r="AM110" s="2" t="n">
        <v>27</v>
      </c>
      <c r="AN110" s="2"/>
    </row>
    <row r="111" customFormat="false" ht="15" hidden="false" customHeight="false" outlineLevel="0" collapsed="false">
      <c r="A111" s="2" t="n">
        <v>110</v>
      </c>
      <c r="B111" s="2" t="s">
        <v>667</v>
      </c>
      <c r="C111" s="2" t="s">
        <v>668</v>
      </c>
      <c r="D111" s="2" t="s">
        <v>669</v>
      </c>
      <c r="E111" s="2" t="s">
        <v>84</v>
      </c>
      <c r="F111" s="2" t="s">
        <v>44</v>
      </c>
      <c r="G111" s="2" t="s">
        <v>44</v>
      </c>
      <c r="H111" s="2" t="s">
        <v>670</v>
      </c>
      <c r="I111" s="2" t="s">
        <v>46</v>
      </c>
      <c r="J111" s="2" t="s">
        <v>671</v>
      </c>
      <c r="K111" s="3" t="n">
        <v>45</v>
      </c>
      <c r="L111" s="3" t="n">
        <v>20009</v>
      </c>
      <c r="M111" s="3" t="n">
        <v>5171</v>
      </c>
      <c r="N111" s="3" t="n">
        <v>5042</v>
      </c>
      <c r="O111" s="3" t="n">
        <v>10906</v>
      </c>
      <c r="P111" s="3" t="n">
        <v>3932</v>
      </c>
      <c r="Q111" s="3" t="n">
        <v>0</v>
      </c>
      <c r="R111" s="3" t="n">
        <v>0</v>
      </c>
      <c r="S111" s="3" t="n">
        <v>335</v>
      </c>
      <c r="T111" s="3" t="n">
        <v>294</v>
      </c>
      <c r="U111" s="3" t="n">
        <v>14</v>
      </c>
      <c r="V111" s="3" t="n">
        <v>4</v>
      </c>
      <c r="W111" s="3" t="n">
        <v>0</v>
      </c>
      <c r="X111" s="3" t="n">
        <v>23</v>
      </c>
      <c r="Y111" s="3" t="n">
        <v>138</v>
      </c>
      <c r="Z111" s="3" t="n">
        <v>52</v>
      </c>
      <c r="AA111" s="3" t="n">
        <v>44</v>
      </c>
      <c r="AB111" s="3" t="n">
        <v>101</v>
      </c>
      <c r="AC111" s="2" t="s">
        <v>672</v>
      </c>
      <c r="AD111" s="3" t="n">
        <v>408</v>
      </c>
      <c r="AE111" s="2" t="n">
        <v>152</v>
      </c>
      <c r="AF111" s="2" t="n">
        <f aca="false">COUNTIFS(secondary_acts!$A$2:$A$771,$A111,secondary_acts!$E$2:$E$771,"implementing")</f>
        <v>2</v>
      </c>
      <c r="AG111" s="2" t="n">
        <f aca="false">COUNTIFS(secondary_acts!$A$2:$A$771,$A111,secondary_acts!$E$2:$E$771,"delegated")</f>
        <v>5</v>
      </c>
      <c r="AH111" s="2" t="n">
        <f aca="false">COUNTIFS(secondary_acts!$A$2:$A$771,$A111,secondary_acts!$E$2:$E$771,"other Commission/Council act")</f>
        <v>0</v>
      </c>
      <c r="AI111" s="2" t="n">
        <f aca="false">COUNTIFS(secondary_acts!$A$2:$A$771,$A111,secondary_acts!$E$2:$E$771,"guidance")</f>
        <v>0</v>
      </c>
      <c r="AJ111" s="2" t="n">
        <f aca="false">COUNTIF(guidance_web!$A$2:$A$7,$A111)</f>
        <v>0</v>
      </c>
      <c r="AK111" s="3" t="n">
        <f aca="false">SUMIFS(secondary_acts!$S$2:$S$771,secondary_acts!$A$2:$A$771,$A111,secondary_acts!$E$2:$E$771,"implementing")+SUMIFS(secondary_acts!$S$2:$S$771,secondary_acts!$A$2:$A$771,$A111,secondary_acts!$E$2:$E$771,"delegated")</f>
        <v>6</v>
      </c>
      <c r="AL111" s="3" t="n">
        <v>1512</v>
      </c>
      <c r="AM111" s="2" t="n">
        <v>28</v>
      </c>
      <c r="AN111" s="2"/>
    </row>
    <row r="112" customFormat="false" ht="15" hidden="false" customHeight="false" outlineLevel="0" collapsed="false">
      <c r="A112" s="2" t="n">
        <v>111</v>
      </c>
      <c r="B112" s="2" t="s">
        <v>673</v>
      </c>
      <c r="C112" s="2" t="s">
        <v>674</v>
      </c>
      <c r="D112" s="2" t="s">
        <v>675</v>
      </c>
      <c r="E112" s="2" t="s">
        <v>84</v>
      </c>
      <c r="F112" s="2" t="s">
        <v>44</v>
      </c>
      <c r="G112" s="2" t="s">
        <v>44</v>
      </c>
      <c r="H112" s="2" t="s">
        <v>676</v>
      </c>
      <c r="I112" s="2" t="s">
        <v>46</v>
      </c>
      <c r="J112" s="2" t="s">
        <v>677</v>
      </c>
      <c r="K112" s="3" t="n">
        <v>11</v>
      </c>
      <c r="L112" s="3" t="n">
        <v>6167</v>
      </c>
      <c r="M112" s="3" t="n">
        <v>4218</v>
      </c>
      <c r="N112" s="3" t="n">
        <v>4097</v>
      </c>
      <c r="O112" s="3" t="n">
        <v>1949</v>
      </c>
      <c r="P112" s="3" t="n">
        <v>0</v>
      </c>
      <c r="Q112" s="3" t="n">
        <v>0</v>
      </c>
      <c r="R112" s="3" t="n">
        <v>0</v>
      </c>
      <c r="S112" s="3" t="n">
        <v>35</v>
      </c>
      <c r="T112" s="3" t="n">
        <v>31</v>
      </c>
      <c r="U112" s="3" t="n">
        <v>0</v>
      </c>
      <c r="V112" s="3" t="n">
        <v>1</v>
      </c>
      <c r="W112" s="3" t="n">
        <v>0</v>
      </c>
      <c r="X112" s="3" t="n">
        <v>3</v>
      </c>
      <c r="Y112" s="3" t="n">
        <v>2</v>
      </c>
      <c r="Z112" s="3" t="n">
        <v>6</v>
      </c>
      <c r="AA112" s="3" t="n">
        <v>19</v>
      </c>
      <c r="AB112" s="3" t="n">
        <v>8</v>
      </c>
      <c r="AC112" s="2" t="s">
        <v>678</v>
      </c>
      <c r="AD112" s="3" t="n">
        <v>35</v>
      </c>
      <c r="AE112" s="2" t="n">
        <v>2</v>
      </c>
      <c r="AF112" s="2" t="n">
        <f aca="false">COUNTIFS(secondary_acts!$A$2:$A$771,$A112,secondary_acts!$E$2:$E$771,"implementing")</f>
        <v>1</v>
      </c>
      <c r="AG112" s="2" t="n">
        <f aca="false">COUNTIFS(secondary_acts!$A$2:$A$771,$A112,secondary_acts!$E$2:$E$771,"delegated")</f>
        <v>0</v>
      </c>
      <c r="AH112" s="2" t="n">
        <f aca="false">COUNTIFS(secondary_acts!$A$2:$A$771,$A112,secondary_acts!$E$2:$E$771,"other Commission/Council act")</f>
        <v>0</v>
      </c>
      <c r="AI112" s="2" t="n">
        <f aca="false">COUNTIFS(secondary_acts!$A$2:$A$771,$A112,secondary_acts!$E$2:$E$771,"guidance")</f>
        <v>0</v>
      </c>
      <c r="AJ112" s="2" t="n">
        <f aca="false">COUNTIF(guidance_web!$A$2:$A$7,$A112)</f>
        <v>0</v>
      </c>
      <c r="AK112" s="3" t="n">
        <f aca="false">SUMIFS(secondary_acts!$S$2:$S$771,secondary_acts!$A$2:$A$771,$A112,secondary_acts!$E$2:$E$771,"implementing")+SUMIFS(secondary_acts!$S$2:$S$771,secondary_acts!$A$2:$A$771,$A112,secondary_acts!$E$2:$E$771,"delegated")</f>
        <v>0</v>
      </c>
      <c r="AL112" s="3" t="n">
        <v>203</v>
      </c>
      <c r="AM112" s="2" t="n">
        <v>28</v>
      </c>
      <c r="AN112" s="2" t="s">
        <v>62</v>
      </c>
    </row>
    <row r="113" customFormat="false" ht="15" hidden="false" customHeight="false" outlineLevel="0" collapsed="false">
      <c r="A113" s="2" t="n">
        <v>112</v>
      </c>
      <c r="B113" s="2" t="s">
        <v>679</v>
      </c>
      <c r="C113" s="2" t="s">
        <v>680</v>
      </c>
      <c r="D113" s="2" t="s">
        <v>203</v>
      </c>
      <c r="E113" s="2" t="s">
        <v>84</v>
      </c>
      <c r="F113" s="2" t="s">
        <v>44</v>
      </c>
      <c r="G113" s="2" t="s">
        <v>44</v>
      </c>
      <c r="H113" s="2" t="s">
        <v>681</v>
      </c>
      <c r="I113" s="2" t="s">
        <v>46</v>
      </c>
      <c r="J113" s="2" t="s">
        <v>682</v>
      </c>
      <c r="K113" s="3" t="n">
        <v>11</v>
      </c>
      <c r="L113" s="3" t="n">
        <v>7424</v>
      </c>
      <c r="M113" s="3" t="n">
        <v>5289</v>
      </c>
      <c r="N113" s="3" t="n">
        <v>5163</v>
      </c>
      <c r="O113" s="3" t="n">
        <v>2135</v>
      </c>
      <c r="P113" s="3" t="n">
        <v>0</v>
      </c>
      <c r="Q113" s="3" t="n">
        <v>0</v>
      </c>
      <c r="R113" s="3" t="n">
        <v>0</v>
      </c>
      <c r="S113" s="3" t="n">
        <v>27</v>
      </c>
      <c r="T113" s="3" t="n">
        <v>18</v>
      </c>
      <c r="U113" s="3" t="n">
        <v>7</v>
      </c>
      <c r="V113" s="3" t="n">
        <v>1</v>
      </c>
      <c r="W113" s="3" t="n">
        <v>0</v>
      </c>
      <c r="X113" s="3" t="n">
        <v>1</v>
      </c>
      <c r="Y113" s="3" t="n">
        <v>13</v>
      </c>
      <c r="Z113" s="3" t="n">
        <v>2</v>
      </c>
      <c r="AA113" s="3" t="n">
        <v>2</v>
      </c>
      <c r="AB113" s="3" t="n">
        <v>10</v>
      </c>
      <c r="AC113" s="2" t="s">
        <v>683</v>
      </c>
      <c r="AD113" s="3" t="n">
        <v>27</v>
      </c>
      <c r="AE113" s="2" t="n">
        <v>13</v>
      </c>
      <c r="AF113" s="2" t="n">
        <f aca="false">COUNTIFS(secondary_acts!$A$2:$A$771,$A113,secondary_acts!$E$2:$E$771,"implementing")</f>
        <v>0</v>
      </c>
      <c r="AG113" s="2" t="n">
        <f aca="false">COUNTIFS(secondary_acts!$A$2:$A$771,$A113,secondary_acts!$E$2:$E$771,"delegated")</f>
        <v>0</v>
      </c>
      <c r="AH113" s="2" t="n">
        <f aca="false">COUNTIFS(secondary_acts!$A$2:$A$771,$A113,secondary_acts!$E$2:$E$771,"other Commission/Council act")</f>
        <v>0</v>
      </c>
      <c r="AI113" s="2" t="n">
        <f aca="false">COUNTIFS(secondary_acts!$A$2:$A$771,$A113,secondary_acts!$E$2:$E$771,"guidance")</f>
        <v>0</v>
      </c>
      <c r="AJ113" s="2" t="n">
        <f aca="false">COUNTIF(guidance_web!$A$2:$A$7,$A113)</f>
        <v>0</v>
      </c>
      <c r="AK113" s="3" t="n">
        <f aca="false">SUMIFS(secondary_acts!$S$2:$S$771,secondary_acts!$A$2:$A$771,$A113,secondary_acts!$E$2:$E$771,"implementing")+SUMIFS(secondary_acts!$S$2:$S$771,secondary_acts!$A$2:$A$771,$A113,secondary_acts!$E$2:$E$771,"delegated")</f>
        <v>0</v>
      </c>
      <c r="AL113" s="3"/>
      <c r="AM113" s="2"/>
      <c r="AN113" s="2"/>
    </row>
    <row r="114" customFormat="false" ht="15" hidden="false" customHeight="false" outlineLevel="0" collapsed="false">
      <c r="A114" s="2" t="n">
        <v>113</v>
      </c>
      <c r="B114" s="2" t="s">
        <v>684</v>
      </c>
      <c r="C114" s="2" t="s">
        <v>685</v>
      </c>
      <c r="D114" s="2" t="s">
        <v>686</v>
      </c>
      <c r="E114" s="2" t="s">
        <v>84</v>
      </c>
      <c r="F114" s="2" t="s">
        <v>44</v>
      </c>
      <c r="G114" s="2" t="s">
        <v>44</v>
      </c>
      <c r="H114" s="2" t="s">
        <v>687</v>
      </c>
      <c r="I114" s="2" t="s">
        <v>46</v>
      </c>
      <c r="J114" s="2" t="s">
        <v>688</v>
      </c>
      <c r="K114" s="3" t="n">
        <v>11</v>
      </c>
      <c r="L114" s="3" t="n">
        <v>5749</v>
      </c>
      <c r="M114" s="3" t="n">
        <v>2205</v>
      </c>
      <c r="N114" s="3" t="n">
        <v>2067</v>
      </c>
      <c r="O114" s="3" t="n">
        <v>3544</v>
      </c>
      <c r="P114" s="3" t="n">
        <v>0</v>
      </c>
      <c r="Q114" s="3" t="n">
        <v>0</v>
      </c>
      <c r="R114" s="3" t="n">
        <v>0</v>
      </c>
      <c r="S114" s="3" t="n">
        <v>54</v>
      </c>
      <c r="T114" s="3" t="n">
        <v>52</v>
      </c>
      <c r="U114" s="3" t="n">
        <v>2</v>
      </c>
      <c r="V114" s="3" t="n">
        <v>0</v>
      </c>
      <c r="W114" s="3" t="n">
        <v>0</v>
      </c>
      <c r="X114" s="3" t="n">
        <v>0</v>
      </c>
      <c r="Y114" s="3" t="n">
        <v>15</v>
      </c>
      <c r="Z114" s="3" t="n">
        <v>1</v>
      </c>
      <c r="AA114" s="3" t="n">
        <v>25</v>
      </c>
      <c r="AB114" s="3" t="n">
        <v>13</v>
      </c>
      <c r="AC114" s="2" t="s">
        <v>689</v>
      </c>
      <c r="AD114" s="3" t="n">
        <v>54</v>
      </c>
      <c r="AE114" s="2" t="n">
        <v>15</v>
      </c>
      <c r="AF114" s="2" t="n">
        <f aca="false">COUNTIFS(secondary_acts!$A$2:$A$771,$A114,secondary_acts!$E$2:$E$771,"implementing")</f>
        <v>3</v>
      </c>
      <c r="AG114" s="2" t="n">
        <f aca="false">COUNTIFS(secondary_acts!$A$2:$A$771,$A114,secondary_acts!$E$2:$E$771,"delegated")</f>
        <v>1</v>
      </c>
      <c r="AH114" s="2" t="n">
        <f aca="false">COUNTIFS(secondary_acts!$A$2:$A$771,$A114,secondary_acts!$E$2:$E$771,"other Commission/Council act")</f>
        <v>0</v>
      </c>
      <c r="AI114" s="2" t="n">
        <f aca="false">COUNTIFS(secondary_acts!$A$2:$A$771,$A114,secondary_acts!$E$2:$E$771,"guidance")</f>
        <v>0</v>
      </c>
      <c r="AJ114" s="2" t="n">
        <f aca="false">COUNTIF(guidance_web!$A$2:$A$7,$A114)</f>
        <v>0</v>
      </c>
      <c r="AK114" s="3" t="n">
        <f aca="false">SUMIFS(secondary_acts!$S$2:$S$771,secondary_acts!$A$2:$A$771,$A114,secondary_acts!$E$2:$E$771,"implementing")+SUMIFS(secondary_acts!$S$2:$S$771,secondary_acts!$A$2:$A$771,$A114,secondary_acts!$E$2:$E$771,"delegated")</f>
        <v>103</v>
      </c>
      <c r="AL114" s="3"/>
      <c r="AM114" s="2"/>
      <c r="AN114" s="2" t="s">
        <v>62</v>
      </c>
    </row>
    <row r="115" customFormat="false" ht="15" hidden="false" customHeight="false" outlineLevel="0" collapsed="false">
      <c r="A115" s="2" t="n">
        <v>114</v>
      </c>
      <c r="B115" s="2" t="s">
        <v>690</v>
      </c>
      <c r="C115" s="2" t="s">
        <v>691</v>
      </c>
      <c r="D115" s="2" t="s">
        <v>692</v>
      </c>
      <c r="E115" s="2" t="s">
        <v>84</v>
      </c>
      <c r="F115" s="2" t="s">
        <v>44</v>
      </c>
      <c r="G115" s="2" t="s">
        <v>44</v>
      </c>
      <c r="H115" s="2" t="s">
        <v>693</v>
      </c>
      <c r="I115" s="2" t="s">
        <v>46</v>
      </c>
      <c r="J115" s="2" t="s">
        <v>694</v>
      </c>
      <c r="K115" s="3" t="n">
        <v>58</v>
      </c>
      <c r="L115" s="3" t="n">
        <v>34635</v>
      </c>
      <c r="M115" s="3" t="n">
        <v>7541</v>
      </c>
      <c r="N115" s="3" t="n">
        <v>7365</v>
      </c>
      <c r="O115" s="3" t="n">
        <v>27094</v>
      </c>
      <c r="P115" s="3" t="n">
        <v>0</v>
      </c>
      <c r="Q115" s="3" t="n">
        <v>0</v>
      </c>
      <c r="R115" s="3" t="n">
        <v>0</v>
      </c>
      <c r="S115" s="3" t="n">
        <v>456</v>
      </c>
      <c r="T115" s="3" t="n">
        <v>415</v>
      </c>
      <c r="U115" s="3" t="n">
        <v>15</v>
      </c>
      <c r="V115" s="3" t="n">
        <v>9</v>
      </c>
      <c r="W115" s="3" t="n">
        <v>1</v>
      </c>
      <c r="X115" s="3" t="n">
        <v>16</v>
      </c>
      <c r="Y115" s="3" t="n">
        <v>25</v>
      </c>
      <c r="Z115" s="3" t="n">
        <v>99</v>
      </c>
      <c r="AA115" s="3" t="n">
        <v>196</v>
      </c>
      <c r="AB115" s="3" t="n">
        <v>136</v>
      </c>
      <c r="AC115" s="2" t="s">
        <v>695</v>
      </c>
      <c r="AD115" s="3" t="n">
        <v>463</v>
      </c>
      <c r="AE115" s="2" t="n">
        <v>25</v>
      </c>
      <c r="AF115" s="2" t="n">
        <f aca="false">COUNTIFS(secondary_acts!$A$2:$A$771,$A115,secondary_acts!$E$2:$E$771,"implementing")</f>
        <v>6</v>
      </c>
      <c r="AG115" s="2" t="n">
        <f aca="false">COUNTIFS(secondary_acts!$A$2:$A$771,$A115,secondary_acts!$E$2:$E$771,"delegated")</f>
        <v>5</v>
      </c>
      <c r="AH115" s="2" t="n">
        <f aca="false">COUNTIFS(secondary_acts!$A$2:$A$771,$A115,secondary_acts!$E$2:$E$771,"other Commission/Council act")</f>
        <v>0</v>
      </c>
      <c r="AI115" s="2" t="n">
        <f aca="false">COUNTIFS(secondary_acts!$A$2:$A$771,$A115,secondary_acts!$E$2:$E$771,"guidance")</f>
        <v>0</v>
      </c>
      <c r="AJ115" s="2" t="n">
        <f aca="false">COUNTIF(guidance_web!$A$2:$A$7,$A115)</f>
        <v>0</v>
      </c>
      <c r="AK115" s="3" t="n">
        <f aca="false">SUMIFS(secondary_acts!$S$2:$S$771,secondary_acts!$A$2:$A$771,$A115,secondary_acts!$E$2:$E$771,"implementing")+SUMIFS(secondary_acts!$S$2:$S$771,secondary_acts!$A$2:$A$771,$A115,secondary_acts!$E$2:$E$771,"delegated")</f>
        <v>175</v>
      </c>
      <c r="AL115" s="3"/>
      <c r="AM115" s="2"/>
      <c r="AN115" s="2"/>
    </row>
    <row r="116" customFormat="false" ht="15" hidden="false" customHeight="false" outlineLevel="0" collapsed="false">
      <c r="A116" s="2" t="n">
        <v>115</v>
      </c>
      <c r="B116" s="2" t="s">
        <v>696</v>
      </c>
      <c r="C116" s="2" t="s">
        <v>697</v>
      </c>
      <c r="D116" s="2" t="s">
        <v>698</v>
      </c>
      <c r="E116" s="2" t="s">
        <v>84</v>
      </c>
      <c r="F116" s="2" t="s">
        <v>44</v>
      </c>
      <c r="G116" s="2" t="s">
        <v>44</v>
      </c>
      <c r="H116" s="2" t="s">
        <v>699</v>
      </c>
      <c r="I116" s="2" t="s">
        <v>46</v>
      </c>
      <c r="J116" s="2" t="s">
        <v>700</v>
      </c>
      <c r="K116" s="3" t="n">
        <v>19</v>
      </c>
      <c r="L116" s="3" t="n">
        <v>11748</v>
      </c>
      <c r="M116" s="3" t="n">
        <v>6262</v>
      </c>
      <c r="N116" s="3" t="n">
        <v>6129</v>
      </c>
      <c r="O116" s="3" t="n">
        <v>5486</v>
      </c>
      <c r="P116" s="3" t="n">
        <v>0</v>
      </c>
      <c r="Q116" s="3" t="n">
        <v>0</v>
      </c>
      <c r="R116" s="3" t="n">
        <v>0</v>
      </c>
      <c r="S116" s="3" t="n">
        <v>70</v>
      </c>
      <c r="T116" s="3" t="n">
        <v>55</v>
      </c>
      <c r="U116" s="3" t="n">
        <v>2</v>
      </c>
      <c r="V116" s="3" t="n">
        <v>0</v>
      </c>
      <c r="W116" s="3" t="n">
        <v>2</v>
      </c>
      <c r="X116" s="3" t="n">
        <v>11</v>
      </c>
      <c r="Y116" s="3" t="n">
        <v>15</v>
      </c>
      <c r="Z116" s="3" t="n">
        <v>34</v>
      </c>
      <c r="AA116" s="3" t="n">
        <v>10</v>
      </c>
      <c r="AB116" s="3" t="n">
        <v>11</v>
      </c>
      <c r="AC116" s="2"/>
      <c r="AD116" s="3"/>
      <c r="AE116" s="2"/>
      <c r="AF116" s="2" t="n">
        <f aca="false">COUNTIFS(secondary_acts!$A$2:$A$771,$A116,secondary_acts!$E$2:$E$771,"implementing")</f>
        <v>0</v>
      </c>
      <c r="AG116" s="2" t="n">
        <f aca="false">COUNTIFS(secondary_acts!$A$2:$A$771,$A116,secondary_acts!$E$2:$E$771,"delegated")</f>
        <v>0</v>
      </c>
      <c r="AH116" s="2" t="n">
        <f aca="false">COUNTIFS(secondary_acts!$A$2:$A$771,$A116,secondary_acts!$E$2:$E$771,"other Commission/Council act")</f>
        <v>0</v>
      </c>
      <c r="AI116" s="2" t="n">
        <f aca="false">COUNTIFS(secondary_acts!$A$2:$A$771,$A116,secondary_acts!$E$2:$E$771,"guidance")</f>
        <v>0</v>
      </c>
      <c r="AJ116" s="2" t="n">
        <f aca="false">COUNTIF(guidance_web!$A$2:$A$7,$A116)</f>
        <v>0</v>
      </c>
      <c r="AK116" s="3" t="n">
        <f aca="false">SUMIFS(secondary_acts!$S$2:$S$771,secondary_acts!$A$2:$A$771,$A116,secondary_acts!$E$2:$E$771,"implementing")+SUMIFS(secondary_acts!$S$2:$S$771,secondary_acts!$A$2:$A$771,$A116,secondary_acts!$E$2:$E$771,"delegated")</f>
        <v>0</v>
      </c>
      <c r="AL116" s="3"/>
      <c r="AM116" s="2"/>
      <c r="AN116" s="2"/>
    </row>
    <row r="117" customFormat="false" ht="15" hidden="false" customHeight="false" outlineLevel="0" collapsed="false">
      <c r="A117" s="4"/>
      <c r="B117" s="4" t="s">
        <v>701</v>
      </c>
      <c r="C117" s="4"/>
      <c r="D117" s="4"/>
      <c r="E117" s="4"/>
      <c r="F117" s="4"/>
      <c r="G117" s="4"/>
      <c r="H117" s="4"/>
      <c r="I117" s="4"/>
      <c r="J117" s="4"/>
      <c r="K117" s="5" t="n">
        <f aca="false">SUM(K2:K116)</f>
        <v>5434</v>
      </c>
      <c r="L117" s="5" t="n">
        <f aca="false">SUM(L2:L116)</f>
        <v>2781203</v>
      </c>
      <c r="M117" s="5" t="n">
        <f aca="false">SUM(M2:M116)</f>
        <v>1050873</v>
      </c>
      <c r="N117" s="5" t="n">
        <f aca="false">SUM(N2:N116)</f>
        <v>1035605</v>
      </c>
      <c r="O117" s="5" t="n">
        <f aca="false">SUM(O2:O116)</f>
        <v>1500627</v>
      </c>
      <c r="P117" s="5" t="n">
        <f aca="false">SUM(P2:P116)</f>
        <v>229703</v>
      </c>
      <c r="Q117" s="5" t="n">
        <f aca="false">SUM(Q2:Q116)</f>
        <v>62630</v>
      </c>
      <c r="R117" s="5" t="n">
        <f aca="false">SUM(R2:R116)</f>
        <v>28904</v>
      </c>
      <c r="S117" s="5" t="n">
        <f aca="false">SUM(S2:S116)</f>
        <v>24705</v>
      </c>
      <c r="T117" s="5" t="n">
        <f aca="false">SUM(T2:T116)</f>
        <v>21159</v>
      </c>
      <c r="U117" s="5" t="n">
        <f aca="false">SUM(U2:U116)</f>
        <v>1597</v>
      </c>
      <c r="V117" s="5" t="n">
        <f aca="false">SUM(V2:V116)</f>
        <v>247</v>
      </c>
      <c r="W117" s="5" t="n">
        <f aca="false">SUM(W2:W116)</f>
        <v>236</v>
      </c>
      <c r="X117" s="5" t="n">
        <f aca="false">SUM(X2:X116)</f>
        <v>1466</v>
      </c>
      <c r="Y117" s="5" t="n">
        <f aca="false">SUM(Y2:Y116)</f>
        <v>5434</v>
      </c>
      <c r="Z117" s="5" t="n">
        <f aca="false">SUM(Z2:Z116)</f>
        <v>5616</v>
      </c>
      <c r="AA117" s="5" t="n">
        <f aca="false">SUM(AA2:AA116)</f>
        <v>6122</v>
      </c>
      <c r="AB117" s="5" t="n">
        <f aca="false">SUM(AB2:AB116)</f>
        <v>7533</v>
      </c>
      <c r="AC117" s="4"/>
      <c r="AD117" s="5" t="n">
        <f aca="false">SUM(AD2:AD116)</f>
        <v>22236</v>
      </c>
      <c r="AE117" s="4" t="n">
        <f aca="false">SUM(AE2:AE116)</f>
        <v>4977</v>
      </c>
      <c r="AF117" s="4" t="n">
        <f aca="false">SUM(AF2:AF116)</f>
        <v>605</v>
      </c>
      <c r="AG117" s="4" t="n">
        <f aca="false">SUM(AG2:AG116)</f>
        <v>85</v>
      </c>
      <c r="AH117" s="4" t="n">
        <f aca="false">SUM(AH2:AH116)</f>
        <v>28</v>
      </c>
      <c r="AI117" s="4" t="n">
        <f aca="false">SUM(AI2:AI116)</f>
        <v>52</v>
      </c>
      <c r="AJ117" s="4" t="n">
        <f aca="false">SUM(AJ2:AJ116)</f>
        <v>6</v>
      </c>
      <c r="AK117" s="5" t="n">
        <f aca="false">SUM(AK2:AK116)</f>
        <v>11229</v>
      </c>
      <c r="AL117" s="5" t="n">
        <f aca="false">SUM(AL2:AL116)</f>
        <v>48158</v>
      </c>
      <c r="AM117" s="4"/>
      <c r="AN117" s="4"/>
    </row>
  </sheetData>
  <autoFilter ref="A1:AN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702</v>
      </c>
      <c r="B1" s="1" t="s">
        <v>703</v>
      </c>
      <c r="C1" s="1" t="s">
        <v>704</v>
      </c>
      <c r="D1" s="1" t="s">
        <v>705</v>
      </c>
      <c r="E1" s="1" t="s">
        <v>706</v>
      </c>
      <c r="F1" s="1" t="s">
        <v>707</v>
      </c>
      <c r="G1" s="1" t="s">
        <v>708</v>
      </c>
      <c r="H1" s="1" t="s">
        <v>709</v>
      </c>
      <c r="I1" s="1" t="s">
        <v>710</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39</v>
      </c>
    </row>
    <row r="2" customFormat="false" ht="15" hidden="false" customHeight="false" outlineLevel="0" collapsed="false">
      <c r="A2" s="2" t="n">
        <v>2</v>
      </c>
      <c r="B2" s="2" t="s">
        <v>49</v>
      </c>
      <c r="C2" s="2" t="s">
        <v>53</v>
      </c>
      <c r="D2" s="2" t="s">
        <v>711</v>
      </c>
      <c r="E2" s="2" t="s">
        <v>712</v>
      </c>
      <c r="F2" s="2" t="s">
        <v>713</v>
      </c>
      <c r="G2" s="2" t="s">
        <v>714</v>
      </c>
      <c r="H2" s="2" t="s">
        <v>715</v>
      </c>
      <c r="I2" s="2" t="s">
        <v>716</v>
      </c>
      <c r="J2" s="2" t="s">
        <v>717</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718</v>
      </c>
    </row>
    <row r="3" customFormat="false" ht="15" hidden="false" customHeight="false" outlineLevel="0" collapsed="false">
      <c r="A3" s="2" t="n">
        <v>5</v>
      </c>
      <c r="B3" s="2" t="s">
        <v>69</v>
      </c>
      <c r="C3" s="2" t="s">
        <v>72</v>
      </c>
      <c r="D3" s="2" t="s">
        <v>719</v>
      </c>
      <c r="E3" s="2" t="s">
        <v>720</v>
      </c>
      <c r="F3" s="2" t="s">
        <v>721</v>
      </c>
      <c r="G3" s="2" t="s">
        <v>722</v>
      </c>
      <c r="H3" s="2" t="s">
        <v>723</v>
      </c>
      <c r="I3" s="2" t="s">
        <v>716</v>
      </c>
      <c r="J3" s="2" t="s">
        <v>724</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69</v>
      </c>
      <c r="C4" s="2" t="s">
        <v>72</v>
      </c>
      <c r="D4" s="2" t="s">
        <v>725</v>
      </c>
      <c r="E4" s="2" t="s">
        <v>720</v>
      </c>
      <c r="F4" s="2" t="s">
        <v>721</v>
      </c>
      <c r="G4" s="2" t="s">
        <v>726</v>
      </c>
      <c r="H4" s="2" t="s">
        <v>727</v>
      </c>
      <c r="I4" s="2" t="s">
        <v>716</v>
      </c>
      <c r="J4" s="2" t="s">
        <v>728</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69</v>
      </c>
      <c r="C5" s="2" t="s">
        <v>72</v>
      </c>
      <c r="D5" s="2" t="s">
        <v>729</v>
      </c>
      <c r="E5" s="2" t="s">
        <v>720</v>
      </c>
      <c r="F5" s="2" t="s">
        <v>721</v>
      </c>
      <c r="G5" s="2" t="s">
        <v>730</v>
      </c>
      <c r="H5" s="2" t="s">
        <v>731</v>
      </c>
      <c r="I5" s="2" t="s">
        <v>716</v>
      </c>
      <c r="J5" s="2" t="s">
        <v>732</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69</v>
      </c>
      <c r="C6" s="2" t="s">
        <v>72</v>
      </c>
      <c r="D6" s="2" t="s">
        <v>733</v>
      </c>
      <c r="E6" s="2" t="s">
        <v>720</v>
      </c>
      <c r="F6" s="2" t="s">
        <v>721</v>
      </c>
      <c r="G6" s="2" t="s">
        <v>730</v>
      </c>
      <c r="H6" s="2" t="s">
        <v>734</v>
      </c>
      <c r="I6" s="2" t="s">
        <v>716</v>
      </c>
      <c r="J6" s="2" t="s">
        <v>735</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69</v>
      </c>
      <c r="C7" s="2" t="s">
        <v>72</v>
      </c>
      <c r="D7" s="2" t="s">
        <v>736</v>
      </c>
      <c r="E7" s="2" t="s">
        <v>737</v>
      </c>
      <c r="F7" s="2" t="s">
        <v>738</v>
      </c>
      <c r="G7" s="2" t="s">
        <v>739</v>
      </c>
      <c r="H7" s="2" t="s">
        <v>740</v>
      </c>
      <c r="I7" s="2" t="s">
        <v>716</v>
      </c>
      <c r="J7" s="2" t="s">
        <v>741</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69</v>
      </c>
      <c r="C8" s="2" t="s">
        <v>72</v>
      </c>
      <c r="D8" s="2" t="s">
        <v>742</v>
      </c>
      <c r="E8" s="2" t="s">
        <v>743</v>
      </c>
      <c r="F8" s="2" t="s">
        <v>744</v>
      </c>
      <c r="G8" s="2" t="s">
        <v>745</v>
      </c>
      <c r="H8" s="2" t="s">
        <v>746</v>
      </c>
      <c r="I8" s="2" t="s">
        <v>716</v>
      </c>
      <c r="J8" s="2" t="s">
        <v>747</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69</v>
      </c>
      <c r="C9" s="2" t="s">
        <v>72</v>
      </c>
      <c r="D9" s="2" t="s">
        <v>748</v>
      </c>
      <c r="E9" s="2" t="s">
        <v>737</v>
      </c>
      <c r="F9" s="2" t="s">
        <v>738</v>
      </c>
      <c r="G9" s="2" t="s">
        <v>745</v>
      </c>
      <c r="H9" s="2" t="s">
        <v>749</v>
      </c>
      <c r="I9" s="2" t="s">
        <v>716</v>
      </c>
      <c r="J9" s="2" t="s">
        <v>750</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75</v>
      </c>
      <c r="C10" s="2" t="s">
        <v>78</v>
      </c>
      <c r="D10" s="2" t="s">
        <v>751</v>
      </c>
      <c r="E10" s="2" t="s">
        <v>712</v>
      </c>
      <c r="F10" s="2" t="s">
        <v>752</v>
      </c>
      <c r="G10" s="2" t="s">
        <v>753</v>
      </c>
      <c r="H10" s="2" t="s">
        <v>754</v>
      </c>
      <c r="I10" s="2" t="s">
        <v>716</v>
      </c>
      <c r="J10" s="2" t="s">
        <v>755</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718</v>
      </c>
    </row>
    <row r="11" customFormat="false" ht="15" hidden="false" customHeight="false" outlineLevel="0" collapsed="false">
      <c r="A11" s="2" t="n">
        <v>9</v>
      </c>
      <c r="B11" s="2" t="s">
        <v>94</v>
      </c>
      <c r="C11" s="2" t="s">
        <v>97</v>
      </c>
      <c r="D11" s="2" t="s">
        <v>756</v>
      </c>
      <c r="E11" s="2" t="s">
        <v>720</v>
      </c>
      <c r="F11" s="2" t="s">
        <v>721</v>
      </c>
      <c r="G11" s="2" t="s">
        <v>757</v>
      </c>
      <c r="H11" s="2" t="s">
        <v>758</v>
      </c>
      <c r="I11" s="2" t="s">
        <v>716</v>
      </c>
      <c r="J11" s="2" t="s">
        <v>759</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100</v>
      </c>
      <c r="C12" s="2" t="s">
        <v>102</v>
      </c>
      <c r="D12" s="2" t="s">
        <v>760</v>
      </c>
      <c r="E12" s="2" t="s">
        <v>737</v>
      </c>
      <c r="F12" s="2" t="s">
        <v>761</v>
      </c>
      <c r="G12" s="2" t="s">
        <v>762</v>
      </c>
      <c r="H12" s="2" t="s">
        <v>763</v>
      </c>
      <c r="I12" s="2" t="s">
        <v>716</v>
      </c>
      <c r="J12" s="2" t="s">
        <v>764</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100</v>
      </c>
      <c r="C13" s="2" t="s">
        <v>102</v>
      </c>
      <c r="D13" s="2" t="s">
        <v>765</v>
      </c>
      <c r="E13" s="2" t="s">
        <v>737</v>
      </c>
      <c r="F13" s="2" t="s">
        <v>761</v>
      </c>
      <c r="G13" s="2" t="s">
        <v>766</v>
      </c>
      <c r="H13" s="2" t="s">
        <v>767</v>
      </c>
      <c r="I13" s="2" t="s">
        <v>716</v>
      </c>
      <c r="J13" s="2" t="s">
        <v>768</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100</v>
      </c>
      <c r="C14" s="2" t="s">
        <v>102</v>
      </c>
      <c r="D14" s="2" t="s">
        <v>769</v>
      </c>
      <c r="E14" s="2" t="s">
        <v>737</v>
      </c>
      <c r="F14" s="2" t="s">
        <v>761</v>
      </c>
      <c r="G14" s="2" t="s">
        <v>770</v>
      </c>
      <c r="H14" s="2" t="s">
        <v>771</v>
      </c>
      <c r="I14" s="2" t="s">
        <v>716</v>
      </c>
      <c r="J14" s="2" t="s">
        <v>772</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100</v>
      </c>
      <c r="C15" s="2" t="s">
        <v>102</v>
      </c>
      <c r="D15" s="2" t="s">
        <v>773</v>
      </c>
      <c r="E15" s="2" t="s">
        <v>737</v>
      </c>
      <c r="F15" s="2" t="s">
        <v>761</v>
      </c>
      <c r="G15" s="2" t="s">
        <v>774</v>
      </c>
      <c r="H15" s="2" t="s">
        <v>775</v>
      </c>
      <c r="I15" s="2" t="s">
        <v>716</v>
      </c>
      <c r="J15" s="2" t="s">
        <v>776</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100</v>
      </c>
      <c r="C16" s="2" t="s">
        <v>102</v>
      </c>
      <c r="D16" s="2" t="s">
        <v>777</v>
      </c>
      <c r="E16" s="2" t="s">
        <v>737</v>
      </c>
      <c r="F16" s="2" t="s">
        <v>761</v>
      </c>
      <c r="G16" s="2" t="s">
        <v>778</v>
      </c>
      <c r="H16" s="2" t="s">
        <v>779</v>
      </c>
      <c r="I16" s="2" t="s">
        <v>716</v>
      </c>
      <c r="J16" s="2" t="s">
        <v>780</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100</v>
      </c>
      <c r="C17" s="2" t="s">
        <v>102</v>
      </c>
      <c r="D17" s="2" t="s">
        <v>781</v>
      </c>
      <c r="E17" s="2" t="s">
        <v>737</v>
      </c>
      <c r="F17" s="2" t="s">
        <v>761</v>
      </c>
      <c r="G17" s="2" t="s">
        <v>782</v>
      </c>
      <c r="H17" s="2" t="s">
        <v>783</v>
      </c>
      <c r="I17" s="2" t="s">
        <v>716</v>
      </c>
      <c r="J17" s="2" t="s">
        <v>784</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100</v>
      </c>
      <c r="C18" s="2" t="s">
        <v>102</v>
      </c>
      <c r="D18" s="2" t="s">
        <v>785</v>
      </c>
      <c r="E18" s="2" t="s">
        <v>737</v>
      </c>
      <c r="F18" s="2" t="s">
        <v>761</v>
      </c>
      <c r="G18" s="2" t="s">
        <v>786</v>
      </c>
      <c r="H18" s="2" t="s">
        <v>787</v>
      </c>
      <c r="I18" s="2" t="s">
        <v>716</v>
      </c>
      <c r="J18" s="2" t="s">
        <v>788</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100</v>
      </c>
      <c r="C19" s="2" t="s">
        <v>102</v>
      </c>
      <c r="D19" s="2" t="s">
        <v>789</v>
      </c>
      <c r="E19" s="2" t="s">
        <v>737</v>
      </c>
      <c r="F19" s="2" t="s">
        <v>761</v>
      </c>
      <c r="G19" s="2" t="s">
        <v>790</v>
      </c>
      <c r="H19" s="2" t="s">
        <v>791</v>
      </c>
      <c r="I19" s="2" t="s">
        <v>716</v>
      </c>
      <c r="J19" s="2" t="s">
        <v>792</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100</v>
      </c>
      <c r="C20" s="2" t="s">
        <v>102</v>
      </c>
      <c r="D20" s="2" t="s">
        <v>793</v>
      </c>
      <c r="E20" s="2" t="s">
        <v>737</v>
      </c>
      <c r="F20" s="2" t="s">
        <v>761</v>
      </c>
      <c r="G20" s="2" t="s">
        <v>794</v>
      </c>
      <c r="H20" s="2" t="s">
        <v>795</v>
      </c>
      <c r="I20" s="2" t="s">
        <v>716</v>
      </c>
      <c r="J20" s="2" t="s">
        <v>796</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100</v>
      </c>
      <c r="C21" s="2" t="s">
        <v>102</v>
      </c>
      <c r="D21" s="2" t="s">
        <v>797</v>
      </c>
      <c r="E21" s="2" t="s">
        <v>737</v>
      </c>
      <c r="F21" s="2" t="s">
        <v>761</v>
      </c>
      <c r="G21" s="2" t="s">
        <v>798</v>
      </c>
      <c r="H21" s="2" t="s">
        <v>799</v>
      </c>
      <c r="I21" s="2" t="s">
        <v>716</v>
      </c>
      <c r="J21" s="2" t="s">
        <v>800</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100</v>
      </c>
      <c r="C22" s="2" t="s">
        <v>102</v>
      </c>
      <c r="D22" s="2" t="s">
        <v>801</v>
      </c>
      <c r="E22" s="2" t="s">
        <v>737</v>
      </c>
      <c r="F22" s="2" t="s">
        <v>761</v>
      </c>
      <c r="G22" s="2" t="s">
        <v>802</v>
      </c>
      <c r="H22" s="2" t="s">
        <v>803</v>
      </c>
      <c r="I22" s="2" t="s">
        <v>716</v>
      </c>
      <c r="J22" s="2" t="s">
        <v>804</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100</v>
      </c>
      <c r="C23" s="2" t="s">
        <v>102</v>
      </c>
      <c r="D23" s="2" t="s">
        <v>805</v>
      </c>
      <c r="E23" s="2" t="s">
        <v>737</v>
      </c>
      <c r="F23" s="2" t="s">
        <v>761</v>
      </c>
      <c r="G23" s="2" t="s">
        <v>806</v>
      </c>
      <c r="H23" s="2" t="s">
        <v>807</v>
      </c>
      <c r="I23" s="2" t="s">
        <v>716</v>
      </c>
      <c r="J23" s="2" t="s">
        <v>808</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100</v>
      </c>
      <c r="C24" s="2" t="s">
        <v>102</v>
      </c>
      <c r="D24" s="2" t="s">
        <v>809</v>
      </c>
      <c r="E24" s="2" t="s">
        <v>737</v>
      </c>
      <c r="F24" s="2" t="s">
        <v>761</v>
      </c>
      <c r="G24" s="2" t="s">
        <v>810</v>
      </c>
      <c r="H24" s="2" t="s">
        <v>811</v>
      </c>
      <c r="I24" s="2" t="s">
        <v>716</v>
      </c>
      <c r="J24" s="2" t="s">
        <v>812</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100</v>
      </c>
      <c r="C25" s="2" t="s">
        <v>102</v>
      </c>
      <c r="D25" s="2" t="s">
        <v>813</v>
      </c>
      <c r="E25" s="2" t="s">
        <v>737</v>
      </c>
      <c r="F25" s="2" t="s">
        <v>761</v>
      </c>
      <c r="G25" s="2" t="s">
        <v>814</v>
      </c>
      <c r="H25" s="2" t="s">
        <v>815</v>
      </c>
      <c r="I25" s="2" t="s">
        <v>716</v>
      </c>
      <c r="J25" s="2" t="s">
        <v>816</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100</v>
      </c>
      <c r="C26" s="2" t="s">
        <v>102</v>
      </c>
      <c r="D26" s="2" t="s">
        <v>817</v>
      </c>
      <c r="E26" s="2" t="s">
        <v>737</v>
      </c>
      <c r="F26" s="2" t="s">
        <v>761</v>
      </c>
      <c r="G26" s="2" t="s">
        <v>818</v>
      </c>
      <c r="H26" s="2" t="s">
        <v>819</v>
      </c>
      <c r="I26" s="2" t="s">
        <v>716</v>
      </c>
      <c r="J26" s="2" t="s">
        <v>820</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100</v>
      </c>
      <c r="C27" s="2" t="s">
        <v>102</v>
      </c>
      <c r="D27" s="2" t="s">
        <v>821</v>
      </c>
      <c r="E27" s="2" t="s">
        <v>737</v>
      </c>
      <c r="F27" s="2" t="s">
        <v>761</v>
      </c>
      <c r="G27" s="2" t="s">
        <v>822</v>
      </c>
      <c r="H27" s="2" t="s">
        <v>823</v>
      </c>
      <c r="I27" s="2" t="s">
        <v>716</v>
      </c>
      <c r="J27" s="2" t="s">
        <v>824</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100</v>
      </c>
      <c r="C28" s="2" t="s">
        <v>102</v>
      </c>
      <c r="D28" s="2" t="s">
        <v>825</v>
      </c>
      <c r="E28" s="2" t="s">
        <v>737</v>
      </c>
      <c r="F28" s="2" t="s">
        <v>761</v>
      </c>
      <c r="G28" s="2" t="s">
        <v>826</v>
      </c>
      <c r="H28" s="2" t="s">
        <v>827</v>
      </c>
      <c r="I28" s="2" t="s">
        <v>716</v>
      </c>
      <c r="J28" s="2" t="s">
        <v>828</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100</v>
      </c>
      <c r="C29" s="2" t="s">
        <v>102</v>
      </c>
      <c r="D29" s="2" t="s">
        <v>829</v>
      </c>
      <c r="E29" s="2" t="s">
        <v>737</v>
      </c>
      <c r="F29" s="2" t="s">
        <v>761</v>
      </c>
      <c r="G29" s="2" t="s">
        <v>830</v>
      </c>
      <c r="H29" s="2" t="s">
        <v>831</v>
      </c>
      <c r="I29" s="2" t="s">
        <v>716</v>
      </c>
      <c r="J29" s="2" t="s">
        <v>832</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100</v>
      </c>
      <c r="C30" s="2" t="s">
        <v>102</v>
      </c>
      <c r="D30" s="2" t="s">
        <v>833</v>
      </c>
      <c r="E30" s="2" t="s">
        <v>737</v>
      </c>
      <c r="F30" s="2" t="s">
        <v>761</v>
      </c>
      <c r="G30" s="2" t="s">
        <v>295</v>
      </c>
      <c r="H30" s="2" t="s">
        <v>834</v>
      </c>
      <c r="I30" s="2" t="s">
        <v>716</v>
      </c>
      <c r="J30" s="2" t="s">
        <v>835</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100</v>
      </c>
      <c r="C31" s="2" t="s">
        <v>102</v>
      </c>
      <c r="D31" s="2" t="s">
        <v>836</v>
      </c>
      <c r="E31" s="2" t="s">
        <v>737</v>
      </c>
      <c r="F31" s="2" t="s">
        <v>761</v>
      </c>
      <c r="G31" s="2" t="s">
        <v>837</v>
      </c>
      <c r="H31" s="2" t="s">
        <v>838</v>
      </c>
      <c r="I31" s="2" t="s">
        <v>716</v>
      </c>
      <c r="J31" s="2" t="s">
        <v>839</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100</v>
      </c>
      <c r="C32" s="2" t="s">
        <v>102</v>
      </c>
      <c r="D32" s="2" t="s">
        <v>840</v>
      </c>
      <c r="E32" s="2" t="s">
        <v>737</v>
      </c>
      <c r="F32" s="2" t="s">
        <v>761</v>
      </c>
      <c r="G32" s="2" t="s">
        <v>841</v>
      </c>
      <c r="H32" s="2" t="s">
        <v>842</v>
      </c>
      <c r="I32" s="2" t="s">
        <v>716</v>
      </c>
      <c r="J32" s="2" t="s">
        <v>843</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100</v>
      </c>
      <c r="C33" s="2" t="s">
        <v>102</v>
      </c>
      <c r="D33" s="2" t="s">
        <v>844</v>
      </c>
      <c r="E33" s="2" t="s">
        <v>737</v>
      </c>
      <c r="F33" s="2" t="s">
        <v>761</v>
      </c>
      <c r="G33" s="2" t="s">
        <v>845</v>
      </c>
      <c r="H33" s="2" t="s">
        <v>846</v>
      </c>
      <c r="I33" s="2" t="s">
        <v>716</v>
      </c>
      <c r="J33" s="2" t="s">
        <v>847</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100</v>
      </c>
      <c r="C34" s="2" t="s">
        <v>102</v>
      </c>
      <c r="D34" s="2" t="s">
        <v>848</v>
      </c>
      <c r="E34" s="2" t="s">
        <v>737</v>
      </c>
      <c r="F34" s="2" t="s">
        <v>761</v>
      </c>
      <c r="G34" s="2" t="s">
        <v>845</v>
      </c>
      <c r="H34" s="2" t="s">
        <v>849</v>
      </c>
      <c r="I34" s="2" t="s">
        <v>716</v>
      </c>
      <c r="J34" s="2" t="s">
        <v>850</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100</v>
      </c>
      <c r="C35" s="2" t="s">
        <v>102</v>
      </c>
      <c r="D35" s="2" t="s">
        <v>851</v>
      </c>
      <c r="E35" s="2" t="s">
        <v>737</v>
      </c>
      <c r="F35" s="2" t="s">
        <v>761</v>
      </c>
      <c r="G35" s="2" t="s">
        <v>852</v>
      </c>
      <c r="H35" s="2" t="s">
        <v>853</v>
      </c>
      <c r="I35" s="2" t="s">
        <v>716</v>
      </c>
      <c r="J35" s="2" t="s">
        <v>854</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100</v>
      </c>
      <c r="C36" s="2" t="s">
        <v>102</v>
      </c>
      <c r="D36" s="2" t="s">
        <v>855</v>
      </c>
      <c r="E36" s="2" t="s">
        <v>737</v>
      </c>
      <c r="F36" s="2" t="s">
        <v>761</v>
      </c>
      <c r="G36" s="2" t="s">
        <v>856</v>
      </c>
      <c r="H36" s="2" t="s">
        <v>857</v>
      </c>
      <c r="I36" s="2" t="s">
        <v>716</v>
      </c>
      <c r="J36" s="2" t="s">
        <v>858</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100</v>
      </c>
      <c r="C37" s="2" t="s">
        <v>102</v>
      </c>
      <c r="D37" s="2" t="s">
        <v>859</v>
      </c>
      <c r="E37" s="2" t="s">
        <v>737</v>
      </c>
      <c r="F37" s="2" t="s">
        <v>761</v>
      </c>
      <c r="G37" s="2" t="s">
        <v>860</v>
      </c>
      <c r="H37" s="2" t="s">
        <v>861</v>
      </c>
      <c r="I37" s="2" t="s">
        <v>716</v>
      </c>
      <c r="J37" s="2" t="s">
        <v>862</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100</v>
      </c>
      <c r="C38" s="2" t="s">
        <v>102</v>
      </c>
      <c r="D38" s="2" t="s">
        <v>863</v>
      </c>
      <c r="E38" s="2" t="s">
        <v>737</v>
      </c>
      <c r="F38" s="2" t="s">
        <v>761</v>
      </c>
      <c r="G38" s="2" t="s">
        <v>864</v>
      </c>
      <c r="H38" s="2" t="s">
        <v>865</v>
      </c>
      <c r="I38" s="2" t="s">
        <v>716</v>
      </c>
      <c r="J38" s="2" t="s">
        <v>866</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100</v>
      </c>
      <c r="C39" s="2" t="s">
        <v>102</v>
      </c>
      <c r="D39" s="2" t="s">
        <v>867</v>
      </c>
      <c r="E39" s="2" t="s">
        <v>737</v>
      </c>
      <c r="F39" s="2" t="s">
        <v>761</v>
      </c>
      <c r="G39" s="2" t="s">
        <v>868</v>
      </c>
      <c r="H39" s="2" t="s">
        <v>869</v>
      </c>
      <c r="I39" s="2" t="s">
        <v>716</v>
      </c>
      <c r="J39" s="2" t="s">
        <v>870</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100</v>
      </c>
      <c r="C40" s="2" t="s">
        <v>102</v>
      </c>
      <c r="D40" s="2" t="s">
        <v>871</v>
      </c>
      <c r="E40" s="2" t="s">
        <v>737</v>
      </c>
      <c r="F40" s="2" t="s">
        <v>761</v>
      </c>
      <c r="G40" s="2" t="s">
        <v>872</v>
      </c>
      <c r="H40" s="2" t="s">
        <v>873</v>
      </c>
      <c r="I40" s="2" t="s">
        <v>716</v>
      </c>
      <c r="J40" s="2" t="s">
        <v>874</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100</v>
      </c>
      <c r="C41" s="2" t="s">
        <v>102</v>
      </c>
      <c r="D41" s="2" t="s">
        <v>875</v>
      </c>
      <c r="E41" s="2" t="s">
        <v>737</v>
      </c>
      <c r="F41" s="2" t="s">
        <v>761</v>
      </c>
      <c r="G41" s="2" t="s">
        <v>876</v>
      </c>
      <c r="H41" s="2" t="s">
        <v>877</v>
      </c>
      <c r="I41" s="2" t="s">
        <v>716</v>
      </c>
      <c r="J41" s="2" t="s">
        <v>878</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100</v>
      </c>
      <c r="C42" s="2" t="s">
        <v>102</v>
      </c>
      <c r="D42" s="2" t="s">
        <v>879</v>
      </c>
      <c r="E42" s="2" t="s">
        <v>737</v>
      </c>
      <c r="F42" s="2" t="s">
        <v>761</v>
      </c>
      <c r="G42" s="2" t="s">
        <v>880</v>
      </c>
      <c r="H42" s="2" t="s">
        <v>881</v>
      </c>
      <c r="I42" s="2" t="s">
        <v>716</v>
      </c>
      <c r="J42" s="2" t="s">
        <v>882</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100</v>
      </c>
      <c r="C43" s="2" t="s">
        <v>102</v>
      </c>
      <c r="D43" s="2" t="s">
        <v>883</v>
      </c>
      <c r="E43" s="2" t="s">
        <v>737</v>
      </c>
      <c r="F43" s="2" t="s">
        <v>761</v>
      </c>
      <c r="G43" s="2" t="s">
        <v>880</v>
      </c>
      <c r="H43" s="2" t="s">
        <v>884</v>
      </c>
      <c r="I43" s="2" t="s">
        <v>716</v>
      </c>
      <c r="J43" s="2" t="s">
        <v>885</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100</v>
      </c>
      <c r="C44" s="2" t="s">
        <v>102</v>
      </c>
      <c r="D44" s="2" t="s">
        <v>886</v>
      </c>
      <c r="E44" s="2" t="s">
        <v>737</v>
      </c>
      <c r="F44" s="2" t="s">
        <v>761</v>
      </c>
      <c r="G44" s="2" t="s">
        <v>465</v>
      </c>
      <c r="H44" s="2" t="s">
        <v>887</v>
      </c>
      <c r="I44" s="2" t="s">
        <v>716</v>
      </c>
      <c r="J44" s="2" t="s">
        <v>888</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100</v>
      </c>
      <c r="C45" s="2" t="s">
        <v>102</v>
      </c>
      <c r="D45" s="2" t="s">
        <v>889</v>
      </c>
      <c r="E45" s="2" t="s">
        <v>737</v>
      </c>
      <c r="F45" s="2" t="s">
        <v>761</v>
      </c>
      <c r="G45" s="2" t="s">
        <v>465</v>
      </c>
      <c r="H45" s="2" t="s">
        <v>890</v>
      </c>
      <c r="I45" s="2" t="s">
        <v>716</v>
      </c>
      <c r="J45" s="2" t="s">
        <v>891</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100</v>
      </c>
      <c r="C46" s="2" t="s">
        <v>102</v>
      </c>
      <c r="D46" s="2" t="s">
        <v>892</v>
      </c>
      <c r="E46" s="2" t="s">
        <v>737</v>
      </c>
      <c r="F46" s="2" t="s">
        <v>761</v>
      </c>
      <c r="G46" s="2" t="s">
        <v>893</v>
      </c>
      <c r="H46" s="2" t="s">
        <v>894</v>
      </c>
      <c r="I46" s="2" t="s">
        <v>716</v>
      </c>
      <c r="J46" s="2" t="s">
        <v>895</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100</v>
      </c>
      <c r="C47" s="2" t="s">
        <v>102</v>
      </c>
      <c r="D47" s="2" t="s">
        <v>896</v>
      </c>
      <c r="E47" s="2" t="s">
        <v>737</v>
      </c>
      <c r="F47" s="2" t="s">
        <v>761</v>
      </c>
      <c r="G47" s="2" t="s">
        <v>893</v>
      </c>
      <c r="H47" s="2" t="s">
        <v>897</v>
      </c>
      <c r="I47" s="2" t="s">
        <v>716</v>
      </c>
      <c r="J47" s="2" t="s">
        <v>898</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100</v>
      </c>
      <c r="C48" s="2" t="s">
        <v>102</v>
      </c>
      <c r="D48" s="2" t="s">
        <v>899</v>
      </c>
      <c r="E48" s="2" t="s">
        <v>737</v>
      </c>
      <c r="F48" s="2" t="s">
        <v>761</v>
      </c>
      <c r="G48" s="2" t="s">
        <v>900</v>
      </c>
      <c r="H48" s="2" t="s">
        <v>901</v>
      </c>
      <c r="I48" s="2" t="s">
        <v>716</v>
      </c>
      <c r="J48" s="2" t="s">
        <v>902</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100</v>
      </c>
      <c r="C49" s="2" t="s">
        <v>102</v>
      </c>
      <c r="D49" s="2" t="s">
        <v>903</v>
      </c>
      <c r="E49" s="2" t="s">
        <v>737</v>
      </c>
      <c r="F49" s="2" t="s">
        <v>761</v>
      </c>
      <c r="G49" s="2" t="s">
        <v>904</v>
      </c>
      <c r="H49" s="2" t="s">
        <v>905</v>
      </c>
      <c r="I49" s="2" t="s">
        <v>716</v>
      </c>
      <c r="J49" s="2" t="s">
        <v>906</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100</v>
      </c>
      <c r="C50" s="2" t="s">
        <v>102</v>
      </c>
      <c r="D50" s="2" t="s">
        <v>907</v>
      </c>
      <c r="E50" s="2" t="s">
        <v>737</v>
      </c>
      <c r="F50" s="2" t="s">
        <v>761</v>
      </c>
      <c r="G50" s="2" t="s">
        <v>908</v>
      </c>
      <c r="H50" s="2" t="s">
        <v>909</v>
      </c>
      <c r="I50" s="2" t="s">
        <v>716</v>
      </c>
      <c r="J50" s="2" t="s">
        <v>910</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100</v>
      </c>
      <c r="C51" s="2" t="s">
        <v>102</v>
      </c>
      <c r="D51" s="2" t="s">
        <v>911</v>
      </c>
      <c r="E51" s="2" t="s">
        <v>737</v>
      </c>
      <c r="F51" s="2" t="s">
        <v>761</v>
      </c>
      <c r="G51" s="2" t="s">
        <v>912</v>
      </c>
      <c r="H51" s="2" t="s">
        <v>913</v>
      </c>
      <c r="I51" s="2" t="s">
        <v>716</v>
      </c>
      <c r="J51" s="2" t="s">
        <v>914</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100</v>
      </c>
      <c r="C52" s="2" t="s">
        <v>102</v>
      </c>
      <c r="D52" s="2" t="s">
        <v>915</v>
      </c>
      <c r="E52" s="2" t="s">
        <v>737</v>
      </c>
      <c r="F52" s="2" t="s">
        <v>761</v>
      </c>
      <c r="G52" s="2" t="s">
        <v>916</v>
      </c>
      <c r="H52" s="2" t="s">
        <v>917</v>
      </c>
      <c r="I52" s="2" t="s">
        <v>716</v>
      </c>
      <c r="J52" s="2" t="s">
        <v>918</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100</v>
      </c>
      <c r="C53" s="2" t="s">
        <v>102</v>
      </c>
      <c r="D53" s="2" t="s">
        <v>919</v>
      </c>
      <c r="E53" s="2" t="s">
        <v>737</v>
      </c>
      <c r="F53" s="2" t="s">
        <v>761</v>
      </c>
      <c r="G53" s="2" t="s">
        <v>920</v>
      </c>
      <c r="H53" s="2" t="s">
        <v>921</v>
      </c>
      <c r="I53" s="2" t="s">
        <v>716</v>
      </c>
      <c r="J53" s="2" t="s">
        <v>922</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100</v>
      </c>
      <c r="C54" s="2" t="s">
        <v>102</v>
      </c>
      <c r="D54" s="2" t="s">
        <v>923</v>
      </c>
      <c r="E54" s="2" t="s">
        <v>737</v>
      </c>
      <c r="F54" s="2" t="s">
        <v>761</v>
      </c>
      <c r="G54" s="2" t="s">
        <v>924</v>
      </c>
      <c r="H54" s="2" t="s">
        <v>925</v>
      </c>
      <c r="I54" s="2" t="s">
        <v>716</v>
      </c>
      <c r="J54" s="2" t="s">
        <v>926</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100</v>
      </c>
      <c r="C55" s="2" t="s">
        <v>102</v>
      </c>
      <c r="D55" s="2" t="s">
        <v>927</v>
      </c>
      <c r="E55" s="2" t="s">
        <v>737</v>
      </c>
      <c r="F55" s="2" t="s">
        <v>761</v>
      </c>
      <c r="G55" s="2" t="s">
        <v>928</v>
      </c>
      <c r="H55" s="2" t="s">
        <v>929</v>
      </c>
      <c r="I55" s="2" t="s">
        <v>716</v>
      </c>
      <c r="J55" s="2" t="s">
        <v>930</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100</v>
      </c>
      <c r="C56" s="2" t="s">
        <v>102</v>
      </c>
      <c r="D56" s="2" t="s">
        <v>931</v>
      </c>
      <c r="E56" s="2" t="s">
        <v>737</v>
      </c>
      <c r="F56" s="2" t="s">
        <v>761</v>
      </c>
      <c r="G56" s="2" t="s">
        <v>932</v>
      </c>
      <c r="H56" s="2" t="s">
        <v>933</v>
      </c>
      <c r="I56" s="2" t="s">
        <v>716</v>
      </c>
      <c r="J56" s="2" t="s">
        <v>934</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100</v>
      </c>
      <c r="C57" s="2" t="s">
        <v>102</v>
      </c>
      <c r="D57" s="2" t="s">
        <v>935</v>
      </c>
      <c r="E57" s="2" t="s">
        <v>737</v>
      </c>
      <c r="F57" s="2" t="s">
        <v>761</v>
      </c>
      <c r="G57" s="2" t="s">
        <v>936</v>
      </c>
      <c r="H57" s="2" t="s">
        <v>937</v>
      </c>
      <c r="I57" s="2" t="s">
        <v>716</v>
      </c>
      <c r="J57" s="2" t="s">
        <v>938</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100</v>
      </c>
      <c r="C58" s="2" t="s">
        <v>102</v>
      </c>
      <c r="D58" s="2" t="s">
        <v>939</v>
      </c>
      <c r="E58" s="2" t="s">
        <v>737</v>
      </c>
      <c r="F58" s="2" t="s">
        <v>761</v>
      </c>
      <c r="G58" s="2" t="s">
        <v>940</v>
      </c>
      <c r="H58" s="2" t="s">
        <v>941</v>
      </c>
      <c r="I58" s="2" t="s">
        <v>716</v>
      </c>
      <c r="J58" s="2" t="s">
        <v>942</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105</v>
      </c>
      <c r="C59" s="2" t="s">
        <v>108</v>
      </c>
      <c r="D59" s="2" t="s">
        <v>943</v>
      </c>
      <c r="E59" s="2" t="s">
        <v>712</v>
      </c>
      <c r="F59" s="2" t="s">
        <v>944</v>
      </c>
      <c r="G59" s="2" t="s">
        <v>945</v>
      </c>
      <c r="H59" s="2" t="s">
        <v>946</v>
      </c>
      <c r="I59" s="2" t="s">
        <v>716</v>
      </c>
      <c r="J59" s="2" t="s">
        <v>947</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718</v>
      </c>
    </row>
    <row r="60" customFormat="false" ht="15" hidden="false" customHeight="false" outlineLevel="0" collapsed="false">
      <c r="A60" s="2" t="n">
        <v>11</v>
      </c>
      <c r="B60" s="2" t="s">
        <v>105</v>
      </c>
      <c r="C60" s="2" t="s">
        <v>108</v>
      </c>
      <c r="D60" s="2" t="s">
        <v>948</v>
      </c>
      <c r="E60" s="2" t="s">
        <v>720</v>
      </c>
      <c r="F60" s="2" t="s">
        <v>721</v>
      </c>
      <c r="G60" s="2" t="s">
        <v>949</v>
      </c>
      <c r="H60" s="2" t="s">
        <v>950</v>
      </c>
      <c r="I60" s="2" t="s">
        <v>716</v>
      </c>
      <c r="J60" s="2" t="s">
        <v>951</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105</v>
      </c>
      <c r="C61" s="2" t="s">
        <v>108</v>
      </c>
      <c r="D61" s="2" t="s">
        <v>952</v>
      </c>
      <c r="E61" s="2" t="s">
        <v>712</v>
      </c>
      <c r="F61" s="2" t="s">
        <v>944</v>
      </c>
      <c r="G61" s="2" t="s">
        <v>953</v>
      </c>
      <c r="H61" s="2" t="s">
        <v>954</v>
      </c>
      <c r="I61" s="2" t="s">
        <v>716</v>
      </c>
      <c r="J61" s="2" t="s">
        <v>955</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718</v>
      </c>
    </row>
    <row r="62" customFormat="false" ht="15" hidden="false" customHeight="false" outlineLevel="0" collapsed="false">
      <c r="A62" s="2" t="n">
        <v>11</v>
      </c>
      <c r="B62" s="2" t="s">
        <v>105</v>
      </c>
      <c r="C62" s="2" t="s">
        <v>108</v>
      </c>
      <c r="D62" s="2" t="s">
        <v>956</v>
      </c>
      <c r="E62" s="2" t="s">
        <v>720</v>
      </c>
      <c r="F62" s="2" t="s">
        <v>721</v>
      </c>
      <c r="G62" s="2" t="s">
        <v>957</v>
      </c>
      <c r="H62" s="2" t="s">
        <v>958</v>
      </c>
      <c r="I62" s="2" t="s">
        <v>716</v>
      </c>
      <c r="J62" s="2" t="s">
        <v>959</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105</v>
      </c>
      <c r="C63" s="2" t="s">
        <v>108</v>
      </c>
      <c r="D63" s="2" t="s">
        <v>960</v>
      </c>
      <c r="E63" s="2" t="s">
        <v>737</v>
      </c>
      <c r="F63" s="2" t="s">
        <v>738</v>
      </c>
      <c r="G63" s="2" t="s">
        <v>961</v>
      </c>
      <c r="H63" s="2" t="s">
        <v>962</v>
      </c>
      <c r="I63" s="2" t="s">
        <v>716</v>
      </c>
      <c r="J63" s="2" t="s">
        <v>963</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105</v>
      </c>
      <c r="C64" s="2" t="s">
        <v>108</v>
      </c>
      <c r="D64" s="2" t="s">
        <v>964</v>
      </c>
      <c r="E64" s="2" t="s">
        <v>712</v>
      </c>
      <c r="F64" s="2" t="s">
        <v>752</v>
      </c>
      <c r="G64" s="2" t="s">
        <v>965</v>
      </c>
      <c r="H64" s="2" t="s">
        <v>966</v>
      </c>
      <c r="I64" s="2" t="s">
        <v>716</v>
      </c>
      <c r="J64" s="2" t="s">
        <v>967</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718</v>
      </c>
    </row>
    <row r="65" customFormat="false" ht="15" hidden="false" customHeight="false" outlineLevel="0" collapsed="false">
      <c r="A65" s="2" t="n">
        <v>11</v>
      </c>
      <c r="B65" s="2" t="s">
        <v>105</v>
      </c>
      <c r="C65" s="2" t="s">
        <v>108</v>
      </c>
      <c r="D65" s="2" t="s">
        <v>968</v>
      </c>
      <c r="E65" s="2" t="s">
        <v>737</v>
      </c>
      <c r="F65" s="2" t="s">
        <v>738</v>
      </c>
      <c r="G65" s="2" t="s">
        <v>969</v>
      </c>
      <c r="H65" s="2" t="s">
        <v>970</v>
      </c>
      <c r="I65" s="2" t="s">
        <v>716</v>
      </c>
      <c r="J65" s="2" t="s">
        <v>971</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105</v>
      </c>
      <c r="C66" s="2" t="s">
        <v>108</v>
      </c>
      <c r="D66" s="2" t="s">
        <v>972</v>
      </c>
      <c r="E66" s="2" t="s">
        <v>737</v>
      </c>
      <c r="F66" s="2" t="s">
        <v>738</v>
      </c>
      <c r="G66" s="2" t="s">
        <v>973</v>
      </c>
      <c r="H66" s="2" t="s">
        <v>974</v>
      </c>
      <c r="I66" s="2" t="s">
        <v>716</v>
      </c>
      <c r="J66" s="2" t="s">
        <v>975</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111</v>
      </c>
      <c r="C67" s="2" t="s">
        <v>114</v>
      </c>
      <c r="D67" s="2" t="s">
        <v>976</v>
      </c>
      <c r="E67" s="2" t="s">
        <v>712</v>
      </c>
      <c r="F67" s="2" t="s">
        <v>944</v>
      </c>
      <c r="G67" s="2" t="s">
        <v>977</v>
      </c>
      <c r="H67" s="2" t="s">
        <v>978</v>
      </c>
      <c r="I67" s="2" t="s">
        <v>716</v>
      </c>
      <c r="J67" s="2" t="s">
        <v>979</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718</v>
      </c>
    </row>
    <row r="68" customFormat="false" ht="15" hidden="false" customHeight="false" outlineLevel="0" collapsed="false">
      <c r="A68" s="2" t="n">
        <v>13</v>
      </c>
      <c r="B68" s="2" t="s">
        <v>117</v>
      </c>
      <c r="C68" s="2" t="s">
        <v>120</v>
      </c>
      <c r="D68" s="2" t="s">
        <v>980</v>
      </c>
      <c r="E68" s="2" t="s">
        <v>712</v>
      </c>
      <c r="F68" s="2" t="s">
        <v>944</v>
      </c>
      <c r="G68" s="2" t="s">
        <v>981</v>
      </c>
      <c r="H68" s="2" t="s">
        <v>982</v>
      </c>
      <c r="I68" s="2" t="s">
        <v>716</v>
      </c>
      <c r="J68" s="2" t="s">
        <v>983</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718</v>
      </c>
    </row>
    <row r="69" customFormat="false" ht="15" hidden="false" customHeight="false" outlineLevel="0" collapsed="false">
      <c r="A69" s="2" t="n">
        <v>13</v>
      </c>
      <c r="B69" s="2" t="s">
        <v>117</v>
      </c>
      <c r="C69" s="2" t="s">
        <v>120</v>
      </c>
      <c r="D69" s="2" t="s">
        <v>984</v>
      </c>
      <c r="E69" s="2" t="s">
        <v>712</v>
      </c>
      <c r="F69" s="2" t="s">
        <v>752</v>
      </c>
      <c r="G69" s="2" t="s">
        <v>753</v>
      </c>
      <c r="H69" s="2" t="s">
        <v>985</v>
      </c>
      <c r="I69" s="2" t="s">
        <v>716</v>
      </c>
      <c r="J69" s="2" t="s">
        <v>986</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718</v>
      </c>
    </row>
    <row r="70" customFormat="false" ht="15" hidden="false" customHeight="false" outlineLevel="0" collapsed="false">
      <c r="A70" s="2" t="n">
        <v>14</v>
      </c>
      <c r="B70" s="2" t="s">
        <v>123</v>
      </c>
      <c r="C70" s="2" t="s">
        <v>126</v>
      </c>
      <c r="D70" s="2" t="s">
        <v>987</v>
      </c>
      <c r="E70" s="2" t="s">
        <v>737</v>
      </c>
      <c r="F70" s="2" t="s">
        <v>761</v>
      </c>
      <c r="G70" s="2" t="s">
        <v>988</v>
      </c>
      <c r="H70" s="2" t="s">
        <v>989</v>
      </c>
      <c r="I70" s="2" t="s">
        <v>990</v>
      </c>
      <c r="J70" s="2" t="s">
        <v>991</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123</v>
      </c>
      <c r="C71" s="2" t="s">
        <v>126</v>
      </c>
      <c r="D71" s="2" t="s">
        <v>992</v>
      </c>
      <c r="E71" s="2" t="s">
        <v>737</v>
      </c>
      <c r="F71" s="2" t="s">
        <v>761</v>
      </c>
      <c r="G71" s="2" t="s">
        <v>988</v>
      </c>
      <c r="H71" s="2" t="s">
        <v>993</v>
      </c>
      <c r="I71" s="2" t="s">
        <v>990</v>
      </c>
      <c r="J71" s="2" t="s">
        <v>994</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123</v>
      </c>
      <c r="C72" s="2" t="s">
        <v>126</v>
      </c>
      <c r="D72" s="2" t="s">
        <v>995</v>
      </c>
      <c r="E72" s="2" t="s">
        <v>737</v>
      </c>
      <c r="F72" s="2" t="s">
        <v>761</v>
      </c>
      <c r="G72" s="2" t="s">
        <v>988</v>
      </c>
      <c r="H72" s="2" t="s">
        <v>996</v>
      </c>
      <c r="I72" s="2" t="s">
        <v>990</v>
      </c>
      <c r="J72" s="2" t="s">
        <v>997</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123</v>
      </c>
      <c r="C73" s="2" t="s">
        <v>126</v>
      </c>
      <c r="D73" s="2" t="s">
        <v>998</v>
      </c>
      <c r="E73" s="2" t="s">
        <v>737</v>
      </c>
      <c r="F73" s="2" t="s">
        <v>761</v>
      </c>
      <c r="G73" s="2" t="s">
        <v>999</v>
      </c>
      <c r="H73" s="2" t="s">
        <v>1000</v>
      </c>
      <c r="I73" s="2" t="s">
        <v>990</v>
      </c>
      <c r="J73" s="2" t="s">
        <v>1001</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123</v>
      </c>
      <c r="C74" s="2" t="s">
        <v>126</v>
      </c>
      <c r="D74" s="2" t="s">
        <v>1002</v>
      </c>
      <c r="E74" s="2" t="s">
        <v>737</v>
      </c>
      <c r="F74" s="2" t="s">
        <v>761</v>
      </c>
      <c r="G74" s="2" t="s">
        <v>1003</v>
      </c>
      <c r="H74" s="2" t="s">
        <v>1004</v>
      </c>
      <c r="I74" s="2" t="s">
        <v>990</v>
      </c>
      <c r="J74" s="2" t="s">
        <v>1005</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123</v>
      </c>
      <c r="C75" s="2" t="s">
        <v>126</v>
      </c>
      <c r="D75" s="2" t="s">
        <v>1006</v>
      </c>
      <c r="E75" s="2" t="s">
        <v>737</v>
      </c>
      <c r="F75" s="2" t="s">
        <v>761</v>
      </c>
      <c r="G75" s="2" t="s">
        <v>1007</v>
      </c>
      <c r="H75" s="2" t="s">
        <v>1008</v>
      </c>
      <c r="I75" s="2" t="s">
        <v>990</v>
      </c>
      <c r="J75" s="2" t="s">
        <v>1009</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123</v>
      </c>
      <c r="C76" s="2" t="s">
        <v>126</v>
      </c>
      <c r="D76" s="2" t="s">
        <v>1010</v>
      </c>
      <c r="E76" s="2" t="s">
        <v>737</v>
      </c>
      <c r="F76" s="2" t="s">
        <v>761</v>
      </c>
      <c r="G76" s="2" t="s">
        <v>1011</v>
      </c>
      <c r="H76" s="2" t="s">
        <v>1012</v>
      </c>
      <c r="I76" s="2" t="s">
        <v>990</v>
      </c>
      <c r="J76" s="2" t="s">
        <v>1013</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123</v>
      </c>
      <c r="C77" s="2" t="s">
        <v>126</v>
      </c>
      <c r="D77" s="2" t="s">
        <v>1014</v>
      </c>
      <c r="E77" s="2" t="s">
        <v>737</v>
      </c>
      <c r="F77" s="2" t="s">
        <v>761</v>
      </c>
      <c r="G77" s="2" t="s">
        <v>1015</v>
      </c>
      <c r="H77" s="2" t="s">
        <v>1016</v>
      </c>
      <c r="I77" s="2" t="s">
        <v>990</v>
      </c>
      <c r="J77" s="2" t="s">
        <v>1017</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123</v>
      </c>
      <c r="C78" s="2" t="s">
        <v>126</v>
      </c>
      <c r="D78" s="2" t="s">
        <v>1018</v>
      </c>
      <c r="E78" s="2" t="s">
        <v>737</v>
      </c>
      <c r="F78" s="2" t="s">
        <v>761</v>
      </c>
      <c r="G78" s="2" t="s">
        <v>1015</v>
      </c>
      <c r="H78" s="2" t="s">
        <v>1019</v>
      </c>
      <c r="I78" s="2" t="s">
        <v>990</v>
      </c>
      <c r="J78" s="2" t="s">
        <v>1020</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123</v>
      </c>
      <c r="C79" s="2" t="s">
        <v>126</v>
      </c>
      <c r="D79" s="2" t="s">
        <v>1021</v>
      </c>
      <c r="E79" s="2" t="s">
        <v>737</v>
      </c>
      <c r="F79" s="2" t="s">
        <v>761</v>
      </c>
      <c r="G79" s="2" t="s">
        <v>1015</v>
      </c>
      <c r="H79" s="2" t="s">
        <v>1022</v>
      </c>
      <c r="I79" s="2" t="s">
        <v>990</v>
      </c>
      <c r="J79" s="2" t="s">
        <v>1023</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123</v>
      </c>
      <c r="C80" s="2" t="s">
        <v>126</v>
      </c>
      <c r="D80" s="2" t="s">
        <v>1024</v>
      </c>
      <c r="E80" s="2" t="s">
        <v>737</v>
      </c>
      <c r="F80" s="2" t="s">
        <v>761</v>
      </c>
      <c r="G80" s="2" t="s">
        <v>1015</v>
      </c>
      <c r="H80" s="2" t="s">
        <v>1025</v>
      </c>
      <c r="I80" s="2" t="s">
        <v>990</v>
      </c>
      <c r="J80" s="2" t="s">
        <v>1026</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123</v>
      </c>
      <c r="C81" s="2" t="s">
        <v>126</v>
      </c>
      <c r="D81" s="2" t="s">
        <v>1027</v>
      </c>
      <c r="E81" s="2" t="s">
        <v>737</v>
      </c>
      <c r="F81" s="2" t="s">
        <v>761</v>
      </c>
      <c r="G81" s="2" t="s">
        <v>1015</v>
      </c>
      <c r="H81" s="2" t="s">
        <v>1028</v>
      </c>
      <c r="I81" s="2" t="s">
        <v>990</v>
      </c>
      <c r="J81" s="2" t="s">
        <v>1029</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123</v>
      </c>
      <c r="C82" s="2" t="s">
        <v>126</v>
      </c>
      <c r="D82" s="2" t="s">
        <v>1030</v>
      </c>
      <c r="E82" s="2" t="s">
        <v>737</v>
      </c>
      <c r="F82" s="2" t="s">
        <v>761</v>
      </c>
      <c r="G82" s="2" t="s">
        <v>1015</v>
      </c>
      <c r="H82" s="2" t="s">
        <v>1031</v>
      </c>
      <c r="I82" s="2" t="s">
        <v>990</v>
      </c>
      <c r="J82" s="2" t="s">
        <v>1032</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123</v>
      </c>
      <c r="C83" s="2" t="s">
        <v>126</v>
      </c>
      <c r="D83" s="2" t="s">
        <v>1033</v>
      </c>
      <c r="E83" s="2" t="s">
        <v>737</v>
      </c>
      <c r="F83" s="2" t="s">
        <v>761</v>
      </c>
      <c r="G83" s="2" t="s">
        <v>1034</v>
      </c>
      <c r="H83" s="2" t="s">
        <v>1035</v>
      </c>
      <c r="I83" s="2" t="s">
        <v>990</v>
      </c>
      <c r="J83" s="2" t="s">
        <v>1036</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123</v>
      </c>
      <c r="C84" s="2" t="s">
        <v>126</v>
      </c>
      <c r="D84" s="2" t="s">
        <v>1037</v>
      </c>
      <c r="E84" s="2" t="s">
        <v>737</v>
      </c>
      <c r="F84" s="2" t="s">
        <v>761</v>
      </c>
      <c r="G84" s="2" t="s">
        <v>1038</v>
      </c>
      <c r="H84" s="2" t="s">
        <v>1039</v>
      </c>
      <c r="I84" s="2" t="s">
        <v>990</v>
      </c>
      <c r="J84" s="2" t="s">
        <v>1040</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123</v>
      </c>
      <c r="C85" s="2" t="s">
        <v>126</v>
      </c>
      <c r="D85" s="2" t="s">
        <v>1041</v>
      </c>
      <c r="E85" s="2" t="s">
        <v>737</v>
      </c>
      <c r="F85" s="2" t="s">
        <v>761</v>
      </c>
      <c r="G85" s="2" t="s">
        <v>1042</v>
      </c>
      <c r="H85" s="2" t="s">
        <v>1043</v>
      </c>
      <c r="I85" s="2" t="s">
        <v>990</v>
      </c>
      <c r="J85" s="2" t="s">
        <v>1044</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123</v>
      </c>
      <c r="C86" s="2" t="s">
        <v>126</v>
      </c>
      <c r="D86" s="2" t="s">
        <v>1045</v>
      </c>
      <c r="E86" s="2" t="s">
        <v>737</v>
      </c>
      <c r="F86" s="2" t="s">
        <v>761</v>
      </c>
      <c r="G86" s="2" t="s">
        <v>1046</v>
      </c>
      <c r="H86" s="2" t="s">
        <v>1047</v>
      </c>
      <c r="I86" s="2" t="s">
        <v>990</v>
      </c>
      <c r="J86" s="2" t="s">
        <v>1048</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123</v>
      </c>
      <c r="C87" s="2" t="s">
        <v>126</v>
      </c>
      <c r="D87" s="2" t="s">
        <v>1049</v>
      </c>
      <c r="E87" s="2" t="s">
        <v>737</v>
      </c>
      <c r="F87" s="2" t="s">
        <v>738</v>
      </c>
      <c r="G87" s="2" t="s">
        <v>1050</v>
      </c>
      <c r="H87" s="2" t="s">
        <v>1051</v>
      </c>
      <c r="I87" s="2" t="s">
        <v>716</v>
      </c>
      <c r="J87" s="2" t="s">
        <v>1052</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123</v>
      </c>
      <c r="C88" s="2" t="s">
        <v>126</v>
      </c>
      <c r="D88" s="2" t="s">
        <v>1053</v>
      </c>
      <c r="E88" s="2" t="s">
        <v>737</v>
      </c>
      <c r="F88" s="2" t="s">
        <v>761</v>
      </c>
      <c r="G88" s="2" t="s">
        <v>1054</v>
      </c>
      <c r="H88" s="2" t="s">
        <v>1055</v>
      </c>
      <c r="I88" s="2" t="s">
        <v>990</v>
      </c>
      <c r="J88" s="2" t="s">
        <v>1056</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123</v>
      </c>
      <c r="C89" s="2" t="s">
        <v>126</v>
      </c>
      <c r="D89" s="2" t="s">
        <v>1057</v>
      </c>
      <c r="E89" s="2" t="s">
        <v>737</v>
      </c>
      <c r="F89" s="2" t="s">
        <v>761</v>
      </c>
      <c r="G89" s="2" t="s">
        <v>1058</v>
      </c>
      <c r="H89" s="2" t="s">
        <v>1059</v>
      </c>
      <c r="I89" s="2" t="s">
        <v>990</v>
      </c>
      <c r="J89" s="2" t="s">
        <v>1060</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123</v>
      </c>
      <c r="C90" s="2" t="s">
        <v>126</v>
      </c>
      <c r="D90" s="2" t="s">
        <v>1061</v>
      </c>
      <c r="E90" s="2" t="s">
        <v>737</v>
      </c>
      <c r="F90" s="2" t="s">
        <v>761</v>
      </c>
      <c r="G90" s="2" t="s">
        <v>1062</v>
      </c>
      <c r="H90" s="2" t="s">
        <v>1063</v>
      </c>
      <c r="I90" s="2" t="s">
        <v>990</v>
      </c>
      <c r="J90" s="2" t="s">
        <v>1064</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123</v>
      </c>
      <c r="C91" s="2" t="s">
        <v>126</v>
      </c>
      <c r="D91" s="2" t="s">
        <v>1065</v>
      </c>
      <c r="E91" s="2" t="s">
        <v>737</v>
      </c>
      <c r="F91" s="2" t="s">
        <v>761</v>
      </c>
      <c r="G91" s="2" t="s">
        <v>1066</v>
      </c>
      <c r="H91" s="2" t="s">
        <v>1067</v>
      </c>
      <c r="I91" s="2" t="s">
        <v>990</v>
      </c>
      <c r="J91" s="2" t="s">
        <v>1068</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123</v>
      </c>
      <c r="C92" s="2" t="s">
        <v>126</v>
      </c>
      <c r="D92" s="2" t="s">
        <v>1069</v>
      </c>
      <c r="E92" s="2" t="s">
        <v>737</v>
      </c>
      <c r="F92" s="2" t="s">
        <v>761</v>
      </c>
      <c r="G92" s="2" t="s">
        <v>1070</v>
      </c>
      <c r="H92" s="2" t="s">
        <v>1071</v>
      </c>
      <c r="I92" s="2" t="s">
        <v>990</v>
      </c>
      <c r="J92" s="2" t="s">
        <v>1072</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123</v>
      </c>
      <c r="C93" s="2" t="s">
        <v>126</v>
      </c>
      <c r="D93" s="2" t="s">
        <v>1073</v>
      </c>
      <c r="E93" s="2" t="s">
        <v>737</v>
      </c>
      <c r="F93" s="2" t="s">
        <v>761</v>
      </c>
      <c r="G93" s="2" t="s">
        <v>1074</v>
      </c>
      <c r="H93" s="2" t="s">
        <v>1075</v>
      </c>
      <c r="I93" s="2" t="s">
        <v>990</v>
      </c>
      <c r="J93" s="2" t="s">
        <v>1076</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123</v>
      </c>
      <c r="C94" s="2" t="s">
        <v>126</v>
      </c>
      <c r="D94" s="2" t="s">
        <v>1077</v>
      </c>
      <c r="E94" s="2" t="s">
        <v>737</v>
      </c>
      <c r="F94" s="2" t="s">
        <v>761</v>
      </c>
      <c r="G94" s="2" t="s">
        <v>1078</v>
      </c>
      <c r="H94" s="2" t="s">
        <v>1079</v>
      </c>
      <c r="I94" s="2" t="s">
        <v>990</v>
      </c>
      <c r="J94" s="2" t="s">
        <v>1080</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123</v>
      </c>
      <c r="C95" s="2" t="s">
        <v>126</v>
      </c>
      <c r="D95" s="2" t="s">
        <v>1081</v>
      </c>
      <c r="E95" s="2" t="s">
        <v>720</v>
      </c>
      <c r="F95" s="2" t="s">
        <v>721</v>
      </c>
      <c r="G95" s="2" t="s">
        <v>1082</v>
      </c>
      <c r="H95" s="2" t="s">
        <v>1083</v>
      </c>
      <c r="I95" s="2" t="s">
        <v>716</v>
      </c>
      <c r="J95" s="2" t="s">
        <v>1084</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123</v>
      </c>
      <c r="C96" s="2" t="s">
        <v>126</v>
      </c>
      <c r="D96" s="2" t="s">
        <v>1085</v>
      </c>
      <c r="E96" s="2" t="s">
        <v>737</v>
      </c>
      <c r="F96" s="2" t="s">
        <v>761</v>
      </c>
      <c r="G96" s="2" t="s">
        <v>1086</v>
      </c>
      <c r="H96" s="2" t="s">
        <v>1087</v>
      </c>
      <c r="I96" s="2" t="s">
        <v>990</v>
      </c>
      <c r="J96" s="2" t="s">
        <v>1088</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123</v>
      </c>
      <c r="C97" s="2" t="s">
        <v>126</v>
      </c>
      <c r="D97" s="2" t="s">
        <v>1089</v>
      </c>
      <c r="E97" s="2" t="s">
        <v>737</v>
      </c>
      <c r="F97" s="2" t="s">
        <v>761</v>
      </c>
      <c r="G97" s="2" t="s">
        <v>1086</v>
      </c>
      <c r="H97" s="2" t="s">
        <v>1090</v>
      </c>
      <c r="I97" s="2" t="s">
        <v>990</v>
      </c>
      <c r="J97" s="2" t="s">
        <v>1091</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123</v>
      </c>
      <c r="C98" s="2" t="s">
        <v>126</v>
      </c>
      <c r="D98" s="2" t="s">
        <v>1092</v>
      </c>
      <c r="E98" s="2" t="s">
        <v>737</v>
      </c>
      <c r="F98" s="2" t="s">
        <v>761</v>
      </c>
      <c r="G98" s="2" t="s">
        <v>1093</v>
      </c>
      <c r="H98" s="2" t="s">
        <v>1094</v>
      </c>
      <c r="I98" s="2" t="s">
        <v>990</v>
      </c>
      <c r="J98" s="2" t="s">
        <v>1095</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123</v>
      </c>
      <c r="C99" s="2" t="s">
        <v>126</v>
      </c>
      <c r="D99" s="2" t="s">
        <v>1096</v>
      </c>
      <c r="E99" s="2" t="s">
        <v>737</v>
      </c>
      <c r="F99" s="2" t="s">
        <v>761</v>
      </c>
      <c r="G99" s="2" t="s">
        <v>1097</v>
      </c>
      <c r="H99" s="2" t="s">
        <v>1098</v>
      </c>
      <c r="I99" s="2" t="s">
        <v>990</v>
      </c>
      <c r="J99" s="2" t="s">
        <v>1099</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123</v>
      </c>
      <c r="C100" s="2" t="s">
        <v>126</v>
      </c>
      <c r="D100" s="2" t="s">
        <v>1100</v>
      </c>
      <c r="E100" s="2" t="s">
        <v>737</v>
      </c>
      <c r="F100" s="2" t="s">
        <v>761</v>
      </c>
      <c r="G100" s="2" t="s">
        <v>1101</v>
      </c>
      <c r="H100" s="2" t="s">
        <v>1102</v>
      </c>
      <c r="I100" s="2" t="s">
        <v>990</v>
      </c>
      <c r="J100" s="2" t="s">
        <v>1103</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123</v>
      </c>
      <c r="C101" s="2" t="s">
        <v>126</v>
      </c>
      <c r="D101" s="2" t="s">
        <v>1104</v>
      </c>
      <c r="E101" s="2" t="s">
        <v>737</v>
      </c>
      <c r="F101" s="2" t="s">
        <v>761</v>
      </c>
      <c r="G101" s="2" t="s">
        <v>1101</v>
      </c>
      <c r="H101" s="2" t="s">
        <v>1105</v>
      </c>
      <c r="I101" s="2" t="s">
        <v>990</v>
      </c>
      <c r="J101" s="2" t="s">
        <v>1106</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123</v>
      </c>
      <c r="C102" s="2" t="s">
        <v>126</v>
      </c>
      <c r="D102" s="2" t="s">
        <v>1107</v>
      </c>
      <c r="E102" s="2" t="s">
        <v>737</v>
      </c>
      <c r="F102" s="2" t="s">
        <v>761</v>
      </c>
      <c r="G102" s="2" t="s">
        <v>1101</v>
      </c>
      <c r="H102" s="2" t="s">
        <v>1108</v>
      </c>
      <c r="I102" s="2" t="s">
        <v>990</v>
      </c>
      <c r="J102" s="2" t="s">
        <v>1109</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123</v>
      </c>
      <c r="C103" s="2" t="s">
        <v>126</v>
      </c>
      <c r="D103" s="2" t="s">
        <v>1110</v>
      </c>
      <c r="E103" s="2" t="s">
        <v>737</v>
      </c>
      <c r="F103" s="2" t="s">
        <v>761</v>
      </c>
      <c r="G103" s="2" t="s">
        <v>1101</v>
      </c>
      <c r="H103" s="2" t="s">
        <v>1111</v>
      </c>
      <c r="I103" s="2" t="s">
        <v>990</v>
      </c>
      <c r="J103" s="2" t="s">
        <v>1112</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123</v>
      </c>
      <c r="C104" s="2" t="s">
        <v>126</v>
      </c>
      <c r="D104" s="2" t="s">
        <v>1113</v>
      </c>
      <c r="E104" s="2" t="s">
        <v>737</v>
      </c>
      <c r="F104" s="2" t="s">
        <v>761</v>
      </c>
      <c r="G104" s="2" t="s">
        <v>1114</v>
      </c>
      <c r="H104" s="2" t="s">
        <v>1115</v>
      </c>
      <c r="I104" s="2" t="s">
        <v>990</v>
      </c>
      <c r="J104" s="2" t="s">
        <v>1116</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123</v>
      </c>
      <c r="C105" s="2" t="s">
        <v>126</v>
      </c>
      <c r="D105" s="2" t="s">
        <v>1117</v>
      </c>
      <c r="E105" s="2" t="s">
        <v>737</v>
      </c>
      <c r="F105" s="2" t="s">
        <v>761</v>
      </c>
      <c r="G105" s="2" t="s">
        <v>1118</v>
      </c>
      <c r="H105" s="2" t="s">
        <v>1119</v>
      </c>
      <c r="I105" s="2" t="s">
        <v>990</v>
      </c>
      <c r="J105" s="2" t="s">
        <v>1120</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123</v>
      </c>
      <c r="C106" s="2" t="s">
        <v>126</v>
      </c>
      <c r="D106" s="2" t="s">
        <v>1121</v>
      </c>
      <c r="E106" s="2" t="s">
        <v>737</v>
      </c>
      <c r="F106" s="2" t="s">
        <v>761</v>
      </c>
      <c r="G106" s="2" t="s">
        <v>1122</v>
      </c>
      <c r="H106" s="2" t="s">
        <v>1123</v>
      </c>
      <c r="I106" s="2" t="s">
        <v>990</v>
      </c>
      <c r="J106" s="2" t="s">
        <v>1124</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123</v>
      </c>
      <c r="C107" s="2" t="s">
        <v>126</v>
      </c>
      <c r="D107" s="2" t="s">
        <v>1125</v>
      </c>
      <c r="E107" s="2" t="s">
        <v>737</v>
      </c>
      <c r="F107" s="2" t="s">
        <v>738</v>
      </c>
      <c r="G107" s="2" t="s">
        <v>1126</v>
      </c>
      <c r="H107" s="2" t="s">
        <v>1127</v>
      </c>
      <c r="I107" s="2" t="s">
        <v>716</v>
      </c>
      <c r="J107" s="2" t="s">
        <v>1128</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123</v>
      </c>
      <c r="C108" s="2" t="s">
        <v>126</v>
      </c>
      <c r="D108" s="2" t="s">
        <v>1129</v>
      </c>
      <c r="E108" s="2" t="s">
        <v>737</v>
      </c>
      <c r="F108" s="2" t="s">
        <v>761</v>
      </c>
      <c r="G108" s="2" t="s">
        <v>1130</v>
      </c>
      <c r="H108" s="2" t="s">
        <v>1131</v>
      </c>
      <c r="I108" s="2" t="s">
        <v>990</v>
      </c>
      <c r="J108" s="2" t="s">
        <v>1132</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123</v>
      </c>
      <c r="C109" s="2" t="s">
        <v>126</v>
      </c>
      <c r="D109" s="2" t="s">
        <v>1133</v>
      </c>
      <c r="E109" s="2" t="s">
        <v>737</v>
      </c>
      <c r="F109" s="2" t="s">
        <v>761</v>
      </c>
      <c r="G109" s="2" t="s">
        <v>1130</v>
      </c>
      <c r="H109" s="2" t="s">
        <v>1134</v>
      </c>
      <c r="I109" s="2" t="s">
        <v>990</v>
      </c>
      <c r="J109" s="2" t="s">
        <v>1135</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123</v>
      </c>
      <c r="C110" s="2" t="s">
        <v>126</v>
      </c>
      <c r="D110" s="2" t="s">
        <v>1136</v>
      </c>
      <c r="E110" s="2" t="s">
        <v>737</v>
      </c>
      <c r="F110" s="2" t="s">
        <v>761</v>
      </c>
      <c r="G110" s="2" t="s">
        <v>1130</v>
      </c>
      <c r="H110" s="2" t="s">
        <v>1137</v>
      </c>
      <c r="I110" s="2" t="s">
        <v>990</v>
      </c>
      <c r="J110" s="2" t="s">
        <v>1138</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123</v>
      </c>
      <c r="C111" s="2" t="s">
        <v>126</v>
      </c>
      <c r="D111" s="2" t="s">
        <v>1139</v>
      </c>
      <c r="E111" s="2" t="s">
        <v>737</v>
      </c>
      <c r="F111" s="2" t="s">
        <v>761</v>
      </c>
      <c r="G111" s="2" t="s">
        <v>1130</v>
      </c>
      <c r="H111" s="2" t="s">
        <v>1140</v>
      </c>
      <c r="I111" s="2" t="s">
        <v>990</v>
      </c>
      <c r="J111" s="2" t="s">
        <v>1141</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123</v>
      </c>
      <c r="C112" s="2" t="s">
        <v>126</v>
      </c>
      <c r="D112" s="2" t="s">
        <v>1142</v>
      </c>
      <c r="E112" s="2" t="s">
        <v>737</v>
      </c>
      <c r="F112" s="2" t="s">
        <v>761</v>
      </c>
      <c r="G112" s="2" t="s">
        <v>1130</v>
      </c>
      <c r="H112" s="2" t="s">
        <v>1143</v>
      </c>
      <c r="I112" s="2" t="s">
        <v>990</v>
      </c>
      <c r="J112" s="2" t="s">
        <v>1144</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123</v>
      </c>
      <c r="C113" s="2" t="s">
        <v>126</v>
      </c>
      <c r="D113" s="2" t="s">
        <v>1145</v>
      </c>
      <c r="E113" s="2" t="s">
        <v>737</v>
      </c>
      <c r="F113" s="2" t="s">
        <v>761</v>
      </c>
      <c r="G113" s="2" t="s">
        <v>1130</v>
      </c>
      <c r="H113" s="2" t="s">
        <v>1146</v>
      </c>
      <c r="I113" s="2" t="s">
        <v>990</v>
      </c>
      <c r="J113" s="2" t="s">
        <v>1147</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123</v>
      </c>
      <c r="C114" s="2" t="s">
        <v>126</v>
      </c>
      <c r="D114" s="2" t="s">
        <v>1148</v>
      </c>
      <c r="E114" s="2" t="s">
        <v>737</v>
      </c>
      <c r="F114" s="2" t="s">
        <v>761</v>
      </c>
      <c r="G114" s="2" t="s">
        <v>782</v>
      </c>
      <c r="H114" s="2" t="s">
        <v>1149</v>
      </c>
      <c r="I114" s="2" t="s">
        <v>990</v>
      </c>
      <c r="J114" s="2" t="s">
        <v>1150</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123</v>
      </c>
      <c r="C115" s="2" t="s">
        <v>126</v>
      </c>
      <c r="D115" s="2" t="s">
        <v>1151</v>
      </c>
      <c r="E115" s="2" t="s">
        <v>737</v>
      </c>
      <c r="F115" s="2" t="s">
        <v>761</v>
      </c>
      <c r="G115" s="2" t="s">
        <v>1152</v>
      </c>
      <c r="H115" s="2" t="s">
        <v>1153</v>
      </c>
      <c r="I115" s="2" t="s">
        <v>990</v>
      </c>
      <c r="J115" s="2" t="s">
        <v>1154</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123</v>
      </c>
      <c r="C116" s="2" t="s">
        <v>126</v>
      </c>
      <c r="D116" s="2" t="s">
        <v>1155</v>
      </c>
      <c r="E116" s="2" t="s">
        <v>737</v>
      </c>
      <c r="F116" s="2" t="s">
        <v>738</v>
      </c>
      <c r="G116" s="2" t="s">
        <v>1156</v>
      </c>
      <c r="H116" s="2" t="s">
        <v>1157</v>
      </c>
      <c r="I116" s="2" t="s">
        <v>716</v>
      </c>
      <c r="J116" s="2" t="s">
        <v>1158</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123</v>
      </c>
      <c r="C117" s="2" t="s">
        <v>126</v>
      </c>
      <c r="D117" s="2" t="s">
        <v>1159</v>
      </c>
      <c r="E117" s="2" t="s">
        <v>737</v>
      </c>
      <c r="F117" s="2" t="s">
        <v>761</v>
      </c>
      <c r="G117" s="2" t="s">
        <v>1160</v>
      </c>
      <c r="H117" s="2" t="s">
        <v>1161</v>
      </c>
      <c r="I117" s="2" t="s">
        <v>990</v>
      </c>
      <c r="J117" s="2" t="s">
        <v>1162</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123</v>
      </c>
      <c r="C118" s="2" t="s">
        <v>126</v>
      </c>
      <c r="D118" s="2" t="s">
        <v>1163</v>
      </c>
      <c r="E118" s="2" t="s">
        <v>737</v>
      </c>
      <c r="F118" s="2" t="s">
        <v>761</v>
      </c>
      <c r="G118" s="2" t="s">
        <v>1160</v>
      </c>
      <c r="H118" s="2" t="s">
        <v>1164</v>
      </c>
      <c r="I118" s="2" t="s">
        <v>990</v>
      </c>
      <c r="J118" s="2" t="s">
        <v>1165</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123</v>
      </c>
      <c r="C119" s="2" t="s">
        <v>126</v>
      </c>
      <c r="D119" s="2" t="s">
        <v>1166</v>
      </c>
      <c r="E119" s="2" t="s">
        <v>737</v>
      </c>
      <c r="F119" s="2" t="s">
        <v>761</v>
      </c>
      <c r="G119" s="2" t="s">
        <v>1160</v>
      </c>
      <c r="H119" s="2" t="s">
        <v>1167</v>
      </c>
      <c r="I119" s="2" t="s">
        <v>990</v>
      </c>
      <c r="J119" s="2" t="s">
        <v>1168</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123</v>
      </c>
      <c r="C120" s="2" t="s">
        <v>126</v>
      </c>
      <c r="D120" s="2" t="s">
        <v>1169</v>
      </c>
      <c r="E120" s="2" t="s">
        <v>737</v>
      </c>
      <c r="F120" s="2" t="s">
        <v>761</v>
      </c>
      <c r="G120" s="2" t="s">
        <v>1170</v>
      </c>
      <c r="H120" s="2" t="s">
        <v>1171</v>
      </c>
      <c r="I120" s="2" t="s">
        <v>990</v>
      </c>
      <c r="J120" s="2" t="s">
        <v>1172</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123</v>
      </c>
      <c r="C121" s="2" t="s">
        <v>126</v>
      </c>
      <c r="D121" s="2" t="s">
        <v>1173</v>
      </c>
      <c r="E121" s="2" t="s">
        <v>737</v>
      </c>
      <c r="F121" s="2" t="s">
        <v>761</v>
      </c>
      <c r="G121" s="2" t="s">
        <v>1174</v>
      </c>
      <c r="H121" s="2" t="s">
        <v>1175</v>
      </c>
      <c r="I121" s="2" t="s">
        <v>990</v>
      </c>
      <c r="J121" s="2" t="s">
        <v>1176</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123</v>
      </c>
      <c r="C122" s="2" t="s">
        <v>126</v>
      </c>
      <c r="D122" s="2" t="s">
        <v>1177</v>
      </c>
      <c r="E122" s="2" t="s">
        <v>737</v>
      </c>
      <c r="F122" s="2" t="s">
        <v>761</v>
      </c>
      <c r="G122" s="2" t="s">
        <v>1178</v>
      </c>
      <c r="H122" s="2" t="s">
        <v>1179</v>
      </c>
      <c r="I122" s="2" t="s">
        <v>990</v>
      </c>
      <c r="J122" s="2" t="s">
        <v>1180</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123</v>
      </c>
      <c r="C123" s="2" t="s">
        <v>126</v>
      </c>
      <c r="D123" s="2" t="s">
        <v>1181</v>
      </c>
      <c r="E123" s="2" t="s">
        <v>737</v>
      </c>
      <c r="F123" s="2" t="s">
        <v>761</v>
      </c>
      <c r="G123" s="2" t="s">
        <v>1182</v>
      </c>
      <c r="H123" s="2" t="s">
        <v>1183</v>
      </c>
      <c r="I123" s="2" t="s">
        <v>990</v>
      </c>
      <c r="J123" s="2" t="s">
        <v>1184</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123</v>
      </c>
      <c r="C124" s="2" t="s">
        <v>126</v>
      </c>
      <c r="D124" s="2" t="s">
        <v>1185</v>
      </c>
      <c r="E124" s="2" t="s">
        <v>737</v>
      </c>
      <c r="F124" s="2" t="s">
        <v>761</v>
      </c>
      <c r="G124" s="2" t="s">
        <v>1182</v>
      </c>
      <c r="H124" s="2" t="s">
        <v>1186</v>
      </c>
      <c r="I124" s="2" t="s">
        <v>990</v>
      </c>
      <c r="J124" s="2" t="s">
        <v>1187</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123</v>
      </c>
      <c r="C125" s="2" t="s">
        <v>126</v>
      </c>
      <c r="D125" s="2" t="s">
        <v>1188</v>
      </c>
      <c r="E125" s="2" t="s">
        <v>737</v>
      </c>
      <c r="F125" s="2" t="s">
        <v>761</v>
      </c>
      <c r="G125" s="2" t="s">
        <v>1189</v>
      </c>
      <c r="H125" s="2" t="s">
        <v>1190</v>
      </c>
      <c r="I125" s="2" t="s">
        <v>990</v>
      </c>
      <c r="J125" s="2" t="s">
        <v>1191</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123</v>
      </c>
      <c r="C126" s="2" t="s">
        <v>126</v>
      </c>
      <c r="D126" s="2" t="s">
        <v>1192</v>
      </c>
      <c r="E126" s="2" t="s">
        <v>737</v>
      </c>
      <c r="F126" s="2" t="s">
        <v>761</v>
      </c>
      <c r="G126" s="2" t="s">
        <v>1193</v>
      </c>
      <c r="H126" s="2" t="s">
        <v>1194</v>
      </c>
      <c r="I126" s="2" t="s">
        <v>990</v>
      </c>
      <c r="J126" s="2" t="s">
        <v>1195</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123</v>
      </c>
      <c r="C127" s="2" t="s">
        <v>126</v>
      </c>
      <c r="D127" s="2" t="s">
        <v>1196</v>
      </c>
      <c r="E127" s="2" t="s">
        <v>737</v>
      </c>
      <c r="F127" s="2" t="s">
        <v>761</v>
      </c>
      <c r="G127" s="2" t="s">
        <v>1197</v>
      </c>
      <c r="H127" s="2" t="s">
        <v>1198</v>
      </c>
      <c r="I127" s="2" t="s">
        <v>990</v>
      </c>
      <c r="J127" s="2" t="s">
        <v>1199</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123</v>
      </c>
      <c r="C128" s="2" t="s">
        <v>126</v>
      </c>
      <c r="D128" s="2" t="s">
        <v>1200</v>
      </c>
      <c r="E128" s="2" t="s">
        <v>737</v>
      </c>
      <c r="F128" s="2" t="s">
        <v>761</v>
      </c>
      <c r="G128" s="2" t="s">
        <v>1197</v>
      </c>
      <c r="H128" s="2" t="s">
        <v>1201</v>
      </c>
      <c r="I128" s="2" t="s">
        <v>990</v>
      </c>
      <c r="J128" s="2" t="s">
        <v>1202</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123</v>
      </c>
      <c r="C129" s="2" t="s">
        <v>126</v>
      </c>
      <c r="D129" s="2" t="s">
        <v>1203</v>
      </c>
      <c r="E129" s="2" t="s">
        <v>737</v>
      </c>
      <c r="F129" s="2" t="s">
        <v>761</v>
      </c>
      <c r="G129" s="2" t="s">
        <v>1197</v>
      </c>
      <c r="H129" s="2" t="s">
        <v>1204</v>
      </c>
      <c r="I129" s="2" t="s">
        <v>990</v>
      </c>
      <c r="J129" s="2" t="s">
        <v>1205</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123</v>
      </c>
      <c r="C130" s="2" t="s">
        <v>126</v>
      </c>
      <c r="D130" s="2" t="s">
        <v>1206</v>
      </c>
      <c r="E130" s="2" t="s">
        <v>737</v>
      </c>
      <c r="F130" s="2" t="s">
        <v>761</v>
      </c>
      <c r="G130" s="2" t="s">
        <v>1197</v>
      </c>
      <c r="H130" s="2" t="s">
        <v>1207</v>
      </c>
      <c r="I130" s="2" t="s">
        <v>990</v>
      </c>
      <c r="J130" s="2" t="s">
        <v>1208</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123</v>
      </c>
      <c r="C131" s="2" t="s">
        <v>126</v>
      </c>
      <c r="D131" s="2" t="s">
        <v>1209</v>
      </c>
      <c r="E131" s="2" t="s">
        <v>737</v>
      </c>
      <c r="F131" s="2" t="s">
        <v>761</v>
      </c>
      <c r="G131" s="2" t="s">
        <v>1197</v>
      </c>
      <c r="H131" s="2" t="s">
        <v>1210</v>
      </c>
      <c r="I131" s="2" t="s">
        <v>990</v>
      </c>
      <c r="J131" s="2" t="s">
        <v>1211</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123</v>
      </c>
      <c r="C132" s="2" t="s">
        <v>126</v>
      </c>
      <c r="D132" s="2" t="s">
        <v>1212</v>
      </c>
      <c r="E132" s="2" t="s">
        <v>737</v>
      </c>
      <c r="F132" s="2" t="s">
        <v>761</v>
      </c>
      <c r="G132" s="2" t="s">
        <v>1197</v>
      </c>
      <c r="H132" s="2" t="s">
        <v>1213</v>
      </c>
      <c r="I132" s="2" t="s">
        <v>990</v>
      </c>
      <c r="J132" s="2" t="s">
        <v>1214</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123</v>
      </c>
      <c r="C133" s="2" t="s">
        <v>126</v>
      </c>
      <c r="D133" s="2" t="s">
        <v>1215</v>
      </c>
      <c r="E133" s="2" t="s">
        <v>737</v>
      </c>
      <c r="F133" s="2" t="s">
        <v>761</v>
      </c>
      <c r="G133" s="2" t="s">
        <v>1216</v>
      </c>
      <c r="H133" s="2" t="s">
        <v>1217</v>
      </c>
      <c r="I133" s="2" t="s">
        <v>990</v>
      </c>
      <c r="J133" s="2" t="s">
        <v>1218</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123</v>
      </c>
      <c r="C134" s="2" t="s">
        <v>126</v>
      </c>
      <c r="D134" s="2" t="s">
        <v>1219</v>
      </c>
      <c r="E134" s="2" t="s">
        <v>737</v>
      </c>
      <c r="F134" s="2" t="s">
        <v>761</v>
      </c>
      <c r="G134" s="2" t="s">
        <v>1220</v>
      </c>
      <c r="H134" s="2" t="s">
        <v>1221</v>
      </c>
      <c r="I134" s="2" t="s">
        <v>990</v>
      </c>
      <c r="J134" s="2" t="s">
        <v>1222</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123</v>
      </c>
      <c r="C135" s="2" t="s">
        <v>126</v>
      </c>
      <c r="D135" s="2" t="s">
        <v>1223</v>
      </c>
      <c r="E135" s="2" t="s">
        <v>737</v>
      </c>
      <c r="F135" s="2" t="s">
        <v>761</v>
      </c>
      <c r="G135" s="2" t="s">
        <v>1224</v>
      </c>
      <c r="H135" s="2" t="s">
        <v>1225</v>
      </c>
      <c r="I135" s="2" t="s">
        <v>990</v>
      </c>
      <c r="J135" s="2" t="s">
        <v>1226</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123</v>
      </c>
      <c r="C136" s="2" t="s">
        <v>126</v>
      </c>
      <c r="D136" s="2" t="s">
        <v>1227</v>
      </c>
      <c r="E136" s="2" t="s">
        <v>737</v>
      </c>
      <c r="F136" s="2" t="s">
        <v>761</v>
      </c>
      <c r="G136" s="2" t="s">
        <v>1224</v>
      </c>
      <c r="H136" s="2" t="s">
        <v>1228</v>
      </c>
      <c r="I136" s="2" t="s">
        <v>990</v>
      </c>
      <c r="J136" s="2" t="s">
        <v>1229</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123</v>
      </c>
      <c r="C137" s="2" t="s">
        <v>126</v>
      </c>
      <c r="D137" s="2" t="s">
        <v>1230</v>
      </c>
      <c r="E137" s="2" t="s">
        <v>737</v>
      </c>
      <c r="F137" s="2" t="s">
        <v>761</v>
      </c>
      <c r="G137" s="2" t="s">
        <v>1231</v>
      </c>
      <c r="H137" s="2" t="s">
        <v>1232</v>
      </c>
      <c r="I137" s="2" t="s">
        <v>990</v>
      </c>
      <c r="J137" s="2" t="s">
        <v>1233</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123</v>
      </c>
      <c r="C138" s="2" t="s">
        <v>126</v>
      </c>
      <c r="D138" s="2" t="s">
        <v>1234</v>
      </c>
      <c r="E138" s="2" t="s">
        <v>737</v>
      </c>
      <c r="F138" s="2" t="s">
        <v>761</v>
      </c>
      <c r="G138" s="2" t="s">
        <v>1235</v>
      </c>
      <c r="H138" s="2" t="s">
        <v>1236</v>
      </c>
      <c r="I138" s="2" t="s">
        <v>990</v>
      </c>
      <c r="J138" s="2" t="s">
        <v>1237</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123</v>
      </c>
      <c r="C139" s="2" t="s">
        <v>126</v>
      </c>
      <c r="D139" s="2" t="s">
        <v>1238</v>
      </c>
      <c r="E139" s="2" t="s">
        <v>737</v>
      </c>
      <c r="F139" s="2" t="s">
        <v>761</v>
      </c>
      <c r="G139" s="2" t="s">
        <v>1239</v>
      </c>
      <c r="H139" s="2" t="s">
        <v>1240</v>
      </c>
      <c r="I139" s="2" t="s">
        <v>990</v>
      </c>
      <c r="J139" s="2" t="s">
        <v>1241</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123</v>
      </c>
      <c r="C140" s="2" t="s">
        <v>126</v>
      </c>
      <c r="D140" s="2" t="s">
        <v>1242</v>
      </c>
      <c r="E140" s="2" t="s">
        <v>737</v>
      </c>
      <c r="F140" s="2" t="s">
        <v>761</v>
      </c>
      <c r="G140" s="2" t="s">
        <v>1239</v>
      </c>
      <c r="H140" s="2" t="s">
        <v>1243</v>
      </c>
      <c r="I140" s="2" t="s">
        <v>990</v>
      </c>
      <c r="J140" s="2" t="s">
        <v>1244</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123</v>
      </c>
      <c r="C141" s="2" t="s">
        <v>126</v>
      </c>
      <c r="D141" s="2" t="s">
        <v>1245</v>
      </c>
      <c r="E141" s="2" t="s">
        <v>737</v>
      </c>
      <c r="F141" s="2" t="s">
        <v>761</v>
      </c>
      <c r="G141" s="2" t="s">
        <v>1246</v>
      </c>
      <c r="H141" s="2" t="s">
        <v>1247</v>
      </c>
      <c r="I141" s="2" t="s">
        <v>990</v>
      </c>
      <c r="J141" s="2" t="s">
        <v>1248</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123</v>
      </c>
      <c r="C142" s="2" t="s">
        <v>126</v>
      </c>
      <c r="D142" s="2" t="s">
        <v>1249</v>
      </c>
      <c r="E142" s="2" t="s">
        <v>737</v>
      </c>
      <c r="F142" s="2" t="s">
        <v>761</v>
      </c>
      <c r="G142" s="2" t="s">
        <v>1250</v>
      </c>
      <c r="H142" s="2" t="s">
        <v>1251</v>
      </c>
      <c r="I142" s="2" t="s">
        <v>990</v>
      </c>
      <c r="J142" s="2" t="s">
        <v>1252</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123</v>
      </c>
      <c r="C143" s="2" t="s">
        <v>126</v>
      </c>
      <c r="D143" s="2" t="s">
        <v>1253</v>
      </c>
      <c r="E143" s="2" t="s">
        <v>737</v>
      </c>
      <c r="F143" s="2" t="s">
        <v>761</v>
      </c>
      <c r="G143" s="2" t="s">
        <v>1254</v>
      </c>
      <c r="H143" s="2" t="s">
        <v>1255</v>
      </c>
      <c r="I143" s="2" t="s">
        <v>990</v>
      </c>
      <c r="J143" s="2" t="s">
        <v>1256</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123</v>
      </c>
      <c r="C144" s="2" t="s">
        <v>126</v>
      </c>
      <c r="D144" s="2" t="s">
        <v>1257</v>
      </c>
      <c r="E144" s="2" t="s">
        <v>737</v>
      </c>
      <c r="F144" s="2" t="s">
        <v>761</v>
      </c>
      <c r="G144" s="2" t="s">
        <v>1254</v>
      </c>
      <c r="H144" s="2" t="s">
        <v>1258</v>
      </c>
      <c r="I144" s="2" t="s">
        <v>990</v>
      </c>
      <c r="J144" s="2" t="s">
        <v>1259</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123</v>
      </c>
      <c r="C145" s="2" t="s">
        <v>126</v>
      </c>
      <c r="D145" s="2" t="s">
        <v>1260</v>
      </c>
      <c r="E145" s="2" t="s">
        <v>737</v>
      </c>
      <c r="F145" s="2" t="s">
        <v>761</v>
      </c>
      <c r="G145" s="2" t="s">
        <v>1261</v>
      </c>
      <c r="H145" s="2" t="s">
        <v>1262</v>
      </c>
      <c r="I145" s="2" t="s">
        <v>990</v>
      </c>
      <c r="J145" s="2" t="s">
        <v>1263</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123</v>
      </c>
      <c r="C146" s="2" t="s">
        <v>126</v>
      </c>
      <c r="D146" s="2" t="s">
        <v>1264</v>
      </c>
      <c r="E146" s="2" t="s">
        <v>737</v>
      </c>
      <c r="F146" s="2" t="s">
        <v>761</v>
      </c>
      <c r="G146" s="2" t="s">
        <v>1261</v>
      </c>
      <c r="H146" s="2" t="s">
        <v>1265</v>
      </c>
      <c r="I146" s="2" t="s">
        <v>990</v>
      </c>
      <c r="J146" s="2" t="s">
        <v>1266</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123</v>
      </c>
      <c r="C147" s="2" t="s">
        <v>126</v>
      </c>
      <c r="D147" s="2" t="s">
        <v>1267</v>
      </c>
      <c r="E147" s="2" t="s">
        <v>737</v>
      </c>
      <c r="F147" s="2" t="s">
        <v>761</v>
      </c>
      <c r="G147" s="2" t="s">
        <v>1261</v>
      </c>
      <c r="H147" s="2" t="s">
        <v>1268</v>
      </c>
      <c r="I147" s="2" t="s">
        <v>990</v>
      </c>
      <c r="J147" s="2" t="s">
        <v>1269</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123</v>
      </c>
      <c r="C148" s="2" t="s">
        <v>126</v>
      </c>
      <c r="D148" s="2" t="s">
        <v>1270</v>
      </c>
      <c r="E148" s="2" t="s">
        <v>737</v>
      </c>
      <c r="F148" s="2" t="s">
        <v>761</v>
      </c>
      <c r="G148" s="2" t="s">
        <v>1261</v>
      </c>
      <c r="H148" s="2" t="s">
        <v>1271</v>
      </c>
      <c r="I148" s="2" t="s">
        <v>990</v>
      </c>
      <c r="J148" s="2" t="s">
        <v>1272</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123</v>
      </c>
      <c r="C149" s="2" t="s">
        <v>126</v>
      </c>
      <c r="D149" s="2" t="s">
        <v>1273</v>
      </c>
      <c r="E149" s="2" t="s">
        <v>737</v>
      </c>
      <c r="F149" s="2" t="s">
        <v>761</v>
      </c>
      <c r="G149" s="2" t="s">
        <v>1274</v>
      </c>
      <c r="H149" s="2" t="s">
        <v>1275</v>
      </c>
      <c r="I149" s="2" t="s">
        <v>990</v>
      </c>
      <c r="J149" s="2" t="s">
        <v>1276</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123</v>
      </c>
      <c r="C150" s="2" t="s">
        <v>126</v>
      </c>
      <c r="D150" s="2" t="s">
        <v>1277</v>
      </c>
      <c r="E150" s="2" t="s">
        <v>737</v>
      </c>
      <c r="F150" s="2" t="s">
        <v>761</v>
      </c>
      <c r="G150" s="2" t="s">
        <v>1274</v>
      </c>
      <c r="H150" s="2" t="s">
        <v>1278</v>
      </c>
      <c r="I150" s="2" t="s">
        <v>990</v>
      </c>
      <c r="J150" s="2" t="s">
        <v>1279</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123</v>
      </c>
      <c r="C151" s="2" t="s">
        <v>126</v>
      </c>
      <c r="D151" s="2" t="s">
        <v>1280</v>
      </c>
      <c r="E151" s="2" t="s">
        <v>737</v>
      </c>
      <c r="F151" s="2" t="s">
        <v>738</v>
      </c>
      <c r="G151" s="2" t="s">
        <v>1281</v>
      </c>
      <c r="H151" s="2" t="s">
        <v>1282</v>
      </c>
      <c r="I151" s="2" t="s">
        <v>716</v>
      </c>
      <c r="J151" s="2" t="s">
        <v>1283</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123</v>
      </c>
      <c r="C152" s="2" t="s">
        <v>126</v>
      </c>
      <c r="D152" s="2" t="s">
        <v>1284</v>
      </c>
      <c r="E152" s="2" t="s">
        <v>737</v>
      </c>
      <c r="F152" s="2" t="s">
        <v>761</v>
      </c>
      <c r="G152" s="2" t="s">
        <v>1285</v>
      </c>
      <c r="H152" s="2" t="s">
        <v>1286</v>
      </c>
      <c r="I152" s="2" t="s">
        <v>990</v>
      </c>
      <c r="J152" s="2" t="s">
        <v>1287</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123</v>
      </c>
      <c r="C153" s="2" t="s">
        <v>126</v>
      </c>
      <c r="D153" s="2" t="s">
        <v>1288</v>
      </c>
      <c r="E153" s="2" t="s">
        <v>737</v>
      </c>
      <c r="F153" s="2" t="s">
        <v>761</v>
      </c>
      <c r="G153" s="2" t="s">
        <v>1289</v>
      </c>
      <c r="H153" s="2" t="s">
        <v>1290</v>
      </c>
      <c r="I153" s="2" t="s">
        <v>990</v>
      </c>
      <c r="J153" s="2" t="s">
        <v>1291</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123</v>
      </c>
      <c r="C154" s="2" t="s">
        <v>126</v>
      </c>
      <c r="D154" s="2" t="s">
        <v>1292</v>
      </c>
      <c r="E154" s="2" t="s">
        <v>737</v>
      </c>
      <c r="F154" s="2" t="s">
        <v>761</v>
      </c>
      <c r="G154" s="2" t="s">
        <v>1293</v>
      </c>
      <c r="H154" s="2" t="s">
        <v>1294</v>
      </c>
      <c r="I154" s="2" t="s">
        <v>990</v>
      </c>
      <c r="J154" s="2" t="s">
        <v>1295</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123</v>
      </c>
      <c r="C155" s="2" t="s">
        <v>126</v>
      </c>
      <c r="D155" s="2" t="s">
        <v>1296</v>
      </c>
      <c r="E155" s="2" t="s">
        <v>737</v>
      </c>
      <c r="F155" s="2" t="s">
        <v>761</v>
      </c>
      <c r="G155" s="2" t="s">
        <v>1297</v>
      </c>
      <c r="H155" s="2" t="s">
        <v>1298</v>
      </c>
      <c r="I155" s="2" t="s">
        <v>990</v>
      </c>
      <c r="J155" s="2" t="s">
        <v>1299</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123</v>
      </c>
      <c r="C156" s="2" t="s">
        <v>126</v>
      </c>
      <c r="D156" s="2" t="s">
        <v>1300</v>
      </c>
      <c r="E156" s="2" t="s">
        <v>737</v>
      </c>
      <c r="F156" s="2" t="s">
        <v>761</v>
      </c>
      <c r="G156" s="2" t="s">
        <v>1297</v>
      </c>
      <c r="H156" s="2" t="s">
        <v>1301</v>
      </c>
      <c r="I156" s="2" t="s">
        <v>990</v>
      </c>
      <c r="J156" s="2" t="s">
        <v>1302</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123</v>
      </c>
      <c r="C157" s="2" t="s">
        <v>126</v>
      </c>
      <c r="D157" s="2" t="s">
        <v>1303</v>
      </c>
      <c r="E157" s="2" t="s">
        <v>737</v>
      </c>
      <c r="F157" s="2" t="s">
        <v>761</v>
      </c>
      <c r="G157" s="2" t="s">
        <v>1304</v>
      </c>
      <c r="H157" s="2" t="s">
        <v>1305</v>
      </c>
      <c r="I157" s="2" t="s">
        <v>990</v>
      </c>
      <c r="J157" s="2" t="s">
        <v>1306</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123</v>
      </c>
      <c r="C158" s="2" t="s">
        <v>126</v>
      </c>
      <c r="D158" s="2" t="s">
        <v>1307</v>
      </c>
      <c r="E158" s="2" t="s">
        <v>737</v>
      </c>
      <c r="F158" s="2" t="s">
        <v>761</v>
      </c>
      <c r="G158" s="2" t="s">
        <v>1308</v>
      </c>
      <c r="H158" s="2" t="s">
        <v>1309</v>
      </c>
      <c r="I158" s="2" t="s">
        <v>990</v>
      </c>
      <c r="J158" s="2" t="s">
        <v>1310</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123</v>
      </c>
      <c r="C159" s="2" t="s">
        <v>126</v>
      </c>
      <c r="D159" s="2" t="s">
        <v>1311</v>
      </c>
      <c r="E159" s="2" t="s">
        <v>737</v>
      </c>
      <c r="F159" s="2" t="s">
        <v>761</v>
      </c>
      <c r="G159" s="2" t="s">
        <v>1312</v>
      </c>
      <c r="H159" s="2" t="s">
        <v>1313</v>
      </c>
      <c r="I159" s="2" t="s">
        <v>990</v>
      </c>
      <c r="J159" s="2" t="s">
        <v>1314</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123</v>
      </c>
      <c r="C160" s="2" t="s">
        <v>126</v>
      </c>
      <c r="D160" s="2" t="s">
        <v>1315</v>
      </c>
      <c r="E160" s="2" t="s">
        <v>737</v>
      </c>
      <c r="F160" s="2" t="s">
        <v>761</v>
      </c>
      <c r="G160" s="2" t="s">
        <v>1316</v>
      </c>
      <c r="H160" s="2" t="s">
        <v>1317</v>
      </c>
      <c r="I160" s="2" t="s">
        <v>990</v>
      </c>
      <c r="J160" s="2" t="s">
        <v>1318</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123</v>
      </c>
      <c r="C161" s="2" t="s">
        <v>126</v>
      </c>
      <c r="D161" s="2" t="s">
        <v>1319</v>
      </c>
      <c r="E161" s="2" t="s">
        <v>737</v>
      </c>
      <c r="F161" s="2" t="s">
        <v>761</v>
      </c>
      <c r="G161" s="2" t="s">
        <v>1316</v>
      </c>
      <c r="H161" s="2" t="s">
        <v>1320</v>
      </c>
      <c r="I161" s="2" t="s">
        <v>990</v>
      </c>
      <c r="J161" s="2" t="s">
        <v>1321</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123</v>
      </c>
      <c r="C162" s="2" t="s">
        <v>126</v>
      </c>
      <c r="D162" s="2" t="s">
        <v>1322</v>
      </c>
      <c r="E162" s="2" t="s">
        <v>737</v>
      </c>
      <c r="F162" s="2" t="s">
        <v>761</v>
      </c>
      <c r="G162" s="2" t="s">
        <v>1316</v>
      </c>
      <c r="H162" s="2" t="s">
        <v>1323</v>
      </c>
      <c r="I162" s="2" t="s">
        <v>990</v>
      </c>
      <c r="J162" s="2" t="s">
        <v>1324</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123</v>
      </c>
      <c r="C163" s="2" t="s">
        <v>126</v>
      </c>
      <c r="D163" s="2" t="s">
        <v>1325</v>
      </c>
      <c r="E163" s="2" t="s">
        <v>737</v>
      </c>
      <c r="F163" s="2" t="s">
        <v>761</v>
      </c>
      <c r="G163" s="2" t="s">
        <v>1316</v>
      </c>
      <c r="H163" s="2" t="s">
        <v>1326</v>
      </c>
      <c r="I163" s="2" t="s">
        <v>990</v>
      </c>
      <c r="J163" s="2" t="s">
        <v>1327</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123</v>
      </c>
      <c r="C164" s="2" t="s">
        <v>126</v>
      </c>
      <c r="D164" s="2" t="s">
        <v>1328</v>
      </c>
      <c r="E164" s="2" t="s">
        <v>737</v>
      </c>
      <c r="F164" s="2" t="s">
        <v>761</v>
      </c>
      <c r="G164" s="2" t="s">
        <v>1329</v>
      </c>
      <c r="H164" s="2" t="s">
        <v>1330</v>
      </c>
      <c r="I164" s="2" t="s">
        <v>990</v>
      </c>
      <c r="J164" s="2" t="s">
        <v>1331</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123</v>
      </c>
      <c r="C165" s="2" t="s">
        <v>126</v>
      </c>
      <c r="D165" s="2" t="s">
        <v>1332</v>
      </c>
      <c r="E165" s="2" t="s">
        <v>737</v>
      </c>
      <c r="F165" s="2" t="s">
        <v>761</v>
      </c>
      <c r="G165" s="2" t="s">
        <v>1333</v>
      </c>
      <c r="H165" s="2" t="s">
        <v>1334</v>
      </c>
      <c r="I165" s="2" t="s">
        <v>990</v>
      </c>
      <c r="J165" s="2" t="s">
        <v>1335</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123</v>
      </c>
      <c r="C166" s="2" t="s">
        <v>126</v>
      </c>
      <c r="D166" s="2" t="s">
        <v>1336</v>
      </c>
      <c r="E166" s="2" t="s">
        <v>737</v>
      </c>
      <c r="F166" s="2" t="s">
        <v>761</v>
      </c>
      <c r="G166" s="2" t="s">
        <v>1333</v>
      </c>
      <c r="H166" s="2" t="s">
        <v>1337</v>
      </c>
      <c r="I166" s="2" t="s">
        <v>990</v>
      </c>
      <c r="J166" s="2" t="s">
        <v>1338</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123</v>
      </c>
      <c r="C167" s="2" t="s">
        <v>126</v>
      </c>
      <c r="D167" s="2" t="s">
        <v>1339</v>
      </c>
      <c r="E167" s="2" t="s">
        <v>737</v>
      </c>
      <c r="F167" s="2" t="s">
        <v>761</v>
      </c>
      <c r="G167" s="2" t="s">
        <v>1333</v>
      </c>
      <c r="H167" s="2" t="s">
        <v>1340</v>
      </c>
      <c r="I167" s="2" t="s">
        <v>990</v>
      </c>
      <c r="J167" s="2" t="s">
        <v>1341</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123</v>
      </c>
      <c r="C168" s="2" t="s">
        <v>126</v>
      </c>
      <c r="D168" s="2" t="s">
        <v>1342</v>
      </c>
      <c r="E168" s="2" t="s">
        <v>737</v>
      </c>
      <c r="F168" s="2" t="s">
        <v>761</v>
      </c>
      <c r="G168" s="2" t="s">
        <v>1333</v>
      </c>
      <c r="H168" s="2" t="s">
        <v>1343</v>
      </c>
      <c r="I168" s="2" t="s">
        <v>990</v>
      </c>
      <c r="J168" s="2" t="s">
        <v>1344</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123</v>
      </c>
      <c r="C169" s="2" t="s">
        <v>126</v>
      </c>
      <c r="D169" s="2" t="s">
        <v>1345</v>
      </c>
      <c r="E169" s="2" t="s">
        <v>737</v>
      </c>
      <c r="F169" s="2" t="s">
        <v>761</v>
      </c>
      <c r="G169" s="2" t="s">
        <v>1333</v>
      </c>
      <c r="H169" s="2" t="s">
        <v>1346</v>
      </c>
      <c r="I169" s="2" t="s">
        <v>990</v>
      </c>
      <c r="J169" s="2" t="s">
        <v>1347</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123</v>
      </c>
      <c r="C170" s="2" t="s">
        <v>126</v>
      </c>
      <c r="D170" s="2" t="s">
        <v>1348</v>
      </c>
      <c r="E170" s="2" t="s">
        <v>737</v>
      </c>
      <c r="F170" s="2" t="s">
        <v>738</v>
      </c>
      <c r="G170" s="2" t="s">
        <v>1333</v>
      </c>
      <c r="H170" s="2" t="s">
        <v>1349</v>
      </c>
      <c r="I170" s="2" t="s">
        <v>716</v>
      </c>
      <c r="J170" s="2" t="s">
        <v>1350</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123</v>
      </c>
      <c r="C171" s="2" t="s">
        <v>126</v>
      </c>
      <c r="D171" s="2" t="s">
        <v>1351</v>
      </c>
      <c r="E171" s="2" t="s">
        <v>737</v>
      </c>
      <c r="F171" s="2" t="s">
        <v>761</v>
      </c>
      <c r="G171" s="2" t="s">
        <v>1352</v>
      </c>
      <c r="H171" s="2" t="s">
        <v>1353</v>
      </c>
      <c r="I171" s="2" t="s">
        <v>990</v>
      </c>
      <c r="J171" s="2" t="s">
        <v>1354</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123</v>
      </c>
      <c r="C172" s="2" t="s">
        <v>126</v>
      </c>
      <c r="D172" s="2" t="s">
        <v>1355</v>
      </c>
      <c r="E172" s="2" t="s">
        <v>737</v>
      </c>
      <c r="F172" s="2" t="s">
        <v>761</v>
      </c>
      <c r="G172" s="2" t="s">
        <v>1352</v>
      </c>
      <c r="H172" s="2" t="s">
        <v>1356</v>
      </c>
      <c r="I172" s="2" t="s">
        <v>990</v>
      </c>
      <c r="J172" s="2" t="s">
        <v>1357</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123</v>
      </c>
      <c r="C173" s="2" t="s">
        <v>126</v>
      </c>
      <c r="D173" s="2" t="s">
        <v>1358</v>
      </c>
      <c r="E173" s="2" t="s">
        <v>737</v>
      </c>
      <c r="F173" s="2" t="s">
        <v>761</v>
      </c>
      <c r="G173" s="2" t="s">
        <v>1359</v>
      </c>
      <c r="H173" s="2" t="s">
        <v>1360</v>
      </c>
      <c r="I173" s="2" t="s">
        <v>990</v>
      </c>
      <c r="J173" s="2" t="s">
        <v>1361</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123</v>
      </c>
      <c r="C174" s="2" t="s">
        <v>126</v>
      </c>
      <c r="D174" s="2" t="s">
        <v>1362</v>
      </c>
      <c r="E174" s="2" t="s">
        <v>737</v>
      </c>
      <c r="F174" s="2" t="s">
        <v>761</v>
      </c>
      <c r="G174" s="2" t="s">
        <v>1359</v>
      </c>
      <c r="H174" s="2" t="s">
        <v>1363</v>
      </c>
      <c r="I174" s="2" t="s">
        <v>990</v>
      </c>
      <c r="J174" s="2" t="s">
        <v>1364</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123</v>
      </c>
      <c r="C175" s="2" t="s">
        <v>126</v>
      </c>
      <c r="D175" s="2" t="s">
        <v>1365</v>
      </c>
      <c r="E175" s="2" t="s">
        <v>737</v>
      </c>
      <c r="F175" s="2" t="s">
        <v>761</v>
      </c>
      <c r="G175" s="2" t="s">
        <v>1366</v>
      </c>
      <c r="H175" s="2" t="s">
        <v>1367</v>
      </c>
      <c r="I175" s="2" t="s">
        <v>990</v>
      </c>
      <c r="J175" s="2" t="s">
        <v>1368</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123</v>
      </c>
      <c r="C176" s="2" t="s">
        <v>126</v>
      </c>
      <c r="D176" s="2" t="s">
        <v>1369</v>
      </c>
      <c r="E176" s="2" t="s">
        <v>737</v>
      </c>
      <c r="F176" s="2" t="s">
        <v>761</v>
      </c>
      <c r="G176" s="2" t="s">
        <v>1366</v>
      </c>
      <c r="H176" s="2" t="s">
        <v>1370</v>
      </c>
      <c r="I176" s="2" t="s">
        <v>990</v>
      </c>
      <c r="J176" s="2" t="s">
        <v>1371</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123</v>
      </c>
      <c r="C177" s="2" t="s">
        <v>126</v>
      </c>
      <c r="D177" s="2" t="s">
        <v>1372</v>
      </c>
      <c r="E177" s="2" t="s">
        <v>737</v>
      </c>
      <c r="F177" s="2" t="s">
        <v>761</v>
      </c>
      <c r="G177" s="2" t="s">
        <v>1373</v>
      </c>
      <c r="H177" s="2" t="s">
        <v>1374</v>
      </c>
      <c r="I177" s="2" t="s">
        <v>990</v>
      </c>
      <c r="J177" s="2" t="s">
        <v>1375</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123</v>
      </c>
      <c r="C178" s="2" t="s">
        <v>126</v>
      </c>
      <c r="D178" s="2" t="s">
        <v>1376</v>
      </c>
      <c r="E178" s="2" t="s">
        <v>737</v>
      </c>
      <c r="F178" s="2" t="s">
        <v>761</v>
      </c>
      <c r="G178" s="2" t="s">
        <v>1373</v>
      </c>
      <c r="H178" s="2" t="s">
        <v>1377</v>
      </c>
      <c r="I178" s="2" t="s">
        <v>990</v>
      </c>
      <c r="J178" s="2" t="s">
        <v>1378</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123</v>
      </c>
      <c r="C179" s="2" t="s">
        <v>126</v>
      </c>
      <c r="D179" s="2" t="s">
        <v>1379</v>
      </c>
      <c r="E179" s="2" t="s">
        <v>737</v>
      </c>
      <c r="F179" s="2" t="s">
        <v>761</v>
      </c>
      <c r="G179" s="2" t="s">
        <v>1373</v>
      </c>
      <c r="H179" s="2" t="s">
        <v>1380</v>
      </c>
      <c r="I179" s="2" t="s">
        <v>990</v>
      </c>
      <c r="J179" s="2" t="s">
        <v>1381</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123</v>
      </c>
      <c r="C180" s="2" t="s">
        <v>126</v>
      </c>
      <c r="D180" s="2" t="s">
        <v>1382</v>
      </c>
      <c r="E180" s="2" t="s">
        <v>737</v>
      </c>
      <c r="F180" s="2" t="s">
        <v>761</v>
      </c>
      <c r="G180" s="2" t="s">
        <v>1383</v>
      </c>
      <c r="H180" s="2" t="s">
        <v>1384</v>
      </c>
      <c r="I180" s="2" t="s">
        <v>990</v>
      </c>
      <c r="J180" s="2" t="s">
        <v>1385</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123</v>
      </c>
      <c r="C181" s="2" t="s">
        <v>126</v>
      </c>
      <c r="D181" s="2" t="s">
        <v>1386</v>
      </c>
      <c r="E181" s="2" t="s">
        <v>737</v>
      </c>
      <c r="F181" s="2" t="s">
        <v>738</v>
      </c>
      <c r="G181" s="2" t="s">
        <v>1387</v>
      </c>
      <c r="H181" s="2" t="s">
        <v>1388</v>
      </c>
      <c r="I181" s="2" t="s">
        <v>716</v>
      </c>
      <c r="J181" s="2" t="s">
        <v>1389</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123</v>
      </c>
      <c r="C182" s="2" t="s">
        <v>126</v>
      </c>
      <c r="D182" s="2" t="s">
        <v>1390</v>
      </c>
      <c r="E182" s="2" t="s">
        <v>737</v>
      </c>
      <c r="F182" s="2" t="s">
        <v>761</v>
      </c>
      <c r="G182" s="2" t="s">
        <v>1391</v>
      </c>
      <c r="H182" s="2" t="s">
        <v>1392</v>
      </c>
      <c r="I182" s="2" t="s">
        <v>990</v>
      </c>
      <c r="J182" s="2" t="s">
        <v>1393</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123</v>
      </c>
      <c r="C183" s="2" t="s">
        <v>126</v>
      </c>
      <c r="D183" s="2" t="s">
        <v>1394</v>
      </c>
      <c r="E183" s="2" t="s">
        <v>737</v>
      </c>
      <c r="F183" s="2" t="s">
        <v>761</v>
      </c>
      <c r="G183" s="2" t="s">
        <v>1395</v>
      </c>
      <c r="H183" s="2" t="s">
        <v>1396</v>
      </c>
      <c r="I183" s="2" t="s">
        <v>990</v>
      </c>
      <c r="J183" s="2" t="s">
        <v>1397</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123</v>
      </c>
      <c r="C184" s="2" t="s">
        <v>126</v>
      </c>
      <c r="D184" s="2" t="s">
        <v>1398</v>
      </c>
      <c r="E184" s="2" t="s">
        <v>737</v>
      </c>
      <c r="F184" s="2" t="s">
        <v>761</v>
      </c>
      <c r="G184" s="2" t="s">
        <v>1399</v>
      </c>
      <c r="H184" s="2" t="s">
        <v>1400</v>
      </c>
      <c r="I184" s="2" t="s">
        <v>990</v>
      </c>
      <c r="J184" s="2" t="s">
        <v>1401</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123</v>
      </c>
      <c r="C185" s="2" t="s">
        <v>126</v>
      </c>
      <c r="D185" s="2" t="s">
        <v>1402</v>
      </c>
      <c r="E185" s="2" t="s">
        <v>737</v>
      </c>
      <c r="F185" s="2" t="s">
        <v>761</v>
      </c>
      <c r="G185" s="2" t="s">
        <v>1399</v>
      </c>
      <c r="H185" s="2" t="s">
        <v>1403</v>
      </c>
      <c r="I185" s="2" t="s">
        <v>990</v>
      </c>
      <c r="J185" s="2" t="s">
        <v>1404</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123</v>
      </c>
      <c r="C186" s="2" t="s">
        <v>126</v>
      </c>
      <c r="D186" s="2" t="s">
        <v>1405</v>
      </c>
      <c r="E186" s="2" t="s">
        <v>737</v>
      </c>
      <c r="F186" s="2" t="s">
        <v>761</v>
      </c>
      <c r="G186" s="2" t="s">
        <v>1406</v>
      </c>
      <c r="H186" s="2" t="s">
        <v>1407</v>
      </c>
      <c r="I186" s="2" t="s">
        <v>990</v>
      </c>
      <c r="J186" s="2" t="s">
        <v>1408</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123</v>
      </c>
      <c r="C187" s="2" t="s">
        <v>126</v>
      </c>
      <c r="D187" s="2" t="s">
        <v>1409</v>
      </c>
      <c r="E187" s="2" t="s">
        <v>737</v>
      </c>
      <c r="F187" s="2" t="s">
        <v>761</v>
      </c>
      <c r="G187" s="2" t="s">
        <v>1410</v>
      </c>
      <c r="H187" s="2" t="s">
        <v>1411</v>
      </c>
      <c r="I187" s="2" t="s">
        <v>990</v>
      </c>
      <c r="J187" s="2" t="s">
        <v>1412</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123</v>
      </c>
      <c r="C188" s="2" t="s">
        <v>126</v>
      </c>
      <c r="D188" s="2" t="s">
        <v>1413</v>
      </c>
      <c r="E188" s="2" t="s">
        <v>737</v>
      </c>
      <c r="F188" s="2" t="s">
        <v>738</v>
      </c>
      <c r="G188" s="2" t="s">
        <v>1414</v>
      </c>
      <c r="H188" s="2" t="s">
        <v>1415</v>
      </c>
      <c r="I188" s="2" t="s">
        <v>716</v>
      </c>
      <c r="J188" s="2" t="s">
        <v>1416</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123</v>
      </c>
      <c r="C189" s="2" t="s">
        <v>126</v>
      </c>
      <c r="D189" s="2" t="s">
        <v>1417</v>
      </c>
      <c r="E189" s="2" t="s">
        <v>737</v>
      </c>
      <c r="F189" s="2" t="s">
        <v>761</v>
      </c>
      <c r="G189" s="2" t="s">
        <v>1418</v>
      </c>
      <c r="H189" s="2" t="s">
        <v>1419</v>
      </c>
      <c r="I189" s="2" t="s">
        <v>990</v>
      </c>
      <c r="J189" s="2" t="s">
        <v>1420</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123</v>
      </c>
      <c r="C190" s="2" t="s">
        <v>126</v>
      </c>
      <c r="D190" s="2" t="s">
        <v>1421</v>
      </c>
      <c r="E190" s="2" t="s">
        <v>737</v>
      </c>
      <c r="F190" s="2" t="s">
        <v>761</v>
      </c>
      <c r="G190" s="2" t="s">
        <v>1422</v>
      </c>
      <c r="H190" s="2" t="s">
        <v>1423</v>
      </c>
      <c r="I190" s="2" t="s">
        <v>990</v>
      </c>
      <c r="J190" s="2" t="s">
        <v>1424</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123</v>
      </c>
      <c r="C191" s="2" t="s">
        <v>126</v>
      </c>
      <c r="D191" s="2" t="s">
        <v>1425</v>
      </c>
      <c r="E191" s="2" t="s">
        <v>737</v>
      </c>
      <c r="F191" s="2" t="s">
        <v>761</v>
      </c>
      <c r="G191" s="2" t="s">
        <v>1426</v>
      </c>
      <c r="H191" s="2" t="s">
        <v>1427</v>
      </c>
      <c r="I191" s="2" t="s">
        <v>990</v>
      </c>
      <c r="J191" s="2" t="s">
        <v>1428</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123</v>
      </c>
      <c r="C192" s="2" t="s">
        <v>126</v>
      </c>
      <c r="D192" s="2" t="s">
        <v>1429</v>
      </c>
      <c r="E192" s="2" t="s">
        <v>737</v>
      </c>
      <c r="F192" s="2" t="s">
        <v>761</v>
      </c>
      <c r="G192" s="2" t="s">
        <v>1426</v>
      </c>
      <c r="H192" s="2" t="s">
        <v>1430</v>
      </c>
      <c r="I192" s="2" t="s">
        <v>990</v>
      </c>
      <c r="J192" s="2" t="s">
        <v>1431</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123</v>
      </c>
      <c r="C193" s="2" t="s">
        <v>126</v>
      </c>
      <c r="D193" s="2" t="s">
        <v>1432</v>
      </c>
      <c r="E193" s="2" t="s">
        <v>737</v>
      </c>
      <c r="F193" s="2" t="s">
        <v>761</v>
      </c>
      <c r="G193" s="2" t="s">
        <v>1426</v>
      </c>
      <c r="H193" s="2" t="s">
        <v>1433</v>
      </c>
      <c r="I193" s="2" t="s">
        <v>990</v>
      </c>
      <c r="J193" s="2" t="s">
        <v>1434</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123</v>
      </c>
      <c r="C194" s="2" t="s">
        <v>126</v>
      </c>
      <c r="D194" s="2" t="s">
        <v>1435</v>
      </c>
      <c r="E194" s="2" t="s">
        <v>737</v>
      </c>
      <c r="F194" s="2" t="s">
        <v>761</v>
      </c>
      <c r="G194" s="2" t="s">
        <v>1436</v>
      </c>
      <c r="H194" s="2" t="s">
        <v>1437</v>
      </c>
      <c r="I194" s="2" t="s">
        <v>990</v>
      </c>
      <c r="J194" s="2" t="s">
        <v>1438</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123</v>
      </c>
      <c r="C195" s="2" t="s">
        <v>126</v>
      </c>
      <c r="D195" s="2" t="s">
        <v>1439</v>
      </c>
      <c r="E195" s="2" t="s">
        <v>737</v>
      </c>
      <c r="F195" s="2" t="s">
        <v>761</v>
      </c>
      <c r="G195" s="2" t="s">
        <v>1440</v>
      </c>
      <c r="H195" s="2" t="s">
        <v>1441</v>
      </c>
      <c r="I195" s="2" t="s">
        <v>990</v>
      </c>
      <c r="J195" s="2" t="s">
        <v>1442</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123</v>
      </c>
      <c r="C196" s="2" t="s">
        <v>126</v>
      </c>
      <c r="D196" s="2" t="s">
        <v>1443</v>
      </c>
      <c r="E196" s="2" t="s">
        <v>737</v>
      </c>
      <c r="F196" s="2" t="s">
        <v>761</v>
      </c>
      <c r="G196" s="2" t="s">
        <v>1440</v>
      </c>
      <c r="H196" s="2" t="s">
        <v>1444</v>
      </c>
      <c r="I196" s="2" t="s">
        <v>990</v>
      </c>
      <c r="J196" s="2" t="s">
        <v>1445</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123</v>
      </c>
      <c r="C197" s="2" t="s">
        <v>126</v>
      </c>
      <c r="D197" s="2" t="s">
        <v>1446</v>
      </c>
      <c r="E197" s="2" t="s">
        <v>737</v>
      </c>
      <c r="F197" s="2" t="s">
        <v>761</v>
      </c>
      <c r="G197" s="2" t="s">
        <v>1447</v>
      </c>
      <c r="H197" s="2" t="s">
        <v>1448</v>
      </c>
      <c r="I197" s="2" t="s">
        <v>990</v>
      </c>
      <c r="J197" s="2" t="s">
        <v>1449</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123</v>
      </c>
      <c r="C198" s="2" t="s">
        <v>126</v>
      </c>
      <c r="D198" s="2" t="s">
        <v>1450</v>
      </c>
      <c r="E198" s="2" t="s">
        <v>737</v>
      </c>
      <c r="F198" s="2" t="s">
        <v>761</v>
      </c>
      <c r="G198" s="2" t="s">
        <v>1451</v>
      </c>
      <c r="H198" s="2" t="s">
        <v>1452</v>
      </c>
      <c r="I198" s="2" t="s">
        <v>990</v>
      </c>
      <c r="J198" s="2" t="s">
        <v>1453</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123</v>
      </c>
      <c r="C199" s="2" t="s">
        <v>126</v>
      </c>
      <c r="D199" s="2" t="s">
        <v>1454</v>
      </c>
      <c r="E199" s="2" t="s">
        <v>737</v>
      </c>
      <c r="F199" s="2" t="s">
        <v>761</v>
      </c>
      <c r="G199" s="2" t="s">
        <v>1455</v>
      </c>
      <c r="H199" s="2" t="s">
        <v>1456</v>
      </c>
      <c r="I199" s="2" t="s">
        <v>990</v>
      </c>
      <c r="J199" s="2" t="s">
        <v>1457</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123</v>
      </c>
      <c r="C200" s="2" t="s">
        <v>126</v>
      </c>
      <c r="D200" s="2" t="s">
        <v>1458</v>
      </c>
      <c r="E200" s="2" t="s">
        <v>737</v>
      </c>
      <c r="F200" s="2" t="s">
        <v>761</v>
      </c>
      <c r="G200" s="2" t="s">
        <v>1459</v>
      </c>
      <c r="H200" s="2" t="s">
        <v>1460</v>
      </c>
      <c r="I200" s="2" t="s">
        <v>990</v>
      </c>
      <c r="J200" s="2" t="s">
        <v>1461</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123</v>
      </c>
      <c r="C201" s="2" t="s">
        <v>126</v>
      </c>
      <c r="D201" s="2" t="s">
        <v>1462</v>
      </c>
      <c r="E201" s="2" t="s">
        <v>737</v>
      </c>
      <c r="F201" s="2" t="s">
        <v>761</v>
      </c>
      <c r="G201" s="2" t="s">
        <v>1463</v>
      </c>
      <c r="H201" s="2" t="s">
        <v>1464</v>
      </c>
      <c r="I201" s="2" t="s">
        <v>990</v>
      </c>
      <c r="J201" s="2" t="s">
        <v>1465</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123</v>
      </c>
      <c r="C202" s="2" t="s">
        <v>126</v>
      </c>
      <c r="D202" s="2" t="s">
        <v>1466</v>
      </c>
      <c r="E202" s="2" t="s">
        <v>737</v>
      </c>
      <c r="F202" s="2" t="s">
        <v>761</v>
      </c>
      <c r="G202" s="2" t="s">
        <v>1467</v>
      </c>
      <c r="H202" s="2" t="s">
        <v>1468</v>
      </c>
      <c r="I202" s="2" t="s">
        <v>716</v>
      </c>
      <c r="J202" s="2" t="s">
        <v>1469</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123</v>
      </c>
      <c r="C203" s="2" t="s">
        <v>126</v>
      </c>
      <c r="D203" s="2" t="s">
        <v>1470</v>
      </c>
      <c r="E203" s="2" t="s">
        <v>737</v>
      </c>
      <c r="F203" s="2" t="s">
        <v>761</v>
      </c>
      <c r="G203" s="2" t="s">
        <v>1471</v>
      </c>
      <c r="H203" s="2" t="s">
        <v>1472</v>
      </c>
      <c r="I203" s="2" t="s">
        <v>990</v>
      </c>
      <c r="J203" s="2" t="s">
        <v>1473</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123</v>
      </c>
      <c r="C204" s="2" t="s">
        <v>126</v>
      </c>
      <c r="D204" s="2" t="s">
        <v>1474</v>
      </c>
      <c r="E204" s="2" t="s">
        <v>737</v>
      </c>
      <c r="F204" s="2" t="s">
        <v>761</v>
      </c>
      <c r="G204" s="2" t="s">
        <v>1471</v>
      </c>
      <c r="H204" s="2" t="s">
        <v>1475</v>
      </c>
      <c r="I204" s="2" t="s">
        <v>990</v>
      </c>
      <c r="J204" s="2" t="s">
        <v>1476</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123</v>
      </c>
      <c r="C205" s="2" t="s">
        <v>126</v>
      </c>
      <c r="D205" s="2" t="s">
        <v>1477</v>
      </c>
      <c r="E205" s="2" t="s">
        <v>737</v>
      </c>
      <c r="F205" s="2" t="s">
        <v>761</v>
      </c>
      <c r="G205" s="2" t="s">
        <v>1471</v>
      </c>
      <c r="H205" s="2" t="s">
        <v>1478</v>
      </c>
      <c r="I205" s="2" t="s">
        <v>990</v>
      </c>
      <c r="J205" s="2" t="s">
        <v>1479</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123</v>
      </c>
      <c r="C206" s="2" t="s">
        <v>126</v>
      </c>
      <c r="D206" s="2" t="s">
        <v>1480</v>
      </c>
      <c r="E206" s="2" t="s">
        <v>737</v>
      </c>
      <c r="F206" s="2" t="s">
        <v>761</v>
      </c>
      <c r="G206" s="2" t="s">
        <v>1471</v>
      </c>
      <c r="H206" s="2" t="s">
        <v>1481</v>
      </c>
      <c r="I206" s="2" t="s">
        <v>990</v>
      </c>
      <c r="J206" s="2" t="s">
        <v>1482</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123</v>
      </c>
      <c r="C207" s="2" t="s">
        <v>126</v>
      </c>
      <c r="D207" s="2" t="s">
        <v>1483</v>
      </c>
      <c r="E207" s="2" t="s">
        <v>737</v>
      </c>
      <c r="F207" s="2" t="s">
        <v>761</v>
      </c>
      <c r="G207" s="2" t="s">
        <v>1471</v>
      </c>
      <c r="H207" s="2" t="s">
        <v>1484</v>
      </c>
      <c r="I207" s="2" t="s">
        <v>990</v>
      </c>
      <c r="J207" s="2" t="s">
        <v>1485</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123</v>
      </c>
      <c r="C208" s="2" t="s">
        <v>126</v>
      </c>
      <c r="D208" s="2" t="s">
        <v>1486</v>
      </c>
      <c r="E208" s="2" t="s">
        <v>737</v>
      </c>
      <c r="F208" s="2" t="s">
        <v>761</v>
      </c>
      <c r="G208" s="2" t="s">
        <v>1471</v>
      </c>
      <c r="H208" s="2" t="s">
        <v>1487</v>
      </c>
      <c r="I208" s="2" t="s">
        <v>990</v>
      </c>
      <c r="J208" s="2" t="s">
        <v>1488</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123</v>
      </c>
      <c r="C209" s="2" t="s">
        <v>126</v>
      </c>
      <c r="D209" s="2" t="s">
        <v>1489</v>
      </c>
      <c r="E209" s="2" t="s">
        <v>737</v>
      </c>
      <c r="F209" s="2" t="s">
        <v>761</v>
      </c>
      <c r="G209" s="2" t="s">
        <v>1490</v>
      </c>
      <c r="H209" s="2" t="s">
        <v>1491</v>
      </c>
      <c r="I209" s="2" t="s">
        <v>990</v>
      </c>
      <c r="J209" s="2" t="s">
        <v>1492</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123</v>
      </c>
      <c r="C210" s="2" t="s">
        <v>126</v>
      </c>
      <c r="D210" s="2" t="s">
        <v>1493</v>
      </c>
      <c r="E210" s="2" t="s">
        <v>737</v>
      </c>
      <c r="F210" s="2" t="s">
        <v>761</v>
      </c>
      <c r="G210" s="2" t="s">
        <v>1494</v>
      </c>
      <c r="H210" s="2" t="s">
        <v>1495</v>
      </c>
      <c r="I210" s="2" t="s">
        <v>990</v>
      </c>
      <c r="J210" s="2" t="s">
        <v>1496</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123</v>
      </c>
      <c r="C211" s="2" t="s">
        <v>126</v>
      </c>
      <c r="D211" s="2" t="s">
        <v>1497</v>
      </c>
      <c r="E211" s="2" t="s">
        <v>737</v>
      </c>
      <c r="F211" s="2" t="s">
        <v>761</v>
      </c>
      <c r="G211" s="2" t="s">
        <v>1494</v>
      </c>
      <c r="H211" s="2" t="s">
        <v>1498</v>
      </c>
      <c r="I211" s="2" t="s">
        <v>990</v>
      </c>
      <c r="J211" s="2" t="s">
        <v>1499</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123</v>
      </c>
      <c r="C212" s="2" t="s">
        <v>126</v>
      </c>
      <c r="D212" s="2" t="s">
        <v>1500</v>
      </c>
      <c r="E212" s="2" t="s">
        <v>737</v>
      </c>
      <c r="F212" s="2" t="s">
        <v>761</v>
      </c>
      <c r="G212" s="2" t="s">
        <v>1501</v>
      </c>
      <c r="H212" s="2" t="s">
        <v>1502</v>
      </c>
      <c r="I212" s="2" t="s">
        <v>990</v>
      </c>
      <c r="J212" s="2" t="s">
        <v>1503</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123</v>
      </c>
      <c r="C213" s="2" t="s">
        <v>126</v>
      </c>
      <c r="D213" s="2" t="s">
        <v>1504</v>
      </c>
      <c r="E213" s="2" t="s">
        <v>737</v>
      </c>
      <c r="F213" s="2" t="s">
        <v>761</v>
      </c>
      <c r="G213" s="2" t="s">
        <v>1505</v>
      </c>
      <c r="H213" s="2" t="s">
        <v>1506</v>
      </c>
      <c r="I213" s="2" t="s">
        <v>990</v>
      </c>
      <c r="J213" s="2" t="s">
        <v>1507</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123</v>
      </c>
      <c r="C214" s="2" t="s">
        <v>126</v>
      </c>
      <c r="D214" s="2" t="s">
        <v>1508</v>
      </c>
      <c r="E214" s="2" t="s">
        <v>737</v>
      </c>
      <c r="F214" s="2" t="s">
        <v>761</v>
      </c>
      <c r="G214" s="2" t="s">
        <v>1505</v>
      </c>
      <c r="H214" s="2" t="s">
        <v>1509</v>
      </c>
      <c r="I214" s="2" t="s">
        <v>990</v>
      </c>
      <c r="J214" s="2" t="s">
        <v>1510</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123</v>
      </c>
      <c r="C215" s="2" t="s">
        <v>126</v>
      </c>
      <c r="D215" s="2" t="s">
        <v>1511</v>
      </c>
      <c r="E215" s="2" t="s">
        <v>737</v>
      </c>
      <c r="F215" s="2" t="s">
        <v>761</v>
      </c>
      <c r="G215" s="2" t="s">
        <v>1505</v>
      </c>
      <c r="H215" s="2" t="s">
        <v>1512</v>
      </c>
      <c r="I215" s="2" t="s">
        <v>990</v>
      </c>
      <c r="J215" s="2" t="s">
        <v>1513</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123</v>
      </c>
      <c r="C216" s="2" t="s">
        <v>126</v>
      </c>
      <c r="D216" s="2" t="s">
        <v>1514</v>
      </c>
      <c r="E216" s="2" t="s">
        <v>737</v>
      </c>
      <c r="F216" s="2" t="s">
        <v>761</v>
      </c>
      <c r="G216" s="2" t="s">
        <v>1515</v>
      </c>
      <c r="H216" s="2" t="s">
        <v>1516</v>
      </c>
      <c r="I216" s="2" t="s">
        <v>990</v>
      </c>
      <c r="J216" s="2" t="s">
        <v>1517</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123</v>
      </c>
      <c r="C217" s="2" t="s">
        <v>126</v>
      </c>
      <c r="D217" s="2" t="s">
        <v>1518</v>
      </c>
      <c r="E217" s="2" t="s">
        <v>737</v>
      </c>
      <c r="F217" s="2" t="s">
        <v>738</v>
      </c>
      <c r="G217" s="2" t="s">
        <v>1519</v>
      </c>
      <c r="H217" s="2" t="s">
        <v>1520</v>
      </c>
      <c r="I217" s="2" t="s">
        <v>716</v>
      </c>
      <c r="J217" s="2" t="s">
        <v>1521</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123</v>
      </c>
      <c r="C218" s="2" t="s">
        <v>126</v>
      </c>
      <c r="D218" s="2" t="s">
        <v>1522</v>
      </c>
      <c r="E218" s="2" t="s">
        <v>737</v>
      </c>
      <c r="F218" s="2" t="s">
        <v>761</v>
      </c>
      <c r="G218" s="2" t="s">
        <v>1523</v>
      </c>
      <c r="H218" s="2" t="s">
        <v>1524</v>
      </c>
      <c r="I218" s="2" t="s">
        <v>990</v>
      </c>
      <c r="J218" s="2" t="s">
        <v>1525</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123</v>
      </c>
      <c r="C219" s="2" t="s">
        <v>126</v>
      </c>
      <c r="D219" s="2" t="s">
        <v>1526</v>
      </c>
      <c r="E219" s="2" t="s">
        <v>737</v>
      </c>
      <c r="F219" s="2" t="s">
        <v>761</v>
      </c>
      <c r="G219" s="2" t="s">
        <v>1527</v>
      </c>
      <c r="H219" s="2" t="s">
        <v>1528</v>
      </c>
      <c r="I219" s="2" t="s">
        <v>990</v>
      </c>
      <c r="J219" s="2" t="s">
        <v>1529</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123</v>
      </c>
      <c r="C220" s="2" t="s">
        <v>126</v>
      </c>
      <c r="D220" s="2" t="s">
        <v>1530</v>
      </c>
      <c r="E220" s="2" t="s">
        <v>737</v>
      </c>
      <c r="F220" s="2" t="s">
        <v>761</v>
      </c>
      <c r="G220" s="2" t="s">
        <v>1531</v>
      </c>
      <c r="H220" s="2" t="s">
        <v>1532</v>
      </c>
      <c r="I220" s="2" t="s">
        <v>990</v>
      </c>
      <c r="J220" s="2" t="s">
        <v>1533</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123</v>
      </c>
      <c r="C221" s="2" t="s">
        <v>126</v>
      </c>
      <c r="D221" s="2" t="s">
        <v>1534</v>
      </c>
      <c r="E221" s="2" t="s">
        <v>737</v>
      </c>
      <c r="F221" s="2" t="s">
        <v>761</v>
      </c>
      <c r="G221" s="2" t="s">
        <v>1535</v>
      </c>
      <c r="H221" s="2" t="s">
        <v>1536</v>
      </c>
      <c r="I221" s="2" t="s">
        <v>990</v>
      </c>
      <c r="J221" s="2" t="s">
        <v>1537</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123</v>
      </c>
      <c r="C222" s="2" t="s">
        <v>126</v>
      </c>
      <c r="D222" s="2" t="s">
        <v>1538</v>
      </c>
      <c r="E222" s="2" t="s">
        <v>737</v>
      </c>
      <c r="F222" s="2" t="s">
        <v>761</v>
      </c>
      <c r="G222" s="2" t="s">
        <v>1539</v>
      </c>
      <c r="H222" s="2" t="s">
        <v>1540</v>
      </c>
      <c r="I222" s="2" t="s">
        <v>990</v>
      </c>
      <c r="J222" s="2" t="s">
        <v>1541</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123</v>
      </c>
      <c r="C223" s="2" t="s">
        <v>126</v>
      </c>
      <c r="D223" s="2" t="s">
        <v>1542</v>
      </c>
      <c r="E223" s="2" t="s">
        <v>737</v>
      </c>
      <c r="F223" s="2" t="s">
        <v>761</v>
      </c>
      <c r="G223" s="2" t="s">
        <v>1543</v>
      </c>
      <c r="H223" s="2" t="s">
        <v>1544</v>
      </c>
      <c r="I223" s="2" t="s">
        <v>990</v>
      </c>
      <c r="J223" s="2" t="s">
        <v>1545</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123</v>
      </c>
      <c r="C224" s="2" t="s">
        <v>126</v>
      </c>
      <c r="D224" s="2" t="s">
        <v>1546</v>
      </c>
      <c r="E224" s="2" t="s">
        <v>737</v>
      </c>
      <c r="F224" s="2" t="s">
        <v>761</v>
      </c>
      <c r="G224" s="2" t="s">
        <v>1547</v>
      </c>
      <c r="H224" s="2" t="s">
        <v>1548</v>
      </c>
      <c r="I224" s="2" t="s">
        <v>990</v>
      </c>
      <c r="J224" s="2" t="s">
        <v>1549</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123</v>
      </c>
      <c r="C225" s="2" t="s">
        <v>126</v>
      </c>
      <c r="D225" s="2" t="s">
        <v>1550</v>
      </c>
      <c r="E225" s="2" t="s">
        <v>737</v>
      </c>
      <c r="F225" s="2" t="s">
        <v>761</v>
      </c>
      <c r="G225" s="2" t="s">
        <v>1547</v>
      </c>
      <c r="H225" s="2" t="s">
        <v>1551</v>
      </c>
      <c r="I225" s="2" t="s">
        <v>990</v>
      </c>
      <c r="J225" s="2" t="s">
        <v>1552</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123</v>
      </c>
      <c r="C226" s="2" t="s">
        <v>126</v>
      </c>
      <c r="D226" s="2" t="s">
        <v>1553</v>
      </c>
      <c r="E226" s="2" t="s">
        <v>737</v>
      </c>
      <c r="F226" s="2" t="s">
        <v>761</v>
      </c>
      <c r="G226" s="2" t="s">
        <v>1554</v>
      </c>
      <c r="H226" s="2" t="s">
        <v>1555</v>
      </c>
      <c r="I226" s="2" t="s">
        <v>990</v>
      </c>
      <c r="J226" s="2" t="s">
        <v>1556</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123</v>
      </c>
      <c r="C227" s="2" t="s">
        <v>126</v>
      </c>
      <c r="D227" s="2" t="s">
        <v>1557</v>
      </c>
      <c r="E227" s="2" t="s">
        <v>737</v>
      </c>
      <c r="F227" s="2" t="s">
        <v>761</v>
      </c>
      <c r="G227" s="2" t="s">
        <v>1558</v>
      </c>
      <c r="H227" s="2" t="s">
        <v>1559</v>
      </c>
      <c r="I227" s="2" t="s">
        <v>990</v>
      </c>
      <c r="J227" s="2" t="s">
        <v>1560</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123</v>
      </c>
      <c r="C228" s="2" t="s">
        <v>126</v>
      </c>
      <c r="D228" s="2" t="s">
        <v>1561</v>
      </c>
      <c r="E228" s="2" t="s">
        <v>737</v>
      </c>
      <c r="F228" s="2" t="s">
        <v>761</v>
      </c>
      <c r="G228" s="2" t="s">
        <v>1562</v>
      </c>
      <c r="H228" s="2" t="s">
        <v>1563</v>
      </c>
      <c r="I228" s="2" t="s">
        <v>990</v>
      </c>
      <c r="J228" s="2" t="s">
        <v>1564</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123</v>
      </c>
      <c r="C229" s="2" t="s">
        <v>126</v>
      </c>
      <c r="D229" s="2" t="s">
        <v>1565</v>
      </c>
      <c r="E229" s="2" t="s">
        <v>737</v>
      </c>
      <c r="F229" s="2" t="s">
        <v>761</v>
      </c>
      <c r="G229" s="2" t="s">
        <v>1566</v>
      </c>
      <c r="H229" s="2" t="s">
        <v>1567</v>
      </c>
      <c r="I229" s="2" t="s">
        <v>990</v>
      </c>
      <c r="J229" s="2" t="s">
        <v>1568</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123</v>
      </c>
      <c r="C230" s="2" t="s">
        <v>126</v>
      </c>
      <c r="D230" s="2" t="s">
        <v>1569</v>
      </c>
      <c r="E230" s="2" t="s">
        <v>737</v>
      </c>
      <c r="F230" s="2" t="s">
        <v>761</v>
      </c>
      <c r="G230" s="2" t="s">
        <v>1570</v>
      </c>
      <c r="H230" s="2" t="s">
        <v>1571</v>
      </c>
      <c r="I230" s="2" t="s">
        <v>990</v>
      </c>
      <c r="J230" s="2" t="s">
        <v>1572</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123</v>
      </c>
      <c r="C231" s="2" t="s">
        <v>126</v>
      </c>
      <c r="D231" s="2" t="s">
        <v>1573</v>
      </c>
      <c r="E231" s="2" t="s">
        <v>737</v>
      </c>
      <c r="F231" s="2" t="s">
        <v>761</v>
      </c>
      <c r="G231" s="2" t="s">
        <v>1570</v>
      </c>
      <c r="H231" s="2" t="s">
        <v>1574</v>
      </c>
      <c r="I231" s="2" t="s">
        <v>990</v>
      </c>
      <c r="J231" s="2" t="s">
        <v>1575</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123</v>
      </c>
      <c r="C232" s="2" t="s">
        <v>126</v>
      </c>
      <c r="D232" s="2" t="s">
        <v>1576</v>
      </c>
      <c r="E232" s="2" t="s">
        <v>737</v>
      </c>
      <c r="F232" s="2" t="s">
        <v>761</v>
      </c>
      <c r="G232" s="2" t="s">
        <v>1570</v>
      </c>
      <c r="H232" s="2" t="s">
        <v>1577</v>
      </c>
      <c r="I232" s="2" t="s">
        <v>990</v>
      </c>
      <c r="J232" s="2" t="s">
        <v>1578</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123</v>
      </c>
      <c r="C233" s="2" t="s">
        <v>126</v>
      </c>
      <c r="D233" s="2" t="s">
        <v>1579</v>
      </c>
      <c r="E233" s="2" t="s">
        <v>737</v>
      </c>
      <c r="F233" s="2" t="s">
        <v>761</v>
      </c>
      <c r="G233" s="2" t="s">
        <v>1580</v>
      </c>
      <c r="H233" s="2" t="s">
        <v>1581</v>
      </c>
      <c r="I233" s="2" t="s">
        <v>990</v>
      </c>
      <c r="J233" s="2" t="s">
        <v>1582</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123</v>
      </c>
      <c r="C234" s="2" t="s">
        <v>126</v>
      </c>
      <c r="D234" s="2" t="s">
        <v>1583</v>
      </c>
      <c r="E234" s="2" t="s">
        <v>737</v>
      </c>
      <c r="F234" s="2" t="s">
        <v>761</v>
      </c>
      <c r="G234" s="2" t="s">
        <v>1584</v>
      </c>
      <c r="H234" s="2" t="s">
        <v>1585</v>
      </c>
      <c r="I234" s="2" t="s">
        <v>990</v>
      </c>
      <c r="J234" s="2" t="s">
        <v>1586</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123</v>
      </c>
      <c r="C235" s="2" t="s">
        <v>126</v>
      </c>
      <c r="D235" s="2" t="s">
        <v>1587</v>
      </c>
      <c r="E235" s="2" t="s">
        <v>737</v>
      </c>
      <c r="F235" s="2" t="s">
        <v>761</v>
      </c>
      <c r="G235" s="2" t="s">
        <v>1588</v>
      </c>
      <c r="H235" s="2" t="s">
        <v>1589</v>
      </c>
      <c r="I235" s="2" t="s">
        <v>990</v>
      </c>
      <c r="J235" s="2" t="s">
        <v>1590</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123</v>
      </c>
      <c r="C236" s="2" t="s">
        <v>126</v>
      </c>
      <c r="D236" s="2" t="s">
        <v>1591</v>
      </c>
      <c r="E236" s="2" t="s">
        <v>737</v>
      </c>
      <c r="F236" s="2" t="s">
        <v>761</v>
      </c>
      <c r="G236" s="2" t="s">
        <v>647</v>
      </c>
      <c r="H236" s="2" t="s">
        <v>1592</v>
      </c>
      <c r="I236" s="2" t="s">
        <v>990</v>
      </c>
      <c r="J236" s="2" t="s">
        <v>1593</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123</v>
      </c>
      <c r="C237" s="2" t="s">
        <v>126</v>
      </c>
      <c r="D237" s="2" t="s">
        <v>1594</v>
      </c>
      <c r="E237" s="2" t="s">
        <v>737</v>
      </c>
      <c r="F237" s="2" t="s">
        <v>761</v>
      </c>
      <c r="G237" s="2" t="s">
        <v>1595</v>
      </c>
      <c r="H237" s="2" t="s">
        <v>1596</v>
      </c>
      <c r="I237" s="2" t="s">
        <v>990</v>
      </c>
      <c r="J237" s="2" t="s">
        <v>1597</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123</v>
      </c>
      <c r="C238" s="2" t="s">
        <v>126</v>
      </c>
      <c r="D238" s="2" t="s">
        <v>1598</v>
      </c>
      <c r="E238" s="2" t="s">
        <v>737</v>
      </c>
      <c r="F238" s="2" t="s">
        <v>761</v>
      </c>
      <c r="G238" s="2" t="s">
        <v>1595</v>
      </c>
      <c r="H238" s="2" t="s">
        <v>1599</v>
      </c>
      <c r="I238" s="2" t="s">
        <v>990</v>
      </c>
      <c r="J238" s="2" t="s">
        <v>1600</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123</v>
      </c>
      <c r="C239" s="2" t="s">
        <v>126</v>
      </c>
      <c r="D239" s="2" t="s">
        <v>1601</v>
      </c>
      <c r="E239" s="2" t="s">
        <v>737</v>
      </c>
      <c r="F239" s="2" t="s">
        <v>761</v>
      </c>
      <c r="G239" s="2" t="s">
        <v>1602</v>
      </c>
      <c r="H239" s="2" t="s">
        <v>1603</v>
      </c>
      <c r="I239" s="2" t="s">
        <v>990</v>
      </c>
      <c r="J239" s="2" t="s">
        <v>1604</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123</v>
      </c>
      <c r="C240" s="2" t="s">
        <v>126</v>
      </c>
      <c r="D240" s="2" t="s">
        <v>1605</v>
      </c>
      <c r="E240" s="2" t="s">
        <v>737</v>
      </c>
      <c r="F240" s="2" t="s">
        <v>761</v>
      </c>
      <c r="G240" s="2" t="s">
        <v>1606</v>
      </c>
      <c r="H240" s="2" t="s">
        <v>1607</v>
      </c>
      <c r="I240" s="2" t="s">
        <v>990</v>
      </c>
      <c r="J240" s="2" t="s">
        <v>1608</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123</v>
      </c>
      <c r="C241" s="2" t="s">
        <v>126</v>
      </c>
      <c r="D241" s="2" t="s">
        <v>1609</v>
      </c>
      <c r="E241" s="2" t="s">
        <v>737</v>
      </c>
      <c r="F241" s="2" t="s">
        <v>761</v>
      </c>
      <c r="G241" s="2" t="s">
        <v>1606</v>
      </c>
      <c r="H241" s="2" t="s">
        <v>1610</v>
      </c>
      <c r="I241" s="2" t="s">
        <v>990</v>
      </c>
      <c r="J241" s="2" t="s">
        <v>1611</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123</v>
      </c>
      <c r="C242" s="2" t="s">
        <v>126</v>
      </c>
      <c r="D242" s="2" t="s">
        <v>1612</v>
      </c>
      <c r="E242" s="2" t="s">
        <v>737</v>
      </c>
      <c r="F242" s="2" t="s">
        <v>761</v>
      </c>
      <c r="G242" s="2" t="s">
        <v>1606</v>
      </c>
      <c r="H242" s="2" t="s">
        <v>1613</v>
      </c>
      <c r="I242" s="2" t="s">
        <v>990</v>
      </c>
      <c r="J242" s="2" t="s">
        <v>1614</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123</v>
      </c>
      <c r="C243" s="2" t="s">
        <v>126</v>
      </c>
      <c r="D243" s="2" t="s">
        <v>1615</v>
      </c>
      <c r="E243" s="2" t="s">
        <v>737</v>
      </c>
      <c r="F243" s="2" t="s">
        <v>761</v>
      </c>
      <c r="G243" s="2" t="s">
        <v>1616</v>
      </c>
      <c r="H243" s="2" t="s">
        <v>1617</v>
      </c>
      <c r="I243" s="2" t="s">
        <v>990</v>
      </c>
      <c r="J243" s="2" t="s">
        <v>1618</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123</v>
      </c>
      <c r="C244" s="2" t="s">
        <v>126</v>
      </c>
      <c r="D244" s="2" t="s">
        <v>1619</v>
      </c>
      <c r="E244" s="2" t="s">
        <v>737</v>
      </c>
      <c r="F244" s="2" t="s">
        <v>761</v>
      </c>
      <c r="G244" s="2" t="s">
        <v>1616</v>
      </c>
      <c r="H244" s="2" t="s">
        <v>1620</v>
      </c>
      <c r="I244" s="2" t="s">
        <v>990</v>
      </c>
      <c r="J244" s="2" t="s">
        <v>1621</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123</v>
      </c>
      <c r="C245" s="2" t="s">
        <v>126</v>
      </c>
      <c r="D245" s="2" t="s">
        <v>1622</v>
      </c>
      <c r="E245" s="2" t="s">
        <v>737</v>
      </c>
      <c r="F245" s="2" t="s">
        <v>761</v>
      </c>
      <c r="G245" s="2" t="s">
        <v>1623</v>
      </c>
      <c r="H245" s="2" t="s">
        <v>1624</v>
      </c>
      <c r="I245" s="2" t="s">
        <v>990</v>
      </c>
      <c r="J245" s="2" t="s">
        <v>1625</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123</v>
      </c>
      <c r="C246" s="2" t="s">
        <v>126</v>
      </c>
      <c r="D246" s="2" t="s">
        <v>1626</v>
      </c>
      <c r="E246" s="2" t="s">
        <v>737</v>
      </c>
      <c r="F246" s="2" t="s">
        <v>738</v>
      </c>
      <c r="G246" s="2" t="s">
        <v>1623</v>
      </c>
      <c r="H246" s="2" t="s">
        <v>1627</v>
      </c>
      <c r="I246" s="2" t="s">
        <v>716</v>
      </c>
      <c r="J246" s="2" t="s">
        <v>1628</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123</v>
      </c>
      <c r="C247" s="2" t="s">
        <v>126</v>
      </c>
      <c r="D247" s="2" t="s">
        <v>1629</v>
      </c>
      <c r="E247" s="2" t="s">
        <v>737</v>
      </c>
      <c r="F247" s="2" t="s">
        <v>761</v>
      </c>
      <c r="G247" s="2" t="s">
        <v>1630</v>
      </c>
      <c r="H247" s="2" t="s">
        <v>1631</v>
      </c>
      <c r="I247" s="2" t="s">
        <v>990</v>
      </c>
      <c r="J247" s="2" t="s">
        <v>1632</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123</v>
      </c>
      <c r="C248" s="2" t="s">
        <v>126</v>
      </c>
      <c r="D248" s="2" t="s">
        <v>1633</v>
      </c>
      <c r="E248" s="2" t="s">
        <v>737</v>
      </c>
      <c r="F248" s="2" t="s">
        <v>738</v>
      </c>
      <c r="G248" s="2" t="s">
        <v>1634</v>
      </c>
      <c r="H248" s="2" t="s">
        <v>1635</v>
      </c>
      <c r="I248" s="2" t="s">
        <v>716</v>
      </c>
      <c r="J248" s="2" t="s">
        <v>1636</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123</v>
      </c>
      <c r="C249" s="2" t="s">
        <v>126</v>
      </c>
      <c r="D249" s="2" t="s">
        <v>1637</v>
      </c>
      <c r="E249" s="2" t="s">
        <v>737</v>
      </c>
      <c r="F249" s="2" t="s">
        <v>761</v>
      </c>
      <c r="G249" s="2" t="s">
        <v>1638</v>
      </c>
      <c r="H249" s="2" t="s">
        <v>1639</v>
      </c>
      <c r="I249" s="2" t="s">
        <v>990</v>
      </c>
      <c r="J249" s="2" t="s">
        <v>1640</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123</v>
      </c>
      <c r="C250" s="2" t="s">
        <v>126</v>
      </c>
      <c r="D250" s="2" t="s">
        <v>1641</v>
      </c>
      <c r="E250" s="2" t="s">
        <v>737</v>
      </c>
      <c r="F250" s="2" t="s">
        <v>761</v>
      </c>
      <c r="G250" s="2" t="s">
        <v>1642</v>
      </c>
      <c r="H250" s="2" t="s">
        <v>1643</v>
      </c>
      <c r="I250" s="2" t="s">
        <v>990</v>
      </c>
      <c r="J250" s="2" t="s">
        <v>1644</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123</v>
      </c>
      <c r="C251" s="2" t="s">
        <v>126</v>
      </c>
      <c r="D251" s="2" t="s">
        <v>1645</v>
      </c>
      <c r="E251" s="2" t="s">
        <v>737</v>
      </c>
      <c r="F251" s="2" t="s">
        <v>761</v>
      </c>
      <c r="G251" s="2" t="s">
        <v>1646</v>
      </c>
      <c r="H251" s="2" t="s">
        <v>1647</v>
      </c>
      <c r="I251" s="2" t="s">
        <v>990</v>
      </c>
      <c r="J251" s="2" t="s">
        <v>1648</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123</v>
      </c>
      <c r="C252" s="2" t="s">
        <v>126</v>
      </c>
      <c r="D252" s="2" t="s">
        <v>1649</v>
      </c>
      <c r="E252" s="2" t="s">
        <v>737</v>
      </c>
      <c r="F252" s="2" t="s">
        <v>761</v>
      </c>
      <c r="G252" s="2" t="s">
        <v>1650</v>
      </c>
      <c r="H252" s="2" t="s">
        <v>1651</v>
      </c>
      <c r="I252" s="2" t="s">
        <v>990</v>
      </c>
      <c r="J252" s="2" t="s">
        <v>1652</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123</v>
      </c>
      <c r="C253" s="2" t="s">
        <v>126</v>
      </c>
      <c r="D253" s="2" t="s">
        <v>1653</v>
      </c>
      <c r="E253" s="2" t="s">
        <v>737</v>
      </c>
      <c r="F253" s="2" t="s">
        <v>761</v>
      </c>
      <c r="G253" s="2" t="s">
        <v>1654</v>
      </c>
      <c r="H253" s="2" t="s">
        <v>1655</v>
      </c>
      <c r="I253" s="2" t="s">
        <v>990</v>
      </c>
      <c r="J253" s="2" t="s">
        <v>1656</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129</v>
      </c>
      <c r="C254" s="2" t="s">
        <v>132</v>
      </c>
      <c r="D254" s="2" t="s">
        <v>1657</v>
      </c>
      <c r="E254" s="2" t="s">
        <v>712</v>
      </c>
      <c r="F254" s="2" t="s">
        <v>752</v>
      </c>
      <c r="G254" s="2" t="s">
        <v>1658</v>
      </c>
      <c r="H254" s="2" t="s">
        <v>1659</v>
      </c>
      <c r="I254" s="2" t="s">
        <v>716</v>
      </c>
      <c r="J254" s="2" t="s">
        <v>1660</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718</v>
      </c>
    </row>
    <row r="255" customFormat="false" ht="15" hidden="false" customHeight="false" outlineLevel="0" collapsed="false">
      <c r="A255" s="2" t="n">
        <v>15</v>
      </c>
      <c r="B255" s="2" t="s">
        <v>129</v>
      </c>
      <c r="C255" s="2" t="s">
        <v>132</v>
      </c>
      <c r="D255" s="2" t="s">
        <v>1661</v>
      </c>
      <c r="E255" s="2" t="s">
        <v>712</v>
      </c>
      <c r="F255" s="2" t="s">
        <v>752</v>
      </c>
      <c r="G255" s="2" t="s">
        <v>1658</v>
      </c>
      <c r="H255" s="2" t="s">
        <v>1662</v>
      </c>
      <c r="I255" s="2" t="s">
        <v>716</v>
      </c>
      <c r="J255" s="2" t="s">
        <v>1663</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718</v>
      </c>
    </row>
    <row r="256" customFormat="false" ht="15" hidden="false" customHeight="false" outlineLevel="0" collapsed="false">
      <c r="A256" s="2" t="n">
        <v>15</v>
      </c>
      <c r="B256" s="2" t="s">
        <v>129</v>
      </c>
      <c r="C256" s="2" t="s">
        <v>132</v>
      </c>
      <c r="D256" s="2" t="s">
        <v>1664</v>
      </c>
      <c r="E256" s="2" t="s">
        <v>712</v>
      </c>
      <c r="F256" s="2" t="s">
        <v>752</v>
      </c>
      <c r="G256" s="2" t="s">
        <v>563</v>
      </c>
      <c r="H256" s="2" t="s">
        <v>1665</v>
      </c>
      <c r="I256" s="2" t="s">
        <v>716</v>
      </c>
      <c r="J256" s="2" t="s">
        <v>1666</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718</v>
      </c>
    </row>
    <row r="257" customFormat="false" ht="15" hidden="false" customHeight="false" outlineLevel="0" collapsed="false">
      <c r="A257" s="2" t="n">
        <v>16</v>
      </c>
      <c r="B257" s="2" t="s">
        <v>135</v>
      </c>
      <c r="C257" s="2" t="s">
        <v>138</v>
      </c>
      <c r="D257" s="2" t="s">
        <v>1667</v>
      </c>
      <c r="E257" s="2" t="s">
        <v>720</v>
      </c>
      <c r="F257" s="2" t="s">
        <v>721</v>
      </c>
      <c r="G257" s="2" t="s">
        <v>1668</v>
      </c>
      <c r="H257" s="2" t="s">
        <v>1669</v>
      </c>
      <c r="I257" s="2" t="s">
        <v>716</v>
      </c>
      <c r="J257" s="2" t="s">
        <v>1670</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135</v>
      </c>
      <c r="C258" s="2" t="s">
        <v>138</v>
      </c>
      <c r="D258" s="2" t="s">
        <v>1671</v>
      </c>
      <c r="E258" s="2" t="s">
        <v>720</v>
      </c>
      <c r="F258" s="2" t="s">
        <v>721</v>
      </c>
      <c r="G258" s="2" t="s">
        <v>1672</v>
      </c>
      <c r="H258" s="2" t="s">
        <v>1673</v>
      </c>
      <c r="I258" s="2" t="s">
        <v>716</v>
      </c>
      <c r="J258" s="2" t="s">
        <v>1674</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135</v>
      </c>
      <c r="C259" s="2" t="s">
        <v>138</v>
      </c>
      <c r="D259" s="2" t="s">
        <v>1675</v>
      </c>
      <c r="E259" s="2" t="s">
        <v>737</v>
      </c>
      <c r="F259" s="2" t="s">
        <v>738</v>
      </c>
      <c r="G259" s="2" t="s">
        <v>1676</v>
      </c>
      <c r="H259" s="2" t="s">
        <v>1677</v>
      </c>
      <c r="I259" s="2" t="s">
        <v>716</v>
      </c>
      <c r="J259" s="2" t="s">
        <v>1678</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141</v>
      </c>
      <c r="C260" s="2" t="s">
        <v>144</v>
      </c>
      <c r="D260" s="2" t="s">
        <v>1679</v>
      </c>
      <c r="E260" s="2" t="s">
        <v>720</v>
      </c>
      <c r="F260" s="2" t="s">
        <v>1680</v>
      </c>
      <c r="G260" s="2" t="s">
        <v>1681</v>
      </c>
      <c r="H260" s="2" t="s">
        <v>1682</v>
      </c>
      <c r="I260" s="2" t="s">
        <v>716</v>
      </c>
      <c r="J260" s="2" t="s">
        <v>1683</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141</v>
      </c>
      <c r="C261" s="2" t="s">
        <v>144</v>
      </c>
      <c r="D261" s="2" t="s">
        <v>1684</v>
      </c>
      <c r="E261" s="2" t="s">
        <v>720</v>
      </c>
      <c r="F261" s="2" t="s">
        <v>721</v>
      </c>
      <c r="G261" s="2" t="s">
        <v>1685</v>
      </c>
      <c r="H261" s="2" t="s">
        <v>1686</v>
      </c>
      <c r="I261" s="2" t="s">
        <v>716</v>
      </c>
      <c r="J261" s="2" t="s">
        <v>1687</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141</v>
      </c>
      <c r="C262" s="2" t="s">
        <v>144</v>
      </c>
      <c r="D262" s="2" t="s">
        <v>1688</v>
      </c>
      <c r="E262" s="2" t="s">
        <v>720</v>
      </c>
      <c r="F262" s="2" t="s">
        <v>1680</v>
      </c>
      <c r="G262" s="2" t="s">
        <v>1689</v>
      </c>
      <c r="H262" s="2" t="s">
        <v>1690</v>
      </c>
      <c r="I262" s="2" t="s">
        <v>716</v>
      </c>
      <c r="J262" s="2" t="s">
        <v>1691</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141</v>
      </c>
      <c r="C263" s="2" t="s">
        <v>144</v>
      </c>
      <c r="D263" s="2" t="s">
        <v>1692</v>
      </c>
      <c r="E263" s="2" t="s">
        <v>720</v>
      </c>
      <c r="F263" s="2" t="s">
        <v>1680</v>
      </c>
      <c r="G263" s="2" t="s">
        <v>1693</v>
      </c>
      <c r="H263" s="2" t="s">
        <v>1694</v>
      </c>
      <c r="I263" s="2" t="s">
        <v>716</v>
      </c>
      <c r="J263" s="2" t="s">
        <v>1695</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141</v>
      </c>
      <c r="C264" s="2" t="s">
        <v>144</v>
      </c>
      <c r="D264" s="2" t="s">
        <v>1696</v>
      </c>
      <c r="E264" s="2" t="s">
        <v>720</v>
      </c>
      <c r="F264" s="2" t="s">
        <v>1680</v>
      </c>
      <c r="G264" s="2" t="s">
        <v>1697</v>
      </c>
      <c r="H264" s="2" t="s">
        <v>1698</v>
      </c>
      <c r="I264" s="2" t="s">
        <v>716</v>
      </c>
      <c r="J264" s="2" t="s">
        <v>1699</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141</v>
      </c>
      <c r="C265" s="2" t="s">
        <v>144</v>
      </c>
      <c r="D265" s="2" t="s">
        <v>1700</v>
      </c>
      <c r="E265" s="2" t="s">
        <v>720</v>
      </c>
      <c r="F265" s="2" t="s">
        <v>1680</v>
      </c>
      <c r="G265" s="2" t="s">
        <v>1701</v>
      </c>
      <c r="H265" s="2" t="s">
        <v>1702</v>
      </c>
      <c r="I265" s="2" t="s">
        <v>716</v>
      </c>
      <c r="J265" s="2" t="s">
        <v>1703</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141</v>
      </c>
      <c r="C266" s="2" t="s">
        <v>144</v>
      </c>
      <c r="D266" s="2" t="s">
        <v>1704</v>
      </c>
      <c r="E266" s="2" t="s">
        <v>720</v>
      </c>
      <c r="F266" s="2" t="s">
        <v>1680</v>
      </c>
      <c r="G266" s="2" t="s">
        <v>1701</v>
      </c>
      <c r="H266" s="2" t="s">
        <v>1705</v>
      </c>
      <c r="I266" s="2" t="s">
        <v>716</v>
      </c>
      <c r="J266" s="2" t="s">
        <v>1706</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141</v>
      </c>
      <c r="C267" s="2" t="s">
        <v>144</v>
      </c>
      <c r="D267" s="2" t="s">
        <v>1707</v>
      </c>
      <c r="E267" s="2" t="s">
        <v>720</v>
      </c>
      <c r="F267" s="2" t="s">
        <v>1680</v>
      </c>
      <c r="G267" s="2" t="s">
        <v>1701</v>
      </c>
      <c r="H267" s="2" t="s">
        <v>1708</v>
      </c>
      <c r="I267" s="2" t="s">
        <v>716</v>
      </c>
      <c r="J267" s="2" t="s">
        <v>1709</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141</v>
      </c>
      <c r="C268" s="2" t="s">
        <v>144</v>
      </c>
      <c r="D268" s="2" t="s">
        <v>1710</v>
      </c>
      <c r="E268" s="2" t="s">
        <v>720</v>
      </c>
      <c r="F268" s="2" t="s">
        <v>1680</v>
      </c>
      <c r="G268" s="2" t="s">
        <v>1711</v>
      </c>
      <c r="H268" s="2" t="s">
        <v>1712</v>
      </c>
      <c r="I268" s="2" t="s">
        <v>716</v>
      </c>
      <c r="J268" s="2" t="s">
        <v>1713</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141</v>
      </c>
      <c r="C269" s="2" t="s">
        <v>144</v>
      </c>
      <c r="D269" s="2" t="s">
        <v>1714</v>
      </c>
      <c r="E269" s="2" t="s">
        <v>720</v>
      </c>
      <c r="F269" s="2" t="s">
        <v>1680</v>
      </c>
      <c r="G269" s="2" t="s">
        <v>1715</v>
      </c>
      <c r="H269" s="2" t="s">
        <v>1716</v>
      </c>
      <c r="I269" s="2" t="s">
        <v>716</v>
      </c>
      <c r="J269" s="2" t="s">
        <v>1717</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141</v>
      </c>
      <c r="C270" s="2" t="s">
        <v>144</v>
      </c>
      <c r="D270" s="2" t="s">
        <v>1718</v>
      </c>
      <c r="E270" s="2" t="s">
        <v>720</v>
      </c>
      <c r="F270" s="2" t="s">
        <v>1680</v>
      </c>
      <c r="G270" s="2" t="s">
        <v>1719</v>
      </c>
      <c r="H270" s="2" t="s">
        <v>1720</v>
      </c>
      <c r="I270" s="2" t="s">
        <v>716</v>
      </c>
      <c r="J270" s="2" t="s">
        <v>1721</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141</v>
      </c>
      <c r="C271" s="2" t="s">
        <v>144</v>
      </c>
      <c r="D271" s="2" t="s">
        <v>1722</v>
      </c>
      <c r="E271" s="2" t="s">
        <v>720</v>
      </c>
      <c r="F271" s="2" t="s">
        <v>1680</v>
      </c>
      <c r="G271" s="2" t="s">
        <v>1723</v>
      </c>
      <c r="H271" s="2" t="s">
        <v>1724</v>
      </c>
      <c r="I271" s="2" t="s">
        <v>716</v>
      </c>
      <c r="J271" s="2" t="s">
        <v>1725</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141</v>
      </c>
      <c r="C272" s="2" t="s">
        <v>144</v>
      </c>
      <c r="D272" s="2" t="s">
        <v>1726</v>
      </c>
      <c r="E272" s="2" t="s">
        <v>720</v>
      </c>
      <c r="F272" s="2" t="s">
        <v>1680</v>
      </c>
      <c r="G272" s="2" t="s">
        <v>1727</v>
      </c>
      <c r="H272" s="2" t="s">
        <v>1728</v>
      </c>
      <c r="I272" s="2" t="s">
        <v>716</v>
      </c>
      <c r="J272" s="2" t="s">
        <v>1729</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141</v>
      </c>
      <c r="C273" s="2" t="s">
        <v>144</v>
      </c>
      <c r="D273" s="2" t="s">
        <v>1730</v>
      </c>
      <c r="E273" s="2" t="s">
        <v>720</v>
      </c>
      <c r="F273" s="2" t="s">
        <v>1680</v>
      </c>
      <c r="G273" s="2" t="s">
        <v>1731</v>
      </c>
      <c r="H273" s="2" t="s">
        <v>1732</v>
      </c>
      <c r="I273" s="2" t="s">
        <v>716</v>
      </c>
      <c r="J273" s="2" t="s">
        <v>1733</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141</v>
      </c>
      <c r="C274" s="2" t="s">
        <v>144</v>
      </c>
      <c r="D274" s="2" t="s">
        <v>1734</v>
      </c>
      <c r="E274" s="2" t="s">
        <v>720</v>
      </c>
      <c r="F274" s="2" t="s">
        <v>1680</v>
      </c>
      <c r="G274" s="2" t="s">
        <v>1735</v>
      </c>
      <c r="H274" s="2" t="s">
        <v>1736</v>
      </c>
      <c r="I274" s="2" t="s">
        <v>716</v>
      </c>
      <c r="J274" s="2" t="s">
        <v>1737</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141</v>
      </c>
      <c r="C275" s="2" t="s">
        <v>144</v>
      </c>
      <c r="D275" s="2" t="s">
        <v>1738</v>
      </c>
      <c r="E275" s="2" t="s">
        <v>720</v>
      </c>
      <c r="F275" s="2" t="s">
        <v>1680</v>
      </c>
      <c r="G275" s="2" t="s">
        <v>1735</v>
      </c>
      <c r="H275" s="2" t="s">
        <v>1739</v>
      </c>
      <c r="I275" s="2" t="s">
        <v>716</v>
      </c>
      <c r="J275" s="2" t="s">
        <v>1740</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141</v>
      </c>
      <c r="C276" s="2" t="s">
        <v>144</v>
      </c>
      <c r="D276" s="2" t="s">
        <v>1741</v>
      </c>
      <c r="E276" s="2" t="s">
        <v>720</v>
      </c>
      <c r="F276" s="2" t="s">
        <v>1680</v>
      </c>
      <c r="G276" s="2" t="s">
        <v>1742</v>
      </c>
      <c r="H276" s="2" t="s">
        <v>1743</v>
      </c>
      <c r="I276" s="2" t="s">
        <v>716</v>
      </c>
      <c r="J276" s="2" t="s">
        <v>1744</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141</v>
      </c>
      <c r="C277" s="2" t="s">
        <v>144</v>
      </c>
      <c r="D277" s="2" t="s">
        <v>1745</v>
      </c>
      <c r="E277" s="2" t="s">
        <v>737</v>
      </c>
      <c r="F277" s="2" t="s">
        <v>761</v>
      </c>
      <c r="G277" s="2" t="s">
        <v>1746</v>
      </c>
      <c r="H277" s="2" t="s">
        <v>1747</v>
      </c>
      <c r="I277" s="2" t="s">
        <v>716</v>
      </c>
      <c r="J277" s="2" t="s">
        <v>1748</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141</v>
      </c>
      <c r="C278" s="2" t="s">
        <v>144</v>
      </c>
      <c r="D278" s="2" t="s">
        <v>1749</v>
      </c>
      <c r="E278" s="2" t="s">
        <v>720</v>
      </c>
      <c r="F278" s="2" t="s">
        <v>1680</v>
      </c>
      <c r="G278" s="2" t="s">
        <v>1750</v>
      </c>
      <c r="H278" s="2" t="s">
        <v>1751</v>
      </c>
      <c r="I278" s="2" t="s">
        <v>716</v>
      </c>
      <c r="J278" s="2" t="s">
        <v>1752</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147</v>
      </c>
      <c r="C279" s="2" t="s">
        <v>150</v>
      </c>
      <c r="D279" s="2" t="s">
        <v>1753</v>
      </c>
      <c r="E279" s="2" t="s">
        <v>712</v>
      </c>
      <c r="F279" s="2" t="s">
        <v>752</v>
      </c>
      <c r="G279" s="2" t="s">
        <v>753</v>
      </c>
      <c r="H279" s="2" t="s">
        <v>1754</v>
      </c>
      <c r="I279" s="2" t="s">
        <v>716</v>
      </c>
      <c r="J279" s="2" t="s">
        <v>1755</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718</v>
      </c>
    </row>
    <row r="280" customFormat="false" ht="15" hidden="false" customHeight="false" outlineLevel="0" collapsed="false">
      <c r="A280" s="2" t="n">
        <v>18</v>
      </c>
      <c r="B280" s="2" t="s">
        <v>147</v>
      </c>
      <c r="C280" s="2" t="s">
        <v>150</v>
      </c>
      <c r="D280" s="2" t="s">
        <v>1756</v>
      </c>
      <c r="E280" s="2" t="s">
        <v>737</v>
      </c>
      <c r="F280" s="2" t="s">
        <v>738</v>
      </c>
      <c r="G280" s="2" t="s">
        <v>1757</v>
      </c>
      <c r="H280" s="2" t="s">
        <v>1758</v>
      </c>
      <c r="I280" s="2" t="s">
        <v>716</v>
      </c>
      <c r="J280" s="2" t="s">
        <v>1759</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153</v>
      </c>
      <c r="C281" s="2" t="s">
        <v>156</v>
      </c>
      <c r="D281" s="2" t="s">
        <v>1760</v>
      </c>
      <c r="E281" s="2" t="s">
        <v>737</v>
      </c>
      <c r="F281" s="2" t="s">
        <v>738</v>
      </c>
      <c r="G281" s="2" t="s">
        <v>1761</v>
      </c>
      <c r="H281" s="2" t="s">
        <v>1762</v>
      </c>
      <c r="I281" s="2" t="s">
        <v>716</v>
      </c>
      <c r="J281" s="2" t="s">
        <v>1763</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153</v>
      </c>
      <c r="C282" s="2" t="s">
        <v>156</v>
      </c>
      <c r="D282" s="2" t="s">
        <v>1764</v>
      </c>
      <c r="E282" s="2" t="s">
        <v>737</v>
      </c>
      <c r="F282" s="2" t="s">
        <v>738</v>
      </c>
      <c r="G282" s="2" t="s">
        <v>1765</v>
      </c>
      <c r="H282" s="2" t="s">
        <v>1766</v>
      </c>
      <c r="I282" s="2" t="s">
        <v>716</v>
      </c>
      <c r="J282" s="2" t="s">
        <v>1767</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153</v>
      </c>
      <c r="C283" s="2" t="s">
        <v>156</v>
      </c>
      <c r="D283" s="2" t="s">
        <v>1768</v>
      </c>
      <c r="E283" s="2" t="s">
        <v>737</v>
      </c>
      <c r="F283" s="2" t="s">
        <v>738</v>
      </c>
      <c r="G283" s="2" t="s">
        <v>1769</v>
      </c>
      <c r="H283" s="2" t="s">
        <v>1770</v>
      </c>
      <c r="I283" s="2" t="s">
        <v>716</v>
      </c>
      <c r="J283" s="2" t="s">
        <v>1771</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153</v>
      </c>
      <c r="C284" s="2" t="s">
        <v>156</v>
      </c>
      <c r="D284" s="2" t="s">
        <v>1772</v>
      </c>
      <c r="E284" s="2" t="s">
        <v>737</v>
      </c>
      <c r="F284" s="2" t="s">
        <v>738</v>
      </c>
      <c r="G284" s="2" t="s">
        <v>1773</v>
      </c>
      <c r="H284" s="2" t="s">
        <v>1774</v>
      </c>
      <c r="I284" s="2" t="s">
        <v>716</v>
      </c>
      <c r="J284" s="2" t="s">
        <v>1775</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153</v>
      </c>
      <c r="C285" s="2" t="s">
        <v>156</v>
      </c>
      <c r="D285" s="2" t="s">
        <v>1776</v>
      </c>
      <c r="E285" s="2" t="s">
        <v>737</v>
      </c>
      <c r="F285" s="2" t="s">
        <v>738</v>
      </c>
      <c r="G285" s="2" t="s">
        <v>1777</v>
      </c>
      <c r="H285" s="2" t="s">
        <v>1778</v>
      </c>
      <c r="I285" s="2" t="s">
        <v>716</v>
      </c>
      <c r="J285" s="2" t="s">
        <v>1779</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153</v>
      </c>
      <c r="C286" s="2" t="s">
        <v>156</v>
      </c>
      <c r="D286" s="2" t="s">
        <v>1780</v>
      </c>
      <c r="E286" s="2" t="s">
        <v>737</v>
      </c>
      <c r="F286" s="2" t="s">
        <v>738</v>
      </c>
      <c r="G286" s="2" t="s">
        <v>1781</v>
      </c>
      <c r="H286" s="2" t="s">
        <v>1782</v>
      </c>
      <c r="I286" s="2" t="s">
        <v>716</v>
      </c>
      <c r="J286" s="2" t="s">
        <v>1783</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153</v>
      </c>
      <c r="C287" s="2" t="s">
        <v>156</v>
      </c>
      <c r="D287" s="2" t="s">
        <v>1784</v>
      </c>
      <c r="E287" s="2" t="s">
        <v>737</v>
      </c>
      <c r="F287" s="2" t="s">
        <v>738</v>
      </c>
      <c r="G287" s="2" t="s">
        <v>1785</v>
      </c>
      <c r="H287" s="2" t="s">
        <v>1786</v>
      </c>
      <c r="I287" s="2" t="s">
        <v>716</v>
      </c>
      <c r="J287" s="2" t="s">
        <v>1787</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153</v>
      </c>
      <c r="C288" s="2" t="s">
        <v>156</v>
      </c>
      <c r="D288" s="2" t="s">
        <v>1788</v>
      </c>
      <c r="E288" s="2" t="s">
        <v>737</v>
      </c>
      <c r="F288" s="2" t="s">
        <v>738</v>
      </c>
      <c r="G288" s="2" t="s">
        <v>1789</v>
      </c>
      <c r="H288" s="2" t="s">
        <v>1790</v>
      </c>
      <c r="I288" s="2" t="s">
        <v>716</v>
      </c>
      <c r="J288" s="2" t="s">
        <v>1791</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153</v>
      </c>
      <c r="C289" s="2" t="s">
        <v>156</v>
      </c>
      <c r="D289" s="2" t="s">
        <v>1792</v>
      </c>
      <c r="E289" s="2" t="s">
        <v>737</v>
      </c>
      <c r="F289" s="2" t="s">
        <v>738</v>
      </c>
      <c r="G289" s="2" t="s">
        <v>1793</v>
      </c>
      <c r="H289" s="2" t="s">
        <v>1794</v>
      </c>
      <c r="I289" s="2" t="s">
        <v>716</v>
      </c>
      <c r="J289" s="2" t="s">
        <v>1795</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153</v>
      </c>
      <c r="C290" s="2" t="s">
        <v>156</v>
      </c>
      <c r="D290" s="2" t="s">
        <v>1796</v>
      </c>
      <c r="E290" s="2" t="s">
        <v>737</v>
      </c>
      <c r="F290" s="2" t="s">
        <v>738</v>
      </c>
      <c r="G290" s="2" t="s">
        <v>1797</v>
      </c>
      <c r="H290" s="2" t="s">
        <v>1798</v>
      </c>
      <c r="I290" s="2" t="s">
        <v>716</v>
      </c>
      <c r="J290" s="2" t="s">
        <v>1799</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153</v>
      </c>
      <c r="C291" s="2" t="s">
        <v>156</v>
      </c>
      <c r="D291" s="2" t="s">
        <v>1800</v>
      </c>
      <c r="E291" s="2" t="s">
        <v>737</v>
      </c>
      <c r="F291" s="2" t="s">
        <v>738</v>
      </c>
      <c r="G291" s="2" t="s">
        <v>1801</v>
      </c>
      <c r="H291" s="2" t="s">
        <v>1802</v>
      </c>
      <c r="I291" s="2" t="s">
        <v>716</v>
      </c>
      <c r="J291" s="2" t="s">
        <v>1803</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153</v>
      </c>
      <c r="C292" s="2" t="s">
        <v>156</v>
      </c>
      <c r="D292" s="2" t="s">
        <v>1804</v>
      </c>
      <c r="E292" s="2" t="s">
        <v>737</v>
      </c>
      <c r="F292" s="2" t="s">
        <v>738</v>
      </c>
      <c r="G292" s="2" t="s">
        <v>1805</v>
      </c>
      <c r="H292" s="2" t="s">
        <v>1806</v>
      </c>
      <c r="I292" s="2" t="s">
        <v>716</v>
      </c>
      <c r="J292" s="2" t="s">
        <v>1807</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153</v>
      </c>
      <c r="C293" s="2" t="s">
        <v>156</v>
      </c>
      <c r="D293" s="2" t="s">
        <v>1808</v>
      </c>
      <c r="E293" s="2" t="s">
        <v>737</v>
      </c>
      <c r="F293" s="2" t="s">
        <v>738</v>
      </c>
      <c r="G293" s="2" t="s">
        <v>1809</v>
      </c>
      <c r="H293" s="2" t="s">
        <v>1810</v>
      </c>
      <c r="I293" s="2" t="s">
        <v>716</v>
      </c>
      <c r="J293" s="2" t="s">
        <v>1811</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153</v>
      </c>
      <c r="C294" s="2" t="s">
        <v>156</v>
      </c>
      <c r="D294" s="2" t="s">
        <v>1812</v>
      </c>
      <c r="E294" s="2" t="s">
        <v>737</v>
      </c>
      <c r="F294" s="2" t="s">
        <v>738</v>
      </c>
      <c r="G294" s="2" t="s">
        <v>1813</v>
      </c>
      <c r="H294" s="2" t="s">
        <v>1814</v>
      </c>
      <c r="I294" s="2" t="s">
        <v>716</v>
      </c>
      <c r="J294" s="2" t="s">
        <v>1815</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159</v>
      </c>
      <c r="C295" s="2" t="s">
        <v>162</v>
      </c>
      <c r="D295" s="2" t="s">
        <v>1816</v>
      </c>
      <c r="E295" s="2" t="s">
        <v>712</v>
      </c>
      <c r="F295" s="2" t="s">
        <v>944</v>
      </c>
      <c r="G295" s="2" t="s">
        <v>1817</v>
      </c>
      <c r="H295" s="2" t="s">
        <v>1818</v>
      </c>
      <c r="I295" s="2" t="s">
        <v>716</v>
      </c>
      <c r="J295" s="2" t="s">
        <v>1819</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718</v>
      </c>
    </row>
    <row r="296" customFormat="false" ht="15" hidden="false" customHeight="false" outlineLevel="0" collapsed="false">
      <c r="A296" s="2" t="n">
        <v>20</v>
      </c>
      <c r="B296" s="2" t="s">
        <v>159</v>
      </c>
      <c r="C296" s="2" t="s">
        <v>162</v>
      </c>
      <c r="D296" s="2" t="s">
        <v>1820</v>
      </c>
      <c r="E296" s="2" t="s">
        <v>737</v>
      </c>
      <c r="F296" s="2" t="s">
        <v>761</v>
      </c>
      <c r="G296" s="2" t="s">
        <v>1821</v>
      </c>
      <c r="H296" s="2" t="s">
        <v>1822</v>
      </c>
      <c r="I296" s="2" t="s">
        <v>990</v>
      </c>
      <c r="J296" s="2" t="s">
        <v>1823</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159</v>
      </c>
      <c r="C297" s="2" t="s">
        <v>162</v>
      </c>
      <c r="D297" s="2" t="s">
        <v>1824</v>
      </c>
      <c r="E297" s="2" t="s">
        <v>712</v>
      </c>
      <c r="F297" s="2" t="s">
        <v>944</v>
      </c>
      <c r="G297" s="2" t="s">
        <v>1825</v>
      </c>
      <c r="H297" s="2" t="s">
        <v>1826</v>
      </c>
      <c r="I297" s="2" t="s">
        <v>716</v>
      </c>
      <c r="J297" s="2" t="s">
        <v>1827</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718</v>
      </c>
    </row>
    <row r="298" customFormat="false" ht="15" hidden="false" customHeight="false" outlineLevel="0" collapsed="false">
      <c r="A298" s="2" t="n">
        <v>20</v>
      </c>
      <c r="B298" s="2" t="s">
        <v>159</v>
      </c>
      <c r="C298" s="2" t="s">
        <v>162</v>
      </c>
      <c r="D298" s="2" t="s">
        <v>1828</v>
      </c>
      <c r="E298" s="2" t="s">
        <v>737</v>
      </c>
      <c r="F298" s="2" t="s">
        <v>761</v>
      </c>
      <c r="G298" s="2" t="s">
        <v>1829</v>
      </c>
      <c r="H298" s="2" t="s">
        <v>1830</v>
      </c>
      <c r="I298" s="2" t="s">
        <v>716</v>
      </c>
      <c r="J298" s="2" t="s">
        <v>1831</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159</v>
      </c>
      <c r="C299" s="2" t="s">
        <v>162</v>
      </c>
      <c r="D299" s="2" t="s">
        <v>1832</v>
      </c>
      <c r="E299" s="2" t="s">
        <v>737</v>
      </c>
      <c r="F299" s="2" t="s">
        <v>761</v>
      </c>
      <c r="G299" s="2" t="s">
        <v>1829</v>
      </c>
      <c r="H299" s="2" t="s">
        <v>1833</v>
      </c>
      <c r="I299" s="2" t="s">
        <v>716</v>
      </c>
      <c r="J299" s="2" t="s">
        <v>1834</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159</v>
      </c>
      <c r="C300" s="2" t="s">
        <v>162</v>
      </c>
      <c r="D300" s="2" t="s">
        <v>1835</v>
      </c>
      <c r="E300" s="2" t="s">
        <v>737</v>
      </c>
      <c r="F300" s="2" t="s">
        <v>761</v>
      </c>
      <c r="G300" s="2" t="s">
        <v>1836</v>
      </c>
      <c r="H300" s="2" t="s">
        <v>1837</v>
      </c>
      <c r="I300" s="2" t="s">
        <v>990</v>
      </c>
      <c r="J300" s="2" t="s">
        <v>1838</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159</v>
      </c>
      <c r="C301" s="2" t="s">
        <v>162</v>
      </c>
      <c r="D301" s="2" t="s">
        <v>1839</v>
      </c>
      <c r="E301" s="2" t="s">
        <v>737</v>
      </c>
      <c r="F301" s="2" t="s">
        <v>761</v>
      </c>
      <c r="G301" s="2" t="s">
        <v>1840</v>
      </c>
      <c r="H301" s="2" t="s">
        <v>1841</v>
      </c>
      <c r="I301" s="2" t="s">
        <v>990</v>
      </c>
      <c r="J301" s="2" t="s">
        <v>1842</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159</v>
      </c>
      <c r="C302" s="2" t="s">
        <v>162</v>
      </c>
      <c r="D302" s="2" t="s">
        <v>1843</v>
      </c>
      <c r="E302" s="2" t="s">
        <v>737</v>
      </c>
      <c r="F302" s="2" t="s">
        <v>761</v>
      </c>
      <c r="G302" s="2" t="s">
        <v>1844</v>
      </c>
      <c r="H302" s="2" t="s">
        <v>1845</v>
      </c>
      <c r="I302" s="2" t="s">
        <v>716</v>
      </c>
      <c r="J302" s="2" t="s">
        <v>1846</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159</v>
      </c>
      <c r="C303" s="2" t="s">
        <v>162</v>
      </c>
      <c r="D303" s="2" t="s">
        <v>1847</v>
      </c>
      <c r="E303" s="2" t="s">
        <v>737</v>
      </c>
      <c r="F303" s="2" t="s">
        <v>761</v>
      </c>
      <c r="G303" s="2" t="s">
        <v>1848</v>
      </c>
      <c r="H303" s="2" t="s">
        <v>1849</v>
      </c>
      <c r="I303" s="2" t="s">
        <v>716</v>
      </c>
      <c r="J303" s="2" t="s">
        <v>1850</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159</v>
      </c>
      <c r="C304" s="2" t="s">
        <v>162</v>
      </c>
      <c r="D304" s="2" t="s">
        <v>1851</v>
      </c>
      <c r="E304" s="2" t="s">
        <v>737</v>
      </c>
      <c r="F304" s="2" t="s">
        <v>761</v>
      </c>
      <c r="G304" s="2" t="s">
        <v>1852</v>
      </c>
      <c r="H304" s="2" t="s">
        <v>1853</v>
      </c>
      <c r="I304" s="2" t="s">
        <v>990</v>
      </c>
      <c r="J304" s="2" t="s">
        <v>1854</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159</v>
      </c>
      <c r="C305" s="2" t="s">
        <v>162</v>
      </c>
      <c r="D305" s="2" t="s">
        <v>1855</v>
      </c>
      <c r="E305" s="2" t="s">
        <v>737</v>
      </c>
      <c r="F305" s="2" t="s">
        <v>761</v>
      </c>
      <c r="G305" s="2" t="s">
        <v>1856</v>
      </c>
      <c r="H305" s="2" t="s">
        <v>1857</v>
      </c>
      <c r="I305" s="2" t="s">
        <v>990</v>
      </c>
      <c r="J305" s="2" t="s">
        <v>1858</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159</v>
      </c>
      <c r="C306" s="2" t="s">
        <v>162</v>
      </c>
      <c r="D306" s="2" t="s">
        <v>1859</v>
      </c>
      <c r="E306" s="2" t="s">
        <v>737</v>
      </c>
      <c r="F306" s="2" t="s">
        <v>761</v>
      </c>
      <c r="G306" s="2" t="s">
        <v>1860</v>
      </c>
      <c r="H306" s="2" t="s">
        <v>1861</v>
      </c>
      <c r="I306" s="2" t="s">
        <v>990</v>
      </c>
      <c r="J306" s="2" t="s">
        <v>1862</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159</v>
      </c>
      <c r="C307" s="2" t="s">
        <v>162</v>
      </c>
      <c r="D307" s="2" t="s">
        <v>1863</v>
      </c>
      <c r="E307" s="2" t="s">
        <v>737</v>
      </c>
      <c r="F307" s="2" t="s">
        <v>761</v>
      </c>
      <c r="G307" s="2" t="s">
        <v>1864</v>
      </c>
      <c r="H307" s="2" t="s">
        <v>1865</v>
      </c>
      <c r="I307" s="2" t="s">
        <v>716</v>
      </c>
      <c r="J307" s="2" t="s">
        <v>1866</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165</v>
      </c>
      <c r="C308" s="2" t="s">
        <v>167</v>
      </c>
      <c r="D308" s="2" t="s">
        <v>1867</v>
      </c>
      <c r="E308" s="2" t="s">
        <v>737</v>
      </c>
      <c r="F308" s="2" t="s">
        <v>761</v>
      </c>
      <c r="G308" s="2" t="s">
        <v>1836</v>
      </c>
      <c r="H308" s="2" t="s">
        <v>1868</v>
      </c>
      <c r="I308" s="2" t="s">
        <v>990</v>
      </c>
      <c r="J308" s="2" t="s">
        <v>1869</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165</v>
      </c>
      <c r="C309" s="2" t="s">
        <v>167</v>
      </c>
      <c r="D309" s="2" t="s">
        <v>1870</v>
      </c>
      <c r="E309" s="2" t="s">
        <v>737</v>
      </c>
      <c r="F309" s="2" t="s">
        <v>761</v>
      </c>
      <c r="G309" s="2" t="s">
        <v>1852</v>
      </c>
      <c r="H309" s="2" t="s">
        <v>1871</v>
      </c>
      <c r="I309" s="2" t="s">
        <v>990</v>
      </c>
      <c r="J309" s="2" t="s">
        <v>1872</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165</v>
      </c>
      <c r="C310" s="2" t="s">
        <v>167</v>
      </c>
      <c r="D310" s="2" t="s">
        <v>1873</v>
      </c>
      <c r="E310" s="2" t="s">
        <v>737</v>
      </c>
      <c r="F310" s="2" t="s">
        <v>761</v>
      </c>
      <c r="G310" s="2" t="s">
        <v>1860</v>
      </c>
      <c r="H310" s="2" t="s">
        <v>1874</v>
      </c>
      <c r="I310" s="2" t="s">
        <v>990</v>
      </c>
      <c r="J310" s="2" t="s">
        <v>1875</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170</v>
      </c>
      <c r="C311" s="2" t="s">
        <v>173</v>
      </c>
      <c r="D311" s="2" t="s">
        <v>1876</v>
      </c>
      <c r="E311" s="2" t="s">
        <v>737</v>
      </c>
      <c r="F311" s="2" t="s">
        <v>761</v>
      </c>
      <c r="G311" s="2" t="s">
        <v>1877</v>
      </c>
      <c r="H311" s="2" t="s">
        <v>1878</v>
      </c>
      <c r="I311" s="2" t="s">
        <v>716</v>
      </c>
      <c r="J311" s="2" t="s">
        <v>1879</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170</v>
      </c>
      <c r="C312" s="2" t="s">
        <v>173</v>
      </c>
      <c r="D312" s="2" t="s">
        <v>1880</v>
      </c>
      <c r="E312" s="2" t="s">
        <v>737</v>
      </c>
      <c r="F312" s="2" t="s">
        <v>738</v>
      </c>
      <c r="G312" s="2" t="s">
        <v>1881</v>
      </c>
      <c r="H312" s="2" t="s">
        <v>1882</v>
      </c>
      <c r="I312" s="2" t="s">
        <v>716</v>
      </c>
      <c r="J312" s="2" t="s">
        <v>1883</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170</v>
      </c>
      <c r="C313" s="2" t="s">
        <v>173</v>
      </c>
      <c r="D313" s="2" t="s">
        <v>1884</v>
      </c>
      <c r="E313" s="2" t="s">
        <v>737</v>
      </c>
      <c r="F313" s="2" t="s">
        <v>761</v>
      </c>
      <c r="G313" s="2" t="s">
        <v>1885</v>
      </c>
      <c r="H313" s="2" t="s">
        <v>1886</v>
      </c>
      <c r="I313" s="2" t="s">
        <v>716</v>
      </c>
      <c r="J313" s="2" t="s">
        <v>1887</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170</v>
      </c>
      <c r="C314" s="2" t="s">
        <v>173</v>
      </c>
      <c r="D314" s="2" t="s">
        <v>1888</v>
      </c>
      <c r="E314" s="2" t="s">
        <v>737</v>
      </c>
      <c r="F314" s="2" t="s">
        <v>761</v>
      </c>
      <c r="G314" s="2" t="s">
        <v>1885</v>
      </c>
      <c r="H314" s="2" t="s">
        <v>1889</v>
      </c>
      <c r="I314" s="2" t="s">
        <v>716</v>
      </c>
      <c r="J314" s="2" t="s">
        <v>1890</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170</v>
      </c>
      <c r="C315" s="2" t="s">
        <v>173</v>
      </c>
      <c r="D315" s="2" t="s">
        <v>1891</v>
      </c>
      <c r="E315" s="2" t="s">
        <v>737</v>
      </c>
      <c r="F315" s="2" t="s">
        <v>738</v>
      </c>
      <c r="G315" s="2" t="s">
        <v>1885</v>
      </c>
      <c r="H315" s="2" t="s">
        <v>1892</v>
      </c>
      <c r="I315" s="2" t="s">
        <v>716</v>
      </c>
      <c r="J315" s="2" t="s">
        <v>1893</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170</v>
      </c>
      <c r="C316" s="2" t="s">
        <v>173</v>
      </c>
      <c r="D316" s="2" t="s">
        <v>1894</v>
      </c>
      <c r="E316" s="2" t="s">
        <v>737</v>
      </c>
      <c r="F316" s="2" t="s">
        <v>738</v>
      </c>
      <c r="G316" s="2" t="s">
        <v>1885</v>
      </c>
      <c r="H316" s="2" t="s">
        <v>1895</v>
      </c>
      <c r="I316" s="2" t="s">
        <v>716</v>
      </c>
      <c r="J316" s="2" t="s">
        <v>1896</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170</v>
      </c>
      <c r="C317" s="2" t="s">
        <v>173</v>
      </c>
      <c r="D317" s="2" t="s">
        <v>1897</v>
      </c>
      <c r="E317" s="2" t="s">
        <v>737</v>
      </c>
      <c r="F317" s="2" t="s">
        <v>761</v>
      </c>
      <c r="G317" s="2" t="s">
        <v>1898</v>
      </c>
      <c r="H317" s="2" t="s">
        <v>1899</v>
      </c>
      <c r="I317" s="2" t="s">
        <v>716</v>
      </c>
      <c r="J317" s="2" t="s">
        <v>1900</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170</v>
      </c>
      <c r="C318" s="2" t="s">
        <v>173</v>
      </c>
      <c r="D318" s="2" t="s">
        <v>1901</v>
      </c>
      <c r="E318" s="2" t="s">
        <v>737</v>
      </c>
      <c r="F318" s="2" t="s">
        <v>761</v>
      </c>
      <c r="G318" s="2" t="s">
        <v>1902</v>
      </c>
      <c r="H318" s="2" t="s">
        <v>1903</v>
      </c>
      <c r="I318" s="2" t="s">
        <v>716</v>
      </c>
      <c r="J318" s="2" t="s">
        <v>1904</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170</v>
      </c>
      <c r="C319" s="2" t="s">
        <v>173</v>
      </c>
      <c r="D319" s="2" t="s">
        <v>1905</v>
      </c>
      <c r="E319" s="2" t="s">
        <v>737</v>
      </c>
      <c r="F319" s="2" t="s">
        <v>738</v>
      </c>
      <c r="G319" s="2" t="s">
        <v>1906</v>
      </c>
      <c r="H319" s="2" t="s">
        <v>1907</v>
      </c>
      <c r="I319" s="2" t="s">
        <v>716</v>
      </c>
      <c r="J319" s="2" t="s">
        <v>1908</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170</v>
      </c>
      <c r="C320" s="2" t="s">
        <v>173</v>
      </c>
      <c r="D320" s="2" t="s">
        <v>1909</v>
      </c>
      <c r="E320" s="2" t="s">
        <v>737</v>
      </c>
      <c r="F320" s="2" t="s">
        <v>738</v>
      </c>
      <c r="G320" s="2" t="s">
        <v>1602</v>
      </c>
      <c r="H320" s="2" t="s">
        <v>1910</v>
      </c>
      <c r="I320" s="2" t="s">
        <v>716</v>
      </c>
      <c r="J320" s="2" t="s">
        <v>1911</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170</v>
      </c>
      <c r="C321" s="2" t="s">
        <v>173</v>
      </c>
      <c r="D321" s="2" t="s">
        <v>1912</v>
      </c>
      <c r="E321" s="2" t="s">
        <v>737</v>
      </c>
      <c r="F321" s="2" t="s">
        <v>738</v>
      </c>
      <c r="G321" s="2" t="s">
        <v>1602</v>
      </c>
      <c r="H321" s="2" t="s">
        <v>1913</v>
      </c>
      <c r="I321" s="2" t="s">
        <v>716</v>
      </c>
      <c r="J321" s="2" t="s">
        <v>1914</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170</v>
      </c>
      <c r="C322" s="2" t="s">
        <v>173</v>
      </c>
      <c r="D322" s="2" t="s">
        <v>1915</v>
      </c>
      <c r="E322" s="2" t="s">
        <v>737</v>
      </c>
      <c r="F322" s="2" t="s">
        <v>738</v>
      </c>
      <c r="G322" s="2" t="s">
        <v>1602</v>
      </c>
      <c r="H322" s="2" t="s">
        <v>1916</v>
      </c>
      <c r="I322" s="2" t="s">
        <v>716</v>
      </c>
      <c r="J322" s="2" t="s">
        <v>1917</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170</v>
      </c>
      <c r="C323" s="2" t="s">
        <v>173</v>
      </c>
      <c r="D323" s="2" t="s">
        <v>1918</v>
      </c>
      <c r="E323" s="2" t="s">
        <v>737</v>
      </c>
      <c r="F323" s="2" t="s">
        <v>738</v>
      </c>
      <c r="G323" s="2" t="s">
        <v>1602</v>
      </c>
      <c r="H323" s="2" t="s">
        <v>1919</v>
      </c>
      <c r="I323" s="2" t="s">
        <v>716</v>
      </c>
      <c r="J323" s="2" t="s">
        <v>1920</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170</v>
      </c>
      <c r="C324" s="2" t="s">
        <v>173</v>
      </c>
      <c r="D324" s="2" t="s">
        <v>1921</v>
      </c>
      <c r="E324" s="2" t="s">
        <v>737</v>
      </c>
      <c r="F324" s="2" t="s">
        <v>738</v>
      </c>
      <c r="G324" s="2" t="s">
        <v>1602</v>
      </c>
      <c r="H324" s="2" t="s">
        <v>1922</v>
      </c>
      <c r="I324" s="2" t="s">
        <v>716</v>
      </c>
      <c r="J324" s="2" t="s">
        <v>1923</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170</v>
      </c>
      <c r="C325" s="2" t="s">
        <v>173</v>
      </c>
      <c r="D325" s="2" t="s">
        <v>1924</v>
      </c>
      <c r="E325" s="2" t="s">
        <v>737</v>
      </c>
      <c r="F325" s="2" t="s">
        <v>738</v>
      </c>
      <c r="G325" s="2" t="s">
        <v>1925</v>
      </c>
      <c r="H325" s="2" t="s">
        <v>1926</v>
      </c>
      <c r="I325" s="2" t="s">
        <v>716</v>
      </c>
      <c r="J325" s="2" t="s">
        <v>1927</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170</v>
      </c>
      <c r="C326" s="2" t="s">
        <v>173</v>
      </c>
      <c r="D326" s="2" t="s">
        <v>1928</v>
      </c>
      <c r="E326" s="2" t="s">
        <v>737</v>
      </c>
      <c r="F326" s="2" t="s">
        <v>738</v>
      </c>
      <c r="G326" s="2" t="s">
        <v>1925</v>
      </c>
      <c r="H326" s="2" t="s">
        <v>1929</v>
      </c>
      <c r="I326" s="2" t="s">
        <v>716</v>
      </c>
      <c r="J326" s="2" t="s">
        <v>1930</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170</v>
      </c>
      <c r="C327" s="2" t="s">
        <v>173</v>
      </c>
      <c r="D327" s="2" t="s">
        <v>1931</v>
      </c>
      <c r="E327" s="2" t="s">
        <v>737</v>
      </c>
      <c r="F327" s="2" t="s">
        <v>738</v>
      </c>
      <c r="G327" s="2" t="s">
        <v>1925</v>
      </c>
      <c r="H327" s="2" t="s">
        <v>1932</v>
      </c>
      <c r="I327" s="2" t="s">
        <v>716</v>
      </c>
      <c r="J327" s="2" t="s">
        <v>1933</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170</v>
      </c>
      <c r="C328" s="2" t="s">
        <v>173</v>
      </c>
      <c r="D328" s="2" t="s">
        <v>1934</v>
      </c>
      <c r="E328" s="2" t="s">
        <v>737</v>
      </c>
      <c r="F328" s="2" t="s">
        <v>738</v>
      </c>
      <c r="G328" s="2" t="s">
        <v>1925</v>
      </c>
      <c r="H328" s="2" t="s">
        <v>1935</v>
      </c>
      <c r="I328" s="2" t="s">
        <v>716</v>
      </c>
      <c r="J328" s="2" t="s">
        <v>1936</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170</v>
      </c>
      <c r="C329" s="2" t="s">
        <v>173</v>
      </c>
      <c r="D329" s="2" t="s">
        <v>1937</v>
      </c>
      <c r="E329" s="2" t="s">
        <v>737</v>
      </c>
      <c r="F329" s="2" t="s">
        <v>738</v>
      </c>
      <c r="G329" s="2" t="s">
        <v>1938</v>
      </c>
      <c r="H329" s="2" t="s">
        <v>1939</v>
      </c>
      <c r="I329" s="2" t="s">
        <v>716</v>
      </c>
      <c r="J329" s="2" t="s">
        <v>1940</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170</v>
      </c>
      <c r="C330" s="2" t="s">
        <v>173</v>
      </c>
      <c r="D330" s="2" t="s">
        <v>1941</v>
      </c>
      <c r="E330" s="2" t="s">
        <v>737</v>
      </c>
      <c r="F330" s="2" t="s">
        <v>738</v>
      </c>
      <c r="G330" s="2" t="s">
        <v>1938</v>
      </c>
      <c r="H330" s="2" t="s">
        <v>1942</v>
      </c>
      <c r="I330" s="2" t="s">
        <v>716</v>
      </c>
      <c r="J330" s="2" t="s">
        <v>1943</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170</v>
      </c>
      <c r="C331" s="2" t="s">
        <v>173</v>
      </c>
      <c r="D331" s="2" t="s">
        <v>1944</v>
      </c>
      <c r="E331" s="2" t="s">
        <v>737</v>
      </c>
      <c r="F331" s="2" t="s">
        <v>738</v>
      </c>
      <c r="G331" s="2" t="s">
        <v>1938</v>
      </c>
      <c r="H331" s="2" t="s">
        <v>1945</v>
      </c>
      <c r="I331" s="2" t="s">
        <v>716</v>
      </c>
      <c r="J331" s="2" t="s">
        <v>1946</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170</v>
      </c>
      <c r="C332" s="2" t="s">
        <v>173</v>
      </c>
      <c r="D332" s="2" t="s">
        <v>1947</v>
      </c>
      <c r="E332" s="2" t="s">
        <v>737</v>
      </c>
      <c r="F332" s="2" t="s">
        <v>738</v>
      </c>
      <c r="G332" s="2" t="s">
        <v>1938</v>
      </c>
      <c r="H332" s="2" t="s">
        <v>1948</v>
      </c>
      <c r="I332" s="2" t="s">
        <v>716</v>
      </c>
      <c r="J332" s="2" t="s">
        <v>1949</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170</v>
      </c>
      <c r="C333" s="2" t="s">
        <v>173</v>
      </c>
      <c r="D333" s="2" t="s">
        <v>1950</v>
      </c>
      <c r="E333" s="2" t="s">
        <v>737</v>
      </c>
      <c r="F333" s="2" t="s">
        <v>738</v>
      </c>
      <c r="G333" s="2" t="s">
        <v>1938</v>
      </c>
      <c r="H333" s="2" t="s">
        <v>1951</v>
      </c>
      <c r="I333" s="2" t="s">
        <v>716</v>
      </c>
      <c r="J333" s="2" t="s">
        <v>1952</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170</v>
      </c>
      <c r="C334" s="2" t="s">
        <v>173</v>
      </c>
      <c r="D334" s="2" t="s">
        <v>1953</v>
      </c>
      <c r="E334" s="2" t="s">
        <v>737</v>
      </c>
      <c r="F334" s="2" t="s">
        <v>738</v>
      </c>
      <c r="G334" s="2" t="s">
        <v>1938</v>
      </c>
      <c r="H334" s="2" t="s">
        <v>1954</v>
      </c>
      <c r="I334" s="2" t="s">
        <v>716</v>
      </c>
      <c r="J334" s="2" t="s">
        <v>1955</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170</v>
      </c>
      <c r="C335" s="2" t="s">
        <v>173</v>
      </c>
      <c r="D335" s="2" t="s">
        <v>1956</v>
      </c>
      <c r="E335" s="2" t="s">
        <v>737</v>
      </c>
      <c r="F335" s="2" t="s">
        <v>738</v>
      </c>
      <c r="G335" s="2" t="s">
        <v>1938</v>
      </c>
      <c r="H335" s="2" t="s">
        <v>1957</v>
      </c>
      <c r="I335" s="2" t="s">
        <v>716</v>
      </c>
      <c r="J335" s="2" t="s">
        <v>1958</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170</v>
      </c>
      <c r="C336" s="2" t="s">
        <v>173</v>
      </c>
      <c r="D336" s="2" t="s">
        <v>1959</v>
      </c>
      <c r="E336" s="2" t="s">
        <v>737</v>
      </c>
      <c r="F336" s="2" t="s">
        <v>738</v>
      </c>
      <c r="G336" s="2" t="s">
        <v>1960</v>
      </c>
      <c r="H336" s="2" t="s">
        <v>1961</v>
      </c>
      <c r="I336" s="2" t="s">
        <v>716</v>
      </c>
      <c r="J336" s="2" t="s">
        <v>1962</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170</v>
      </c>
      <c r="C337" s="2" t="s">
        <v>173</v>
      </c>
      <c r="D337" s="2" t="s">
        <v>1963</v>
      </c>
      <c r="E337" s="2" t="s">
        <v>737</v>
      </c>
      <c r="F337" s="2" t="s">
        <v>738</v>
      </c>
      <c r="G337" s="2" t="s">
        <v>1960</v>
      </c>
      <c r="H337" s="2" t="s">
        <v>1964</v>
      </c>
      <c r="I337" s="2" t="s">
        <v>716</v>
      </c>
      <c r="J337" s="2" t="s">
        <v>1965</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170</v>
      </c>
      <c r="C338" s="2" t="s">
        <v>173</v>
      </c>
      <c r="D338" s="2" t="s">
        <v>1966</v>
      </c>
      <c r="E338" s="2" t="s">
        <v>737</v>
      </c>
      <c r="F338" s="2" t="s">
        <v>738</v>
      </c>
      <c r="G338" s="2" t="s">
        <v>1960</v>
      </c>
      <c r="H338" s="2" t="s">
        <v>1967</v>
      </c>
      <c r="I338" s="2" t="s">
        <v>716</v>
      </c>
      <c r="J338" s="2" t="s">
        <v>1968</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170</v>
      </c>
      <c r="C339" s="2" t="s">
        <v>173</v>
      </c>
      <c r="D339" s="2" t="s">
        <v>1969</v>
      </c>
      <c r="E339" s="2" t="s">
        <v>737</v>
      </c>
      <c r="F339" s="2" t="s">
        <v>738</v>
      </c>
      <c r="G339" s="2" t="s">
        <v>1960</v>
      </c>
      <c r="H339" s="2" t="s">
        <v>1970</v>
      </c>
      <c r="I339" s="2" t="s">
        <v>716</v>
      </c>
      <c r="J339" s="2" t="s">
        <v>1971</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170</v>
      </c>
      <c r="C340" s="2" t="s">
        <v>173</v>
      </c>
      <c r="D340" s="2" t="s">
        <v>1972</v>
      </c>
      <c r="E340" s="2" t="s">
        <v>737</v>
      </c>
      <c r="F340" s="2" t="s">
        <v>738</v>
      </c>
      <c r="G340" s="2" t="s">
        <v>1960</v>
      </c>
      <c r="H340" s="2" t="s">
        <v>1973</v>
      </c>
      <c r="I340" s="2" t="s">
        <v>716</v>
      </c>
      <c r="J340" s="2" t="s">
        <v>1974</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170</v>
      </c>
      <c r="C341" s="2" t="s">
        <v>173</v>
      </c>
      <c r="D341" s="2" t="s">
        <v>1975</v>
      </c>
      <c r="E341" s="2" t="s">
        <v>737</v>
      </c>
      <c r="F341" s="2" t="s">
        <v>738</v>
      </c>
      <c r="G341" s="2" t="s">
        <v>1960</v>
      </c>
      <c r="H341" s="2" t="s">
        <v>1976</v>
      </c>
      <c r="I341" s="2" t="s">
        <v>716</v>
      </c>
      <c r="J341" s="2" t="s">
        <v>1977</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170</v>
      </c>
      <c r="C342" s="2" t="s">
        <v>173</v>
      </c>
      <c r="D342" s="2" t="s">
        <v>1978</v>
      </c>
      <c r="E342" s="2" t="s">
        <v>737</v>
      </c>
      <c r="F342" s="2" t="s">
        <v>761</v>
      </c>
      <c r="G342" s="2" t="s">
        <v>1979</v>
      </c>
      <c r="H342" s="2" t="s">
        <v>1980</v>
      </c>
      <c r="I342" s="2" t="s">
        <v>716</v>
      </c>
      <c r="J342" s="2" t="s">
        <v>1981</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170</v>
      </c>
      <c r="C343" s="2" t="s">
        <v>173</v>
      </c>
      <c r="D343" s="2" t="s">
        <v>1982</v>
      </c>
      <c r="E343" s="2" t="s">
        <v>737</v>
      </c>
      <c r="F343" s="2" t="s">
        <v>738</v>
      </c>
      <c r="G343" s="2" t="s">
        <v>1979</v>
      </c>
      <c r="H343" s="2" t="s">
        <v>1983</v>
      </c>
      <c r="I343" s="2" t="s">
        <v>716</v>
      </c>
      <c r="J343" s="2" t="s">
        <v>1984</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170</v>
      </c>
      <c r="C344" s="2" t="s">
        <v>173</v>
      </c>
      <c r="D344" s="2" t="s">
        <v>1985</v>
      </c>
      <c r="E344" s="2" t="s">
        <v>737</v>
      </c>
      <c r="F344" s="2" t="s">
        <v>738</v>
      </c>
      <c r="G344" s="2" t="s">
        <v>1979</v>
      </c>
      <c r="H344" s="2" t="s">
        <v>1986</v>
      </c>
      <c r="I344" s="2" t="s">
        <v>716</v>
      </c>
      <c r="J344" s="2" t="s">
        <v>1987</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170</v>
      </c>
      <c r="C345" s="2" t="s">
        <v>173</v>
      </c>
      <c r="D345" s="2" t="s">
        <v>1988</v>
      </c>
      <c r="E345" s="2" t="s">
        <v>737</v>
      </c>
      <c r="F345" s="2" t="s">
        <v>738</v>
      </c>
      <c r="G345" s="2" t="s">
        <v>1989</v>
      </c>
      <c r="H345" s="2" t="s">
        <v>1990</v>
      </c>
      <c r="I345" s="2" t="s">
        <v>716</v>
      </c>
      <c r="J345" s="2" t="s">
        <v>1991</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170</v>
      </c>
      <c r="C346" s="2" t="s">
        <v>173</v>
      </c>
      <c r="D346" s="2" t="s">
        <v>1992</v>
      </c>
      <c r="E346" s="2" t="s">
        <v>737</v>
      </c>
      <c r="F346" s="2" t="s">
        <v>738</v>
      </c>
      <c r="G346" s="2" t="s">
        <v>1989</v>
      </c>
      <c r="H346" s="2" t="s">
        <v>1993</v>
      </c>
      <c r="I346" s="2" t="s">
        <v>716</v>
      </c>
      <c r="J346" s="2" t="s">
        <v>1994</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170</v>
      </c>
      <c r="C347" s="2" t="s">
        <v>173</v>
      </c>
      <c r="D347" s="2" t="s">
        <v>1995</v>
      </c>
      <c r="E347" s="2" t="s">
        <v>737</v>
      </c>
      <c r="F347" s="2" t="s">
        <v>738</v>
      </c>
      <c r="G347" s="2" t="s">
        <v>1989</v>
      </c>
      <c r="H347" s="2" t="s">
        <v>1996</v>
      </c>
      <c r="I347" s="2" t="s">
        <v>716</v>
      </c>
      <c r="J347" s="2" t="s">
        <v>1997</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170</v>
      </c>
      <c r="C348" s="2" t="s">
        <v>173</v>
      </c>
      <c r="D348" s="2" t="s">
        <v>1998</v>
      </c>
      <c r="E348" s="2" t="s">
        <v>737</v>
      </c>
      <c r="F348" s="2" t="s">
        <v>738</v>
      </c>
      <c r="G348" s="2" t="s">
        <v>1989</v>
      </c>
      <c r="H348" s="2" t="s">
        <v>1999</v>
      </c>
      <c r="I348" s="2" t="s">
        <v>716</v>
      </c>
      <c r="J348" s="2" t="s">
        <v>2000</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170</v>
      </c>
      <c r="C349" s="2" t="s">
        <v>173</v>
      </c>
      <c r="D349" s="2" t="s">
        <v>2001</v>
      </c>
      <c r="E349" s="2" t="s">
        <v>737</v>
      </c>
      <c r="F349" s="2" t="s">
        <v>738</v>
      </c>
      <c r="G349" s="2" t="s">
        <v>2002</v>
      </c>
      <c r="H349" s="2" t="s">
        <v>2003</v>
      </c>
      <c r="I349" s="2" t="s">
        <v>716</v>
      </c>
      <c r="J349" s="2" t="s">
        <v>2004</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170</v>
      </c>
      <c r="C350" s="2" t="s">
        <v>173</v>
      </c>
      <c r="D350" s="2" t="s">
        <v>2005</v>
      </c>
      <c r="E350" s="2" t="s">
        <v>737</v>
      </c>
      <c r="F350" s="2" t="s">
        <v>738</v>
      </c>
      <c r="G350" s="2" t="s">
        <v>2006</v>
      </c>
      <c r="H350" s="2" t="s">
        <v>2007</v>
      </c>
      <c r="I350" s="2" t="s">
        <v>716</v>
      </c>
      <c r="J350" s="2" t="s">
        <v>2008</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170</v>
      </c>
      <c r="C351" s="2" t="s">
        <v>173</v>
      </c>
      <c r="D351" s="2" t="s">
        <v>2009</v>
      </c>
      <c r="E351" s="2" t="s">
        <v>737</v>
      </c>
      <c r="F351" s="2" t="s">
        <v>738</v>
      </c>
      <c r="G351" s="2" t="s">
        <v>2010</v>
      </c>
      <c r="H351" s="2" t="s">
        <v>2011</v>
      </c>
      <c r="I351" s="2" t="s">
        <v>716</v>
      </c>
      <c r="J351" s="2" t="s">
        <v>2012</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170</v>
      </c>
      <c r="C352" s="2" t="s">
        <v>173</v>
      </c>
      <c r="D352" s="2" t="s">
        <v>2013</v>
      </c>
      <c r="E352" s="2" t="s">
        <v>737</v>
      </c>
      <c r="F352" s="2" t="s">
        <v>738</v>
      </c>
      <c r="G352" s="2" t="s">
        <v>2010</v>
      </c>
      <c r="H352" s="2" t="s">
        <v>2014</v>
      </c>
      <c r="I352" s="2" t="s">
        <v>716</v>
      </c>
      <c r="J352" s="2" t="s">
        <v>2015</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170</v>
      </c>
      <c r="C353" s="2" t="s">
        <v>173</v>
      </c>
      <c r="D353" s="2" t="s">
        <v>2016</v>
      </c>
      <c r="E353" s="2" t="s">
        <v>737</v>
      </c>
      <c r="F353" s="2" t="s">
        <v>738</v>
      </c>
      <c r="G353" s="2" t="s">
        <v>2010</v>
      </c>
      <c r="H353" s="2" t="s">
        <v>2017</v>
      </c>
      <c r="I353" s="2" t="s">
        <v>716</v>
      </c>
      <c r="J353" s="2" t="s">
        <v>2018</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176</v>
      </c>
      <c r="C354" s="2" t="s">
        <v>179</v>
      </c>
      <c r="D354" s="2" t="s">
        <v>2019</v>
      </c>
      <c r="E354" s="2" t="s">
        <v>743</v>
      </c>
      <c r="F354" s="2" t="s">
        <v>744</v>
      </c>
      <c r="G354" s="2" t="s">
        <v>2020</v>
      </c>
      <c r="H354" s="2" t="s">
        <v>2021</v>
      </c>
      <c r="I354" s="2" t="s">
        <v>716</v>
      </c>
      <c r="J354" s="2" t="s">
        <v>2022</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176</v>
      </c>
      <c r="C355" s="2" t="s">
        <v>179</v>
      </c>
      <c r="D355" s="2" t="s">
        <v>2023</v>
      </c>
      <c r="E355" s="2" t="s">
        <v>743</v>
      </c>
      <c r="F355" s="2" t="s">
        <v>744</v>
      </c>
      <c r="G355" s="2" t="s">
        <v>2024</v>
      </c>
      <c r="H355" s="2" t="s">
        <v>2025</v>
      </c>
      <c r="I355" s="2" t="s">
        <v>716</v>
      </c>
      <c r="J355" s="2" t="s">
        <v>2026</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176</v>
      </c>
      <c r="C356" s="2" t="s">
        <v>179</v>
      </c>
      <c r="D356" s="2" t="s">
        <v>2027</v>
      </c>
      <c r="E356" s="2" t="s">
        <v>737</v>
      </c>
      <c r="F356" s="2" t="s">
        <v>738</v>
      </c>
      <c r="G356" s="2" t="s">
        <v>2028</v>
      </c>
      <c r="H356" s="2" t="s">
        <v>2029</v>
      </c>
      <c r="I356" s="2" t="s">
        <v>716</v>
      </c>
      <c r="J356" s="2" t="s">
        <v>2030</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176</v>
      </c>
      <c r="C357" s="2" t="s">
        <v>179</v>
      </c>
      <c r="D357" s="2" t="s">
        <v>2031</v>
      </c>
      <c r="E357" s="2" t="s">
        <v>743</v>
      </c>
      <c r="F357" s="2" t="s">
        <v>744</v>
      </c>
      <c r="G357" s="2" t="s">
        <v>2028</v>
      </c>
      <c r="H357" s="2" t="s">
        <v>2032</v>
      </c>
      <c r="I357" s="2" t="s">
        <v>716</v>
      </c>
      <c r="J357" s="2" t="s">
        <v>2033</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176</v>
      </c>
      <c r="C358" s="2" t="s">
        <v>179</v>
      </c>
      <c r="D358" s="2" t="s">
        <v>2034</v>
      </c>
      <c r="E358" s="2" t="s">
        <v>743</v>
      </c>
      <c r="F358" s="2" t="s">
        <v>744</v>
      </c>
      <c r="G358" s="2" t="s">
        <v>2035</v>
      </c>
      <c r="H358" s="2" t="s">
        <v>2036</v>
      </c>
      <c r="I358" s="2" t="s">
        <v>716</v>
      </c>
      <c r="J358" s="2" t="s">
        <v>2037</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176</v>
      </c>
      <c r="C359" s="2" t="s">
        <v>179</v>
      </c>
      <c r="D359" s="2" t="s">
        <v>2038</v>
      </c>
      <c r="E359" s="2" t="s">
        <v>743</v>
      </c>
      <c r="F359" s="2" t="s">
        <v>744</v>
      </c>
      <c r="G359" s="2" t="s">
        <v>2039</v>
      </c>
      <c r="H359" s="2" t="s">
        <v>2040</v>
      </c>
      <c r="I359" s="2" t="s">
        <v>716</v>
      </c>
      <c r="J359" s="2" t="s">
        <v>2041</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176</v>
      </c>
      <c r="C360" s="2" t="s">
        <v>179</v>
      </c>
      <c r="D360" s="2" t="s">
        <v>2042</v>
      </c>
      <c r="E360" s="2" t="s">
        <v>743</v>
      </c>
      <c r="F360" s="2" t="s">
        <v>744</v>
      </c>
      <c r="G360" s="2" t="s">
        <v>2043</v>
      </c>
      <c r="H360" s="2" t="s">
        <v>2044</v>
      </c>
      <c r="I360" s="2" t="s">
        <v>716</v>
      </c>
      <c r="J360" s="2" t="s">
        <v>2045</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176</v>
      </c>
      <c r="C361" s="2" t="s">
        <v>179</v>
      </c>
      <c r="D361" s="2" t="s">
        <v>2046</v>
      </c>
      <c r="E361" s="2" t="s">
        <v>743</v>
      </c>
      <c r="F361" s="2" t="s">
        <v>744</v>
      </c>
      <c r="G361" s="2" t="s">
        <v>2047</v>
      </c>
      <c r="H361" s="2" t="s">
        <v>2048</v>
      </c>
      <c r="I361" s="2" t="s">
        <v>716</v>
      </c>
      <c r="J361" s="2" t="s">
        <v>2049</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176</v>
      </c>
      <c r="C362" s="2" t="s">
        <v>179</v>
      </c>
      <c r="D362" s="2" t="s">
        <v>2050</v>
      </c>
      <c r="E362" s="2" t="s">
        <v>743</v>
      </c>
      <c r="F362" s="2" t="s">
        <v>744</v>
      </c>
      <c r="G362" s="2" t="s">
        <v>2051</v>
      </c>
      <c r="H362" s="2" t="s">
        <v>2052</v>
      </c>
      <c r="I362" s="2" t="s">
        <v>716</v>
      </c>
      <c r="J362" s="2" t="s">
        <v>2053</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182</v>
      </c>
      <c r="C363" s="2" t="s">
        <v>185</v>
      </c>
      <c r="D363" s="2" t="s">
        <v>2054</v>
      </c>
      <c r="E363" s="2" t="s">
        <v>737</v>
      </c>
      <c r="F363" s="2" t="s">
        <v>738</v>
      </c>
      <c r="G363" s="2" t="s">
        <v>2055</v>
      </c>
      <c r="H363" s="2" t="s">
        <v>2056</v>
      </c>
      <c r="I363" s="2" t="s">
        <v>716</v>
      </c>
      <c r="J363" s="2" t="s">
        <v>2057</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212</v>
      </c>
      <c r="C364" s="2" t="s">
        <v>215</v>
      </c>
      <c r="D364" s="2" t="s">
        <v>2058</v>
      </c>
      <c r="E364" s="2" t="s">
        <v>737</v>
      </c>
      <c r="F364" s="2" t="s">
        <v>738</v>
      </c>
      <c r="G364" s="2" t="s">
        <v>2059</v>
      </c>
      <c r="H364" s="2" t="s">
        <v>2060</v>
      </c>
      <c r="I364" s="2" t="s">
        <v>716</v>
      </c>
      <c r="J364" s="2" t="s">
        <v>2061</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212</v>
      </c>
      <c r="C365" s="2" t="s">
        <v>215</v>
      </c>
      <c r="D365" s="2" t="s">
        <v>2062</v>
      </c>
      <c r="E365" s="2" t="s">
        <v>737</v>
      </c>
      <c r="F365" s="2" t="s">
        <v>738</v>
      </c>
      <c r="G365" s="2" t="s">
        <v>2063</v>
      </c>
      <c r="H365" s="2" t="s">
        <v>2064</v>
      </c>
      <c r="I365" s="2" t="s">
        <v>716</v>
      </c>
      <c r="J365" s="2" t="s">
        <v>2065</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224</v>
      </c>
      <c r="C366" s="2" t="s">
        <v>226</v>
      </c>
      <c r="D366" s="2" t="s">
        <v>2066</v>
      </c>
      <c r="E366" s="2" t="s">
        <v>737</v>
      </c>
      <c r="F366" s="2" t="s">
        <v>761</v>
      </c>
      <c r="G366" s="2" t="s">
        <v>2067</v>
      </c>
      <c r="H366" s="2" t="s">
        <v>2068</v>
      </c>
      <c r="I366" s="2" t="s">
        <v>716</v>
      </c>
      <c r="J366" s="2" t="s">
        <v>2069</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229</v>
      </c>
      <c r="C367" s="2" t="s">
        <v>232</v>
      </c>
      <c r="D367" s="2" t="s">
        <v>840</v>
      </c>
      <c r="E367" s="2" t="s">
        <v>737</v>
      </c>
      <c r="F367" s="2" t="s">
        <v>761</v>
      </c>
      <c r="G367" s="2" t="s">
        <v>841</v>
      </c>
      <c r="H367" s="2" t="s">
        <v>842</v>
      </c>
      <c r="I367" s="2" t="s">
        <v>716</v>
      </c>
      <c r="J367" s="2" t="s">
        <v>843</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229</v>
      </c>
      <c r="C368" s="2" t="s">
        <v>232</v>
      </c>
      <c r="D368" s="2" t="s">
        <v>2070</v>
      </c>
      <c r="E368" s="2" t="s">
        <v>737</v>
      </c>
      <c r="F368" s="2" t="s">
        <v>738</v>
      </c>
      <c r="G368" s="2" t="s">
        <v>2071</v>
      </c>
      <c r="H368" s="2" t="s">
        <v>2072</v>
      </c>
      <c r="I368" s="2" t="s">
        <v>716</v>
      </c>
      <c r="J368" s="2" t="s">
        <v>2073</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229</v>
      </c>
      <c r="C369" s="2" t="s">
        <v>232</v>
      </c>
      <c r="D369" s="2" t="s">
        <v>2074</v>
      </c>
      <c r="E369" s="2" t="s">
        <v>737</v>
      </c>
      <c r="F369" s="2" t="s">
        <v>738</v>
      </c>
      <c r="G369" s="2" t="s">
        <v>2075</v>
      </c>
      <c r="H369" s="2" t="s">
        <v>2076</v>
      </c>
      <c r="I369" s="2" t="s">
        <v>716</v>
      </c>
      <c r="J369" s="2" t="s">
        <v>2077</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229</v>
      </c>
      <c r="C370" s="2" t="s">
        <v>232</v>
      </c>
      <c r="D370" s="2" t="s">
        <v>2078</v>
      </c>
      <c r="E370" s="2" t="s">
        <v>737</v>
      </c>
      <c r="F370" s="2" t="s">
        <v>738</v>
      </c>
      <c r="G370" s="2" t="s">
        <v>1414</v>
      </c>
      <c r="H370" s="2" t="s">
        <v>2079</v>
      </c>
      <c r="I370" s="2" t="s">
        <v>716</v>
      </c>
      <c r="J370" s="2" t="s">
        <v>2080</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229</v>
      </c>
      <c r="C371" s="2" t="s">
        <v>232</v>
      </c>
      <c r="D371" s="2" t="s">
        <v>2081</v>
      </c>
      <c r="E371" s="2" t="s">
        <v>712</v>
      </c>
      <c r="F371" s="2" t="s">
        <v>2082</v>
      </c>
      <c r="G371" s="2" t="s">
        <v>1447</v>
      </c>
      <c r="H371" s="2" t="s">
        <v>2083</v>
      </c>
      <c r="I371" s="2" t="s">
        <v>716</v>
      </c>
      <c r="J371" s="2" t="s">
        <v>2084</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718</v>
      </c>
    </row>
    <row r="372" customFormat="false" ht="15" hidden="false" customHeight="false" outlineLevel="0" collapsed="false">
      <c r="A372" s="2" t="n">
        <v>32</v>
      </c>
      <c r="B372" s="2" t="s">
        <v>229</v>
      </c>
      <c r="C372" s="2" t="s">
        <v>232</v>
      </c>
      <c r="D372" s="2" t="s">
        <v>2085</v>
      </c>
      <c r="E372" s="2" t="s">
        <v>743</v>
      </c>
      <c r="F372" s="2" t="s">
        <v>744</v>
      </c>
      <c r="G372" s="2" t="s">
        <v>1447</v>
      </c>
      <c r="H372" s="2" t="s">
        <v>2086</v>
      </c>
      <c r="I372" s="2" t="s">
        <v>716</v>
      </c>
      <c r="J372" s="2" t="s">
        <v>2087</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229</v>
      </c>
      <c r="C373" s="2" t="s">
        <v>232</v>
      </c>
      <c r="D373" s="2" t="s">
        <v>2088</v>
      </c>
      <c r="E373" s="2" t="s">
        <v>712</v>
      </c>
      <c r="F373" s="2" t="s">
        <v>2082</v>
      </c>
      <c r="G373" s="2" t="s">
        <v>2089</v>
      </c>
      <c r="H373" s="2" t="s">
        <v>2090</v>
      </c>
      <c r="I373" s="2" t="s">
        <v>716</v>
      </c>
      <c r="J373" s="2" t="s">
        <v>2091</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718</v>
      </c>
    </row>
    <row r="374" customFormat="false" ht="15" hidden="false" customHeight="false" outlineLevel="0" collapsed="false">
      <c r="A374" s="2" t="n">
        <v>32</v>
      </c>
      <c r="B374" s="2" t="s">
        <v>229</v>
      </c>
      <c r="C374" s="2" t="s">
        <v>232</v>
      </c>
      <c r="D374" s="2" t="s">
        <v>883</v>
      </c>
      <c r="E374" s="2" t="s">
        <v>737</v>
      </c>
      <c r="F374" s="2" t="s">
        <v>761</v>
      </c>
      <c r="G374" s="2" t="s">
        <v>880</v>
      </c>
      <c r="H374" s="2" t="s">
        <v>884</v>
      </c>
      <c r="I374" s="2" t="s">
        <v>716</v>
      </c>
      <c r="J374" s="2" t="s">
        <v>885</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229</v>
      </c>
      <c r="C375" s="2" t="s">
        <v>232</v>
      </c>
      <c r="D375" s="2" t="s">
        <v>2092</v>
      </c>
      <c r="E375" s="2" t="s">
        <v>737</v>
      </c>
      <c r="F375" s="2" t="s">
        <v>761</v>
      </c>
      <c r="G375" s="2" t="s">
        <v>2093</v>
      </c>
      <c r="H375" s="2" t="s">
        <v>2094</v>
      </c>
      <c r="I375" s="2" t="s">
        <v>716</v>
      </c>
      <c r="J375" s="2" t="s">
        <v>2095</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229</v>
      </c>
      <c r="C376" s="2" t="s">
        <v>232</v>
      </c>
      <c r="D376" s="2" t="s">
        <v>2096</v>
      </c>
      <c r="E376" s="2" t="s">
        <v>743</v>
      </c>
      <c r="F376" s="2" t="s">
        <v>744</v>
      </c>
      <c r="G376" s="2" t="s">
        <v>2097</v>
      </c>
      <c r="H376" s="2" t="s">
        <v>2098</v>
      </c>
      <c r="I376" s="2" t="s">
        <v>716</v>
      </c>
      <c r="J376" s="2" t="s">
        <v>2099</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229</v>
      </c>
      <c r="C377" s="2" t="s">
        <v>232</v>
      </c>
      <c r="D377" s="2" t="s">
        <v>2100</v>
      </c>
      <c r="E377" s="2" t="s">
        <v>737</v>
      </c>
      <c r="F377" s="2" t="s">
        <v>738</v>
      </c>
      <c r="G377" s="2" t="s">
        <v>2101</v>
      </c>
      <c r="H377" s="2" t="s">
        <v>2102</v>
      </c>
      <c r="I377" s="2" t="s">
        <v>716</v>
      </c>
      <c r="J377" s="2" t="s">
        <v>2103</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235</v>
      </c>
      <c r="C378" s="2" t="s">
        <v>237</v>
      </c>
      <c r="D378" s="2" t="s">
        <v>2104</v>
      </c>
      <c r="E378" s="2" t="s">
        <v>712</v>
      </c>
      <c r="F378" s="2" t="s">
        <v>944</v>
      </c>
      <c r="G378" s="2" t="s">
        <v>1829</v>
      </c>
      <c r="H378" s="2" t="s">
        <v>2105</v>
      </c>
      <c r="I378" s="2" t="s">
        <v>716</v>
      </c>
      <c r="J378" s="2" t="s">
        <v>2106</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718</v>
      </c>
    </row>
    <row r="379" customFormat="false" ht="15" hidden="false" customHeight="false" outlineLevel="0" collapsed="false">
      <c r="A379" s="2" t="n">
        <v>35</v>
      </c>
      <c r="B379" s="2" t="s">
        <v>245</v>
      </c>
      <c r="C379" s="2" t="s">
        <v>248</v>
      </c>
      <c r="D379" s="2" t="s">
        <v>1832</v>
      </c>
      <c r="E379" s="2" t="s">
        <v>737</v>
      </c>
      <c r="F379" s="2" t="s">
        <v>761</v>
      </c>
      <c r="G379" s="2" t="s">
        <v>1829</v>
      </c>
      <c r="H379" s="2" t="s">
        <v>1833</v>
      </c>
      <c r="I379" s="2" t="s">
        <v>716</v>
      </c>
      <c r="J379" s="2" t="s">
        <v>1834</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245</v>
      </c>
      <c r="C380" s="2" t="s">
        <v>248</v>
      </c>
      <c r="D380" s="2" t="s">
        <v>1843</v>
      </c>
      <c r="E380" s="2" t="s">
        <v>737</v>
      </c>
      <c r="F380" s="2" t="s">
        <v>761</v>
      </c>
      <c r="G380" s="2" t="s">
        <v>1844</v>
      </c>
      <c r="H380" s="2" t="s">
        <v>1845</v>
      </c>
      <c r="I380" s="2" t="s">
        <v>716</v>
      </c>
      <c r="J380" s="2" t="s">
        <v>1846</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251</v>
      </c>
      <c r="C381" s="2" t="s">
        <v>254</v>
      </c>
      <c r="D381" s="2" t="s">
        <v>2107</v>
      </c>
      <c r="E381" s="2" t="s">
        <v>712</v>
      </c>
      <c r="F381" s="2" t="s">
        <v>752</v>
      </c>
      <c r="G381" s="2" t="s">
        <v>2108</v>
      </c>
      <c r="H381" s="2" t="s">
        <v>2109</v>
      </c>
      <c r="I381" s="2" t="s">
        <v>716</v>
      </c>
      <c r="J381" s="2" t="s">
        <v>2110</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718</v>
      </c>
    </row>
    <row r="382" customFormat="false" ht="15" hidden="false" customHeight="false" outlineLevel="0" collapsed="false">
      <c r="A382" s="2" t="n">
        <v>36</v>
      </c>
      <c r="B382" s="2" t="s">
        <v>251</v>
      </c>
      <c r="C382" s="2" t="s">
        <v>254</v>
      </c>
      <c r="D382" s="2" t="s">
        <v>2111</v>
      </c>
      <c r="E382" s="2" t="s">
        <v>737</v>
      </c>
      <c r="F382" s="2" t="s">
        <v>738</v>
      </c>
      <c r="G382" s="2" t="s">
        <v>2112</v>
      </c>
      <c r="H382" s="2" t="s">
        <v>2113</v>
      </c>
      <c r="I382" s="2" t="s">
        <v>716</v>
      </c>
      <c r="J382" s="2" t="s">
        <v>2114</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251</v>
      </c>
      <c r="C383" s="2" t="s">
        <v>254</v>
      </c>
      <c r="D383" s="2" t="s">
        <v>2115</v>
      </c>
      <c r="E383" s="2" t="s">
        <v>712</v>
      </c>
      <c r="F383" s="2" t="s">
        <v>752</v>
      </c>
      <c r="G383" s="2" t="s">
        <v>2116</v>
      </c>
      <c r="H383" s="2" t="s">
        <v>2117</v>
      </c>
      <c r="I383" s="2" t="s">
        <v>716</v>
      </c>
      <c r="J383" s="2" t="s">
        <v>2118</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718</v>
      </c>
    </row>
    <row r="384" customFormat="false" ht="15" hidden="false" customHeight="false" outlineLevel="0" collapsed="false">
      <c r="A384" s="2" t="n">
        <v>36</v>
      </c>
      <c r="B384" s="2" t="s">
        <v>251</v>
      </c>
      <c r="C384" s="2" t="s">
        <v>254</v>
      </c>
      <c r="D384" s="2" t="s">
        <v>2119</v>
      </c>
      <c r="E384" s="2" t="s">
        <v>737</v>
      </c>
      <c r="F384" s="2" t="s">
        <v>738</v>
      </c>
      <c r="G384" s="2" t="s">
        <v>2120</v>
      </c>
      <c r="H384" s="2" t="s">
        <v>2121</v>
      </c>
      <c r="I384" s="2" t="s">
        <v>716</v>
      </c>
      <c r="J384" s="2" t="s">
        <v>2122</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251</v>
      </c>
      <c r="C385" s="2" t="s">
        <v>254</v>
      </c>
      <c r="D385" s="2" t="s">
        <v>2123</v>
      </c>
      <c r="E385" s="2" t="s">
        <v>712</v>
      </c>
      <c r="F385" s="2" t="s">
        <v>752</v>
      </c>
      <c r="G385" s="2" t="s">
        <v>1844</v>
      </c>
      <c r="H385" s="2" t="s">
        <v>2124</v>
      </c>
      <c r="I385" s="2" t="s">
        <v>716</v>
      </c>
      <c r="J385" s="2" t="s">
        <v>2125</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718</v>
      </c>
    </row>
    <row r="386" customFormat="false" ht="15" hidden="false" customHeight="false" outlineLevel="0" collapsed="false">
      <c r="A386" s="2" t="n">
        <v>36</v>
      </c>
      <c r="B386" s="2" t="s">
        <v>251</v>
      </c>
      <c r="C386" s="2" t="s">
        <v>254</v>
      </c>
      <c r="D386" s="2" t="s">
        <v>2126</v>
      </c>
      <c r="E386" s="2" t="s">
        <v>712</v>
      </c>
      <c r="F386" s="2" t="s">
        <v>752</v>
      </c>
      <c r="G386" s="2" t="s">
        <v>2127</v>
      </c>
      <c r="H386" s="2" t="s">
        <v>2128</v>
      </c>
      <c r="I386" s="2" t="s">
        <v>716</v>
      </c>
      <c r="J386" s="2" t="s">
        <v>2129</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718</v>
      </c>
    </row>
    <row r="387" customFormat="false" ht="15" hidden="false" customHeight="false" outlineLevel="0" collapsed="false">
      <c r="A387" s="2" t="n">
        <v>37</v>
      </c>
      <c r="B387" s="2" t="s">
        <v>257</v>
      </c>
      <c r="C387" s="2" t="s">
        <v>260</v>
      </c>
      <c r="D387" s="2" t="s">
        <v>2130</v>
      </c>
      <c r="E387" s="2" t="s">
        <v>737</v>
      </c>
      <c r="F387" s="2" t="s">
        <v>738</v>
      </c>
      <c r="G387" s="2" t="s">
        <v>2131</v>
      </c>
      <c r="H387" s="2" t="s">
        <v>2132</v>
      </c>
      <c r="I387" s="2" t="s">
        <v>716</v>
      </c>
      <c r="J387" s="2" t="s">
        <v>2133</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257</v>
      </c>
      <c r="C388" s="2" t="s">
        <v>260</v>
      </c>
      <c r="D388" s="2" t="s">
        <v>2134</v>
      </c>
      <c r="E388" s="2" t="s">
        <v>737</v>
      </c>
      <c r="F388" s="2" t="s">
        <v>738</v>
      </c>
      <c r="G388" s="2" t="s">
        <v>2135</v>
      </c>
      <c r="H388" s="2" t="s">
        <v>2136</v>
      </c>
      <c r="I388" s="2" t="s">
        <v>716</v>
      </c>
      <c r="J388" s="2" t="s">
        <v>2137</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257</v>
      </c>
      <c r="C389" s="2" t="s">
        <v>260</v>
      </c>
      <c r="D389" s="2" t="s">
        <v>2138</v>
      </c>
      <c r="E389" s="2" t="s">
        <v>737</v>
      </c>
      <c r="F389" s="2" t="s">
        <v>738</v>
      </c>
      <c r="G389" s="2" t="s">
        <v>2135</v>
      </c>
      <c r="H389" s="2" t="s">
        <v>2139</v>
      </c>
      <c r="I389" s="2" t="s">
        <v>716</v>
      </c>
      <c r="J389" s="2" t="s">
        <v>2140</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257</v>
      </c>
      <c r="C390" s="2" t="s">
        <v>260</v>
      </c>
      <c r="D390" s="2" t="s">
        <v>2141</v>
      </c>
      <c r="E390" s="2" t="s">
        <v>737</v>
      </c>
      <c r="F390" s="2" t="s">
        <v>738</v>
      </c>
      <c r="G390" s="2" t="s">
        <v>1650</v>
      </c>
      <c r="H390" s="2" t="s">
        <v>2142</v>
      </c>
      <c r="I390" s="2" t="s">
        <v>716</v>
      </c>
      <c r="J390" s="2" t="s">
        <v>2143</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257</v>
      </c>
      <c r="C391" s="2" t="s">
        <v>260</v>
      </c>
      <c r="D391" s="2" t="s">
        <v>2144</v>
      </c>
      <c r="E391" s="2" t="s">
        <v>737</v>
      </c>
      <c r="F391" s="2" t="s">
        <v>738</v>
      </c>
      <c r="G391" s="2" t="s">
        <v>2145</v>
      </c>
      <c r="H391" s="2" t="s">
        <v>2146</v>
      </c>
      <c r="I391" s="2" t="s">
        <v>716</v>
      </c>
      <c r="J391" s="2" t="s">
        <v>2147</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263</v>
      </c>
      <c r="C392" s="2" t="s">
        <v>265</v>
      </c>
      <c r="D392" s="2" t="s">
        <v>2148</v>
      </c>
      <c r="E392" s="2" t="s">
        <v>712</v>
      </c>
      <c r="F392" s="2" t="s">
        <v>944</v>
      </c>
      <c r="G392" s="2" t="s">
        <v>2149</v>
      </c>
      <c r="H392" s="2" t="s">
        <v>2150</v>
      </c>
      <c r="I392" s="2" t="s">
        <v>716</v>
      </c>
      <c r="J392" s="2" t="s">
        <v>2151</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718</v>
      </c>
    </row>
    <row r="393" customFormat="false" ht="15" hidden="false" customHeight="false" outlineLevel="0" collapsed="false">
      <c r="A393" s="2" t="n">
        <v>39</v>
      </c>
      <c r="B393" s="2" t="s">
        <v>267</v>
      </c>
      <c r="C393" s="2" t="s">
        <v>269</v>
      </c>
      <c r="D393" s="2" t="s">
        <v>2152</v>
      </c>
      <c r="E393" s="2" t="s">
        <v>712</v>
      </c>
      <c r="F393" s="2" t="s">
        <v>752</v>
      </c>
      <c r="G393" s="2" t="s">
        <v>2153</v>
      </c>
      <c r="H393" s="2" t="s">
        <v>2154</v>
      </c>
      <c r="I393" s="2" t="s">
        <v>716</v>
      </c>
      <c r="J393" s="2" t="s">
        <v>2155</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718</v>
      </c>
    </row>
    <row r="394" customFormat="false" ht="15" hidden="false" customHeight="false" outlineLevel="0" collapsed="false">
      <c r="A394" s="2" t="n">
        <v>39</v>
      </c>
      <c r="B394" s="2" t="s">
        <v>267</v>
      </c>
      <c r="C394" s="2" t="s">
        <v>269</v>
      </c>
      <c r="D394" s="2" t="s">
        <v>2156</v>
      </c>
      <c r="E394" s="2" t="s">
        <v>743</v>
      </c>
      <c r="F394" s="2" t="s">
        <v>744</v>
      </c>
      <c r="G394" s="2" t="s">
        <v>2157</v>
      </c>
      <c r="H394" s="2" t="s">
        <v>2158</v>
      </c>
      <c r="I394" s="2" t="s">
        <v>716</v>
      </c>
      <c r="J394" s="2" t="s">
        <v>2159</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267</v>
      </c>
      <c r="C395" s="2" t="s">
        <v>269</v>
      </c>
      <c r="D395" s="2" t="s">
        <v>2160</v>
      </c>
      <c r="E395" s="2" t="s">
        <v>743</v>
      </c>
      <c r="F395" s="2" t="s">
        <v>744</v>
      </c>
      <c r="G395" s="2" t="s">
        <v>2161</v>
      </c>
      <c r="H395" s="2" t="s">
        <v>2162</v>
      </c>
      <c r="I395" s="2" t="s">
        <v>716</v>
      </c>
      <c r="J395" s="2" t="s">
        <v>2163</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276</v>
      </c>
      <c r="C396" s="2" t="s">
        <v>279</v>
      </c>
      <c r="D396" s="2" t="s">
        <v>2164</v>
      </c>
      <c r="E396" s="2" t="s">
        <v>712</v>
      </c>
      <c r="F396" s="2" t="s">
        <v>752</v>
      </c>
      <c r="G396" s="2" t="s">
        <v>2165</v>
      </c>
      <c r="H396" s="2" t="s">
        <v>2166</v>
      </c>
      <c r="I396" s="2" t="s">
        <v>716</v>
      </c>
      <c r="J396" s="2" t="s">
        <v>2167</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718</v>
      </c>
    </row>
    <row r="397" customFormat="false" ht="15" hidden="false" customHeight="false" outlineLevel="0" collapsed="false">
      <c r="A397" s="2" t="n">
        <v>41</v>
      </c>
      <c r="B397" s="2" t="s">
        <v>276</v>
      </c>
      <c r="C397" s="2" t="s">
        <v>279</v>
      </c>
      <c r="D397" s="2" t="s">
        <v>2168</v>
      </c>
      <c r="E397" s="2" t="s">
        <v>737</v>
      </c>
      <c r="F397" s="2" t="s">
        <v>738</v>
      </c>
      <c r="G397" s="2" t="s">
        <v>2169</v>
      </c>
      <c r="H397" s="2" t="s">
        <v>2170</v>
      </c>
      <c r="I397" s="2" t="s">
        <v>716</v>
      </c>
      <c r="J397" s="2" t="s">
        <v>2171</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276</v>
      </c>
      <c r="C398" s="2" t="s">
        <v>279</v>
      </c>
      <c r="D398" s="2" t="s">
        <v>2172</v>
      </c>
      <c r="E398" s="2" t="s">
        <v>737</v>
      </c>
      <c r="F398" s="2" t="s">
        <v>738</v>
      </c>
      <c r="G398" s="2" t="s">
        <v>2173</v>
      </c>
      <c r="H398" s="2" t="s">
        <v>2174</v>
      </c>
      <c r="I398" s="2" t="s">
        <v>716</v>
      </c>
      <c r="J398" s="2" t="s">
        <v>2175</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276</v>
      </c>
      <c r="C399" s="2" t="s">
        <v>279</v>
      </c>
      <c r="D399" s="2" t="s">
        <v>2176</v>
      </c>
      <c r="E399" s="2" t="s">
        <v>737</v>
      </c>
      <c r="F399" s="2" t="s">
        <v>738</v>
      </c>
      <c r="G399" s="2" t="s">
        <v>2177</v>
      </c>
      <c r="H399" s="2" t="s">
        <v>2178</v>
      </c>
      <c r="I399" s="2" t="s">
        <v>716</v>
      </c>
      <c r="J399" s="2" t="s">
        <v>2179</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276</v>
      </c>
      <c r="C400" s="2" t="s">
        <v>279</v>
      </c>
      <c r="D400" s="2" t="s">
        <v>2180</v>
      </c>
      <c r="E400" s="2" t="s">
        <v>737</v>
      </c>
      <c r="F400" s="2" t="s">
        <v>761</v>
      </c>
      <c r="G400" s="2" t="s">
        <v>2181</v>
      </c>
      <c r="H400" s="2" t="s">
        <v>2182</v>
      </c>
      <c r="I400" s="2" t="s">
        <v>716</v>
      </c>
      <c r="J400" s="2" t="s">
        <v>2183</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276</v>
      </c>
      <c r="C401" s="2" t="s">
        <v>279</v>
      </c>
      <c r="D401" s="2" t="s">
        <v>1843</v>
      </c>
      <c r="E401" s="2" t="s">
        <v>737</v>
      </c>
      <c r="F401" s="2" t="s">
        <v>761</v>
      </c>
      <c r="G401" s="2" t="s">
        <v>1844</v>
      </c>
      <c r="H401" s="2" t="s">
        <v>1845</v>
      </c>
      <c r="I401" s="2" t="s">
        <v>716</v>
      </c>
      <c r="J401" s="2" t="s">
        <v>1846</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276</v>
      </c>
      <c r="C402" s="2" t="s">
        <v>279</v>
      </c>
      <c r="D402" s="2" t="s">
        <v>2184</v>
      </c>
      <c r="E402" s="2" t="s">
        <v>737</v>
      </c>
      <c r="F402" s="2" t="s">
        <v>738</v>
      </c>
      <c r="G402" s="2" t="s">
        <v>2185</v>
      </c>
      <c r="H402" s="2" t="s">
        <v>2186</v>
      </c>
      <c r="I402" s="2" t="s">
        <v>716</v>
      </c>
      <c r="J402" s="2" t="s">
        <v>2187</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276</v>
      </c>
      <c r="C403" s="2" t="s">
        <v>279</v>
      </c>
      <c r="D403" s="2" t="s">
        <v>2188</v>
      </c>
      <c r="E403" s="2" t="s">
        <v>737</v>
      </c>
      <c r="F403" s="2" t="s">
        <v>761</v>
      </c>
      <c r="G403" s="2" t="s">
        <v>904</v>
      </c>
      <c r="H403" s="2" t="s">
        <v>2189</v>
      </c>
      <c r="I403" s="2" t="s">
        <v>716</v>
      </c>
      <c r="J403" s="2" t="s">
        <v>2190</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276</v>
      </c>
      <c r="C404" s="2" t="s">
        <v>279</v>
      </c>
      <c r="D404" s="2" t="s">
        <v>2191</v>
      </c>
      <c r="E404" s="2" t="s">
        <v>737</v>
      </c>
      <c r="F404" s="2" t="s">
        <v>738</v>
      </c>
      <c r="G404" s="2" t="s">
        <v>2192</v>
      </c>
      <c r="H404" s="2" t="s">
        <v>2193</v>
      </c>
      <c r="I404" s="2" t="s">
        <v>716</v>
      </c>
      <c r="J404" s="2" t="s">
        <v>2194</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276</v>
      </c>
      <c r="C405" s="2" t="s">
        <v>279</v>
      </c>
      <c r="D405" s="2" t="s">
        <v>2195</v>
      </c>
      <c r="E405" s="2" t="s">
        <v>737</v>
      </c>
      <c r="F405" s="2" t="s">
        <v>761</v>
      </c>
      <c r="G405" s="2" t="s">
        <v>2196</v>
      </c>
      <c r="H405" s="2" t="s">
        <v>2197</v>
      </c>
      <c r="I405" s="2" t="s">
        <v>716</v>
      </c>
      <c r="J405" s="2" t="s">
        <v>2198</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276</v>
      </c>
      <c r="C406" s="2" t="s">
        <v>279</v>
      </c>
      <c r="D406" s="2" t="s">
        <v>2199</v>
      </c>
      <c r="E406" s="2" t="s">
        <v>737</v>
      </c>
      <c r="F406" s="2" t="s">
        <v>761</v>
      </c>
      <c r="G406" s="2" t="s">
        <v>2200</v>
      </c>
      <c r="H406" s="2" t="s">
        <v>2201</v>
      </c>
      <c r="I406" s="2" t="s">
        <v>716</v>
      </c>
      <c r="J406" s="2" t="s">
        <v>2202</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282</v>
      </c>
      <c r="C407" s="2" t="s">
        <v>285</v>
      </c>
      <c r="D407" s="2" t="s">
        <v>2203</v>
      </c>
      <c r="E407" s="2" t="s">
        <v>737</v>
      </c>
      <c r="F407" s="2" t="s">
        <v>738</v>
      </c>
      <c r="G407" s="2" t="s">
        <v>2204</v>
      </c>
      <c r="H407" s="2" t="s">
        <v>2205</v>
      </c>
      <c r="I407" s="2" t="s">
        <v>716</v>
      </c>
      <c r="J407" s="2" t="s">
        <v>2206</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288</v>
      </c>
      <c r="C408" s="2" t="s">
        <v>291</v>
      </c>
      <c r="D408" s="2" t="s">
        <v>2207</v>
      </c>
      <c r="E408" s="2" t="s">
        <v>737</v>
      </c>
      <c r="F408" s="2" t="s">
        <v>738</v>
      </c>
      <c r="G408" s="2" t="s">
        <v>2208</v>
      </c>
      <c r="H408" s="2" t="s">
        <v>2209</v>
      </c>
      <c r="I408" s="2" t="s">
        <v>716</v>
      </c>
      <c r="J408" s="2" t="s">
        <v>2210</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293</v>
      </c>
      <c r="C409" s="2" t="s">
        <v>296</v>
      </c>
      <c r="D409" s="2" t="s">
        <v>2211</v>
      </c>
      <c r="E409" s="2" t="s">
        <v>712</v>
      </c>
      <c r="F409" s="2" t="s">
        <v>752</v>
      </c>
      <c r="G409" s="2" t="s">
        <v>2212</v>
      </c>
      <c r="H409" s="2" t="s">
        <v>2213</v>
      </c>
      <c r="I409" s="2" t="s">
        <v>716</v>
      </c>
      <c r="J409" s="2" t="s">
        <v>2214</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718</v>
      </c>
    </row>
    <row r="410" customFormat="false" ht="15" hidden="false" customHeight="false" outlineLevel="0" collapsed="false">
      <c r="A410" s="2" t="n">
        <v>45</v>
      </c>
      <c r="B410" s="2" t="s">
        <v>299</v>
      </c>
      <c r="C410" s="2" t="s">
        <v>302</v>
      </c>
      <c r="D410" s="2" t="s">
        <v>2215</v>
      </c>
      <c r="E410" s="2" t="s">
        <v>737</v>
      </c>
      <c r="F410" s="2" t="s">
        <v>761</v>
      </c>
      <c r="G410" s="2" t="s">
        <v>2216</v>
      </c>
      <c r="H410" s="2" t="s">
        <v>2217</v>
      </c>
      <c r="I410" s="2" t="s">
        <v>716</v>
      </c>
      <c r="J410" s="2" t="s">
        <v>2218</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305</v>
      </c>
      <c r="C411" s="2" t="s">
        <v>307</v>
      </c>
      <c r="D411" s="2" t="s">
        <v>2219</v>
      </c>
      <c r="E411" s="2" t="s">
        <v>737</v>
      </c>
      <c r="F411" s="2" t="s">
        <v>761</v>
      </c>
      <c r="G411" s="2" t="s">
        <v>2220</v>
      </c>
      <c r="H411" s="2" t="s">
        <v>2221</v>
      </c>
      <c r="I411" s="2" t="s">
        <v>716</v>
      </c>
      <c r="J411" s="2" t="s">
        <v>2222</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305</v>
      </c>
      <c r="C412" s="2" t="s">
        <v>307</v>
      </c>
      <c r="D412" s="2" t="s">
        <v>2223</v>
      </c>
      <c r="E412" s="2" t="s">
        <v>743</v>
      </c>
      <c r="F412" s="2" t="s">
        <v>744</v>
      </c>
      <c r="G412" s="2" t="s">
        <v>2220</v>
      </c>
      <c r="H412" s="2" t="s">
        <v>2224</v>
      </c>
      <c r="I412" s="2" t="s">
        <v>716</v>
      </c>
      <c r="J412" s="2" t="s">
        <v>2225</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305</v>
      </c>
      <c r="C413" s="2" t="s">
        <v>307</v>
      </c>
      <c r="D413" s="2" t="s">
        <v>2226</v>
      </c>
      <c r="E413" s="2" t="s">
        <v>743</v>
      </c>
      <c r="F413" s="2" t="s">
        <v>744</v>
      </c>
      <c r="G413" s="2" t="s">
        <v>2227</v>
      </c>
      <c r="H413" s="2" t="s">
        <v>2228</v>
      </c>
      <c r="I413" s="2" t="s">
        <v>716</v>
      </c>
      <c r="J413" s="2" t="s">
        <v>2229</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305</v>
      </c>
      <c r="C414" s="2" t="s">
        <v>307</v>
      </c>
      <c r="D414" s="2" t="s">
        <v>2230</v>
      </c>
      <c r="E414" s="2" t="s">
        <v>712</v>
      </c>
      <c r="F414" s="2" t="s">
        <v>752</v>
      </c>
      <c r="G414" s="2" t="s">
        <v>2231</v>
      </c>
      <c r="H414" s="2" t="s">
        <v>2232</v>
      </c>
      <c r="I414" s="2" t="s">
        <v>716</v>
      </c>
      <c r="J414" s="2" t="s">
        <v>2233</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718</v>
      </c>
    </row>
    <row r="415" customFormat="false" ht="15" hidden="false" customHeight="false" outlineLevel="0" collapsed="false">
      <c r="A415" s="2" t="n">
        <v>46</v>
      </c>
      <c r="B415" s="2" t="s">
        <v>305</v>
      </c>
      <c r="C415" s="2" t="s">
        <v>307</v>
      </c>
      <c r="D415" s="2" t="s">
        <v>2234</v>
      </c>
      <c r="E415" s="2" t="s">
        <v>712</v>
      </c>
      <c r="F415" s="2" t="s">
        <v>752</v>
      </c>
      <c r="G415" s="2" t="s">
        <v>2235</v>
      </c>
      <c r="H415" s="2" t="s">
        <v>2236</v>
      </c>
      <c r="I415" s="2" t="s">
        <v>716</v>
      </c>
      <c r="J415" s="2" t="s">
        <v>2237</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718</v>
      </c>
    </row>
    <row r="416" customFormat="false" ht="15" hidden="false" customHeight="false" outlineLevel="0" collapsed="false">
      <c r="A416" s="2" t="n">
        <v>46</v>
      </c>
      <c r="B416" s="2" t="s">
        <v>305</v>
      </c>
      <c r="C416" s="2" t="s">
        <v>307</v>
      </c>
      <c r="D416" s="2" t="s">
        <v>2238</v>
      </c>
      <c r="E416" s="2" t="s">
        <v>737</v>
      </c>
      <c r="F416" s="2" t="s">
        <v>761</v>
      </c>
      <c r="G416" s="2" t="s">
        <v>2239</v>
      </c>
      <c r="H416" s="2" t="s">
        <v>2240</v>
      </c>
      <c r="I416" s="2" t="s">
        <v>716</v>
      </c>
      <c r="J416" s="2" t="s">
        <v>2241</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305</v>
      </c>
      <c r="C417" s="2" t="s">
        <v>307</v>
      </c>
      <c r="D417" s="2" t="s">
        <v>2242</v>
      </c>
      <c r="E417" s="2" t="s">
        <v>743</v>
      </c>
      <c r="F417" s="2" t="s">
        <v>744</v>
      </c>
      <c r="G417" s="2" t="s">
        <v>2243</v>
      </c>
      <c r="H417" s="2" t="s">
        <v>2244</v>
      </c>
      <c r="I417" s="2" t="s">
        <v>716</v>
      </c>
      <c r="J417" s="2" t="s">
        <v>2245</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310</v>
      </c>
      <c r="C418" s="2" t="s">
        <v>312</v>
      </c>
      <c r="D418" s="2" t="s">
        <v>2246</v>
      </c>
      <c r="E418" s="2" t="s">
        <v>737</v>
      </c>
      <c r="F418" s="2" t="s">
        <v>738</v>
      </c>
      <c r="G418" s="2" t="s">
        <v>2247</v>
      </c>
      <c r="H418" s="2" t="s">
        <v>2248</v>
      </c>
      <c r="I418" s="2" t="s">
        <v>716</v>
      </c>
      <c r="J418" s="2" t="s">
        <v>2249</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310</v>
      </c>
      <c r="C419" s="2" t="s">
        <v>312</v>
      </c>
      <c r="D419" s="2" t="s">
        <v>2234</v>
      </c>
      <c r="E419" s="2" t="s">
        <v>712</v>
      </c>
      <c r="F419" s="2" t="s">
        <v>752</v>
      </c>
      <c r="G419" s="2" t="s">
        <v>2235</v>
      </c>
      <c r="H419" s="2" t="s">
        <v>2236</v>
      </c>
      <c r="I419" s="2" t="s">
        <v>716</v>
      </c>
      <c r="J419" s="2" t="s">
        <v>2237</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718</v>
      </c>
    </row>
    <row r="420" customFormat="false" ht="15" hidden="false" customHeight="false" outlineLevel="0" collapsed="false">
      <c r="A420" s="2" t="n">
        <v>47</v>
      </c>
      <c r="B420" s="2" t="s">
        <v>310</v>
      </c>
      <c r="C420" s="2" t="s">
        <v>312</v>
      </c>
      <c r="D420" s="2" t="s">
        <v>2250</v>
      </c>
      <c r="E420" s="2" t="s">
        <v>743</v>
      </c>
      <c r="F420" s="2" t="s">
        <v>744</v>
      </c>
      <c r="G420" s="2" t="s">
        <v>2251</v>
      </c>
      <c r="H420" s="2" t="s">
        <v>2252</v>
      </c>
      <c r="I420" s="2" t="s">
        <v>716</v>
      </c>
      <c r="J420" s="2" t="s">
        <v>2253</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310</v>
      </c>
      <c r="C421" s="2" t="s">
        <v>312</v>
      </c>
      <c r="D421" s="2" t="s">
        <v>2254</v>
      </c>
      <c r="E421" s="2" t="s">
        <v>743</v>
      </c>
      <c r="F421" s="2" t="s">
        <v>744</v>
      </c>
      <c r="G421" s="2" t="s">
        <v>2255</v>
      </c>
      <c r="H421" s="2" t="s">
        <v>2256</v>
      </c>
      <c r="I421" s="2" t="s">
        <v>716</v>
      </c>
      <c r="J421" s="2" t="s">
        <v>2257</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310</v>
      </c>
      <c r="C422" s="2" t="s">
        <v>312</v>
      </c>
      <c r="D422" s="2" t="s">
        <v>2258</v>
      </c>
      <c r="E422" s="2" t="s">
        <v>743</v>
      </c>
      <c r="F422" s="2" t="s">
        <v>744</v>
      </c>
      <c r="G422" s="2" t="s">
        <v>2259</v>
      </c>
      <c r="H422" s="2" t="s">
        <v>2260</v>
      </c>
      <c r="I422" s="2" t="s">
        <v>716</v>
      </c>
      <c r="J422" s="2" t="s">
        <v>2261</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310</v>
      </c>
      <c r="C423" s="2" t="s">
        <v>312</v>
      </c>
      <c r="D423" s="2" t="s">
        <v>2262</v>
      </c>
      <c r="E423" s="2" t="s">
        <v>743</v>
      </c>
      <c r="F423" s="2" t="s">
        <v>744</v>
      </c>
      <c r="G423" s="2" t="s">
        <v>2101</v>
      </c>
      <c r="H423" s="2" t="s">
        <v>2263</v>
      </c>
      <c r="I423" s="2" t="s">
        <v>716</v>
      </c>
      <c r="J423" s="2" t="s">
        <v>2264</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310</v>
      </c>
      <c r="C424" s="2" t="s">
        <v>312</v>
      </c>
      <c r="D424" s="2" t="s">
        <v>2265</v>
      </c>
      <c r="E424" s="2" t="s">
        <v>743</v>
      </c>
      <c r="F424" s="2" t="s">
        <v>744</v>
      </c>
      <c r="G424" s="2" t="s">
        <v>1938</v>
      </c>
      <c r="H424" s="2" t="s">
        <v>2266</v>
      </c>
      <c r="I424" s="2" t="s">
        <v>716</v>
      </c>
      <c r="J424" s="2" t="s">
        <v>2267</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310</v>
      </c>
      <c r="C425" s="2" t="s">
        <v>312</v>
      </c>
      <c r="D425" s="2" t="s">
        <v>2268</v>
      </c>
      <c r="E425" s="2" t="s">
        <v>743</v>
      </c>
      <c r="F425" s="2" t="s">
        <v>744</v>
      </c>
      <c r="G425" s="2" t="s">
        <v>2200</v>
      </c>
      <c r="H425" s="2" t="s">
        <v>2269</v>
      </c>
      <c r="I425" s="2" t="s">
        <v>716</v>
      </c>
      <c r="J425" s="2" t="s">
        <v>2270</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321</v>
      </c>
      <c r="C426" s="2" t="s">
        <v>323</v>
      </c>
      <c r="D426" s="2" t="s">
        <v>2271</v>
      </c>
      <c r="E426" s="2" t="s">
        <v>743</v>
      </c>
      <c r="F426" s="2" t="s">
        <v>744</v>
      </c>
      <c r="G426" s="2" t="s">
        <v>630</v>
      </c>
      <c r="H426" s="2" t="s">
        <v>2272</v>
      </c>
      <c r="I426" s="2" t="s">
        <v>716</v>
      </c>
      <c r="J426" s="2" t="s">
        <v>2273</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336</v>
      </c>
      <c r="C427" s="2" t="s">
        <v>339</v>
      </c>
      <c r="D427" s="2" t="s">
        <v>2274</v>
      </c>
      <c r="E427" s="2" t="s">
        <v>712</v>
      </c>
      <c r="F427" s="2" t="s">
        <v>752</v>
      </c>
      <c r="G427" s="2" t="s">
        <v>2275</v>
      </c>
      <c r="H427" s="2" t="s">
        <v>2276</v>
      </c>
      <c r="I427" s="2" t="s">
        <v>716</v>
      </c>
      <c r="J427" s="2" t="s">
        <v>2277</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718</v>
      </c>
    </row>
    <row r="428" customFormat="false" ht="15" hidden="false" customHeight="false" outlineLevel="0" collapsed="false">
      <c r="A428" s="2" t="n">
        <v>52</v>
      </c>
      <c r="B428" s="2" t="s">
        <v>336</v>
      </c>
      <c r="C428" s="2" t="s">
        <v>339</v>
      </c>
      <c r="D428" s="2" t="s">
        <v>2278</v>
      </c>
      <c r="E428" s="2" t="s">
        <v>737</v>
      </c>
      <c r="F428" s="2" t="s">
        <v>761</v>
      </c>
      <c r="G428" s="2" t="s">
        <v>2279</v>
      </c>
      <c r="H428" s="2" t="s">
        <v>2280</v>
      </c>
      <c r="I428" s="2" t="s">
        <v>716</v>
      </c>
      <c r="J428" s="2" t="s">
        <v>2281</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336</v>
      </c>
      <c r="C429" s="2" t="s">
        <v>339</v>
      </c>
      <c r="D429" s="2" t="s">
        <v>2234</v>
      </c>
      <c r="E429" s="2" t="s">
        <v>712</v>
      </c>
      <c r="F429" s="2" t="s">
        <v>752</v>
      </c>
      <c r="G429" s="2" t="s">
        <v>2235</v>
      </c>
      <c r="H429" s="2" t="s">
        <v>2236</v>
      </c>
      <c r="I429" s="2" t="s">
        <v>716</v>
      </c>
      <c r="J429" s="2" t="s">
        <v>2237</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718</v>
      </c>
    </row>
    <row r="430" customFormat="false" ht="15" hidden="false" customHeight="false" outlineLevel="0" collapsed="false">
      <c r="A430" s="2" t="n">
        <v>52</v>
      </c>
      <c r="B430" s="2" t="s">
        <v>336</v>
      </c>
      <c r="C430" s="2" t="s">
        <v>339</v>
      </c>
      <c r="D430" s="2" t="s">
        <v>2282</v>
      </c>
      <c r="E430" s="2" t="s">
        <v>743</v>
      </c>
      <c r="F430" s="2" t="s">
        <v>744</v>
      </c>
      <c r="G430" s="2" t="s">
        <v>876</v>
      </c>
      <c r="H430" s="2" t="s">
        <v>2283</v>
      </c>
      <c r="I430" s="2" t="s">
        <v>716</v>
      </c>
      <c r="J430" s="2" t="s">
        <v>2284</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336</v>
      </c>
      <c r="C431" s="2" t="s">
        <v>339</v>
      </c>
      <c r="D431" s="2" t="s">
        <v>2285</v>
      </c>
      <c r="E431" s="2" t="s">
        <v>743</v>
      </c>
      <c r="F431" s="2" t="s">
        <v>744</v>
      </c>
      <c r="G431" s="2" t="s">
        <v>876</v>
      </c>
      <c r="H431" s="2" t="s">
        <v>2286</v>
      </c>
      <c r="I431" s="2" t="s">
        <v>716</v>
      </c>
      <c r="J431" s="2" t="s">
        <v>2287</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336</v>
      </c>
      <c r="C432" s="2" t="s">
        <v>339</v>
      </c>
      <c r="D432" s="2" t="s">
        <v>2288</v>
      </c>
      <c r="E432" s="2" t="s">
        <v>712</v>
      </c>
      <c r="F432" s="2" t="s">
        <v>752</v>
      </c>
      <c r="G432" s="2" t="s">
        <v>2289</v>
      </c>
      <c r="H432" s="2" t="s">
        <v>2290</v>
      </c>
      <c r="I432" s="2" t="s">
        <v>716</v>
      </c>
      <c r="J432" s="2" t="s">
        <v>2291</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718</v>
      </c>
    </row>
    <row r="433" customFormat="false" ht="15" hidden="false" customHeight="false" outlineLevel="0" collapsed="false">
      <c r="A433" s="2" t="n">
        <v>52</v>
      </c>
      <c r="B433" s="2" t="s">
        <v>336</v>
      </c>
      <c r="C433" s="2" t="s">
        <v>339</v>
      </c>
      <c r="D433" s="2" t="s">
        <v>2292</v>
      </c>
      <c r="E433" s="2" t="s">
        <v>712</v>
      </c>
      <c r="F433" s="2" t="s">
        <v>752</v>
      </c>
      <c r="G433" s="2" t="s">
        <v>2293</v>
      </c>
      <c r="H433" s="2" t="s">
        <v>2294</v>
      </c>
      <c r="I433" s="2" t="s">
        <v>716</v>
      </c>
      <c r="J433" s="2" t="s">
        <v>2295</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718</v>
      </c>
    </row>
    <row r="434" customFormat="false" ht="15" hidden="false" customHeight="false" outlineLevel="0" collapsed="false">
      <c r="A434" s="2" t="n">
        <v>53</v>
      </c>
      <c r="B434" s="2" t="s">
        <v>342</v>
      </c>
      <c r="C434" s="2" t="s">
        <v>345</v>
      </c>
      <c r="D434" s="2" t="s">
        <v>2296</v>
      </c>
      <c r="E434" s="2" t="s">
        <v>737</v>
      </c>
      <c r="F434" s="2" t="s">
        <v>738</v>
      </c>
      <c r="G434" s="2" t="s">
        <v>2297</v>
      </c>
      <c r="H434" s="2" t="s">
        <v>2298</v>
      </c>
      <c r="I434" s="2" t="s">
        <v>716</v>
      </c>
      <c r="J434" s="2" t="s">
        <v>2299</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360</v>
      </c>
      <c r="C435" s="2" t="s">
        <v>362</v>
      </c>
      <c r="D435" s="2" t="s">
        <v>2300</v>
      </c>
      <c r="E435" s="2" t="s">
        <v>743</v>
      </c>
      <c r="F435" s="2" t="s">
        <v>744</v>
      </c>
      <c r="G435" s="2" t="s">
        <v>2301</v>
      </c>
      <c r="H435" s="2" t="s">
        <v>2302</v>
      </c>
      <c r="I435" s="2" t="s">
        <v>716</v>
      </c>
      <c r="J435" s="2" t="s">
        <v>2303</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360</v>
      </c>
      <c r="C436" s="2" t="s">
        <v>362</v>
      </c>
      <c r="D436" s="2" t="s">
        <v>2304</v>
      </c>
      <c r="E436" s="2" t="s">
        <v>743</v>
      </c>
      <c r="F436" s="2" t="s">
        <v>744</v>
      </c>
      <c r="G436" s="2" t="s">
        <v>2301</v>
      </c>
      <c r="H436" s="2" t="s">
        <v>2305</v>
      </c>
      <c r="I436" s="2" t="s">
        <v>716</v>
      </c>
      <c r="J436" s="2" t="s">
        <v>2306</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360</v>
      </c>
      <c r="C437" s="2" t="s">
        <v>362</v>
      </c>
      <c r="D437" s="2" t="s">
        <v>2307</v>
      </c>
      <c r="E437" s="2" t="s">
        <v>743</v>
      </c>
      <c r="F437" s="2" t="s">
        <v>744</v>
      </c>
      <c r="G437" s="2" t="s">
        <v>2301</v>
      </c>
      <c r="H437" s="2" t="s">
        <v>2308</v>
      </c>
      <c r="I437" s="2" t="s">
        <v>716</v>
      </c>
      <c r="J437" s="2" t="s">
        <v>2309</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360</v>
      </c>
      <c r="C438" s="2" t="s">
        <v>362</v>
      </c>
      <c r="D438" s="2" t="s">
        <v>2310</v>
      </c>
      <c r="E438" s="2" t="s">
        <v>743</v>
      </c>
      <c r="F438" s="2" t="s">
        <v>744</v>
      </c>
      <c r="G438" s="2" t="s">
        <v>2301</v>
      </c>
      <c r="H438" s="2" t="s">
        <v>2311</v>
      </c>
      <c r="I438" s="2" t="s">
        <v>716</v>
      </c>
      <c r="J438" s="2" t="s">
        <v>2312</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360</v>
      </c>
      <c r="C439" s="2" t="s">
        <v>362</v>
      </c>
      <c r="D439" s="2" t="s">
        <v>2313</v>
      </c>
      <c r="E439" s="2" t="s">
        <v>737</v>
      </c>
      <c r="F439" s="2" t="s">
        <v>738</v>
      </c>
      <c r="G439" s="2" t="s">
        <v>2314</v>
      </c>
      <c r="H439" s="2" t="s">
        <v>2315</v>
      </c>
      <c r="I439" s="2" t="s">
        <v>716</v>
      </c>
      <c r="J439" s="2" t="s">
        <v>2316</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360</v>
      </c>
      <c r="C440" s="2" t="s">
        <v>362</v>
      </c>
      <c r="D440" s="2" t="s">
        <v>2317</v>
      </c>
      <c r="E440" s="2" t="s">
        <v>737</v>
      </c>
      <c r="F440" s="2" t="s">
        <v>738</v>
      </c>
      <c r="G440" s="2" t="s">
        <v>2314</v>
      </c>
      <c r="H440" s="2" t="s">
        <v>2318</v>
      </c>
      <c r="I440" s="2" t="s">
        <v>716</v>
      </c>
      <c r="J440" s="2" t="s">
        <v>2319</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360</v>
      </c>
      <c r="C441" s="2" t="s">
        <v>362</v>
      </c>
      <c r="D441" s="2" t="s">
        <v>2320</v>
      </c>
      <c r="E441" s="2" t="s">
        <v>743</v>
      </c>
      <c r="F441" s="2" t="s">
        <v>744</v>
      </c>
      <c r="G441" s="2" t="s">
        <v>2321</v>
      </c>
      <c r="H441" s="2" t="s">
        <v>2322</v>
      </c>
      <c r="I441" s="2" t="s">
        <v>716</v>
      </c>
      <c r="J441" s="2" t="s">
        <v>2323</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360</v>
      </c>
      <c r="C442" s="2" t="s">
        <v>362</v>
      </c>
      <c r="D442" s="2" t="s">
        <v>2324</v>
      </c>
      <c r="E442" s="2" t="s">
        <v>743</v>
      </c>
      <c r="F442" s="2" t="s">
        <v>744</v>
      </c>
      <c r="G442" s="2" t="s">
        <v>2325</v>
      </c>
      <c r="H442" s="2" t="s">
        <v>2326</v>
      </c>
      <c r="I442" s="2" t="s">
        <v>716</v>
      </c>
      <c r="J442" s="2" t="s">
        <v>2327</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360</v>
      </c>
      <c r="C443" s="2" t="s">
        <v>362</v>
      </c>
      <c r="D443" s="2" t="s">
        <v>2328</v>
      </c>
      <c r="E443" s="2" t="s">
        <v>743</v>
      </c>
      <c r="F443" s="2" t="s">
        <v>744</v>
      </c>
      <c r="G443" s="2" t="s">
        <v>2329</v>
      </c>
      <c r="H443" s="2" t="s">
        <v>2330</v>
      </c>
      <c r="I443" s="2" t="s">
        <v>716</v>
      </c>
      <c r="J443" s="2" t="s">
        <v>2331</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360</v>
      </c>
      <c r="C444" s="2" t="s">
        <v>362</v>
      </c>
      <c r="D444" s="2" t="s">
        <v>2332</v>
      </c>
      <c r="E444" s="2" t="s">
        <v>743</v>
      </c>
      <c r="F444" s="2" t="s">
        <v>744</v>
      </c>
      <c r="G444" s="2" t="s">
        <v>2333</v>
      </c>
      <c r="H444" s="2" t="s">
        <v>2334</v>
      </c>
      <c r="I444" s="2" t="s">
        <v>716</v>
      </c>
      <c r="J444" s="2" t="s">
        <v>2335</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360</v>
      </c>
      <c r="C445" s="2" t="s">
        <v>362</v>
      </c>
      <c r="D445" s="2" t="s">
        <v>2336</v>
      </c>
      <c r="E445" s="2" t="s">
        <v>743</v>
      </c>
      <c r="F445" s="2" t="s">
        <v>744</v>
      </c>
      <c r="G445" s="2" t="s">
        <v>973</v>
      </c>
      <c r="H445" s="2" t="s">
        <v>2337</v>
      </c>
      <c r="I445" s="2" t="s">
        <v>716</v>
      </c>
      <c r="J445" s="2" t="s">
        <v>2338</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360</v>
      </c>
      <c r="C446" s="2" t="s">
        <v>362</v>
      </c>
      <c r="D446" s="2" t="s">
        <v>2339</v>
      </c>
      <c r="E446" s="2" t="s">
        <v>743</v>
      </c>
      <c r="F446" s="2" t="s">
        <v>744</v>
      </c>
      <c r="G446" s="2" t="s">
        <v>973</v>
      </c>
      <c r="H446" s="2" t="s">
        <v>2340</v>
      </c>
      <c r="I446" s="2" t="s">
        <v>716</v>
      </c>
      <c r="J446" s="2" t="s">
        <v>2341</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360</v>
      </c>
      <c r="C447" s="2" t="s">
        <v>362</v>
      </c>
      <c r="D447" s="2" t="s">
        <v>2342</v>
      </c>
      <c r="E447" s="2" t="s">
        <v>743</v>
      </c>
      <c r="F447" s="2" t="s">
        <v>744</v>
      </c>
      <c r="G447" s="2" t="s">
        <v>973</v>
      </c>
      <c r="H447" s="2" t="s">
        <v>2343</v>
      </c>
      <c r="I447" s="2" t="s">
        <v>716</v>
      </c>
      <c r="J447" s="2" t="s">
        <v>2344</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360</v>
      </c>
      <c r="C448" s="2" t="s">
        <v>362</v>
      </c>
      <c r="D448" s="2" t="s">
        <v>2345</v>
      </c>
      <c r="E448" s="2" t="s">
        <v>743</v>
      </c>
      <c r="F448" s="2" t="s">
        <v>744</v>
      </c>
      <c r="G448" s="2" t="s">
        <v>973</v>
      </c>
      <c r="H448" s="2" t="s">
        <v>2346</v>
      </c>
      <c r="I448" s="2" t="s">
        <v>716</v>
      </c>
      <c r="J448" s="2" t="s">
        <v>2347</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360</v>
      </c>
      <c r="C449" s="2" t="s">
        <v>362</v>
      </c>
      <c r="D449" s="2" t="s">
        <v>2348</v>
      </c>
      <c r="E449" s="2" t="s">
        <v>743</v>
      </c>
      <c r="F449" s="2" t="s">
        <v>744</v>
      </c>
      <c r="G449" s="2" t="s">
        <v>973</v>
      </c>
      <c r="H449" s="2" t="s">
        <v>2349</v>
      </c>
      <c r="I449" s="2" t="s">
        <v>716</v>
      </c>
      <c r="J449" s="2" t="s">
        <v>2350</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360</v>
      </c>
      <c r="C450" s="2" t="s">
        <v>362</v>
      </c>
      <c r="D450" s="2" t="s">
        <v>2351</v>
      </c>
      <c r="E450" s="2" t="s">
        <v>737</v>
      </c>
      <c r="F450" s="2" t="s">
        <v>738</v>
      </c>
      <c r="G450" s="2" t="s">
        <v>973</v>
      </c>
      <c r="H450" s="2" t="s">
        <v>2352</v>
      </c>
      <c r="I450" s="2" t="s">
        <v>716</v>
      </c>
      <c r="J450" s="2" t="s">
        <v>2353</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360</v>
      </c>
      <c r="C451" s="2" t="s">
        <v>362</v>
      </c>
      <c r="D451" s="2" t="s">
        <v>2354</v>
      </c>
      <c r="E451" s="2" t="s">
        <v>743</v>
      </c>
      <c r="F451" s="2" t="s">
        <v>744</v>
      </c>
      <c r="G451" s="2" t="s">
        <v>973</v>
      </c>
      <c r="H451" s="2" t="s">
        <v>2355</v>
      </c>
      <c r="I451" s="2" t="s">
        <v>716</v>
      </c>
      <c r="J451" s="2" t="s">
        <v>2356</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360</v>
      </c>
      <c r="C452" s="2" t="s">
        <v>362</v>
      </c>
      <c r="D452" s="2" t="s">
        <v>2357</v>
      </c>
      <c r="E452" s="2" t="s">
        <v>737</v>
      </c>
      <c r="F452" s="2" t="s">
        <v>738</v>
      </c>
      <c r="G452" s="2" t="s">
        <v>973</v>
      </c>
      <c r="H452" s="2" t="s">
        <v>2358</v>
      </c>
      <c r="I452" s="2" t="s">
        <v>716</v>
      </c>
      <c r="J452" s="2" t="s">
        <v>2359</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360</v>
      </c>
      <c r="C453" s="2" t="s">
        <v>362</v>
      </c>
      <c r="D453" s="2" t="s">
        <v>2360</v>
      </c>
      <c r="E453" s="2" t="s">
        <v>737</v>
      </c>
      <c r="F453" s="2" t="s">
        <v>738</v>
      </c>
      <c r="G453" s="2" t="s">
        <v>2361</v>
      </c>
      <c r="H453" s="2" t="s">
        <v>2362</v>
      </c>
      <c r="I453" s="2" t="s">
        <v>716</v>
      </c>
      <c r="J453" s="2" t="s">
        <v>2363</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360</v>
      </c>
      <c r="C454" s="2" t="s">
        <v>362</v>
      </c>
      <c r="D454" s="2" t="s">
        <v>2364</v>
      </c>
      <c r="E454" s="2" t="s">
        <v>737</v>
      </c>
      <c r="F454" s="2" t="s">
        <v>738</v>
      </c>
      <c r="G454" s="2" t="s">
        <v>2365</v>
      </c>
      <c r="H454" s="2" t="s">
        <v>2366</v>
      </c>
      <c r="I454" s="2" t="s">
        <v>716</v>
      </c>
      <c r="J454" s="2" t="s">
        <v>2367</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360</v>
      </c>
      <c r="C455" s="2" t="s">
        <v>362</v>
      </c>
      <c r="D455" s="2" t="s">
        <v>2368</v>
      </c>
      <c r="E455" s="2" t="s">
        <v>743</v>
      </c>
      <c r="F455" s="2" t="s">
        <v>744</v>
      </c>
      <c r="G455" s="2" t="s">
        <v>1602</v>
      </c>
      <c r="H455" s="2" t="s">
        <v>2369</v>
      </c>
      <c r="I455" s="2" t="s">
        <v>716</v>
      </c>
      <c r="J455" s="2" t="s">
        <v>2370</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360</v>
      </c>
      <c r="C456" s="2" t="s">
        <v>362</v>
      </c>
      <c r="D456" s="2" t="s">
        <v>2371</v>
      </c>
      <c r="E456" s="2" t="s">
        <v>737</v>
      </c>
      <c r="F456" s="2" t="s">
        <v>738</v>
      </c>
      <c r="G456" s="2" t="s">
        <v>2372</v>
      </c>
      <c r="H456" s="2" t="s">
        <v>2373</v>
      </c>
      <c r="I456" s="2" t="s">
        <v>716</v>
      </c>
      <c r="J456" s="2" t="s">
        <v>2374</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360</v>
      </c>
      <c r="C457" s="2" t="s">
        <v>362</v>
      </c>
      <c r="D457" s="2" t="s">
        <v>2375</v>
      </c>
      <c r="E457" s="2" t="s">
        <v>743</v>
      </c>
      <c r="F457" s="2" t="s">
        <v>744</v>
      </c>
      <c r="G457" s="2" t="s">
        <v>2372</v>
      </c>
      <c r="H457" s="2" t="s">
        <v>2376</v>
      </c>
      <c r="I457" s="2" t="s">
        <v>716</v>
      </c>
      <c r="J457" s="2" t="s">
        <v>2377</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360</v>
      </c>
      <c r="C458" s="2" t="s">
        <v>362</v>
      </c>
      <c r="D458" s="2" t="s">
        <v>2378</v>
      </c>
      <c r="E458" s="2" t="s">
        <v>743</v>
      </c>
      <c r="F458" s="2" t="s">
        <v>744</v>
      </c>
      <c r="G458" s="2" t="s">
        <v>2379</v>
      </c>
      <c r="H458" s="2" t="s">
        <v>2380</v>
      </c>
      <c r="I458" s="2" t="s">
        <v>716</v>
      </c>
      <c r="J458" s="2" t="s">
        <v>2381</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360</v>
      </c>
      <c r="C459" s="2" t="s">
        <v>362</v>
      </c>
      <c r="D459" s="2" t="s">
        <v>2382</v>
      </c>
      <c r="E459" s="2" t="s">
        <v>743</v>
      </c>
      <c r="F459" s="2" t="s">
        <v>744</v>
      </c>
      <c r="G459" s="2" t="s">
        <v>2383</v>
      </c>
      <c r="H459" s="2" t="s">
        <v>2384</v>
      </c>
      <c r="I459" s="2" t="s">
        <v>716</v>
      </c>
      <c r="J459" s="2" t="s">
        <v>2385</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360</v>
      </c>
      <c r="C460" s="2" t="s">
        <v>362</v>
      </c>
      <c r="D460" s="2" t="s">
        <v>2386</v>
      </c>
      <c r="E460" s="2" t="s">
        <v>743</v>
      </c>
      <c r="F460" s="2" t="s">
        <v>744</v>
      </c>
      <c r="G460" s="2" t="s">
        <v>2383</v>
      </c>
      <c r="H460" s="2" t="s">
        <v>2387</v>
      </c>
      <c r="I460" s="2" t="s">
        <v>716</v>
      </c>
      <c r="J460" s="2" t="s">
        <v>2388</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360</v>
      </c>
      <c r="C461" s="2" t="s">
        <v>362</v>
      </c>
      <c r="D461" s="2" t="s">
        <v>2389</v>
      </c>
      <c r="E461" s="2" t="s">
        <v>743</v>
      </c>
      <c r="F461" s="2" t="s">
        <v>744</v>
      </c>
      <c r="G461" s="2" t="s">
        <v>2383</v>
      </c>
      <c r="H461" s="2" t="s">
        <v>2390</v>
      </c>
      <c r="I461" s="2" t="s">
        <v>716</v>
      </c>
      <c r="J461" s="2" t="s">
        <v>2391</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360</v>
      </c>
      <c r="C462" s="2" t="s">
        <v>362</v>
      </c>
      <c r="D462" s="2" t="s">
        <v>2392</v>
      </c>
      <c r="E462" s="2" t="s">
        <v>743</v>
      </c>
      <c r="F462" s="2" t="s">
        <v>744</v>
      </c>
      <c r="G462" s="2" t="s">
        <v>912</v>
      </c>
      <c r="H462" s="2" t="s">
        <v>2393</v>
      </c>
      <c r="I462" s="2" t="s">
        <v>716</v>
      </c>
      <c r="J462" s="2" t="s">
        <v>2394</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360</v>
      </c>
      <c r="C463" s="2" t="s">
        <v>362</v>
      </c>
      <c r="D463" s="2" t="s">
        <v>2395</v>
      </c>
      <c r="E463" s="2" t="s">
        <v>743</v>
      </c>
      <c r="F463" s="2" t="s">
        <v>744</v>
      </c>
      <c r="G463" s="2" t="s">
        <v>2135</v>
      </c>
      <c r="H463" s="2" t="s">
        <v>2396</v>
      </c>
      <c r="I463" s="2" t="s">
        <v>716</v>
      </c>
      <c r="J463" s="2" t="s">
        <v>2397</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360</v>
      </c>
      <c r="C464" s="2" t="s">
        <v>362</v>
      </c>
      <c r="D464" s="2" t="s">
        <v>2398</v>
      </c>
      <c r="E464" s="2" t="s">
        <v>743</v>
      </c>
      <c r="F464" s="2" t="s">
        <v>744</v>
      </c>
      <c r="G464" s="2" t="s">
        <v>2135</v>
      </c>
      <c r="H464" s="2" t="s">
        <v>2399</v>
      </c>
      <c r="I464" s="2" t="s">
        <v>716</v>
      </c>
      <c r="J464" s="2" t="s">
        <v>2400</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360</v>
      </c>
      <c r="C465" s="2" t="s">
        <v>362</v>
      </c>
      <c r="D465" s="2" t="s">
        <v>2401</v>
      </c>
      <c r="E465" s="2" t="s">
        <v>743</v>
      </c>
      <c r="F465" s="2" t="s">
        <v>744</v>
      </c>
      <c r="G465" s="2" t="s">
        <v>2402</v>
      </c>
      <c r="H465" s="2" t="s">
        <v>2403</v>
      </c>
      <c r="I465" s="2" t="s">
        <v>716</v>
      </c>
      <c r="J465" s="2" t="s">
        <v>2404</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360</v>
      </c>
      <c r="C466" s="2" t="s">
        <v>362</v>
      </c>
      <c r="D466" s="2" t="s">
        <v>2405</v>
      </c>
      <c r="E466" s="2" t="s">
        <v>743</v>
      </c>
      <c r="F466" s="2" t="s">
        <v>744</v>
      </c>
      <c r="G466" s="2" t="s">
        <v>2402</v>
      </c>
      <c r="H466" s="2" t="s">
        <v>2406</v>
      </c>
      <c r="I466" s="2" t="s">
        <v>716</v>
      </c>
      <c r="J466" s="2" t="s">
        <v>2407</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360</v>
      </c>
      <c r="C467" s="2" t="s">
        <v>362</v>
      </c>
      <c r="D467" s="2" t="s">
        <v>2408</v>
      </c>
      <c r="E467" s="2" t="s">
        <v>743</v>
      </c>
      <c r="F467" s="2" t="s">
        <v>744</v>
      </c>
      <c r="G467" s="2" t="s">
        <v>2402</v>
      </c>
      <c r="H467" s="2" t="s">
        <v>2409</v>
      </c>
      <c r="I467" s="2" t="s">
        <v>716</v>
      </c>
      <c r="J467" s="2" t="s">
        <v>2410</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360</v>
      </c>
      <c r="C468" s="2" t="s">
        <v>362</v>
      </c>
      <c r="D468" s="2" t="s">
        <v>2411</v>
      </c>
      <c r="E468" s="2" t="s">
        <v>743</v>
      </c>
      <c r="F468" s="2" t="s">
        <v>744</v>
      </c>
      <c r="G468" s="2" t="s">
        <v>2412</v>
      </c>
      <c r="H468" s="2" t="s">
        <v>2413</v>
      </c>
      <c r="I468" s="2" t="s">
        <v>716</v>
      </c>
      <c r="J468" s="2" t="s">
        <v>2414</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360</v>
      </c>
      <c r="C469" s="2" t="s">
        <v>362</v>
      </c>
      <c r="D469" s="2" t="s">
        <v>2415</v>
      </c>
      <c r="E469" s="2" t="s">
        <v>743</v>
      </c>
      <c r="F469" s="2" t="s">
        <v>744</v>
      </c>
      <c r="G469" s="2" t="s">
        <v>2416</v>
      </c>
      <c r="H469" s="2" t="s">
        <v>2417</v>
      </c>
      <c r="I469" s="2" t="s">
        <v>716</v>
      </c>
      <c r="J469" s="2" t="s">
        <v>2418</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360</v>
      </c>
      <c r="C470" s="2" t="s">
        <v>362</v>
      </c>
      <c r="D470" s="2" t="s">
        <v>2419</v>
      </c>
      <c r="E470" s="2" t="s">
        <v>737</v>
      </c>
      <c r="F470" s="2" t="s">
        <v>738</v>
      </c>
      <c r="G470" s="2" t="s">
        <v>2416</v>
      </c>
      <c r="H470" s="2" t="s">
        <v>2420</v>
      </c>
      <c r="I470" s="2" t="s">
        <v>716</v>
      </c>
      <c r="J470" s="2" t="s">
        <v>2421</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360</v>
      </c>
      <c r="C471" s="2" t="s">
        <v>362</v>
      </c>
      <c r="D471" s="2" t="s">
        <v>2422</v>
      </c>
      <c r="E471" s="2" t="s">
        <v>743</v>
      </c>
      <c r="F471" s="2" t="s">
        <v>744</v>
      </c>
      <c r="G471" s="2" t="s">
        <v>2423</v>
      </c>
      <c r="H471" s="2" t="s">
        <v>2424</v>
      </c>
      <c r="I471" s="2" t="s">
        <v>716</v>
      </c>
      <c r="J471" s="2" t="s">
        <v>2425</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365</v>
      </c>
      <c r="C472" s="2" t="s">
        <v>367</v>
      </c>
      <c r="D472" s="2" t="s">
        <v>2426</v>
      </c>
      <c r="E472" s="2" t="s">
        <v>743</v>
      </c>
      <c r="F472" s="2" t="s">
        <v>744</v>
      </c>
      <c r="G472" s="2" t="s">
        <v>2301</v>
      </c>
      <c r="H472" s="2" t="s">
        <v>2427</v>
      </c>
      <c r="I472" s="2" t="s">
        <v>716</v>
      </c>
      <c r="J472" s="2" t="s">
        <v>2428</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365</v>
      </c>
      <c r="C473" s="2" t="s">
        <v>367</v>
      </c>
      <c r="D473" s="2" t="s">
        <v>2429</v>
      </c>
      <c r="E473" s="2" t="s">
        <v>743</v>
      </c>
      <c r="F473" s="2" t="s">
        <v>744</v>
      </c>
      <c r="G473" s="2" t="s">
        <v>2301</v>
      </c>
      <c r="H473" s="2" t="s">
        <v>2430</v>
      </c>
      <c r="I473" s="2" t="s">
        <v>716</v>
      </c>
      <c r="J473" s="2" t="s">
        <v>2431</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365</v>
      </c>
      <c r="C474" s="2" t="s">
        <v>367</v>
      </c>
      <c r="D474" s="2" t="s">
        <v>2432</v>
      </c>
      <c r="E474" s="2" t="s">
        <v>743</v>
      </c>
      <c r="F474" s="2" t="s">
        <v>744</v>
      </c>
      <c r="G474" s="2" t="s">
        <v>2433</v>
      </c>
      <c r="H474" s="2" t="s">
        <v>2434</v>
      </c>
      <c r="I474" s="2" t="s">
        <v>716</v>
      </c>
      <c r="J474" s="2" t="s">
        <v>2435</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365</v>
      </c>
      <c r="C475" s="2" t="s">
        <v>367</v>
      </c>
      <c r="D475" s="2" t="s">
        <v>2436</v>
      </c>
      <c r="E475" s="2" t="s">
        <v>743</v>
      </c>
      <c r="F475" s="2" t="s">
        <v>744</v>
      </c>
      <c r="G475" s="2" t="s">
        <v>2433</v>
      </c>
      <c r="H475" s="2" t="s">
        <v>2437</v>
      </c>
      <c r="I475" s="2" t="s">
        <v>716</v>
      </c>
      <c r="J475" s="2" t="s">
        <v>2438</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365</v>
      </c>
      <c r="C476" s="2" t="s">
        <v>367</v>
      </c>
      <c r="D476" s="2" t="s">
        <v>2439</v>
      </c>
      <c r="E476" s="2" t="s">
        <v>743</v>
      </c>
      <c r="F476" s="2" t="s">
        <v>744</v>
      </c>
      <c r="G476" s="2" t="s">
        <v>2433</v>
      </c>
      <c r="H476" s="2" t="s">
        <v>2440</v>
      </c>
      <c r="I476" s="2" t="s">
        <v>716</v>
      </c>
      <c r="J476" s="2" t="s">
        <v>2441</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365</v>
      </c>
      <c r="C477" s="2" t="s">
        <v>367</v>
      </c>
      <c r="D477" s="2" t="s">
        <v>2442</v>
      </c>
      <c r="E477" s="2" t="s">
        <v>743</v>
      </c>
      <c r="F477" s="2" t="s">
        <v>744</v>
      </c>
      <c r="G477" s="2" t="s">
        <v>2443</v>
      </c>
      <c r="H477" s="2" t="s">
        <v>2444</v>
      </c>
      <c r="I477" s="2" t="s">
        <v>716</v>
      </c>
      <c r="J477" s="2" t="s">
        <v>2445</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365</v>
      </c>
      <c r="C478" s="2" t="s">
        <v>367</v>
      </c>
      <c r="D478" s="2" t="s">
        <v>2446</v>
      </c>
      <c r="E478" s="2" t="s">
        <v>737</v>
      </c>
      <c r="F478" s="2" t="s">
        <v>738</v>
      </c>
      <c r="G478" s="2" t="s">
        <v>2443</v>
      </c>
      <c r="H478" s="2" t="s">
        <v>2447</v>
      </c>
      <c r="I478" s="2" t="s">
        <v>716</v>
      </c>
      <c r="J478" s="2" t="s">
        <v>2448</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365</v>
      </c>
      <c r="C479" s="2" t="s">
        <v>367</v>
      </c>
      <c r="D479" s="2" t="s">
        <v>2449</v>
      </c>
      <c r="E479" s="2" t="s">
        <v>743</v>
      </c>
      <c r="F479" s="2" t="s">
        <v>744</v>
      </c>
      <c r="G479" s="2" t="s">
        <v>2450</v>
      </c>
      <c r="H479" s="2" t="s">
        <v>2451</v>
      </c>
      <c r="I479" s="2" t="s">
        <v>716</v>
      </c>
      <c r="J479" s="2" t="s">
        <v>2452</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365</v>
      </c>
      <c r="C480" s="2" t="s">
        <v>367</v>
      </c>
      <c r="D480" s="2" t="s">
        <v>2453</v>
      </c>
      <c r="E480" s="2" t="s">
        <v>737</v>
      </c>
      <c r="F480" s="2" t="s">
        <v>738</v>
      </c>
      <c r="G480" s="2" t="s">
        <v>2372</v>
      </c>
      <c r="H480" s="2" t="s">
        <v>2454</v>
      </c>
      <c r="I480" s="2" t="s">
        <v>716</v>
      </c>
      <c r="J480" s="2" t="s">
        <v>2455</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365</v>
      </c>
      <c r="C481" s="2" t="s">
        <v>367</v>
      </c>
      <c r="D481" s="2" t="s">
        <v>2456</v>
      </c>
      <c r="E481" s="2" t="s">
        <v>743</v>
      </c>
      <c r="F481" s="2" t="s">
        <v>744</v>
      </c>
      <c r="G481" s="2" t="s">
        <v>2383</v>
      </c>
      <c r="H481" s="2" t="s">
        <v>2457</v>
      </c>
      <c r="I481" s="2" t="s">
        <v>716</v>
      </c>
      <c r="J481" s="2" t="s">
        <v>2458</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365</v>
      </c>
      <c r="C482" s="2" t="s">
        <v>367</v>
      </c>
      <c r="D482" s="2" t="s">
        <v>2459</v>
      </c>
      <c r="E482" s="2" t="s">
        <v>743</v>
      </c>
      <c r="F482" s="2" t="s">
        <v>744</v>
      </c>
      <c r="G482" s="2" t="s">
        <v>2460</v>
      </c>
      <c r="H482" s="2" t="s">
        <v>2461</v>
      </c>
      <c r="I482" s="2" t="s">
        <v>716</v>
      </c>
      <c r="J482" s="2" t="s">
        <v>2462</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365</v>
      </c>
      <c r="C483" s="2" t="s">
        <v>367</v>
      </c>
      <c r="D483" s="2" t="s">
        <v>2463</v>
      </c>
      <c r="E483" s="2" t="s">
        <v>743</v>
      </c>
      <c r="F483" s="2" t="s">
        <v>744</v>
      </c>
      <c r="G483" s="2" t="s">
        <v>2464</v>
      </c>
      <c r="H483" s="2" t="s">
        <v>2465</v>
      </c>
      <c r="I483" s="2" t="s">
        <v>716</v>
      </c>
      <c r="J483" s="2" t="s">
        <v>2466</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370</v>
      </c>
      <c r="C484" s="2" t="s">
        <v>373</v>
      </c>
      <c r="D484" s="2" t="s">
        <v>2467</v>
      </c>
      <c r="E484" s="2" t="s">
        <v>737</v>
      </c>
      <c r="F484" s="2" t="s">
        <v>738</v>
      </c>
      <c r="G484" s="2" t="s">
        <v>2468</v>
      </c>
      <c r="H484" s="2" t="s">
        <v>2469</v>
      </c>
      <c r="I484" s="2" t="s">
        <v>716</v>
      </c>
      <c r="J484" s="2" t="s">
        <v>2470</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376</v>
      </c>
      <c r="C485" s="2" t="s">
        <v>379</v>
      </c>
      <c r="D485" s="2" t="s">
        <v>2471</v>
      </c>
      <c r="E485" s="2" t="s">
        <v>737</v>
      </c>
      <c r="F485" s="2" t="s">
        <v>738</v>
      </c>
      <c r="G485" s="2" t="s">
        <v>2472</v>
      </c>
      <c r="H485" s="2" t="s">
        <v>2473</v>
      </c>
      <c r="I485" s="2" t="s">
        <v>716</v>
      </c>
      <c r="J485" s="2" t="s">
        <v>2474</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382</v>
      </c>
      <c r="C486" s="2" t="s">
        <v>384</v>
      </c>
      <c r="D486" s="2" t="s">
        <v>2475</v>
      </c>
      <c r="E486" s="2" t="s">
        <v>743</v>
      </c>
      <c r="F486" s="2" t="s">
        <v>744</v>
      </c>
      <c r="G486" s="2" t="s">
        <v>2476</v>
      </c>
      <c r="H486" s="2" t="s">
        <v>2477</v>
      </c>
      <c r="I486" s="2" t="s">
        <v>716</v>
      </c>
      <c r="J486" s="2" t="s">
        <v>2478</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382</v>
      </c>
      <c r="C487" s="2" t="s">
        <v>384</v>
      </c>
      <c r="D487" s="2" t="s">
        <v>2479</v>
      </c>
      <c r="E487" s="2" t="s">
        <v>737</v>
      </c>
      <c r="F487" s="2" t="s">
        <v>738</v>
      </c>
      <c r="G487" s="2" t="s">
        <v>2480</v>
      </c>
      <c r="H487" s="2" t="s">
        <v>2481</v>
      </c>
      <c r="I487" s="2" t="s">
        <v>716</v>
      </c>
      <c r="J487" s="2" t="s">
        <v>2482</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382</v>
      </c>
      <c r="C488" s="2" t="s">
        <v>384</v>
      </c>
      <c r="D488" s="2" t="s">
        <v>2483</v>
      </c>
      <c r="E488" s="2" t="s">
        <v>743</v>
      </c>
      <c r="F488" s="2" t="s">
        <v>744</v>
      </c>
      <c r="G488" s="2" t="s">
        <v>2484</v>
      </c>
      <c r="H488" s="2" t="s">
        <v>2485</v>
      </c>
      <c r="I488" s="2" t="s">
        <v>716</v>
      </c>
      <c r="J488" s="2" t="s">
        <v>2486</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382</v>
      </c>
      <c r="C489" s="2" t="s">
        <v>384</v>
      </c>
      <c r="D489" s="2" t="s">
        <v>2487</v>
      </c>
      <c r="E489" s="2" t="s">
        <v>737</v>
      </c>
      <c r="F489" s="2" t="s">
        <v>738</v>
      </c>
      <c r="G489" s="2" t="s">
        <v>2488</v>
      </c>
      <c r="H489" s="2" t="s">
        <v>2489</v>
      </c>
      <c r="I489" s="2" t="s">
        <v>716</v>
      </c>
      <c r="J489" s="2" t="s">
        <v>2490</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382</v>
      </c>
      <c r="C490" s="2" t="s">
        <v>384</v>
      </c>
      <c r="D490" s="2" t="s">
        <v>2491</v>
      </c>
      <c r="E490" s="2" t="s">
        <v>712</v>
      </c>
      <c r="F490" s="2" t="s">
        <v>752</v>
      </c>
      <c r="G490" s="2" t="s">
        <v>2492</v>
      </c>
      <c r="H490" s="2" t="s">
        <v>2493</v>
      </c>
      <c r="I490" s="2" t="s">
        <v>716</v>
      </c>
      <c r="J490" s="2" t="s">
        <v>2494</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718</v>
      </c>
    </row>
    <row r="491" customFormat="false" ht="15" hidden="false" customHeight="false" outlineLevel="0" collapsed="false">
      <c r="A491" s="2" t="n">
        <v>60</v>
      </c>
      <c r="B491" s="2" t="s">
        <v>382</v>
      </c>
      <c r="C491" s="2" t="s">
        <v>384</v>
      </c>
      <c r="D491" s="2" t="s">
        <v>2495</v>
      </c>
      <c r="E491" s="2" t="s">
        <v>737</v>
      </c>
      <c r="F491" s="2" t="s">
        <v>738</v>
      </c>
      <c r="G491" s="2" t="s">
        <v>2496</v>
      </c>
      <c r="H491" s="2" t="s">
        <v>2497</v>
      </c>
      <c r="I491" s="2" t="s">
        <v>716</v>
      </c>
      <c r="J491" s="2" t="s">
        <v>2498</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382</v>
      </c>
      <c r="C492" s="2" t="s">
        <v>384</v>
      </c>
      <c r="D492" s="2" t="s">
        <v>2499</v>
      </c>
      <c r="E492" s="2" t="s">
        <v>743</v>
      </c>
      <c r="F492" s="2" t="s">
        <v>744</v>
      </c>
      <c r="G492" s="2" t="s">
        <v>2500</v>
      </c>
      <c r="H492" s="2" t="s">
        <v>2501</v>
      </c>
      <c r="I492" s="2" t="s">
        <v>716</v>
      </c>
      <c r="J492" s="2" t="s">
        <v>2502</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382</v>
      </c>
      <c r="C493" s="2" t="s">
        <v>384</v>
      </c>
      <c r="D493" s="2" t="s">
        <v>2503</v>
      </c>
      <c r="E493" s="2" t="s">
        <v>712</v>
      </c>
      <c r="F493" s="2" t="s">
        <v>752</v>
      </c>
      <c r="G493" s="2" t="s">
        <v>2504</v>
      </c>
      <c r="H493" s="2" t="s">
        <v>2505</v>
      </c>
      <c r="I493" s="2" t="s">
        <v>716</v>
      </c>
      <c r="J493" s="2" t="s">
        <v>2506</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718</v>
      </c>
    </row>
    <row r="494" customFormat="false" ht="15" hidden="false" customHeight="false" outlineLevel="0" collapsed="false">
      <c r="A494" s="2" t="n">
        <v>61</v>
      </c>
      <c r="B494" s="2" t="s">
        <v>387</v>
      </c>
      <c r="C494" s="2" t="s">
        <v>390</v>
      </c>
      <c r="D494" s="2" t="s">
        <v>2507</v>
      </c>
      <c r="E494" s="2" t="s">
        <v>712</v>
      </c>
      <c r="F494" s="2" t="s">
        <v>2508</v>
      </c>
      <c r="G494" s="2" t="s">
        <v>2509</v>
      </c>
      <c r="H494" s="2" t="s">
        <v>2510</v>
      </c>
      <c r="I494" s="2" t="s">
        <v>716</v>
      </c>
      <c r="J494" s="2" t="s">
        <v>2511</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718</v>
      </c>
    </row>
    <row r="495" customFormat="false" ht="15" hidden="false" customHeight="false" outlineLevel="0" collapsed="false">
      <c r="A495" s="2" t="n">
        <v>61</v>
      </c>
      <c r="B495" s="2" t="s">
        <v>387</v>
      </c>
      <c r="C495" s="2" t="s">
        <v>390</v>
      </c>
      <c r="D495" s="2" t="s">
        <v>2512</v>
      </c>
      <c r="E495" s="2" t="s">
        <v>712</v>
      </c>
      <c r="F495" s="2" t="s">
        <v>2508</v>
      </c>
      <c r="G495" s="2" t="s">
        <v>2513</v>
      </c>
      <c r="H495" s="2" t="s">
        <v>2514</v>
      </c>
      <c r="I495" s="2" t="s">
        <v>716</v>
      </c>
      <c r="J495" s="2" t="s">
        <v>2515</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718</v>
      </c>
    </row>
    <row r="496" customFormat="false" ht="15" hidden="false" customHeight="false" outlineLevel="0" collapsed="false">
      <c r="A496" s="2" t="n">
        <v>61</v>
      </c>
      <c r="B496" s="2" t="s">
        <v>387</v>
      </c>
      <c r="C496" s="2" t="s">
        <v>390</v>
      </c>
      <c r="D496" s="2" t="s">
        <v>2516</v>
      </c>
      <c r="E496" s="2" t="s">
        <v>712</v>
      </c>
      <c r="F496" s="2" t="s">
        <v>2082</v>
      </c>
      <c r="G496" s="2" t="s">
        <v>2517</v>
      </c>
      <c r="H496" s="2" t="s">
        <v>2518</v>
      </c>
      <c r="I496" s="2" t="s">
        <v>716</v>
      </c>
      <c r="J496" s="2" t="s">
        <v>2519</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718</v>
      </c>
    </row>
    <row r="497" customFormat="false" ht="15" hidden="false" customHeight="false" outlineLevel="0" collapsed="false">
      <c r="A497" s="2" t="n">
        <v>61</v>
      </c>
      <c r="B497" s="2" t="s">
        <v>387</v>
      </c>
      <c r="C497" s="2" t="s">
        <v>390</v>
      </c>
      <c r="D497" s="2" t="s">
        <v>2520</v>
      </c>
      <c r="E497" s="2" t="s">
        <v>737</v>
      </c>
      <c r="F497" s="2" t="s">
        <v>738</v>
      </c>
      <c r="G497" s="2" t="s">
        <v>2521</v>
      </c>
      <c r="H497" s="2" t="s">
        <v>2522</v>
      </c>
      <c r="I497" s="2" t="s">
        <v>716</v>
      </c>
      <c r="J497" s="2" t="s">
        <v>2523</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405</v>
      </c>
      <c r="C498" s="2" t="s">
        <v>408</v>
      </c>
      <c r="D498" s="2" t="s">
        <v>2524</v>
      </c>
      <c r="E498" s="2" t="s">
        <v>737</v>
      </c>
      <c r="F498" s="2" t="s">
        <v>738</v>
      </c>
      <c r="G498" s="2" t="s">
        <v>2525</v>
      </c>
      <c r="H498" s="2" t="s">
        <v>2526</v>
      </c>
      <c r="I498" s="2" t="s">
        <v>716</v>
      </c>
      <c r="J498" s="2" t="s">
        <v>2527</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405</v>
      </c>
      <c r="C499" s="2" t="s">
        <v>408</v>
      </c>
      <c r="D499" s="2" t="s">
        <v>2528</v>
      </c>
      <c r="E499" s="2" t="s">
        <v>737</v>
      </c>
      <c r="F499" s="2" t="s">
        <v>738</v>
      </c>
      <c r="G499" s="2" t="s">
        <v>2529</v>
      </c>
      <c r="H499" s="2" t="s">
        <v>2530</v>
      </c>
      <c r="I499" s="2" t="s">
        <v>716</v>
      </c>
      <c r="J499" s="2" t="s">
        <v>2531</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411</v>
      </c>
      <c r="C500" s="2" t="s">
        <v>413</v>
      </c>
      <c r="D500" s="2" t="s">
        <v>2532</v>
      </c>
      <c r="E500" s="2" t="s">
        <v>737</v>
      </c>
      <c r="F500" s="2" t="s">
        <v>738</v>
      </c>
      <c r="G500" s="2" t="s">
        <v>2533</v>
      </c>
      <c r="H500" s="2" t="s">
        <v>2534</v>
      </c>
      <c r="I500" s="2" t="s">
        <v>716</v>
      </c>
      <c r="J500" s="2" t="s">
        <v>2535</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411</v>
      </c>
      <c r="C501" s="2" t="s">
        <v>413</v>
      </c>
      <c r="D501" s="2" t="s">
        <v>2536</v>
      </c>
      <c r="E501" s="2" t="s">
        <v>712</v>
      </c>
      <c r="F501" s="2" t="s">
        <v>752</v>
      </c>
      <c r="G501" s="2" t="s">
        <v>2537</v>
      </c>
      <c r="H501" s="2" t="s">
        <v>2538</v>
      </c>
      <c r="I501" s="2" t="s">
        <v>716</v>
      </c>
      <c r="J501" s="2" t="s">
        <v>2539</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718</v>
      </c>
    </row>
    <row r="502" customFormat="false" ht="15" hidden="false" customHeight="false" outlineLevel="0" collapsed="false">
      <c r="A502" s="2" t="n">
        <v>66</v>
      </c>
      <c r="B502" s="2" t="s">
        <v>416</v>
      </c>
      <c r="C502" s="2" t="s">
        <v>419</v>
      </c>
      <c r="D502" s="2" t="s">
        <v>2540</v>
      </c>
      <c r="E502" s="2" t="s">
        <v>737</v>
      </c>
      <c r="F502" s="2" t="s">
        <v>738</v>
      </c>
      <c r="G502" s="2" t="s">
        <v>1848</v>
      </c>
      <c r="H502" s="2" t="s">
        <v>2541</v>
      </c>
      <c r="I502" s="2" t="s">
        <v>716</v>
      </c>
      <c r="J502" s="2" t="s">
        <v>2542</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416</v>
      </c>
      <c r="C503" s="2" t="s">
        <v>419</v>
      </c>
      <c r="D503" s="2" t="s">
        <v>2543</v>
      </c>
      <c r="E503" s="2" t="s">
        <v>737</v>
      </c>
      <c r="F503" s="2" t="s">
        <v>738</v>
      </c>
      <c r="G503" s="2" t="s">
        <v>2544</v>
      </c>
      <c r="H503" s="2" t="s">
        <v>2545</v>
      </c>
      <c r="I503" s="2" t="s">
        <v>716</v>
      </c>
      <c r="J503" s="2" t="s">
        <v>2546</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416</v>
      </c>
      <c r="C504" s="2" t="s">
        <v>419</v>
      </c>
      <c r="D504" s="2" t="s">
        <v>2547</v>
      </c>
      <c r="E504" s="2" t="s">
        <v>712</v>
      </c>
      <c r="F504" s="2" t="s">
        <v>752</v>
      </c>
      <c r="G504" s="2" t="s">
        <v>2548</v>
      </c>
      <c r="H504" s="2" t="s">
        <v>2549</v>
      </c>
      <c r="I504" s="2" t="s">
        <v>716</v>
      </c>
      <c r="J504" s="2" t="s">
        <v>2550</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718</v>
      </c>
    </row>
    <row r="505" customFormat="false" ht="15" hidden="false" customHeight="false" outlineLevel="0" collapsed="false">
      <c r="A505" s="2" t="n">
        <v>67</v>
      </c>
      <c r="B505" s="2" t="s">
        <v>422</v>
      </c>
      <c r="C505" s="2" t="s">
        <v>425</v>
      </c>
      <c r="D505" s="2" t="s">
        <v>2551</v>
      </c>
      <c r="E505" s="2" t="s">
        <v>737</v>
      </c>
      <c r="F505" s="2" t="s">
        <v>738</v>
      </c>
      <c r="G505" s="2" t="s">
        <v>1588</v>
      </c>
      <c r="H505" s="2" t="s">
        <v>2552</v>
      </c>
      <c r="I505" s="2" t="s">
        <v>716</v>
      </c>
      <c r="J505" s="2" t="s">
        <v>2553</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422</v>
      </c>
      <c r="C506" s="2" t="s">
        <v>425</v>
      </c>
      <c r="D506" s="2" t="s">
        <v>2554</v>
      </c>
      <c r="E506" s="2" t="s">
        <v>737</v>
      </c>
      <c r="F506" s="2" t="s">
        <v>738</v>
      </c>
      <c r="G506" s="2" t="s">
        <v>904</v>
      </c>
      <c r="H506" s="2" t="s">
        <v>2555</v>
      </c>
      <c r="I506" s="2" t="s">
        <v>716</v>
      </c>
      <c r="J506" s="2" t="s">
        <v>2556</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422</v>
      </c>
      <c r="C507" s="2" t="s">
        <v>425</v>
      </c>
      <c r="D507" s="2" t="s">
        <v>2557</v>
      </c>
      <c r="E507" s="2" t="s">
        <v>737</v>
      </c>
      <c r="F507" s="2" t="s">
        <v>738</v>
      </c>
      <c r="G507" s="2" t="s">
        <v>2558</v>
      </c>
      <c r="H507" s="2" t="s">
        <v>2559</v>
      </c>
      <c r="I507" s="2" t="s">
        <v>716</v>
      </c>
      <c r="J507" s="2" t="s">
        <v>2560</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422</v>
      </c>
      <c r="C508" s="2" t="s">
        <v>425</v>
      </c>
      <c r="D508" s="2" t="s">
        <v>2561</v>
      </c>
      <c r="E508" s="2" t="s">
        <v>743</v>
      </c>
      <c r="F508" s="2" t="s">
        <v>744</v>
      </c>
      <c r="G508" s="2" t="s">
        <v>2562</v>
      </c>
      <c r="H508" s="2" t="s">
        <v>2563</v>
      </c>
      <c r="I508" s="2" t="s">
        <v>716</v>
      </c>
      <c r="J508" s="2" t="s">
        <v>2564</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422</v>
      </c>
      <c r="C509" s="2" t="s">
        <v>425</v>
      </c>
      <c r="D509" s="2" t="s">
        <v>2565</v>
      </c>
      <c r="E509" s="2" t="s">
        <v>737</v>
      </c>
      <c r="F509" s="2" t="s">
        <v>738</v>
      </c>
      <c r="G509" s="2" t="s">
        <v>2566</v>
      </c>
      <c r="H509" s="2" t="s">
        <v>2567</v>
      </c>
      <c r="I509" s="2" t="s">
        <v>716</v>
      </c>
      <c r="J509" s="2" t="s">
        <v>2568</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422</v>
      </c>
      <c r="C510" s="2" t="s">
        <v>425</v>
      </c>
      <c r="D510" s="2" t="s">
        <v>2569</v>
      </c>
      <c r="E510" s="2" t="s">
        <v>737</v>
      </c>
      <c r="F510" s="2" t="s">
        <v>738</v>
      </c>
      <c r="G510" s="2" t="s">
        <v>2372</v>
      </c>
      <c r="H510" s="2" t="s">
        <v>2570</v>
      </c>
      <c r="I510" s="2" t="s">
        <v>716</v>
      </c>
      <c r="J510" s="2" t="s">
        <v>2571</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422</v>
      </c>
      <c r="C511" s="2" t="s">
        <v>425</v>
      </c>
      <c r="D511" s="2" t="s">
        <v>2572</v>
      </c>
      <c r="E511" s="2" t="s">
        <v>712</v>
      </c>
      <c r="F511" s="2" t="s">
        <v>752</v>
      </c>
      <c r="G511" s="2" t="s">
        <v>2573</v>
      </c>
      <c r="H511" s="2" t="s">
        <v>2574</v>
      </c>
      <c r="I511" s="2" t="s">
        <v>716</v>
      </c>
      <c r="J511" s="2" t="s">
        <v>2575</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718</v>
      </c>
    </row>
    <row r="512" customFormat="false" ht="15" hidden="false" customHeight="false" outlineLevel="0" collapsed="false">
      <c r="A512" s="2" t="n">
        <v>67</v>
      </c>
      <c r="B512" s="2" t="s">
        <v>422</v>
      </c>
      <c r="C512" s="2" t="s">
        <v>425</v>
      </c>
      <c r="D512" s="2" t="s">
        <v>2576</v>
      </c>
      <c r="E512" s="2" t="s">
        <v>712</v>
      </c>
      <c r="F512" s="2" t="s">
        <v>752</v>
      </c>
      <c r="G512" s="2" t="s">
        <v>2573</v>
      </c>
      <c r="H512" s="2" t="s">
        <v>2577</v>
      </c>
      <c r="I512" s="2" t="s">
        <v>716</v>
      </c>
      <c r="J512" s="2" t="s">
        <v>2578</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718</v>
      </c>
    </row>
    <row r="513" customFormat="false" ht="15" hidden="false" customHeight="false" outlineLevel="0" collapsed="false">
      <c r="A513" s="2" t="n">
        <v>69</v>
      </c>
      <c r="B513" s="2" t="s">
        <v>434</v>
      </c>
      <c r="C513" s="2" t="s">
        <v>437</v>
      </c>
      <c r="D513" s="2" t="s">
        <v>2579</v>
      </c>
      <c r="E513" s="2" t="s">
        <v>712</v>
      </c>
      <c r="F513" s="2" t="s">
        <v>2508</v>
      </c>
      <c r="G513" s="2" t="s">
        <v>2580</v>
      </c>
      <c r="H513" s="2" t="s">
        <v>2581</v>
      </c>
      <c r="I513" s="2" t="s">
        <v>716</v>
      </c>
      <c r="J513" s="2" t="s">
        <v>2582</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718</v>
      </c>
    </row>
    <row r="514" customFormat="false" ht="15" hidden="false" customHeight="false" outlineLevel="0" collapsed="false">
      <c r="A514" s="2" t="n">
        <v>70</v>
      </c>
      <c r="B514" s="2" t="s">
        <v>440</v>
      </c>
      <c r="C514" s="2" t="s">
        <v>443</v>
      </c>
      <c r="D514" s="2" t="s">
        <v>2583</v>
      </c>
      <c r="E514" s="2" t="s">
        <v>737</v>
      </c>
      <c r="F514" s="2" t="s">
        <v>761</v>
      </c>
      <c r="G514" s="2" t="s">
        <v>2584</v>
      </c>
      <c r="H514" s="2" t="s">
        <v>2585</v>
      </c>
      <c r="I514" s="2" t="s">
        <v>716</v>
      </c>
      <c r="J514" s="2" t="s">
        <v>2586</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440</v>
      </c>
      <c r="C515" s="2" t="s">
        <v>443</v>
      </c>
      <c r="D515" s="2" t="s">
        <v>2587</v>
      </c>
      <c r="E515" s="2" t="s">
        <v>712</v>
      </c>
      <c r="F515" s="2" t="s">
        <v>752</v>
      </c>
      <c r="G515" s="2" t="s">
        <v>2584</v>
      </c>
      <c r="H515" s="2" t="s">
        <v>2588</v>
      </c>
      <c r="I515" s="2" t="s">
        <v>716</v>
      </c>
      <c r="J515" s="2" t="s">
        <v>2589</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718</v>
      </c>
    </row>
    <row r="516" customFormat="false" ht="15" hidden="false" customHeight="false" outlineLevel="0" collapsed="false">
      <c r="A516" s="2" t="n">
        <v>70</v>
      </c>
      <c r="B516" s="2" t="s">
        <v>440</v>
      </c>
      <c r="C516" s="2" t="s">
        <v>443</v>
      </c>
      <c r="D516" s="2" t="s">
        <v>2590</v>
      </c>
      <c r="E516" s="2" t="s">
        <v>737</v>
      </c>
      <c r="F516" s="2" t="s">
        <v>761</v>
      </c>
      <c r="G516" s="2" t="s">
        <v>2591</v>
      </c>
      <c r="H516" s="2" t="s">
        <v>2592</v>
      </c>
      <c r="I516" s="2" t="s">
        <v>716</v>
      </c>
      <c r="J516" s="2" t="s">
        <v>2593</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440</v>
      </c>
      <c r="C517" s="2" t="s">
        <v>443</v>
      </c>
      <c r="D517" s="2" t="s">
        <v>2594</v>
      </c>
      <c r="E517" s="2" t="s">
        <v>737</v>
      </c>
      <c r="F517" s="2" t="s">
        <v>761</v>
      </c>
      <c r="G517" s="2" t="s">
        <v>2591</v>
      </c>
      <c r="H517" s="2" t="s">
        <v>2595</v>
      </c>
      <c r="I517" s="2" t="s">
        <v>716</v>
      </c>
      <c r="J517" s="2" t="s">
        <v>2596</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440</v>
      </c>
      <c r="C518" s="2" t="s">
        <v>443</v>
      </c>
      <c r="D518" s="2" t="s">
        <v>2597</v>
      </c>
      <c r="E518" s="2" t="s">
        <v>737</v>
      </c>
      <c r="F518" s="2" t="s">
        <v>761</v>
      </c>
      <c r="G518" s="2" t="s">
        <v>2598</v>
      </c>
      <c r="H518" s="2" t="s">
        <v>2599</v>
      </c>
      <c r="I518" s="2" t="s">
        <v>716</v>
      </c>
      <c r="J518" s="2" t="s">
        <v>2600</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440</v>
      </c>
      <c r="C519" s="2" t="s">
        <v>443</v>
      </c>
      <c r="D519" s="2" t="s">
        <v>2601</v>
      </c>
      <c r="E519" s="2" t="s">
        <v>737</v>
      </c>
      <c r="F519" s="2" t="s">
        <v>761</v>
      </c>
      <c r="G519" s="2" t="s">
        <v>2602</v>
      </c>
      <c r="H519" s="2" t="s">
        <v>2603</v>
      </c>
      <c r="I519" s="2" t="s">
        <v>716</v>
      </c>
      <c r="J519" s="2" t="s">
        <v>2604</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440</v>
      </c>
      <c r="C520" s="2" t="s">
        <v>443</v>
      </c>
      <c r="D520" s="2" t="s">
        <v>2605</v>
      </c>
      <c r="E520" s="2" t="s">
        <v>737</v>
      </c>
      <c r="F520" s="2" t="s">
        <v>761</v>
      </c>
      <c r="G520" s="2" t="s">
        <v>928</v>
      </c>
      <c r="H520" s="2" t="s">
        <v>2606</v>
      </c>
      <c r="I520" s="2" t="s">
        <v>716</v>
      </c>
      <c r="J520" s="2" t="s">
        <v>2607</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440</v>
      </c>
      <c r="C521" s="2" t="s">
        <v>443</v>
      </c>
      <c r="D521" s="2" t="s">
        <v>2608</v>
      </c>
      <c r="E521" s="2" t="s">
        <v>737</v>
      </c>
      <c r="F521" s="2" t="s">
        <v>761</v>
      </c>
      <c r="G521" s="2" t="s">
        <v>2609</v>
      </c>
      <c r="H521" s="2" t="s">
        <v>2610</v>
      </c>
      <c r="I521" s="2" t="s">
        <v>716</v>
      </c>
      <c r="J521" s="2" t="s">
        <v>2611</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440</v>
      </c>
      <c r="C522" s="2" t="s">
        <v>443</v>
      </c>
      <c r="D522" s="2" t="s">
        <v>2612</v>
      </c>
      <c r="E522" s="2" t="s">
        <v>737</v>
      </c>
      <c r="F522" s="2" t="s">
        <v>761</v>
      </c>
      <c r="G522" s="2" t="s">
        <v>2613</v>
      </c>
      <c r="H522" s="2" t="s">
        <v>2614</v>
      </c>
      <c r="I522" s="2" t="s">
        <v>716</v>
      </c>
      <c r="J522" s="2" t="s">
        <v>2615</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445</v>
      </c>
      <c r="C523" s="2" t="s">
        <v>448</v>
      </c>
      <c r="D523" s="2" t="s">
        <v>2616</v>
      </c>
      <c r="E523" s="2" t="s">
        <v>737</v>
      </c>
      <c r="F523" s="2" t="s">
        <v>738</v>
      </c>
      <c r="G523" s="2" t="s">
        <v>2617</v>
      </c>
      <c r="H523" s="2" t="s">
        <v>2618</v>
      </c>
      <c r="I523" s="2" t="s">
        <v>716</v>
      </c>
      <c r="J523" s="2" t="s">
        <v>2619</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445</v>
      </c>
      <c r="C524" s="2" t="s">
        <v>448</v>
      </c>
      <c r="D524" s="2" t="s">
        <v>2620</v>
      </c>
      <c r="E524" s="2" t="s">
        <v>712</v>
      </c>
      <c r="F524" s="2" t="s">
        <v>752</v>
      </c>
      <c r="G524" s="2" t="s">
        <v>2504</v>
      </c>
      <c r="H524" s="2" t="s">
        <v>2621</v>
      </c>
      <c r="I524" s="2" t="s">
        <v>716</v>
      </c>
      <c r="J524" s="2" t="s">
        <v>2622</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718</v>
      </c>
    </row>
    <row r="525" customFormat="false" ht="15" hidden="false" customHeight="false" outlineLevel="0" collapsed="false">
      <c r="A525" s="2" t="n">
        <v>71</v>
      </c>
      <c r="B525" s="2" t="s">
        <v>445</v>
      </c>
      <c r="C525" s="2" t="s">
        <v>448</v>
      </c>
      <c r="D525" s="2" t="s">
        <v>2623</v>
      </c>
      <c r="E525" s="2" t="s">
        <v>737</v>
      </c>
      <c r="F525" s="2" t="s">
        <v>738</v>
      </c>
      <c r="G525" s="2" t="s">
        <v>2624</v>
      </c>
      <c r="H525" s="2" t="s">
        <v>2625</v>
      </c>
      <c r="I525" s="2" t="s">
        <v>716</v>
      </c>
      <c r="J525" s="2" t="s">
        <v>2626</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451</v>
      </c>
      <c r="C526" s="2" t="s">
        <v>454</v>
      </c>
      <c r="D526" s="2" t="s">
        <v>2627</v>
      </c>
      <c r="E526" s="2" t="s">
        <v>737</v>
      </c>
      <c r="F526" s="2" t="s">
        <v>738</v>
      </c>
      <c r="G526" s="2" t="s">
        <v>745</v>
      </c>
      <c r="H526" s="2" t="s">
        <v>2628</v>
      </c>
      <c r="I526" s="2" t="s">
        <v>716</v>
      </c>
      <c r="J526" s="2" t="s">
        <v>2629</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451</v>
      </c>
      <c r="C527" s="2" t="s">
        <v>454</v>
      </c>
      <c r="D527" s="2" t="s">
        <v>2630</v>
      </c>
      <c r="E527" s="2" t="s">
        <v>737</v>
      </c>
      <c r="F527" s="2" t="s">
        <v>738</v>
      </c>
      <c r="G527" s="2" t="s">
        <v>745</v>
      </c>
      <c r="H527" s="2" t="s">
        <v>2631</v>
      </c>
      <c r="I527" s="2" t="s">
        <v>716</v>
      </c>
      <c r="J527" s="2" t="s">
        <v>2632</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463</v>
      </c>
      <c r="C528" s="2" t="s">
        <v>466</v>
      </c>
      <c r="D528" s="2" t="s">
        <v>2633</v>
      </c>
      <c r="E528" s="2" t="s">
        <v>712</v>
      </c>
      <c r="F528" s="2" t="s">
        <v>944</v>
      </c>
      <c r="G528" s="2" t="s">
        <v>2634</v>
      </c>
      <c r="H528" s="2" t="s">
        <v>2635</v>
      </c>
      <c r="I528" s="2" t="s">
        <v>716</v>
      </c>
      <c r="J528" s="2" t="s">
        <v>2636</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718</v>
      </c>
    </row>
    <row r="529" customFormat="false" ht="15" hidden="false" customHeight="false" outlineLevel="0" collapsed="false">
      <c r="A529" s="2" t="n">
        <v>75</v>
      </c>
      <c r="B529" s="2" t="s">
        <v>468</v>
      </c>
      <c r="C529" s="2" t="s">
        <v>471</v>
      </c>
      <c r="D529" s="2" t="s">
        <v>2637</v>
      </c>
      <c r="E529" s="2" t="s">
        <v>737</v>
      </c>
      <c r="F529" s="2" t="s">
        <v>761</v>
      </c>
      <c r="G529" s="2" t="s">
        <v>2638</v>
      </c>
      <c r="H529" s="2" t="s">
        <v>2639</v>
      </c>
      <c r="I529" s="2" t="s">
        <v>716</v>
      </c>
      <c r="J529" s="2" t="s">
        <v>2640</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468</v>
      </c>
      <c r="C530" s="2" t="s">
        <v>471</v>
      </c>
      <c r="D530" s="2" t="s">
        <v>2641</v>
      </c>
      <c r="E530" s="2" t="s">
        <v>737</v>
      </c>
      <c r="F530" s="2" t="s">
        <v>761</v>
      </c>
      <c r="G530" s="2" t="s">
        <v>2642</v>
      </c>
      <c r="H530" s="2" t="s">
        <v>2643</v>
      </c>
      <c r="I530" s="2" t="s">
        <v>716</v>
      </c>
      <c r="J530" s="2" t="s">
        <v>2644</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473</v>
      </c>
      <c r="C531" s="2" t="s">
        <v>476</v>
      </c>
      <c r="D531" s="2" t="s">
        <v>2645</v>
      </c>
      <c r="E531" s="2" t="s">
        <v>712</v>
      </c>
      <c r="F531" s="2" t="s">
        <v>752</v>
      </c>
      <c r="G531" s="2" t="s">
        <v>2646</v>
      </c>
      <c r="H531" s="2" t="s">
        <v>2647</v>
      </c>
      <c r="I531" s="2" t="s">
        <v>716</v>
      </c>
      <c r="J531" s="2" t="s">
        <v>2648</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718</v>
      </c>
    </row>
    <row r="532" customFormat="false" ht="15" hidden="false" customHeight="false" outlineLevel="0" collapsed="false">
      <c r="A532" s="2" t="n">
        <v>80</v>
      </c>
      <c r="B532" s="2" t="s">
        <v>496</v>
      </c>
      <c r="C532" s="2" t="s">
        <v>499</v>
      </c>
      <c r="D532" s="2" t="s">
        <v>2649</v>
      </c>
      <c r="E532" s="2" t="s">
        <v>737</v>
      </c>
      <c r="F532" s="2" t="s">
        <v>738</v>
      </c>
      <c r="G532" s="2" t="s">
        <v>932</v>
      </c>
      <c r="H532" s="2" t="s">
        <v>2650</v>
      </c>
      <c r="I532" s="2" t="s">
        <v>716</v>
      </c>
      <c r="J532" s="2" t="s">
        <v>2651</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496</v>
      </c>
      <c r="C533" s="2" t="s">
        <v>499</v>
      </c>
      <c r="D533" s="2" t="s">
        <v>2652</v>
      </c>
      <c r="E533" s="2" t="s">
        <v>743</v>
      </c>
      <c r="F533" s="2" t="s">
        <v>744</v>
      </c>
      <c r="G533" s="2" t="s">
        <v>932</v>
      </c>
      <c r="H533" s="2" t="s">
        <v>2653</v>
      </c>
      <c r="I533" s="2" t="s">
        <v>716</v>
      </c>
      <c r="J533" s="2" t="s">
        <v>2654</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496</v>
      </c>
      <c r="C534" s="2" t="s">
        <v>499</v>
      </c>
      <c r="D534" s="2" t="s">
        <v>2655</v>
      </c>
      <c r="E534" s="2" t="s">
        <v>737</v>
      </c>
      <c r="F534" s="2" t="s">
        <v>738</v>
      </c>
      <c r="G534" s="2" t="s">
        <v>2656</v>
      </c>
      <c r="H534" s="2" t="s">
        <v>2657</v>
      </c>
      <c r="I534" s="2" t="s">
        <v>716</v>
      </c>
      <c r="J534" s="2" t="s">
        <v>2658</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502</v>
      </c>
      <c r="C535" s="2" t="s">
        <v>505</v>
      </c>
      <c r="D535" s="2" t="s">
        <v>2659</v>
      </c>
      <c r="E535" s="2" t="s">
        <v>737</v>
      </c>
      <c r="F535" s="2" t="s">
        <v>738</v>
      </c>
      <c r="G535" s="2" t="s">
        <v>2006</v>
      </c>
      <c r="H535" s="2" t="s">
        <v>2660</v>
      </c>
      <c r="I535" s="2" t="s">
        <v>716</v>
      </c>
      <c r="J535" s="2" t="s">
        <v>2661</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502</v>
      </c>
      <c r="C536" s="2" t="s">
        <v>505</v>
      </c>
      <c r="D536" s="2" t="s">
        <v>2662</v>
      </c>
      <c r="E536" s="2" t="s">
        <v>737</v>
      </c>
      <c r="F536" s="2" t="s">
        <v>738</v>
      </c>
      <c r="G536" s="2" t="s">
        <v>2663</v>
      </c>
      <c r="H536" s="2" t="s">
        <v>2664</v>
      </c>
      <c r="I536" s="2" t="s">
        <v>716</v>
      </c>
      <c r="J536" s="2" t="s">
        <v>2665</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502</v>
      </c>
      <c r="C537" s="2" t="s">
        <v>505</v>
      </c>
      <c r="D537" s="2" t="s">
        <v>2666</v>
      </c>
      <c r="E537" s="2" t="s">
        <v>737</v>
      </c>
      <c r="F537" s="2" t="s">
        <v>738</v>
      </c>
      <c r="G537" s="2" t="s">
        <v>2663</v>
      </c>
      <c r="H537" s="2" t="s">
        <v>2667</v>
      </c>
      <c r="I537" s="2" t="s">
        <v>716</v>
      </c>
      <c r="J537" s="2" t="s">
        <v>2668</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502</v>
      </c>
      <c r="C538" s="2" t="s">
        <v>505</v>
      </c>
      <c r="D538" s="2" t="s">
        <v>2669</v>
      </c>
      <c r="E538" s="2" t="s">
        <v>737</v>
      </c>
      <c r="F538" s="2" t="s">
        <v>738</v>
      </c>
      <c r="G538" s="2" t="s">
        <v>2670</v>
      </c>
      <c r="H538" s="2" t="s">
        <v>2671</v>
      </c>
      <c r="I538" s="2" t="s">
        <v>716</v>
      </c>
      <c r="J538" s="2" t="s">
        <v>2672</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513</v>
      </c>
      <c r="C539" s="2" t="s">
        <v>516</v>
      </c>
      <c r="D539" s="2" t="s">
        <v>2673</v>
      </c>
      <c r="E539" s="2" t="s">
        <v>743</v>
      </c>
      <c r="F539" s="2" t="s">
        <v>744</v>
      </c>
      <c r="G539" s="2" t="s">
        <v>1938</v>
      </c>
      <c r="H539" s="2" t="s">
        <v>2674</v>
      </c>
      <c r="I539" s="2" t="s">
        <v>716</v>
      </c>
      <c r="J539" s="2" t="s">
        <v>2675</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513</v>
      </c>
      <c r="C540" s="2" t="s">
        <v>516</v>
      </c>
      <c r="D540" s="2" t="s">
        <v>2676</v>
      </c>
      <c r="E540" s="2" t="s">
        <v>737</v>
      </c>
      <c r="F540" s="2" t="s">
        <v>738</v>
      </c>
      <c r="G540" s="2" t="s">
        <v>2677</v>
      </c>
      <c r="H540" s="2" t="s">
        <v>2678</v>
      </c>
      <c r="I540" s="2" t="s">
        <v>716</v>
      </c>
      <c r="J540" s="2" t="s">
        <v>2679</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513</v>
      </c>
      <c r="C541" s="2" t="s">
        <v>516</v>
      </c>
      <c r="D541" s="2" t="s">
        <v>2680</v>
      </c>
      <c r="E541" s="2" t="s">
        <v>743</v>
      </c>
      <c r="F541" s="2" t="s">
        <v>744</v>
      </c>
      <c r="G541" s="2" t="s">
        <v>2681</v>
      </c>
      <c r="H541" s="2" t="s">
        <v>2682</v>
      </c>
      <c r="I541" s="2" t="s">
        <v>716</v>
      </c>
      <c r="J541" s="2" t="s">
        <v>2683</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519</v>
      </c>
      <c r="C542" s="2" t="s">
        <v>522</v>
      </c>
      <c r="D542" s="2" t="s">
        <v>2684</v>
      </c>
      <c r="E542" s="2" t="s">
        <v>712</v>
      </c>
      <c r="F542" s="2" t="s">
        <v>752</v>
      </c>
      <c r="G542" s="2" t="s">
        <v>2685</v>
      </c>
      <c r="H542" s="2" t="s">
        <v>2686</v>
      </c>
      <c r="I542" s="2" t="s">
        <v>716</v>
      </c>
      <c r="J542" s="2" t="s">
        <v>2687</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718</v>
      </c>
    </row>
    <row r="543" customFormat="false" ht="15" hidden="false" customHeight="false" outlineLevel="0" collapsed="false">
      <c r="A543" s="2" t="n">
        <v>88</v>
      </c>
      <c r="B543" s="2" t="s">
        <v>543</v>
      </c>
      <c r="C543" s="2" t="s">
        <v>546</v>
      </c>
      <c r="D543" s="2" t="s">
        <v>2688</v>
      </c>
      <c r="E543" s="2" t="s">
        <v>737</v>
      </c>
      <c r="F543" s="2" t="s">
        <v>738</v>
      </c>
      <c r="G543" s="2" t="s">
        <v>2689</v>
      </c>
      <c r="H543" s="2" t="s">
        <v>2690</v>
      </c>
      <c r="I543" s="2" t="s">
        <v>716</v>
      </c>
      <c r="J543" s="2" t="s">
        <v>2691</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567</v>
      </c>
      <c r="C544" s="2" t="s">
        <v>570</v>
      </c>
      <c r="D544" s="2" t="s">
        <v>2692</v>
      </c>
      <c r="E544" s="2" t="s">
        <v>737</v>
      </c>
      <c r="F544" s="2" t="s">
        <v>738</v>
      </c>
      <c r="G544" s="2" t="s">
        <v>2693</v>
      </c>
      <c r="H544" s="2" t="s">
        <v>2694</v>
      </c>
      <c r="I544" s="2" t="s">
        <v>716</v>
      </c>
      <c r="J544" s="2" t="s">
        <v>2695</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567</v>
      </c>
      <c r="C545" s="2" t="s">
        <v>570</v>
      </c>
      <c r="D545" s="2" t="s">
        <v>2696</v>
      </c>
      <c r="E545" s="2" t="s">
        <v>737</v>
      </c>
      <c r="F545" s="2" t="s">
        <v>738</v>
      </c>
      <c r="G545" s="2" t="s">
        <v>2697</v>
      </c>
      <c r="H545" s="2" t="s">
        <v>2698</v>
      </c>
      <c r="I545" s="2" t="s">
        <v>716</v>
      </c>
      <c r="J545" s="2" t="s">
        <v>2699</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573</v>
      </c>
      <c r="C546" s="2" t="s">
        <v>575</v>
      </c>
      <c r="D546" s="2" t="s">
        <v>2700</v>
      </c>
      <c r="E546" s="2" t="s">
        <v>743</v>
      </c>
      <c r="F546" s="2" t="s">
        <v>744</v>
      </c>
      <c r="G546" s="2" t="s">
        <v>2701</v>
      </c>
      <c r="H546" s="2" t="s">
        <v>2702</v>
      </c>
      <c r="I546" s="2" t="s">
        <v>716</v>
      </c>
      <c r="J546" s="2" t="s">
        <v>2703</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573</v>
      </c>
      <c r="C547" s="2" t="s">
        <v>575</v>
      </c>
      <c r="D547" s="2" t="s">
        <v>2704</v>
      </c>
      <c r="E547" s="2" t="s">
        <v>737</v>
      </c>
      <c r="F547" s="2" t="s">
        <v>761</v>
      </c>
      <c r="G547" s="2" t="s">
        <v>2705</v>
      </c>
      <c r="H547" s="2" t="s">
        <v>2706</v>
      </c>
      <c r="I547" s="2" t="s">
        <v>716</v>
      </c>
      <c r="J547" s="2" t="s">
        <v>2707</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573</v>
      </c>
      <c r="C548" s="2" t="s">
        <v>575</v>
      </c>
      <c r="D548" s="2" t="s">
        <v>2708</v>
      </c>
      <c r="E548" s="2" t="s">
        <v>737</v>
      </c>
      <c r="F548" s="2" t="s">
        <v>738</v>
      </c>
      <c r="G548" s="2" t="s">
        <v>2705</v>
      </c>
      <c r="H548" s="2" t="s">
        <v>2709</v>
      </c>
      <c r="I548" s="2" t="s">
        <v>716</v>
      </c>
      <c r="J548" s="2" t="s">
        <v>2710</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573</v>
      </c>
      <c r="C549" s="2" t="s">
        <v>575</v>
      </c>
      <c r="D549" s="2" t="s">
        <v>2711</v>
      </c>
      <c r="E549" s="2" t="s">
        <v>737</v>
      </c>
      <c r="F549" s="2" t="s">
        <v>738</v>
      </c>
      <c r="G549" s="2" t="s">
        <v>2705</v>
      </c>
      <c r="H549" s="2" t="s">
        <v>2712</v>
      </c>
      <c r="I549" s="2" t="s">
        <v>716</v>
      </c>
      <c r="J549" s="2" t="s">
        <v>2713</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573</v>
      </c>
      <c r="C550" s="2" t="s">
        <v>575</v>
      </c>
      <c r="D550" s="2" t="s">
        <v>2714</v>
      </c>
      <c r="E550" s="2" t="s">
        <v>743</v>
      </c>
      <c r="F550" s="2" t="s">
        <v>744</v>
      </c>
      <c r="G550" s="2" t="s">
        <v>2705</v>
      </c>
      <c r="H550" s="2" t="s">
        <v>2715</v>
      </c>
      <c r="I550" s="2" t="s">
        <v>716</v>
      </c>
      <c r="J550" s="2" t="s">
        <v>2716</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573</v>
      </c>
      <c r="C551" s="2" t="s">
        <v>575</v>
      </c>
      <c r="D551" s="2" t="s">
        <v>2717</v>
      </c>
      <c r="E551" s="2" t="s">
        <v>712</v>
      </c>
      <c r="F551" s="2" t="s">
        <v>752</v>
      </c>
      <c r="G551" s="2" t="s">
        <v>2718</v>
      </c>
      <c r="H551" s="2" t="s">
        <v>2719</v>
      </c>
      <c r="I551" s="2" t="s">
        <v>716</v>
      </c>
      <c r="J551" s="2" t="s">
        <v>2720</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718</v>
      </c>
    </row>
    <row r="552" customFormat="false" ht="15" hidden="false" customHeight="false" outlineLevel="0" collapsed="false">
      <c r="A552" s="2" t="n">
        <v>93</v>
      </c>
      <c r="B552" s="2" t="s">
        <v>573</v>
      </c>
      <c r="C552" s="2" t="s">
        <v>575</v>
      </c>
      <c r="D552" s="2" t="s">
        <v>2721</v>
      </c>
      <c r="E552" s="2" t="s">
        <v>737</v>
      </c>
      <c r="F552" s="2" t="s">
        <v>738</v>
      </c>
      <c r="G552" s="2" t="s">
        <v>2722</v>
      </c>
      <c r="H552" s="2" t="s">
        <v>2723</v>
      </c>
      <c r="I552" s="2" t="s">
        <v>716</v>
      </c>
      <c r="J552" s="2" t="s">
        <v>2724</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573</v>
      </c>
      <c r="C553" s="2" t="s">
        <v>575</v>
      </c>
      <c r="D553" s="2" t="s">
        <v>2725</v>
      </c>
      <c r="E553" s="2" t="s">
        <v>712</v>
      </c>
      <c r="F553" s="2" t="s">
        <v>752</v>
      </c>
      <c r="G553" s="2" t="s">
        <v>2726</v>
      </c>
      <c r="H553" s="2" t="s">
        <v>2727</v>
      </c>
      <c r="I553" s="2" t="s">
        <v>716</v>
      </c>
      <c r="J553" s="2" t="s">
        <v>2728</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718</v>
      </c>
    </row>
    <row r="554" customFormat="false" ht="15" hidden="false" customHeight="false" outlineLevel="0" collapsed="false">
      <c r="A554" s="2" t="n">
        <v>93</v>
      </c>
      <c r="B554" s="2" t="s">
        <v>573</v>
      </c>
      <c r="C554" s="2" t="s">
        <v>575</v>
      </c>
      <c r="D554" s="2" t="s">
        <v>2729</v>
      </c>
      <c r="E554" s="2" t="s">
        <v>712</v>
      </c>
      <c r="F554" s="2" t="s">
        <v>752</v>
      </c>
      <c r="G554" s="2" t="s">
        <v>2730</v>
      </c>
      <c r="H554" s="2" t="s">
        <v>2731</v>
      </c>
      <c r="I554" s="2" t="s">
        <v>716</v>
      </c>
      <c r="J554" s="2" t="s">
        <v>2732</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718</v>
      </c>
    </row>
    <row r="555" customFormat="false" ht="15" hidden="false" customHeight="false" outlineLevel="0" collapsed="false">
      <c r="A555" s="2" t="n">
        <v>94</v>
      </c>
      <c r="B555" s="2" t="s">
        <v>578</v>
      </c>
      <c r="C555" s="2" t="s">
        <v>581</v>
      </c>
      <c r="D555" s="2" t="s">
        <v>2733</v>
      </c>
      <c r="E555" s="2" t="s">
        <v>743</v>
      </c>
      <c r="F555" s="2" t="s">
        <v>2734</v>
      </c>
      <c r="G555" s="2" t="s">
        <v>2735</v>
      </c>
      <c r="H555" s="2" t="s">
        <v>2736</v>
      </c>
      <c r="I555" s="2" t="s">
        <v>716</v>
      </c>
      <c r="J555" s="2" t="s">
        <v>2737</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584</v>
      </c>
      <c r="C556" s="2" t="s">
        <v>587</v>
      </c>
      <c r="D556" s="2" t="s">
        <v>2738</v>
      </c>
      <c r="E556" s="2" t="s">
        <v>737</v>
      </c>
      <c r="F556" s="2" t="s">
        <v>761</v>
      </c>
      <c r="G556" s="2" t="s">
        <v>2739</v>
      </c>
      <c r="H556" s="2" t="s">
        <v>2740</v>
      </c>
      <c r="I556" s="2" t="s">
        <v>990</v>
      </c>
      <c r="J556" s="2" t="s">
        <v>2741</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584</v>
      </c>
      <c r="C557" s="2" t="s">
        <v>587</v>
      </c>
      <c r="D557" s="2" t="s">
        <v>2742</v>
      </c>
      <c r="E557" s="2" t="s">
        <v>737</v>
      </c>
      <c r="F557" s="2" t="s">
        <v>761</v>
      </c>
      <c r="G557" s="2" t="s">
        <v>1654</v>
      </c>
      <c r="H557" s="2" t="s">
        <v>2743</v>
      </c>
      <c r="I557" s="2" t="s">
        <v>990</v>
      </c>
      <c r="J557" s="2" t="s">
        <v>2744</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596</v>
      </c>
      <c r="C558" s="2" t="s">
        <v>599</v>
      </c>
      <c r="D558" s="2" t="s">
        <v>2745</v>
      </c>
      <c r="E558" s="2" t="s">
        <v>712</v>
      </c>
      <c r="F558" s="2" t="s">
        <v>752</v>
      </c>
      <c r="G558" s="2" t="s">
        <v>2746</v>
      </c>
      <c r="H558" s="2" t="s">
        <v>2747</v>
      </c>
      <c r="I558" s="2" t="s">
        <v>716</v>
      </c>
      <c r="J558" s="2" t="s">
        <v>2748</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718</v>
      </c>
    </row>
    <row r="559" customFormat="false" ht="15" hidden="false" customHeight="false" outlineLevel="0" collapsed="false">
      <c r="A559" s="2" t="n">
        <v>97</v>
      </c>
      <c r="B559" s="2" t="s">
        <v>596</v>
      </c>
      <c r="C559" s="2" t="s">
        <v>599</v>
      </c>
      <c r="D559" s="2" t="s">
        <v>2749</v>
      </c>
      <c r="E559" s="2" t="s">
        <v>712</v>
      </c>
      <c r="F559" s="2" t="s">
        <v>752</v>
      </c>
      <c r="G559" s="2" t="s">
        <v>2750</v>
      </c>
      <c r="H559" s="2" t="s">
        <v>2751</v>
      </c>
      <c r="I559" s="2" t="s">
        <v>716</v>
      </c>
      <c r="J559" s="2" t="s">
        <v>2752</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718</v>
      </c>
    </row>
    <row r="560" customFormat="false" ht="15" hidden="false" customHeight="false" outlineLevel="0" collapsed="false">
      <c r="A560" s="2" t="n">
        <v>108</v>
      </c>
      <c r="B560" s="2" t="s">
        <v>655</v>
      </c>
      <c r="C560" s="2" t="s">
        <v>658</v>
      </c>
      <c r="D560" s="2" t="s">
        <v>2753</v>
      </c>
      <c r="E560" s="2" t="s">
        <v>737</v>
      </c>
      <c r="F560" s="2" t="s">
        <v>761</v>
      </c>
      <c r="G560" s="2" t="s">
        <v>2754</v>
      </c>
      <c r="H560" s="2" t="s">
        <v>2755</v>
      </c>
      <c r="I560" s="2" t="s">
        <v>716</v>
      </c>
      <c r="J560" s="2" t="s">
        <v>2756</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655</v>
      </c>
      <c r="C561" s="2" t="s">
        <v>658</v>
      </c>
      <c r="D561" s="2" t="s">
        <v>2757</v>
      </c>
      <c r="E561" s="2" t="s">
        <v>737</v>
      </c>
      <c r="F561" s="2" t="s">
        <v>761</v>
      </c>
      <c r="G561" s="2" t="s">
        <v>2758</v>
      </c>
      <c r="H561" s="2" t="s">
        <v>2759</v>
      </c>
      <c r="I561" s="2" t="s">
        <v>716</v>
      </c>
      <c r="J561" s="2" t="s">
        <v>2760</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655</v>
      </c>
      <c r="C562" s="2" t="s">
        <v>658</v>
      </c>
      <c r="D562" s="2" t="s">
        <v>2761</v>
      </c>
      <c r="E562" s="2" t="s">
        <v>737</v>
      </c>
      <c r="F562" s="2" t="s">
        <v>761</v>
      </c>
      <c r="G562" s="2" t="s">
        <v>2762</v>
      </c>
      <c r="H562" s="2" t="s">
        <v>2763</v>
      </c>
      <c r="I562" s="2" t="s">
        <v>716</v>
      </c>
      <c r="J562" s="2" t="s">
        <v>2764</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655</v>
      </c>
      <c r="C563" s="2" t="s">
        <v>658</v>
      </c>
      <c r="D563" s="2" t="s">
        <v>2765</v>
      </c>
      <c r="E563" s="2" t="s">
        <v>737</v>
      </c>
      <c r="F563" s="2" t="s">
        <v>761</v>
      </c>
      <c r="G563" s="2" t="s">
        <v>2766</v>
      </c>
      <c r="H563" s="2" t="s">
        <v>2767</v>
      </c>
      <c r="I563" s="2" t="s">
        <v>716</v>
      </c>
      <c r="J563" s="2" t="s">
        <v>2768</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655</v>
      </c>
      <c r="C564" s="2" t="s">
        <v>658</v>
      </c>
      <c r="D564" s="2" t="s">
        <v>2769</v>
      </c>
      <c r="E564" s="2" t="s">
        <v>737</v>
      </c>
      <c r="F564" s="2" t="s">
        <v>761</v>
      </c>
      <c r="G564" s="2" t="s">
        <v>2770</v>
      </c>
      <c r="H564" s="2" t="s">
        <v>2771</v>
      </c>
      <c r="I564" s="2" t="s">
        <v>716</v>
      </c>
      <c r="J564" s="2" t="s">
        <v>2772</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655</v>
      </c>
      <c r="C565" s="2" t="s">
        <v>658</v>
      </c>
      <c r="D565" s="2" t="s">
        <v>2773</v>
      </c>
      <c r="E565" s="2" t="s">
        <v>737</v>
      </c>
      <c r="F565" s="2" t="s">
        <v>761</v>
      </c>
      <c r="G565" s="2" t="s">
        <v>2774</v>
      </c>
      <c r="H565" s="2" t="s">
        <v>2775</v>
      </c>
      <c r="I565" s="2" t="s">
        <v>716</v>
      </c>
      <c r="J565" s="2" t="s">
        <v>2776</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655</v>
      </c>
      <c r="C566" s="2" t="s">
        <v>658</v>
      </c>
      <c r="D566" s="2" t="s">
        <v>2777</v>
      </c>
      <c r="E566" s="2" t="s">
        <v>737</v>
      </c>
      <c r="F566" s="2" t="s">
        <v>761</v>
      </c>
      <c r="G566" s="2" t="s">
        <v>2778</v>
      </c>
      <c r="H566" s="2" t="s">
        <v>2779</v>
      </c>
      <c r="I566" s="2" t="s">
        <v>716</v>
      </c>
      <c r="J566" s="2" t="s">
        <v>2780</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655</v>
      </c>
      <c r="C567" s="2" t="s">
        <v>658</v>
      </c>
      <c r="D567" s="2" t="s">
        <v>2781</v>
      </c>
      <c r="E567" s="2" t="s">
        <v>737</v>
      </c>
      <c r="F567" s="2" t="s">
        <v>761</v>
      </c>
      <c r="G567" s="2" t="s">
        <v>2782</v>
      </c>
      <c r="H567" s="2" t="s">
        <v>2783</v>
      </c>
      <c r="I567" s="2" t="s">
        <v>716</v>
      </c>
      <c r="J567" s="2" t="s">
        <v>2784</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655</v>
      </c>
      <c r="C568" s="2" t="s">
        <v>658</v>
      </c>
      <c r="D568" s="2" t="s">
        <v>2785</v>
      </c>
      <c r="E568" s="2" t="s">
        <v>737</v>
      </c>
      <c r="F568" s="2" t="s">
        <v>761</v>
      </c>
      <c r="G568" s="2" t="s">
        <v>2786</v>
      </c>
      <c r="H568" s="2" t="s">
        <v>2787</v>
      </c>
      <c r="I568" s="2" t="s">
        <v>716</v>
      </c>
      <c r="J568" s="2" t="s">
        <v>2788</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655</v>
      </c>
      <c r="C569" s="2" t="s">
        <v>658</v>
      </c>
      <c r="D569" s="2" t="s">
        <v>2789</v>
      </c>
      <c r="E569" s="2" t="s">
        <v>737</v>
      </c>
      <c r="F569" s="2" t="s">
        <v>761</v>
      </c>
      <c r="G569" s="2" t="s">
        <v>2790</v>
      </c>
      <c r="H569" s="2" t="s">
        <v>2791</v>
      </c>
      <c r="I569" s="2" t="s">
        <v>716</v>
      </c>
      <c r="J569" s="2" t="s">
        <v>2792</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655</v>
      </c>
      <c r="C570" s="2" t="s">
        <v>658</v>
      </c>
      <c r="D570" s="2" t="s">
        <v>2793</v>
      </c>
      <c r="E570" s="2" t="s">
        <v>737</v>
      </c>
      <c r="F570" s="2" t="s">
        <v>761</v>
      </c>
      <c r="G570" s="2" t="s">
        <v>2794</v>
      </c>
      <c r="H570" s="2" t="s">
        <v>2795</v>
      </c>
      <c r="I570" s="2" t="s">
        <v>716</v>
      </c>
      <c r="J570" s="2" t="s">
        <v>2796</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655</v>
      </c>
      <c r="C571" s="2" t="s">
        <v>658</v>
      </c>
      <c r="D571" s="2" t="s">
        <v>2797</v>
      </c>
      <c r="E571" s="2" t="s">
        <v>737</v>
      </c>
      <c r="F571" s="2" t="s">
        <v>761</v>
      </c>
      <c r="G571" s="2" t="s">
        <v>2798</v>
      </c>
      <c r="H571" s="2" t="s">
        <v>2799</v>
      </c>
      <c r="I571" s="2" t="s">
        <v>716</v>
      </c>
      <c r="J571" s="2" t="s">
        <v>2800</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655</v>
      </c>
      <c r="C572" s="2" t="s">
        <v>658</v>
      </c>
      <c r="D572" s="2" t="s">
        <v>2801</v>
      </c>
      <c r="E572" s="2" t="s">
        <v>737</v>
      </c>
      <c r="F572" s="2" t="s">
        <v>761</v>
      </c>
      <c r="G572" s="2" t="s">
        <v>2802</v>
      </c>
      <c r="H572" s="2" t="s">
        <v>2803</v>
      </c>
      <c r="I572" s="2" t="s">
        <v>716</v>
      </c>
      <c r="J572" s="2" t="s">
        <v>2804</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655</v>
      </c>
      <c r="C573" s="2" t="s">
        <v>658</v>
      </c>
      <c r="D573" s="2" t="s">
        <v>2805</v>
      </c>
      <c r="E573" s="2" t="s">
        <v>737</v>
      </c>
      <c r="F573" s="2" t="s">
        <v>761</v>
      </c>
      <c r="G573" s="2" t="s">
        <v>1359</v>
      </c>
      <c r="H573" s="2" t="s">
        <v>2806</v>
      </c>
      <c r="I573" s="2" t="s">
        <v>716</v>
      </c>
      <c r="J573" s="2" t="s">
        <v>2807</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655</v>
      </c>
      <c r="C574" s="2" t="s">
        <v>658</v>
      </c>
      <c r="D574" s="2" t="s">
        <v>2808</v>
      </c>
      <c r="E574" s="2" t="s">
        <v>737</v>
      </c>
      <c r="F574" s="2" t="s">
        <v>761</v>
      </c>
      <c r="G574" s="2" t="s">
        <v>2809</v>
      </c>
      <c r="H574" s="2" t="s">
        <v>2810</v>
      </c>
      <c r="I574" s="2" t="s">
        <v>716</v>
      </c>
      <c r="J574" s="2" t="s">
        <v>2811</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655</v>
      </c>
      <c r="C575" s="2" t="s">
        <v>658</v>
      </c>
      <c r="D575" s="2" t="s">
        <v>2812</v>
      </c>
      <c r="E575" s="2" t="s">
        <v>737</v>
      </c>
      <c r="F575" s="2" t="s">
        <v>761</v>
      </c>
      <c r="G575" s="2" t="s">
        <v>2813</v>
      </c>
      <c r="H575" s="2" t="s">
        <v>2814</v>
      </c>
      <c r="I575" s="2" t="s">
        <v>716</v>
      </c>
      <c r="J575" s="2" t="s">
        <v>2815</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655</v>
      </c>
      <c r="C576" s="2" t="s">
        <v>658</v>
      </c>
      <c r="D576" s="2" t="s">
        <v>2816</v>
      </c>
      <c r="E576" s="2" t="s">
        <v>737</v>
      </c>
      <c r="F576" s="2" t="s">
        <v>761</v>
      </c>
      <c r="G576" s="2" t="s">
        <v>2817</v>
      </c>
      <c r="H576" s="2" t="s">
        <v>2818</v>
      </c>
      <c r="I576" s="2" t="s">
        <v>716</v>
      </c>
      <c r="J576" s="2" t="s">
        <v>2819</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655</v>
      </c>
      <c r="C577" s="2" t="s">
        <v>658</v>
      </c>
      <c r="D577" s="2" t="s">
        <v>2820</v>
      </c>
      <c r="E577" s="2" t="s">
        <v>737</v>
      </c>
      <c r="F577" s="2" t="s">
        <v>761</v>
      </c>
      <c r="G577" s="2" t="s">
        <v>2821</v>
      </c>
      <c r="H577" s="2" t="s">
        <v>2822</v>
      </c>
      <c r="I577" s="2" t="s">
        <v>716</v>
      </c>
      <c r="J577" s="2" t="s">
        <v>2823</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655</v>
      </c>
      <c r="C578" s="2" t="s">
        <v>658</v>
      </c>
      <c r="D578" s="2" t="s">
        <v>2824</v>
      </c>
      <c r="E578" s="2" t="s">
        <v>737</v>
      </c>
      <c r="F578" s="2" t="s">
        <v>761</v>
      </c>
      <c r="G578" s="2" t="s">
        <v>2825</v>
      </c>
      <c r="H578" s="2" t="s">
        <v>2826</v>
      </c>
      <c r="I578" s="2" t="s">
        <v>716</v>
      </c>
      <c r="J578" s="2" t="s">
        <v>2827</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655</v>
      </c>
      <c r="C579" s="2" t="s">
        <v>658</v>
      </c>
      <c r="D579" s="2" t="s">
        <v>2828</v>
      </c>
      <c r="E579" s="2" t="s">
        <v>737</v>
      </c>
      <c r="F579" s="2" t="s">
        <v>761</v>
      </c>
      <c r="G579" s="2" t="s">
        <v>2829</v>
      </c>
      <c r="H579" s="2" t="s">
        <v>2830</v>
      </c>
      <c r="I579" s="2" t="s">
        <v>716</v>
      </c>
      <c r="J579" s="2" t="s">
        <v>2831</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655</v>
      </c>
      <c r="C580" s="2" t="s">
        <v>658</v>
      </c>
      <c r="D580" s="2" t="s">
        <v>2832</v>
      </c>
      <c r="E580" s="2" t="s">
        <v>737</v>
      </c>
      <c r="F580" s="2" t="s">
        <v>761</v>
      </c>
      <c r="G580" s="2" t="s">
        <v>714</v>
      </c>
      <c r="H580" s="2" t="s">
        <v>2833</v>
      </c>
      <c r="I580" s="2" t="s">
        <v>716</v>
      </c>
      <c r="J580" s="2" t="s">
        <v>2834</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655</v>
      </c>
      <c r="C581" s="2" t="s">
        <v>658</v>
      </c>
      <c r="D581" s="2" t="s">
        <v>2835</v>
      </c>
      <c r="E581" s="2" t="s">
        <v>737</v>
      </c>
      <c r="F581" s="2" t="s">
        <v>761</v>
      </c>
      <c r="G581" s="2" t="s">
        <v>2836</v>
      </c>
      <c r="H581" s="2" t="s">
        <v>2837</v>
      </c>
      <c r="I581" s="2" t="s">
        <v>716</v>
      </c>
      <c r="J581" s="2" t="s">
        <v>2838</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655</v>
      </c>
      <c r="C582" s="2" t="s">
        <v>658</v>
      </c>
      <c r="D582" s="2" t="s">
        <v>2839</v>
      </c>
      <c r="E582" s="2" t="s">
        <v>737</v>
      </c>
      <c r="F582" s="2" t="s">
        <v>761</v>
      </c>
      <c r="G582" s="2" t="s">
        <v>2840</v>
      </c>
      <c r="H582" s="2" t="s">
        <v>2841</v>
      </c>
      <c r="I582" s="2" t="s">
        <v>716</v>
      </c>
      <c r="J582" s="2" t="s">
        <v>2842</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655</v>
      </c>
      <c r="C583" s="2" t="s">
        <v>658</v>
      </c>
      <c r="D583" s="2" t="s">
        <v>2843</v>
      </c>
      <c r="E583" s="2" t="s">
        <v>737</v>
      </c>
      <c r="F583" s="2" t="s">
        <v>761</v>
      </c>
      <c r="G583" s="2" t="s">
        <v>2840</v>
      </c>
      <c r="H583" s="2" t="s">
        <v>2844</v>
      </c>
      <c r="I583" s="2" t="s">
        <v>716</v>
      </c>
      <c r="J583" s="2" t="s">
        <v>2845</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655</v>
      </c>
      <c r="C584" s="2" t="s">
        <v>658</v>
      </c>
      <c r="D584" s="2" t="s">
        <v>2846</v>
      </c>
      <c r="E584" s="2" t="s">
        <v>737</v>
      </c>
      <c r="F584" s="2" t="s">
        <v>761</v>
      </c>
      <c r="G584" s="2" t="s">
        <v>2847</v>
      </c>
      <c r="H584" s="2" t="s">
        <v>2848</v>
      </c>
      <c r="I584" s="2" t="s">
        <v>716</v>
      </c>
      <c r="J584" s="2" t="s">
        <v>2849</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655</v>
      </c>
      <c r="C585" s="2" t="s">
        <v>658</v>
      </c>
      <c r="D585" s="2" t="s">
        <v>2850</v>
      </c>
      <c r="E585" s="2" t="s">
        <v>737</v>
      </c>
      <c r="F585" s="2" t="s">
        <v>761</v>
      </c>
      <c r="G585" s="2" t="s">
        <v>1727</v>
      </c>
      <c r="H585" s="2" t="s">
        <v>2851</v>
      </c>
      <c r="I585" s="2" t="s">
        <v>716</v>
      </c>
      <c r="J585" s="2" t="s">
        <v>2852</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655</v>
      </c>
      <c r="C586" s="2" t="s">
        <v>658</v>
      </c>
      <c r="D586" s="2" t="s">
        <v>2853</v>
      </c>
      <c r="E586" s="2" t="s">
        <v>737</v>
      </c>
      <c r="F586" s="2" t="s">
        <v>761</v>
      </c>
      <c r="G586" s="2" t="s">
        <v>2854</v>
      </c>
      <c r="H586" s="2" t="s">
        <v>2855</v>
      </c>
      <c r="I586" s="2" t="s">
        <v>716</v>
      </c>
      <c r="J586" s="2" t="s">
        <v>2856</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655</v>
      </c>
      <c r="C587" s="2" t="s">
        <v>658</v>
      </c>
      <c r="D587" s="2" t="s">
        <v>2857</v>
      </c>
      <c r="E587" s="2" t="s">
        <v>737</v>
      </c>
      <c r="F587" s="2" t="s">
        <v>761</v>
      </c>
      <c r="G587" s="2" t="s">
        <v>2858</v>
      </c>
      <c r="H587" s="2" t="s">
        <v>2859</v>
      </c>
      <c r="I587" s="2" t="s">
        <v>716</v>
      </c>
      <c r="J587" s="2" t="s">
        <v>2860</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655</v>
      </c>
      <c r="C588" s="2" t="s">
        <v>658</v>
      </c>
      <c r="D588" s="2" t="s">
        <v>2861</v>
      </c>
      <c r="E588" s="2" t="s">
        <v>737</v>
      </c>
      <c r="F588" s="2" t="s">
        <v>761</v>
      </c>
      <c r="G588" s="2" t="s">
        <v>2862</v>
      </c>
      <c r="H588" s="2" t="s">
        <v>2863</v>
      </c>
      <c r="I588" s="2" t="s">
        <v>716</v>
      </c>
      <c r="J588" s="2" t="s">
        <v>2864</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655</v>
      </c>
      <c r="C589" s="2" t="s">
        <v>658</v>
      </c>
      <c r="D589" s="2" t="s">
        <v>2865</v>
      </c>
      <c r="E589" s="2" t="s">
        <v>737</v>
      </c>
      <c r="F589" s="2" t="s">
        <v>761</v>
      </c>
      <c r="G589" s="2" t="s">
        <v>2866</v>
      </c>
      <c r="H589" s="2" t="s">
        <v>2867</v>
      </c>
      <c r="I589" s="2" t="s">
        <v>716</v>
      </c>
      <c r="J589" s="2" t="s">
        <v>2868</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655</v>
      </c>
      <c r="C590" s="2" t="s">
        <v>658</v>
      </c>
      <c r="D590" s="2" t="s">
        <v>2869</v>
      </c>
      <c r="E590" s="2" t="s">
        <v>737</v>
      </c>
      <c r="F590" s="2" t="s">
        <v>761</v>
      </c>
      <c r="G590" s="2" t="s">
        <v>2870</v>
      </c>
      <c r="H590" s="2" t="s">
        <v>2871</v>
      </c>
      <c r="I590" s="2" t="s">
        <v>716</v>
      </c>
      <c r="J590" s="2" t="s">
        <v>2872</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655</v>
      </c>
      <c r="C591" s="2" t="s">
        <v>658</v>
      </c>
      <c r="D591" s="2" t="s">
        <v>2873</v>
      </c>
      <c r="E591" s="2" t="s">
        <v>737</v>
      </c>
      <c r="F591" s="2" t="s">
        <v>761</v>
      </c>
      <c r="G591" s="2" t="s">
        <v>2870</v>
      </c>
      <c r="H591" s="2" t="s">
        <v>2874</v>
      </c>
      <c r="I591" s="2" t="s">
        <v>716</v>
      </c>
      <c r="J591" s="2" t="s">
        <v>2875</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655</v>
      </c>
      <c r="C592" s="2" t="s">
        <v>658</v>
      </c>
      <c r="D592" s="2" t="s">
        <v>2876</v>
      </c>
      <c r="E592" s="2" t="s">
        <v>737</v>
      </c>
      <c r="F592" s="2" t="s">
        <v>761</v>
      </c>
      <c r="G592" s="2" t="s">
        <v>2870</v>
      </c>
      <c r="H592" s="2" t="s">
        <v>2877</v>
      </c>
      <c r="I592" s="2" t="s">
        <v>716</v>
      </c>
      <c r="J592" s="2" t="s">
        <v>2878</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655</v>
      </c>
      <c r="C593" s="2" t="s">
        <v>658</v>
      </c>
      <c r="D593" s="2" t="s">
        <v>2879</v>
      </c>
      <c r="E593" s="2" t="s">
        <v>737</v>
      </c>
      <c r="F593" s="2" t="s">
        <v>761</v>
      </c>
      <c r="G593" s="2" t="s">
        <v>2880</v>
      </c>
      <c r="H593" s="2" t="s">
        <v>2881</v>
      </c>
      <c r="I593" s="2" t="s">
        <v>716</v>
      </c>
      <c r="J593" s="2" t="s">
        <v>2882</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655</v>
      </c>
      <c r="C594" s="2" t="s">
        <v>658</v>
      </c>
      <c r="D594" s="2" t="s">
        <v>2883</v>
      </c>
      <c r="E594" s="2" t="s">
        <v>737</v>
      </c>
      <c r="F594" s="2" t="s">
        <v>761</v>
      </c>
      <c r="G594" s="2" t="s">
        <v>2884</v>
      </c>
      <c r="H594" s="2" t="s">
        <v>2885</v>
      </c>
      <c r="I594" s="2" t="s">
        <v>716</v>
      </c>
      <c r="J594" s="2" t="s">
        <v>2886</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655</v>
      </c>
      <c r="C595" s="2" t="s">
        <v>658</v>
      </c>
      <c r="D595" s="2" t="s">
        <v>2887</v>
      </c>
      <c r="E595" s="2" t="s">
        <v>737</v>
      </c>
      <c r="F595" s="2" t="s">
        <v>761</v>
      </c>
      <c r="G595" s="2" t="s">
        <v>2888</v>
      </c>
      <c r="H595" s="2" t="s">
        <v>2889</v>
      </c>
      <c r="I595" s="2" t="s">
        <v>716</v>
      </c>
      <c r="J595" s="2" t="s">
        <v>2890</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655</v>
      </c>
      <c r="C596" s="2" t="s">
        <v>658</v>
      </c>
      <c r="D596" s="2" t="s">
        <v>2891</v>
      </c>
      <c r="E596" s="2" t="s">
        <v>737</v>
      </c>
      <c r="F596" s="2" t="s">
        <v>761</v>
      </c>
      <c r="G596" s="2" t="s">
        <v>2892</v>
      </c>
      <c r="H596" s="2" t="s">
        <v>2893</v>
      </c>
      <c r="I596" s="2" t="s">
        <v>716</v>
      </c>
      <c r="J596" s="2" t="s">
        <v>2894</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655</v>
      </c>
      <c r="C597" s="2" t="s">
        <v>658</v>
      </c>
      <c r="D597" s="2" t="s">
        <v>2895</v>
      </c>
      <c r="E597" s="2" t="s">
        <v>737</v>
      </c>
      <c r="F597" s="2" t="s">
        <v>761</v>
      </c>
      <c r="G597" s="2" t="s">
        <v>2896</v>
      </c>
      <c r="H597" s="2" t="s">
        <v>2897</v>
      </c>
      <c r="I597" s="2" t="s">
        <v>716</v>
      </c>
      <c r="J597" s="2" t="s">
        <v>2898</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655</v>
      </c>
      <c r="C598" s="2" t="s">
        <v>658</v>
      </c>
      <c r="D598" s="2" t="s">
        <v>2899</v>
      </c>
      <c r="E598" s="2" t="s">
        <v>737</v>
      </c>
      <c r="F598" s="2" t="s">
        <v>761</v>
      </c>
      <c r="G598" s="2" t="s">
        <v>2896</v>
      </c>
      <c r="H598" s="2" t="s">
        <v>2900</v>
      </c>
      <c r="I598" s="2" t="s">
        <v>716</v>
      </c>
      <c r="J598" s="2" t="s">
        <v>2901</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655</v>
      </c>
      <c r="C599" s="2" t="s">
        <v>658</v>
      </c>
      <c r="D599" s="2" t="s">
        <v>2902</v>
      </c>
      <c r="E599" s="2" t="s">
        <v>737</v>
      </c>
      <c r="F599" s="2" t="s">
        <v>761</v>
      </c>
      <c r="G599" s="2" t="s">
        <v>2903</v>
      </c>
      <c r="H599" s="2" t="s">
        <v>2904</v>
      </c>
      <c r="I599" s="2" t="s">
        <v>716</v>
      </c>
      <c r="J599" s="2" t="s">
        <v>2905</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655</v>
      </c>
      <c r="C600" s="2" t="s">
        <v>658</v>
      </c>
      <c r="D600" s="2" t="s">
        <v>2906</v>
      </c>
      <c r="E600" s="2" t="s">
        <v>737</v>
      </c>
      <c r="F600" s="2" t="s">
        <v>761</v>
      </c>
      <c r="G600" s="2" t="s">
        <v>2907</v>
      </c>
      <c r="H600" s="2" t="s">
        <v>2908</v>
      </c>
      <c r="I600" s="2" t="s">
        <v>716</v>
      </c>
      <c r="J600" s="2" t="s">
        <v>2909</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655</v>
      </c>
      <c r="C601" s="2" t="s">
        <v>658</v>
      </c>
      <c r="D601" s="2" t="s">
        <v>2910</v>
      </c>
      <c r="E601" s="2" t="s">
        <v>737</v>
      </c>
      <c r="F601" s="2" t="s">
        <v>761</v>
      </c>
      <c r="G601" s="2" t="s">
        <v>2911</v>
      </c>
      <c r="H601" s="2" t="s">
        <v>2912</v>
      </c>
      <c r="I601" s="2" t="s">
        <v>716</v>
      </c>
      <c r="J601" s="2" t="s">
        <v>2913</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655</v>
      </c>
      <c r="C602" s="2" t="s">
        <v>658</v>
      </c>
      <c r="D602" s="2" t="s">
        <v>2914</v>
      </c>
      <c r="E602" s="2" t="s">
        <v>737</v>
      </c>
      <c r="F602" s="2" t="s">
        <v>761</v>
      </c>
      <c r="G602" s="2" t="s">
        <v>1440</v>
      </c>
      <c r="H602" s="2" t="s">
        <v>2915</v>
      </c>
      <c r="I602" s="2" t="s">
        <v>716</v>
      </c>
      <c r="J602" s="2" t="s">
        <v>2916</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655</v>
      </c>
      <c r="C603" s="2" t="s">
        <v>658</v>
      </c>
      <c r="D603" s="2" t="s">
        <v>2917</v>
      </c>
      <c r="E603" s="2" t="s">
        <v>737</v>
      </c>
      <c r="F603" s="2" t="s">
        <v>761</v>
      </c>
      <c r="G603" s="2" t="s">
        <v>2918</v>
      </c>
      <c r="H603" s="2" t="s">
        <v>2919</v>
      </c>
      <c r="I603" s="2" t="s">
        <v>716</v>
      </c>
      <c r="J603" s="2" t="s">
        <v>2920</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655</v>
      </c>
      <c r="C604" s="2" t="s">
        <v>658</v>
      </c>
      <c r="D604" s="2" t="s">
        <v>2921</v>
      </c>
      <c r="E604" s="2" t="s">
        <v>737</v>
      </c>
      <c r="F604" s="2" t="s">
        <v>761</v>
      </c>
      <c r="G604" s="2" t="s">
        <v>2922</v>
      </c>
      <c r="H604" s="2" t="s">
        <v>2923</v>
      </c>
      <c r="I604" s="2" t="s">
        <v>716</v>
      </c>
      <c r="J604" s="2" t="s">
        <v>2924</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655</v>
      </c>
      <c r="C605" s="2" t="s">
        <v>658</v>
      </c>
      <c r="D605" s="2" t="s">
        <v>2925</v>
      </c>
      <c r="E605" s="2" t="s">
        <v>737</v>
      </c>
      <c r="F605" s="2" t="s">
        <v>761</v>
      </c>
      <c r="G605" s="2" t="s">
        <v>2926</v>
      </c>
      <c r="H605" s="2" t="s">
        <v>2927</v>
      </c>
      <c r="I605" s="2" t="s">
        <v>716</v>
      </c>
      <c r="J605" s="2" t="s">
        <v>2928</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655</v>
      </c>
      <c r="C606" s="2" t="s">
        <v>658</v>
      </c>
      <c r="D606" s="2" t="s">
        <v>2929</v>
      </c>
      <c r="E606" s="2" t="s">
        <v>737</v>
      </c>
      <c r="F606" s="2" t="s">
        <v>761</v>
      </c>
      <c r="G606" s="2" t="s">
        <v>2930</v>
      </c>
      <c r="H606" s="2" t="s">
        <v>2931</v>
      </c>
      <c r="I606" s="2" t="s">
        <v>716</v>
      </c>
      <c r="J606" s="2" t="s">
        <v>2932</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655</v>
      </c>
      <c r="C607" s="2" t="s">
        <v>658</v>
      </c>
      <c r="D607" s="2" t="s">
        <v>2933</v>
      </c>
      <c r="E607" s="2" t="s">
        <v>737</v>
      </c>
      <c r="F607" s="2" t="s">
        <v>761</v>
      </c>
      <c r="G607" s="2" t="s">
        <v>2934</v>
      </c>
      <c r="H607" s="2" t="s">
        <v>2935</v>
      </c>
      <c r="I607" s="2" t="s">
        <v>716</v>
      </c>
      <c r="J607" s="2" t="s">
        <v>2936</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655</v>
      </c>
      <c r="C608" s="2" t="s">
        <v>658</v>
      </c>
      <c r="D608" s="2" t="s">
        <v>2937</v>
      </c>
      <c r="E608" s="2" t="s">
        <v>737</v>
      </c>
      <c r="F608" s="2" t="s">
        <v>761</v>
      </c>
      <c r="G608" s="2" t="s">
        <v>2938</v>
      </c>
      <c r="H608" s="2" t="s">
        <v>2939</v>
      </c>
      <c r="I608" s="2" t="s">
        <v>716</v>
      </c>
      <c r="J608" s="2" t="s">
        <v>2940</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655</v>
      </c>
      <c r="C609" s="2" t="s">
        <v>658</v>
      </c>
      <c r="D609" s="2" t="s">
        <v>2941</v>
      </c>
      <c r="E609" s="2" t="s">
        <v>737</v>
      </c>
      <c r="F609" s="2" t="s">
        <v>761</v>
      </c>
      <c r="G609" s="2" t="s">
        <v>2942</v>
      </c>
      <c r="H609" s="2" t="s">
        <v>2943</v>
      </c>
      <c r="I609" s="2" t="s">
        <v>716</v>
      </c>
      <c r="J609" s="2" t="s">
        <v>2944</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655</v>
      </c>
      <c r="C610" s="2" t="s">
        <v>658</v>
      </c>
      <c r="D610" s="2" t="s">
        <v>2945</v>
      </c>
      <c r="E610" s="2" t="s">
        <v>737</v>
      </c>
      <c r="F610" s="2" t="s">
        <v>761</v>
      </c>
      <c r="G610" s="2" t="s">
        <v>2946</v>
      </c>
      <c r="H610" s="2" t="s">
        <v>2947</v>
      </c>
      <c r="I610" s="2" t="s">
        <v>716</v>
      </c>
      <c r="J610" s="2" t="s">
        <v>2948</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655</v>
      </c>
      <c r="C611" s="2" t="s">
        <v>658</v>
      </c>
      <c r="D611" s="2" t="s">
        <v>2949</v>
      </c>
      <c r="E611" s="2" t="s">
        <v>737</v>
      </c>
      <c r="F611" s="2" t="s">
        <v>761</v>
      </c>
      <c r="G611" s="2" t="s">
        <v>2220</v>
      </c>
      <c r="H611" s="2" t="s">
        <v>2950</v>
      </c>
      <c r="I611" s="2" t="s">
        <v>716</v>
      </c>
      <c r="J611" s="2" t="s">
        <v>2951</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655</v>
      </c>
      <c r="C612" s="2" t="s">
        <v>658</v>
      </c>
      <c r="D612" s="2" t="s">
        <v>2952</v>
      </c>
      <c r="E612" s="2" t="s">
        <v>737</v>
      </c>
      <c r="F612" s="2" t="s">
        <v>761</v>
      </c>
      <c r="G612" s="2" t="s">
        <v>2220</v>
      </c>
      <c r="H612" s="2" t="s">
        <v>2953</v>
      </c>
      <c r="I612" s="2" t="s">
        <v>716</v>
      </c>
      <c r="J612" s="2" t="s">
        <v>2954</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655</v>
      </c>
      <c r="C613" s="2" t="s">
        <v>658</v>
      </c>
      <c r="D613" s="2" t="s">
        <v>2955</v>
      </c>
      <c r="E613" s="2" t="s">
        <v>737</v>
      </c>
      <c r="F613" s="2" t="s">
        <v>761</v>
      </c>
      <c r="G613" s="2" t="s">
        <v>2220</v>
      </c>
      <c r="H613" s="2" t="s">
        <v>2956</v>
      </c>
      <c r="I613" s="2" t="s">
        <v>716</v>
      </c>
      <c r="J613" s="2" t="s">
        <v>2957</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655</v>
      </c>
      <c r="C614" s="2" t="s">
        <v>658</v>
      </c>
      <c r="D614" s="2" t="s">
        <v>2958</v>
      </c>
      <c r="E614" s="2" t="s">
        <v>737</v>
      </c>
      <c r="F614" s="2" t="s">
        <v>761</v>
      </c>
      <c r="G614" s="2" t="s">
        <v>2959</v>
      </c>
      <c r="H614" s="2" t="s">
        <v>2960</v>
      </c>
      <c r="I614" s="2" t="s">
        <v>716</v>
      </c>
      <c r="J614" s="2" t="s">
        <v>2961</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655</v>
      </c>
      <c r="C615" s="2" t="s">
        <v>658</v>
      </c>
      <c r="D615" s="2" t="s">
        <v>2962</v>
      </c>
      <c r="E615" s="2" t="s">
        <v>737</v>
      </c>
      <c r="F615" s="2" t="s">
        <v>761</v>
      </c>
      <c r="G615" s="2" t="s">
        <v>2963</v>
      </c>
      <c r="H615" s="2" t="s">
        <v>2964</v>
      </c>
      <c r="I615" s="2" t="s">
        <v>716</v>
      </c>
      <c r="J615" s="2" t="s">
        <v>2965</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655</v>
      </c>
      <c r="C616" s="2" t="s">
        <v>658</v>
      </c>
      <c r="D616" s="2" t="s">
        <v>2966</v>
      </c>
      <c r="E616" s="2" t="s">
        <v>737</v>
      </c>
      <c r="F616" s="2" t="s">
        <v>761</v>
      </c>
      <c r="G616" s="2" t="s">
        <v>1742</v>
      </c>
      <c r="H616" s="2" t="s">
        <v>2967</v>
      </c>
      <c r="I616" s="2" t="s">
        <v>716</v>
      </c>
      <c r="J616" s="2" t="s">
        <v>2968</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655</v>
      </c>
      <c r="C617" s="2" t="s">
        <v>658</v>
      </c>
      <c r="D617" s="2" t="s">
        <v>2969</v>
      </c>
      <c r="E617" s="2" t="s">
        <v>737</v>
      </c>
      <c r="F617" s="2" t="s">
        <v>761</v>
      </c>
      <c r="G617" s="2" t="s">
        <v>1742</v>
      </c>
      <c r="H617" s="2" t="s">
        <v>2970</v>
      </c>
      <c r="I617" s="2" t="s">
        <v>716</v>
      </c>
      <c r="J617" s="2" t="s">
        <v>2971</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655</v>
      </c>
      <c r="C618" s="2" t="s">
        <v>658</v>
      </c>
      <c r="D618" s="2" t="s">
        <v>2972</v>
      </c>
      <c r="E618" s="2" t="s">
        <v>737</v>
      </c>
      <c r="F618" s="2" t="s">
        <v>761</v>
      </c>
      <c r="G618" s="2" t="s">
        <v>872</v>
      </c>
      <c r="H618" s="2" t="s">
        <v>2973</v>
      </c>
      <c r="I618" s="2" t="s">
        <v>716</v>
      </c>
      <c r="J618" s="2" t="s">
        <v>2974</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655</v>
      </c>
      <c r="C619" s="2" t="s">
        <v>658</v>
      </c>
      <c r="D619" s="2" t="s">
        <v>2975</v>
      </c>
      <c r="E619" s="2" t="s">
        <v>737</v>
      </c>
      <c r="F619" s="2" t="s">
        <v>761</v>
      </c>
      <c r="G619" s="2" t="s">
        <v>2976</v>
      </c>
      <c r="H619" s="2" t="s">
        <v>2977</v>
      </c>
      <c r="I619" s="2" t="s">
        <v>716</v>
      </c>
      <c r="J619" s="2" t="s">
        <v>2978</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655</v>
      </c>
      <c r="C620" s="2" t="s">
        <v>658</v>
      </c>
      <c r="D620" s="2" t="s">
        <v>2979</v>
      </c>
      <c r="E620" s="2" t="s">
        <v>737</v>
      </c>
      <c r="F620" s="2" t="s">
        <v>761</v>
      </c>
      <c r="G620" s="2" t="s">
        <v>2976</v>
      </c>
      <c r="H620" s="2" t="s">
        <v>2980</v>
      </c>
      <c r="I620" s="2" t="s">
        <v>716</v>
      </c>
      <c r="J620" s="2" t="s">
        <v>2981</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655</v>
      </c>
      <c r="C621" s="2" t="s">
        <v>658</v>
      </c>
      <c r="D621" s="2" t="s">
        <v>2982</v>
      </c>
      <c r="E621" s="2" t="s">
        <v>737</v>
      </c>
      <c r="F621" s="2" t="s">
        <v>761</v>
      </c>
      <c r="G621" s="2" t="s">
        <v>2983</v>
      </c>
      <c r="H621" s="2" t="s">
        <v>2984</v>
      </c>
      <c r="I621" s="2" t="s">
        <v>716</v>
      </c>
      <c r="J621" s="2" t="s">
        <v>2985</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655</v>
      </c>
      <c r="C622" s="2" t="s">
        <v>658</v>
      </c>
      <c r="D622" s="2" t="s">
        <v>2986</v>
      </c>
      <c r="E622" s="2" t="s">
        <v>737</v>
      </c>
      <c r="F622" s="2" t="s">
        <v>761</v>
      </c>
      <c r="G622" s="2" t="s">
        <v>2983</v>
      </c>
      <c r="H622" s="2" t="s">
        <v>2987</v>
      </c>
      <c r="I622" s="2" t="s">
        <v>716</v>
      </c>
      <c r="J622" s="2" t="s">
        <v>2988</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655</v>
      </c>
      <c r="C623" s="2" t="s">
        <v>658</v>
      </c>
      <c r="D623" s="2" t="s">
        <v>2989</v>
      </c>
      <c r="E623" s="2" t="s">
        <v>737</v>
      </c>
      <c r="F623" s="2" t="s">
        <v>761</v>
      </c>
      <c r="G623" s="2" t="s">
        <v>2990</v>
      </c>
      <c r="H623" s="2" t="s">
        <v>2991</v>
      </c>
      <c r="I623" s="2" t="s">
        <v>716</v>
      </c>
      <c r="J623" s="2" t="s">
        <v>2992</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655</v>
      </c>
      <c r="C624" s="2" t="s">
        <v>658</v>
      </c>
      <c r="D624" s="2" t="s">
        <v>2993</v>
      </c>
      <c r="E624" s="2" t="s">
        <v>737</v>
      </c>
      <c r="F624" s="2" t="s">
        <v>761</v>
      </c>
      <c r="G624" s="2" t="s">
        <v>2994</v>
      </c>
      <c r="H624" s="2" t="s">
        <v>2995</v>
      </c>
      <c r="I624" s="2" t="s">
        <v>716</v>
      </c>
      <c r="J624" s="2" t="s">
        <v>2996</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655</v>
      </c>
      <c r="C625" s="2" t="s">
        <v>658</v>
      </c>
      <c r="D625" s="2" t="s">
        <v>2997</v>
      </c>
      <c r="E625" s="2" t="s">
        <v>737</v>
      </c>
      <c r="F625" s="2" t="s">
        <v>761</v>
      </c>
      <c r="G625" s="2" t="s">
        <v>2998</v>
      </c>
      <c r="H625" s="2" t="s">
        <v>2999</v>
      </c>
      <c r="I625" s="2" t="s">
        <v>716</v>
      </c>
      <c r="J625" s="2" t="s">
        <v>3000</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655</v>
      </c>
      <c r="C626" s="2" t="s">
        <v>658</v>
      </c>
      <c r="D626" s="2" t="s">
        <v>3001</v>
      </c>
      <c r="E626" s="2" t="s">
        <v>737</v>
      </c>
      <c r="F626" s="2" t="s">
        <v>761</v>
      </c>
      <c r="G626" s="2" t="s">
        <v>2998</v>
      </c>
      <c r="H626" s="2" t="s">
        <v>3002</v>
      </c>
      <c r="I626" s="2" t="s">
        <v>716</v>
      </c>
      <c r="J626" s="2" t="s">
        <v>3003</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655</v>
      </c>
      <c r="C627" s="2" t="s">
        <v>658</v>
      </c>
      <c r="D627" s="2" t="s">
        <v>3004</v>
      </c>
      <c r="E627" s="2" t="s">
        <v>737</v>
      </c>
      <c r="F627" s="2" t="s">
        <v>761</v>
      </c>
      <c r="G627" s="2" t="s">
        <v>3005</v>
      </c>
      <c r="H627" s="2" t="s">
        <v>3006</v>
      </c>
      <c r="I627" s="2" t="s">
        <v>716</v>
      </c>
      <c r="J627" s="2" t="s">
        <v>3007</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655</v>
      </c>
      <c r="C628" s="2" t="s">
        <v>658</v>
      </c>
      <c r="D628" s="2" t="s">
        <v>3008</v>
      </c>
      <c r="E628" s="2" t="s">
        <v>737</v>
      </c>
      <c r="F628" s="2" t="s">
        <v>761</v>
      </c>
      <c r="G628" s="2" t="s">
        <v>3009</v>
      </c>
      <c r="H628" s="2" t="s">
        <v>3010</v>
      </c>
      <c r="I628" s="2" t="s">
        <v>716</v>
      </c>
      <c r="J628" s="2" t="s">
        <v>3011</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655</v>
      </c>
      <c r="C629" s="2" t="s">
        <v>658</v>
      </c>
      <c r="D629" s="2" t="s">
        <v>3012</v>
      </c>
      <c r="E629" s="2" t="s">
        <v>737</v>
      </c>
      <c r="F629" s="2" t="s">
        <v>761</v>
      </c>
      <c r="G629" s="2" t="s">
        <v>3013</v>
      </c>
      <c r="H629" s="2" t="s">
        <v>3014</v>
      </c>
      <c r="I629" s="2" t="s">
        <v>716</v>
      </c>
      <c r="J629" s="2" t="s">
        <v>3015</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655</v>
      </c>
      <c r="C630" s="2" t="s">
        <v>658</v>
      </c>
      <c r="D630" s="2" t="s">
        <v>3016</v>
      </c>
      <c r="E630" s="2" t="s">
        <v>737</v>
      </c>
      <c r="F630" s="2" t="s">
        <v>761</v>
      </c>
      <c r="G630" s="2" t="s">
        <v>3017</v>
      </c>
      <c r="H630" s="2" t="s">
        <v>3018</v>
      </c>
      <c r="I630" s="2" t="s">
        <v>716</v>
      </c>
      <c r="J630" s="2" t="s">
        <v>3019</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655</v>
      </c>
      <c r="C631" s="2" t="s">
        <v>658</v>
      </c>
      <c r="D631" s="2" t="s">
        <v>3020</v>
      </c>
      <c r="E631" s="2" t="s">
        <v>737</v>
      </c>
      <c r="F631" s="2" t="s">
        <v>761</v>
      </c>
      <c r="G631" s="2" t="s">
        <v>1494</v>
      </c>
      <c r="H631" s="2" t="s">
        <v>3021</v>
      </c>
      <c r="I631" s="2" t="s">
        <v>716</v>
      </c>
      <c r="J631" s="2" t="s">
        <v>3022</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655</v>
      </c>
      <c r="C632" s="2" t="s">
        <v>658</v>
      </c>
      <c r="D632" s="2" t="s">
        <v>3023</v>
      </c>
      <c r="E632" s="2" t="s">
        <v>737</v>
      </c>
      <c r="F632" s="2" t="s">
        <v>761</v>
      </c>
      <c r="G632" s="2" t="s">
        <v>3024</v>
      </c>
      <c r="H632" s="2" t="s">
        <v>3025</v>
      </c>
      <c r="I632" s="2" t="s">
        <v>716</v>
      </c>
      <c r="J632" s="2" t="s">
        <v>3026</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655</v>
      </c>
      <c r="C633" s="2" t="s">
        <v>658</v>
      </c>
      <c r="D633" s="2" t="s">
        <v>3027</v>
      </c>
      <c r="E633" s="2" t="s">
        <v>737</v>
      </c>
      <c r="F633" s="2" t="s">
        <v>761</v>
      </c>
      <c r="G633" s="2" t="s">
        <v>3028</v>
      </c>
      <c r="H633" s="2" t="s">
        <v>3029</v>
      </c>
      <c r="I633" s="2" t="s">
        <v>716</v>
      </c>
      <c r="J633" s="2" t="s">
        <v>3030</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655</v>
      </c>
      <c r="C634" s="2" t="s">
        <v>658</v>
      </c>
      <c r="D634" s="2" t="s">
        <v>3031</v>
      </c>
      <c r="E634" s="2" t="s">
        <v>737</v>
      </c>
      <c r="F634" s="2" t="s">
        <v>761</v>
      </c>
      <c r="G634" s="2" t="s">
        <v>3028</v>
      </c>
      <c r="H634" s="2" t="s">
        <v>3032</v>
      </c>
      <c r="I634" s="2" t="s">
        <v>716</v>
      </c>
      <c r="J634" s="2" t="s">
        <v>3033</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655</v>
      </c>
      <c r="C635" s="2" t="s">
        <v>658</v>
      </c>
      <c r="D635" s="2" t="s">
        <v>3034</v>
      </c>
      <c r="E635" s="2" t="s">
        <v>737</v>
      </c>
      <c r="F635" s="2" t="s">
        <v>761</v>
      </c>
      <c r="G635" s="2" t="s">
        <v>3035</v>
      </c>
      <c r="H635" s="2" t="s">
        <v>3036</v>
      </c>
      <c r="I635" s="2" t="s">
        <v>716</v>
      </c>
      <c r="J635" s="2" t="s">
        <v>3037</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655</v>
      </c>
      <c r="C636" s="2" t="s">
        <v>658</v>
      </c>
      <c r="D636" s="2" t="s">
        <v>3038</v>
      </c>
      <c r="E636" s="2" t="s">
        <v>737</v>
      </c>
      <c r="F636" s="2" t="s">
        <v>761</v>
      </c>
      <c r="G636" s="2" t="s">
        <v>3039</v>
      </c>
      <c r="H636" s="2" t="s">
        <v>3040</v>
      </c>
      <c r="I636" s="2" t="s">
        <v>716</v>
      </c>
      <c r="J636" s="2" t="s">
        <v>3041</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655</v>
      </c>
      <c r="C637" s="2" t="s">
        <v>658</v>
      </c>
      <c r="D637" s="2" t="s">
        <v>3042</v>
      </c>
      <c r="E637" s="2" t="s">
        <v>737</v>
      </c>
      <c r="F637" s="2" t="s">
        <v>761</v>
      </c>
      <c r="G637" s="2" t="s">
        <v>3043</v>
      </c>
      <c r="H637" s="2" t="s">
        <v>3044</v>
      </c>
      <c r="I637" s="2" t="s">
        <v>716</v>
      </c>
      <c r="J637" s="2" t="s">
        <v>3045</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655</v>
      </c>
      <c r="C638" s="2" t="s">
        <v>658</v>
      </c>
      <c r="D638" s="2" t="s">
        <v>3046</v>
      </c>
      <c r="E638" s="2" t="s">
        <v>737</v>
      </c>
      <c r="F638" s="2" t="s">
        <v>761</v>
      </c>
      <c r="G638" s="2" t="s">
        <v>3043</v>
      </c>
      <c r="H638" s="2" t="s">
        <v>3047</v>
      </c>
      <c r="I638" s="2" t="s">
        <v>716</v>
      </c>
      <c r="J638" s="2" t="s">
        <v>3048</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655</v>
      </c>
      <c r="C639" s="2" t="s">
        <v>658</v>
      </c>
      <c r="D639" s="2" t="s">
        <v>3049</v>
      </c>
      <c r="E639" s="2" t="s">
        <v>737</v>
      </c>
      <c r="F639" s="2" t="s">
        <v>761</v>
      </c>
      <c r="G639" s="2" t="s">
        <v>3043</v>
      </c>
      <c r="H639" s="2" t="s">
        <v>3050</v>
      </c>
      <c r="I639" s="2" t="s">
        <v>716</v>
      </c>
      <c r="J639" s="2" t="s">
        <v>3051</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655</v>
      </c>
      <c r="C640" s="2" t="s">
        <v>658</v>
      </c>
      <c r="D640" s="2" t="s">
        <v>3052</v>
      </c>
      <c r="E640" s="2" t="s">
        <v>737</v>
      </c>
      <c r="F640" s="2" t="s">
        <v>761</v>
      </c>
      <c r="G640" s="2" t="s">
        <v>486</v>
      </c>
      <c r="H640" s="2" t="s">
        <v>3053</v>
      </c>
      <c r="I640" s="2" t="s">
        <v>716</v>
      </c>
      <c r="J640" s="2" t="s">
        <v>3054</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655</v>
      </c>
      <c r="C641" s="2" t="s">
        <v>658</v>
      </c>
      <c r="D641" s="2" t="s">
        <v>3055</v>
      </c>
      <c r="E641" s="2" t="s">
        <v>737</v>
      </c>
      <c r="F641" s="2" t="s">
        <v>761</v>
      </c>
      <c r="G641" s="2" t="s">
        <v>3056</v>
      </c>
      <c r="H641" s="2" t="s">
        <v>3057</v>
      </c>
      <c r="I641" s="2" t="s">
        <v>716</v>
      </c>
      <c r="J641" s="2" t="s">
        <v>3058</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655</v>
      </c>
      <c r="C642" s="2" t="s">
        <v>658</v>
      </c>
      <c r="D642" s="2" t="s">
        <v>3059</v>
      </c>
      <c r="E642" s="2" t="s">
        <v>737</v>
      </c>
      <c r="F642" s="2" t="s">
        <v>761</v>
      </c>
      <c r="G642" s="2" t="s">
        <v>3056</v>
      </c>
      <c r="H642" s="2" t="s">
        <v>3060</v>
      </c>
      <c r="I642" s="2" t="s">
        <v>716</v>
      </c>
      <c r="J642" s="2" t="s">
        <v>3061</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655</v>
      </c>
      <c r="C643" s="2" t="s">
        <v>658</v>
      </c>
      <c r="D643" s="2" t="s">
        <v>3062</v>
      </c>
      <c r="E643" s="2" t="s">
        <v>737</v>
      </c>
      <c r="F643" s="2" t="s">
        <v>761</v>
      </c>
      <c r="G643" s="2" t="s">
        <v>3063</v>
      </c>
      <c r="H643" s="2" t="s">
        <v>3064</v>
      </c>
      <c r="I643" s="2" t="s">
        <v>716</v>
      </c>
      <c r="J643" s="2" t="s">
        <v>3065</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655</v>
      </c>
      <c r="C644" s="2" t="s">
        <v>658</v>
      </c>
      <c r="D644" s="2" t="s">
        <v>3066</v>
      </c>
      <c r="E644" s="2" t="s">
        <v>737</v>
      </c>
      <c r="F644" s="2" t="s">
        <v>761</v>
      </c>
      <c r="G644" s="2" t="s">
        <v>510</v>
      </c>
      <c r="H644" s="2" t="s">
        <v>3067</v>
      </c>
      <c r="I644" s="2" t="s">
        <v>716</v>
      </c>
      <c r="J644" s="2" t="s">
        <v>3068</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655</v>
      </c>
      <c r="C645" s="2" t="s">
        <v>658</v>
      </c>
      <c r="D645" s="2" t="s">
        <v>3069</v>
      </c>
      <c r="E645" s="2" t="s">
        <v>737</v>
      </c>
      <c r="F645" s="2" t="s">
        <v>761</v>
      </c>
      <c r="G645" s="2" t="s">
        <v>510</v>
      </c>
      <c r="H645" s="2" t="s">
        <v>3070</v>
      </c>
      <c r="I645" s="2" t="s">
        <v>716</v>
      </c>
      <c r="J645" s="2" t="s">
        <v>3071</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655</v>
      </c>
      <c r="C646" s="2" t="s">
        <v>658</v>
      </c>
      <c r="D646" s="2" t="s">
        <v>3072</v>
      </c>
      <c r="E646" s="2" t="s">
        <v>737</v>
      </c>
      <c r="F646" s="2" t="s">
        <v>761</v>
      </c>
      <c r="G646" s="2" t="s">
        <v>3073</v>
      </c>
      <c r="H646" s="2" t="s">
        <v>3074</v>
      </c>
      <c r="I646" s="2" t="s">
        <v>716</v>
      </c>
      <c r="J646" s="2" t="s">
        <v>3075</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655</v>
      </c>
      <c r="C647" s="2" t="s">
        <v>658</v>
      </c>
      <c r="D647" s="2" t="s">
        <v>3076</v>
      </c>
      <c r="E647" s="2" t="s">
        <v>737</v>
      </c>
      <c r="F647" s="2" t="s">
        <v>761</v>
      </c>
      <c r="G647" s="2" t="s">
        <v>3077</v>
      </c>
      <c r="H647" s="2" t="s">
        <v>3078</v>
      </c>
      <c r="I647" s="2" t="s">
        <v>716</v>
      </c>
      <c r="J647" s="2" t="s">
        <v>3079</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655</v>
      </c>
      <c r="C648" s="2" t="s">
        <v>658</v>
      </c>
      <c r="D648" s="2" t="s">
        <v>3080</v>
      </c>
      <c r="E648" s="2" t="s">
        <v>737</v>
      </c>
      <c r="F648" s="2" t="s">
        <v>761</v>
      </c>
      <c r="G648" s="2" t="s">
        <v>3081</v>
      </c>
      <c r="H648" s="2" t="s">
        <v>3082</v>
      </c>
      <c r="I648" s="2" t="s">
        <v>716</v>
      </c>
      <c r="J648" s="2" t="s">
        <v>3083</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655</v>
      </c>
      <c r="C649" s="2" t="s">
        <v>658</v>
      </c>
      <c r="D649" s="2" t="s">
        <v>3084</v>
      </c>
      <c r="E649" s="2" t="s">
        <v>737</v>
      </c>
      <c r="F649" s="2" t="s">
        <v>761</v>
      </c>
      <c r="G649" s="2" t="s">
        <v>3085</v>
      </c>
      <c r="H649" s="2" t="s">
        <v>3086</v>
      </c>
      <c r="I649" s="2" t="s">
        <v>716</v>
      </c>
      <c r="J649" s="2" t="s">
        <v>3087</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655</v>
      </c>
      <c r="C650" s="2" t="s">
        <v>658</v>
      </c>
      <c r="D650" s="2" t="s">
        <v>3088</v>
      </c>
      <c r="E650" s="2" t="s">
        <v>737</v>
      </c>
      <c r="F650" s="2" t="s">
        <v>761</v>
      </c>
      <c r="G650" s="2" t="s">
        <v>533</v>
      </c>
      <c r="H650" s="2" t="s">
        <v>3089</v>
      </c>
      <c r="I650" s="2" t="s">
        <v>716</v>
      </c>
      <c r="J650" s="2" t="s">
        <v>3090</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655</v>
      </c>
      <c r="C651" s="2" t="s">
        <v>658</v>
      </c>
      <c r="D651" s="2" t="s">
        <v>3091</v>
      </c>
      <c r="E651" s="2" t="s">
        <v>737</v>
      </c>
      <c r="F651" s="2" t="s">
        <v>761</v>
      </c>
      <c r="G651" s="2" t="s">
        <v>533</v>
      </c>
      <c r="H651" s="2" t="s">
        <v>3092</v>
      </c>
      <c r="I651" s="2" t="s">
        <v>716</v>
      </c>
      <c r="J651" s="2" t="s">
        <v>3093</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655</v>
      </c>
      <c r="C652" s="2" t="s">
        <v>658</v>
      </c>
      <c r="D652" s="2" t="s">
        <v>3094</v>
      </c>
      <c r="E652" s="2" t="s">
        <v>737</v>
      </c>
      <c r="F652" s="2" t="s">
        <v>761</v>
      </c>
      <c r="G652" s="2" t="s">
        <v>3095</v>
      </c>
      <c r="H652" s="2" t="s">
        <v>3096</v>
      </c>
      <c r="I652" s="2" t="s">
        <v>716</v>
      </c>
      <c r="J652" s="2" t="s">
        <v>3097</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655</v>
      </c>
      <c r="C653" s="2" t="s">
        <v>658</v>
      </c>
      <c r="D653" s="2" t="s">
        <v>3098</v>
      </c>
      <c r="E653" s="2" t="s">
        <v>737</v>
      </c>
      <c r="F653" s="2" t="s">
        <v>761</v>
      </c>
      <c r="G653" s="2" t="s">
        <v>3099</v>
      </c>
      <c r="H653" s="2" t="s">
        <v>3100</v>
      </c>
      <c r="I653" s="2" t="s">
        <v>716</v>
      </c>
      <c r="J653" s="2" t="s">
        <v>3101</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655</v>
      </c>
      <c r="C654" s="2" t="s">
        <v>658</v>
      </c>
      <c r="D654" s="2" t="s">
        <v>3102</v>
      </c>
      <c r="E654" s="2" t="s">
        <v>737</v>
      </c>
      <c r="F654" s="2" t="s">
        <v>761</v>
      </c>
      <c r="G654" s="2" t="s">
        <v>3103</v>
      </c>
      <c r="H654" s="2" t="s">
        <v>3104</v>
      </c>
      <c r="I654" s="2" t="s">
        <v>716</v>
      </c>
      <c r="J654" s="2" t="s">
        <v>3105</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655</v>
      </c>
      <c r="C655" s="2" t="s">
        <v>658</v>
      </c>
      <c r="D655" s="2" t="s">
        <v>3106</v>
      </c>
      <c r="E655" s="2" t="s">
        <v>737</v>
      </c>
      <c r="F655" s="2" t="s">
        <v>761</v>
      </c>
      <c r="G655" s="2" t="s">
        <v>1547</v>
      </c>
      <c r="H655" s="2" t="s">
        <v>3107</v>
      </c>
      <c r="I655" s="2" t="s">
        <v>716</v>
      </c>
      <c r="J655" s="2" t="s">
        <v>3108</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655</v>
      </c>
      <c r="C656" s="2" t="s">
        <v>658</v>
      </c>
      <c r="D656" s="2" t="s">
        <v>3109</v>
      </c>
      <c r="E656" s="2" t="s">
        <v>737</v>
      </c>
      <c r="F656" s="2" t="s">
        <v>761</v>
      </c>
      <c r="G656" s="2" t="s">
        <v>3110</v>
      </c>
      <c r="H656" s="2" t="s">
        <v>3111</v>
      </c>
      <c r="I656" s="2" t="s">
        <v>716</v>
      </c>
      <c r="J656" s="2" t="s">
        <v>3112</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655</v>
      </c>
      <c r="C657" s="2" t="s">
        <v>658</v>
      </c>
      <c r="D657" s="2" t="s">
        <v>3113</v>
      </c>
      <c r="E657" s="2" t="s">
        <v>737</v>
      </c>
      <c r="F657" s="2" t="s">
        <v>761</v>
      </c>
      <c r="G657" s="2" t="s">
        <v>3114</v>
      </c>
      <c r="H657" s="2" t="s">
        <v>3115</v>
      </c>
      <c r="I657" s="2" t="s">
        <v>716</v>
      </c>
      <c r="J657" s="2" t="s">
        <v>3116</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655</v>
      </c>
      <c r="C658" s="2" t="s">
        <v>658</v>
      </c>
      <c r="D658" s="2" t="s">
        <v>3117</v>
      </c>
      <c r="E658" s="2" t="s">
        <v>737</v>
      </c>
      <c r="F658" s="2" t="s">
        <v>761</v>
      </c>
      <c r="G658" s="2" t="s">
        <v>3114</v>
      </c>
      <c r="H658" s="2" t="s">
        <v>3118</v>
      </c>
      <c r="I658" s="2" t="s">
        <v>716</v>
      </c>
      <c r="J658" s="2" t="s">
        <v>3119</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655</v>
      </c>
      <c r="C659" s="2" t="s">
        <v>658</v>
      </c>
      <c r="D659" s="2" t="s">
        <v>3120</v>
      </c>
      <c r="E659" s="2" t="s">
        <v>737</v>
      </c>
      <c r="F659" s="2" t="s">
        <v>761</v>
      </c>
      <c r="G659" s="2" t="s">
        <v>3121</v>
      </c>
      <c r="H659" s="2" t="s">
        <v>3122</v>
      </c>
      <c r="I659" s="2" t="s">
        <v>716</v>
      </c>
      <c r="J659" s="2" t="s">
        <v>3123</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655</v>
      </c>
      <c r="C660" s="2" t="s">
        <v>658</v>
      </c>
      <c r="D660" s="2" t="s">
        <v>3124</v>
      </c>
      <c r="E660" s="2" t="s">
        <v>737</v>
      </c>
      <c r="F660" s="2" t="s">
        <v>761</v>
      </c>
      <c r="G660" s="2" t="s">
        <v>3125</v>
      </c>
      <c r="H660" s="2" t="s">
        <v>3126</v>
      </c>
      <c r="I660" s="2" t="s">
        <v>716</v>
      </c>
      <c r="J660" s="2" t="s">
        <v>3127</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655</v>
      </c>
      <c r="C661" s="2" t="s">
        <v>658</v>
      </c>
      <c r="D661" s="2" t="s">
        <v>3128</v>
      </c>
      <c r="E661" s="2" t="s">
        <v>737</v>
      </c>
      <c r="F661" s="2" t="s">
        <v>761</v>
      </c>
      <c r="G661" s="2" t="s">
        <v>2638</v>
      </c>
      <c r="H661" s="2" t="s">
        <v>3129</v>
      </c>
      <c r="I661" s="2" t="s">
        <v>716</v>
      </c>
      <c r="J661" s="2" t="s">
        <v>3130</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655</v>
      </c>
      <c r="C662" s="2" t="s">
        <v>658</v>
      </c>
      <c r="D662" s="2" t="s">
        <v>3131</v>
      </c>
      <c r="E662" s="2" t="s">
        <v>737</v>
      </c>
      <c r="F662" s="2" t="s">
        <v>761</v>
      </c>
      <c r="G662" s="2" t="s">
        <v>624</v>
      </c>
      <c r="H662" s="2" t="s">
        <v>3132</v>
      </c>
      <c r="I662" s="2" t="s">
        <v>716</v>
      </c>
      <c r="J662" s="2" t="s">
        <v>3133</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655</v>
      </c>
      <c r="C663" s="2" t="s">
        <v>658</v>
      </c>
      <c r="D663" s="2" t="s">
        <v>3134</v>
      </c>
      <c r="E663" s="2" t="s">
        <v>737</v>
      </c>
      <c r="F663" s="2" t="s">
        <v>761</v>
      </c>
      <c r="G663" s="2" t="s">
        <v>624</v>
      </c>
      <c r="H663" s="2" t="s">
        <v>3135</v>
      </c>
      <c r="I663" s="2" t="s">
        <v>716</v>
      </c>
      <c r="J663" s="2" t="s">
        <v>3136</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655</v>
      </c>
      <c r="C664" s="2" t="s">
        <v>658</v>
      </c>
      <c r="D664" s="2" t="s">
        <v>3137</v>
      </c>
      <c r="E664" s="2" t="s">
        <v>737</v>
      </c>
      <c r="F664" s="2" t="s">
        <v>761</v>
      </c>
      <c r="G664" s="2" t="s">
        <v>3138</v>
      </c>
      <c r="H664" s="2" t="s">
        <v>3139</v>
      </c>
      <c r="I664" s="2" t="s">
        <v>716</v>
      </c>
      <c r="J664" s="2" t="s">
        <v>3140</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655</v>
      </c>
      <c r="C665" s="2" t="s">
        <v>658</v>
      </c>
      <c r="D665" s="2" t="s">
        <v>3141</v>
      </c>
      <c r="E665" s="2" t="s">
        <v>737</v>
      </c>
      <c r="F665" s="2" t="s">
        <v>761</v>
      </c>
      <c r="G665" s="2" t="s">
        <v>3142</v>
      </c>
      <c r="H665" s="2" t="s">
        <v>3143</v>
      </c>
      <c r="I665" s="2" t="s">
        <v>716</v>
      </c>
      <c r="J665" s="2" t="s">
        <v>3144</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655</v>
      </c>
      <c r="C666" s="2" t="s">
        <v>658</v>
      </c>
      <c r="D666" s="2" t="s">
        <v>3145</v>
      </c>
      <c r="E666" s="2" t="s">
        <v>737</v>
      </c>
      <c r="F666" s="2" t="s">
        <v>761</v>
      </c>
      <c r="G666" s="2" t="s">
        <v>3146</v>
      </c>
      <c r="H666" s="2" t="s">
        <v>3147</v>
      </c>
      <c r="I666" s="2" t="s">
        <v>716</v>
      </c>
      <c r="J666" s="2" t="s">
        <v>3148</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655</v>
      </c>
      <c r="C667" s="2" t="s">
        <v>658</v>
      </c>
      <c r="D667" s="2" t="s">
        <v>3149</v>
      </c>
      <c r="E667" s="2" t="s">
        <v>737</v>
      </c>
      <c r="F667" s="2" t="s">
        <v>761</v>
      </c>
      <c r="G667" s="2" t="s">
        <v>3150</v>
      </c>
      <c r="H667" s="2" t="s">
        <v>3151</v>
      </c>
      <c r="I667" s="2" t="s">
        <v>716</v>
      </c>
      <c r="J667" s="2" t="s">
        <v>3152</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655</v>
      </c>
      <c r="C668" s="2" t="s">
        <v>658</v>
      </c>
      <c r="D668" s="2" t="s">
        <v>3153</v>
      </c>
      <c r="E668" s="2" t="s">
        <v>737</v>
      </c>
      <c r="F668" s="2" t="s">
        <v>761</v>
      </c>
      <c r="G668" s="2" t="s">
        <v>3154</v>
      </c>
      <c r="H668" s="2" t="s">
        <v>3155</v>
      </c>
      <c r="I668" s="2" t="s">
        <v>716</v>
      </c>
      <c r="J668" s="2" t="s">
        <v>3156</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655</v>
      </c>
      <c r="C669" s="2" t="s">
        <v>658</v>
      </c>
      <c r="D669" s="2" t="s">
        <v>3157</v>
      </c>
      <c r="E669" s="2" t="s">
        <v>737</v>
      </c>
      <c r="F669" s="2" t="s">
        <v>761</v>
      </c>
      <c r="G669" s="2" t="s">
        <v>3158</v>
      </c>
      <c r="H669" s="2" t="s">
        <v>3159</v>
      </c>
      <c r="I669" s="2" t="s">
        <v>716</v>
      </c>
      <c r="J669" s="2" t="s">
        <v>3160</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655</v>
      </c>
      <c r="C670" s="2" t="s">
        <v>658</v>
      </c>
      <c r="D670" s="2" t="s">
        <v>3161</v>
      </c>
      <c r="E670" s="2" t="s">
        <v>737</v>
      </c>
      <c r="F670" s="2" t="s">
        <v>761</v>
      </c>
      <c r="G670" s="2" t="s">
        <v>3162</v>
      </c>
      <c r="H670" s="2" t="s">
        <v>3163</v>
      </c>
      <c r="I670" s="2" t="s">
        <v>716</v>
      </c>
      <c r="J670" s="2" t="s">
        <v>3164</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655</v>
      </c>
      <c r="C671" s="2" t="s">
        <v>658</v>
      </c>
      <c r="D671" s="2" t="s">
        <v>3165</v>
      </c>
      <c r="E671" s="2" t="s">
        <v>737</v>
      </c>
      <c r="F671" s="2" t="s">
        <v>761</v>
      </c>
      <c r="G671" s="2" t="s">
        <v>3166</v>
      </c>
      <c r="H671" s="2" t="s">
        <v>3167</v>
      </c>
      <c r="I671" s="2" t="s">
        <v>716</v>
      </c>
      <c r="J671" s="2" t="s">
        <v>3168</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655</v>
      </c>
      <c r="C672" s="2" t="s">
        <v>658</v>
      </c>
      <c r="D672" s="2" t="s">
        <v>3169</v>
      </c>
      <c r="E672" s="2" t="s">
        <v>737</v>
      </c>
      <c r="F672" s="2" t="s">
        <v>761</v>
      </c>
      <c r="G672" s="2" t="s">
        <v>3170</v>
      </c>
      <c r="H672" s="2" t="s">
        <v>3171</v>
      </c>
      <c r="I672" s="2" t="s">
        <v>716</v>
      </c>
      <c r="J672" s="2" t="s">
        <v>3172</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655</v>
      </c>
      <c r="C673" s="2" t="s">
        <v>658</v>
      </c>
      <c r="D673" s="2" t="s">
        <v>3173</v>
      </c>
      <c r="E673" s="2" t="s">
        <v>737</v>
      </c>
      <c r="F673" s="2" t="s">
        <v>761</v>
      </c>
      <c r="G673" s="2" t="s">
        <v>3174</v>
      </c>
      <c r="H673" s="2" t="s">
        <v>3175</v>
      </c>
      <c r="I673" s="2" t="s">
        <v>716</v>
      </c>
      <c r="J673" s="2" t="s">
        <v>3176</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655</v>
      </c>
      <c r="C674" s="2" t="s">
        <v>658</v>
      </c>
      <c r="D674" s="2" t="s">
        <v>3177</v>
      </c>
      <c r="E674" s="2" t="s">
        <v>737</v>
      </c>
      <c r="F674" s="2" t="s">
        <v>761</v>
      </c>
      <c r="G674" s="2" t="s">
        <v>3174</v>
      </c>
      <c r="H674" s="2" t="s">
        <v>3178</v>
      </c>
      <c r="I674" s="2" t="s">
        <v>716</v>
      </c>
      <c r="J674" s="2" t="s">
        <v>3179</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655</v>
      </c>
      <c r="C675" s="2" t="s">
        <v>658</v>
      </c>
      <c r="D675" s="2" t="s">
        <v>3180</v>
      </c>
      <c r="E675" s="2" t="s">
        <v>737</v>
      </c>
      <c r="F675" s="2" t="s">
        <v>761</v>
      </c>
      <c r="G675" s="2" t="s">
        <v>3181</v>
      </c>
      <c r="H675" s="2" t="s">
        <v>3182</v>
      </c>
      <c r="I675" s="2" t="s">
        <v>716</v>
      </c>
      <c r="J675" s="2" t="s">
        <v>3183</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655</v>
      </c>
      <c r="C676" s="2" t="s">
        <v>658</v>
      </c>
      <c r="D676" s="2" t="s">
        <v>3184</v>
      </c>
      <c r="E676" s="2" t="s">
        <v>737</v>
      </c>
      <c r="F676" s="2" t="s">
        <v>761</v>
      </c>
      <c r="G676" s="2" t="s">
        <v>3185</v>
      </c>
      <c r="H676" s="2" t="s">
        <v>3186</v>
      </c>
      <c r="I676" s="2" t="s">
        <v>716</v>
      </c>
      <c r="J676" s="2" t="s">
        <v>3187</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655</v>
      </c>
      <c r="C677" s="2" t="s">
        <v>658</v>
      </c>
      <c r="D677" s="2" t="s">
        <v>3188</v>
      </c>
      <c r="E677" s="2" t="s">
        <v>737</v>
      </c>
      <c r="F677" s="2" t="s">
        <v>761</v>
      </c>
      <c r="G677" s="2" t="s">
        <v>3189</v>
      </c>
      <c r="H677" s="2" t="s">
        <v>3190</v>
      </c>
      <c r="I677" s="2" t="s">
        <v>716</v>
      </c>
      <c r="J677" s="2" t="s">
        <v>3191</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655</v>
      </c>
      <c r="C678" s="2" t="s">
        <v>658</v>
      </c>
      <c r="D678" s="2" t="s">
        <v>3192</v>
      </c>
      <c r="E678" s="2" t="s">
        <v>737</v>
      </c>
      <c r="F678" s="2" t="s">
        <v>761</v>
      </c>
      <c r="G678" s="2" t="s">
        <v>3193</v>
      </c>
      <c r="H678" s="2" t="s">
        <v>3194</v>
      </c>
      <c r="I678" s="2" t="s">
        <v>716</v>
      </c>
      <c r="J678" s="2" t="s">
        <v>3195</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655</v>
      </c>
      <c r="C679" s="2" t="s">
        <v>658</v>
      </c>
      <c r="D679" s="2" t="s">
        <v>3196</v>
      </c>
      <c r="E679" s="2" t="s">
        <v>737</v>
      </c>
      <c r="F679" s="2" t="s">
        <v>761</v>
      </c>
      <c r="G679" s="2" t="s">
        <v>3197</v>
      </c>
      <c r="H679" s="2" t="s">
        <v>3198</v>
      </c>
      <c r="I679" s="2" t="s">
        <v>716</v>
      </c>
      <c r="J679" s="2" t="s">
        <v>3199</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655</v>
      </c>
      <c r="C680" s="2" t="s">
        <v>658</v>
      </c>
      <c r="D680" s="2" t="s">
        <v>3200</v>
      </c>
      <c r="E680" s="2" t="s">
        <v>737</v>
      </c>
      <c r="F680" s="2" t="s">
        <v>761</v>
      </c>
      <c r="G680" s="2" t="s">
        <v>3197</v>
      </c>
      <c r="H680" s="2" t="s">
        <v>3201</v>
      </c>
      <c r="I680" s="2" t="s">
        <v>716</v>
      </c>
      <c r="J680" s="2" t="s">
        <v>3202</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655</v>
      </c>
      <c r="C681" s="2" t="s">
        <v>658</v>
      </c>
      <c r="D681" s="2" t="s">
        <v>3203</v>
      </c>
      <c r="E681" s="2" t="s">
        <v>737</v>
      </c>
      <c r="F681" s="2" t="s">
        <v>761</v>
      </c>
      <c r="G681" s="2" t="s">
        <v>3204</v>
      </c>
      <c r="H681" s="2" t="s">
        <v>3205</v>
      </c>
      <c r="I681" s="2" t="s">
        <v>716</v>
      </c>
      <c r="J681" s="2" t="s">
        <v>3206</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655</v>
      </c>
      <c r="C682" s="2" t="s">
        <v>658</v>
      </c>
      <c r="D682" s="2" t="s">
        <v>3207</v>
      </c>
      <c r="E682" s="2" t="s">
        <v>737</v>
      </c>
      <c r="F682" s="2" t="s">
        <v>761</v>
      </c>
      <c r="G682" s="2" t="s">
        <v>3208</v>
      </c>
      <c r="H682" s="2" t="s">
        <v>3209</v>
      </c>
      <c r="I682" s="2" t="s">
        <v>716</v>
      </c>
      <c r="J682" s="2" t="s">
        <v>3210</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655</v>
      </c>
      <c r="C683" s="2" t="s">
        <v>658</v>
      </c>
      <c r="D683" s="2" t="s">
        <v>3211</v>
      </c>
      <c r="E683" s="2" t="s">
        <v>737</v>
      </c>
      <c r="F683" s="2" t="s">
        <v>761</v>
      </c>
      <c r="G683" s="2" t="s">
        <v>2746</v>
      </c>
      <c r="H683" s="2" t="s">
        <v>3212</v>
      </c>
      <c r="I683" s="2" t="s">
        <v>716</v>
      </c>
      <c r="J683" s="2" t="s">
        <v>3213</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655</v>
      </c>
      <c r="C684" s="2" t="s">
        <v>658</v>
      </c>
      <c r="D684" s="2" t="s">
        <v>3214</v>
      </c>
      <c r="E684" s="2" t="s">
        <v>737</v>
      </c>
      <c r="F684" s="2" t="s">
        <v>761</v>
      </c>
      <c r="G684" s="2" t="s">
        <v>3215</v>
      </c>
      <c r="H684" s="2" t="s">
        <v>3216</v>
      </c>
      <c r="I684" s="2" t="s">
        <v>716</v>
      </c>
      <c r="J684" s="2" t="s">
        <v>3217</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655</v>
      </c>
      <c r="C685" s="2" t="s">
        <v>658</v>
      </c>
      <c r="D685" s="2" t="s">
        <v>3218</v>
      </c>
      <c r="E685" s="2" t="s">
        <v>737</v>
      </c>
      <c r="F685" s="2" t="s">
        <v>761</v>
      </c>
      <c r="G685" s="2" t="s">
        <v>3219</v>
      </c>
      <c r="H685" s="2" t="s">
        <v>3220</v>
      </c>
      <c r="I685" s="2" t="s">
        <v>716</v>
      </c>
      <c r="J685" s="2" t="s">
        <v>3221</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655</v>
      </c>
      <c r="C686" s="2" t="s">
        <v>658</v>
      </c>
      <c r="D686" s="2" t="s">
        <v>3222</v>
      </c>
      <c r="E686" s="2" t="s">
        <v>737</v>
      </c>
      <c r="F686" s="2" t="s">
        <v>761</v>
      </c>
      <c r="G686" s="2" t="s">
        <v>3223</v>
      </c>
      <c r="H686" s="2" t="s">
        <v>3224</v>
      </c>
      <c r="I686" s="2" t="s">
        <v>716</v>
      </c>
      <c r="J686" s="2" t="s">
        <v>3225</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655</v>
      </c>
      <c r="C687" s="2" t="s">
        <v>658</v>
      </c>
      <c r="D687" s="2" t="s">
        <v>3226</v>
      </c>
      <c r="E687" s="2" t="s">
        <v>737</v>
      </c>
      <c r="F687" s="2" t="s">
        <v>761</v>
      </c>
      <c r="G687" s="2" t="s">
        <v>3227</v>
      </c>
      <c r="H687" s="2" t="s">
        <v>3228</v>
      </c>
      <c r="I687" s="2" t="s">
        <v>716</v>
      </c>
      <c r="J687" s="2" t="s">
        <v>3229</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655</v>
      </c>
      <c r="C688" s="2" t="s">
        <v>658</v>
      </c>
      <c r="D688" s="2" t="s">
        <v>3230</v>
      </c>
      <c r="E688" s="2" t="s">
        <v>737</v>
      </c>
      <c r="F688" s="2" t="s">
        <v>761</v>
      </c>
      <c r="G688" s="2" t="s">
        <v>3231</v>
      </c>
      <c r="H688" s="2" t="s">
        <v>3232</v>
      </c>
      <c r="I688" s="2" t="s">
        <v>716</v>
      </c>
      <c r="J688" s="2" t="s">
        <v>3233</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655</v>
      </c>
      <c r="C689" s="2" t="s">
        <v>658</v>
      </c>
      <c r="D689" s="2" t="s">
        <v>3234</v>
      </c>
      <c r="E689" s="2" t="s">
        <v>737</v>
      </c>
      <c r="F689" s="2" t="s">
        <v>761</v>
      </c>
      <c r="G689" s="2" t="s">
        <v>2051</v>
      </c>
      <c r="H689" s="2" t="s">
        <v>3235</v>
      </c>
      <c r="I689" s="2" t="s">
        <v>716</v>
      </c>
      <c r="J689" s="2" t="s">
        <v>3236</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655</v>
      </c>
      <c r="C690" s="2" t="s">
        <v>658</v>
      </c>
      <c r="D690" s="2" t="s">
        <v>3237</v>
      </c>
      <c r="E690" s="2" t="s">
        <v>737</v>
      </c>
      <c r="F690" s="2" t="s">
        <v>761</v>
      </c>
      <c r="G690" s="2" t="s">
        <v>3238</v>
      </c>
      <c r="H690" s="2" t="s">
        <v>3239</v>
      </c>
      <c r="I690" s="2" t="s">
        <v>716</v>
      </c>
      <c r="J690" s="2" t="s">
        <v>3240</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655</v>
      </c>
      <c r="C691" s="2" t="s">
        <v>658</v>
      </c>
      <c r="D691" s="2" t="s">
        <v>3241</v>
      </c>
      <c r="E691" s="2" t="s">
        <v>737</v>
      </c>
      <c r="F691" s="2" t="s">
        <v>761</v>
      </c>
      <c r="G691" s="2" t="s">
        <v>647</v>
      </c>
      <c r="H691" s="2" t="s">
        <v>3242</v>
      </c>
      <c r="I691" s="2" t="s">
        <v>716</v>
      </c>
      <c r="J691" s="2" t="s">
        <v>3243</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655</v>
      </c>
      <c r="C692" s="2" t="s">
        <v>658</v>
      </c>
      <c r="D692" s="2" t="s">
        <v>3244</v>
      </c>
      <c r="E692" s="2" t="s">
        <v>737</v>
      </c>
      <c r="F692" s="2" t="s">
        <v>761</v>
      </c>
      <c r="G692" s="2" t="s">
        <v>647</v>
      </c>
      <c r="H692" s="2" t="s">
        <v>3245</v>
      </c>
      <c r="I692" s="2" t="s">
        <v>716</v>
      </c>
      <c r="J692" s="2" t="s">
        <v>3246</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655</v>
      </c>
      <c r="C693" s="2" t="s">
        <v>658</v>
      </c>
      <c r="D693" s="2" t="s">
        <v>3247</v>
      </c>
      <c r="E693" s="2" t="s">
        <v>737</v>
      </c>
      <c r="F693" s="2" t="s">
        <v>761</v>
      </c>
      <c r="G693" s="2" t="s">
        <v>2566</v>
      </c>
      <c r="H693" s="2" t="s">
        <v>3248</v>
      </c>
      <c r="I693" s="2" t="s">
        <v>716</v>
      </c>
      <c r="J693" s="2" t="s">
        <v>3249</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655</v>
      </c>
      <c r="C694" s="2" t="s">
        <v>658</v>
      </c>
      <c r="D694" s="2" t="s">
        <v>3250</v>
      </c>
      <c r="E694" s="2" t="s">
        <v>737</v>
      </c>
      <c r="F694" s="2" t="s">
        <v>761</v>
      </c>
      <c r="G694" s="2" t="s">
        <v>3251</v>
      </c>
      <c r="H694" s="2" t="s">
        <v>3252</v>
      </c>
      <c r="I694" s="2" t="s">
        <v>716</v>
      </c>
      <c r="J694" s="2" t="s">
        <v>3253</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655</v>
      </c>
      <c r="C695" s="2" t="s">
        <v>658</v>
      </c>
      <c r="D695" s="2" t="s">
        <v>3254</v>
      </c>
      <c r="E695" s="2" t="s">
        <v>737</v>
      </c>
      <c r="F695" s="2" t="s">
        <v>761</v>
      </c>
      <c r="G695" s="2" t="s">
        <v>3255</v>
      </c>
      <c r="H695" s="2" t="s">
        <v>3256</v>
      </c>
      <c r="I695" s="2" t="s">
        <v>716</v>
      </c>
      <c r="J695" s="2" t="s">
        <v>3257</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655</v>
      </c>
      <c r="C696" s="2" t="s">
        <v>658</v>
      </c>
      <c r="D696" s="2" t="s">
        <v>3258</v>
      </c>
      <c r="E696" s="2" t="s">
        <v>737</v>
      </c>
      <c r="F696" s="2" t="s">
        <v>761</v>
      </c>
      <c r="G696" s="2" t="s">
        <v>1602</v>
      </c>
      <c r="H696" s="2" t="s">
        <v>3259</v>
      </c>
      <c r="I696" s="2" t="s">
        <v>716</v>
      </c>
      <c r="J696" s="2" t="s">
        <v>3260</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655</v>
      </c>
      <c r="C697" s="2" t="s">
        <v>658</v>
      </c>
      <c r="D697" s="2" t="s">
        <v>3261</v>
      </c>
      <c r="E697" s="2" t="s">
        <v>737</v>
      </c>
      <c r="F697" s="2" t="s">
        <v>761</v>
      </c>
      <c r="G697" s="2" t="s">
        <v>3262</v>
      </c>
      <c r="H697" s="2" t="s">
        <v>3263</v>
      </c>
      <c r="I697" s="2" t="s">
        <v>716</v>
      </c>
      <c r="J697" s="2" t="s">
        <v>3264</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655</v>
      </c>
      <c r="C698" s="2" t="s">
        <v>658</v>
      </c>
      <c r="D698" s="2" t="s">
        <v>3265</v>
      </c>
      <c r="E698" s="2" t="s">
        <v>737</v>
      </c>
      <c r="F698" s="2" t="s">
        <v>761</v>
      </c>
      <c r="G698" s="2" t="s">
        <v>3266</v>
      </c>
      <c r="H698" s="2" t="s">
        <v>3267</v>
      </c>
      <c r="I698" s="2" t="s">
        <v>716</v>
      </c>
      <c r="J698" s="2" t="s">
        <v>3268</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655</v>
      </c>
      <c r="C699" s="2" t="s">
        <v>658</v>
      </c>
      <c r="D699" s="2" t="s">
        <v>3269</v>
      </c>
      <c r="E699" s="2" t="s">
        <v>737</v>
      </c>
      <c r="F699" s="2" t="s">
        <v>761</v>
      </c>
      <c r="G699" s="2" t="s">
        <v>3270</v>
      </c>
      <c r="H699" s="2" t="s">
        <v>3271</v>
      </c>
      <c r="I699" s="2" t="s">
        <v>716</v>
      </c>
      <c r="J699" s="2" t="s">
        <v>3272</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655</v>
      </c>
      <c r="C700" s="2" t="s">
        <v>658</v>
      </c>
      <c r="D700" s="2" t="s">
        <v>3273</v>
      </c>
      <c r="E700" s="2" t="s">
        <v>737</v>
      </c>
      <c r="F700" s="2" t="s">
        <v>761</v>
      </c>
      <c r="G700" s="2" t="s">
        <v>2460</v>
      </c>
      <c r="H700" s="2" t="s">
        <v>3274</v>
      </c>
      <c r="I700" s="2" t="s">
        <v>716</v>
      </c>
      <c r="J700" s="2" t="s">
        <v>3275</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655</v>
      </c>
      <c r="C701" s="2" t="s">
        <v>658</v>
      </c>
      <c r="D701" s="2" t="s">
        <v>3276</v>
      </c>
      <c r="E701" s="2" t="s">
        <v>737</v>
      </c>
      <c r="F701" s="2" t="s">
        <v>761</v>
      </c>
      <c r="G701" s="2" t="s">
        <v>3277</v>
      </c>
      <c r="H701" s="2" t="s">
        <v>3278</v>
      </c>
      <c r="I701" s="2" t="s">
        <v>716</v>
      </c>
      <c r="J701" s="2" t="s">
        <v>3279</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655</v>
      </c>
      <c r="C702" s="2" t="s">
        <v>658</v>
      </c>
      <c r="D702" s="2" t="s">
        <v>3280</v>
      </c>
      <c r="E702" s="2" t="s">
        <v>737</v>
      </c>
      <c r="F702" s="2" t="s">
        <v>761</v>
      </c>
      <c r="G702" s="2" t="s">
        <v>3281</v>
      </c>
      <c r="H702" s="2" t="s">
        <v>3282</v>
      </c>
      <c r="I702" s="2" t="s">
        <v>716</v>
      </c>
      <c r="J702" s="2" t="s">
        <v>3283</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655</v>
      </c>
      <c r="C703" s="2" t="s">
        <v>658</v>
      </c>
      <c r="D703" s="2" t="s">
        <v>3284</v>
      </c>
      <c r="E703" s="2" t="s">
        <v>737</v>
      </c>
      <c r="F703" s="2" t="s">
        <v>761</v>
      </c>
      <c r="G703" s="2" t="s">
        <v>3285</v>
      </c>
      <c r="H703" s="2" t="s">
        <v>3286</v>
      </c>
      <c r="I703" s="2" t="s">
        <v>716</v>
      </c>
      <c r="J703" s="2" t="s">
        <v>3287</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655</v>
      </c>
      <c r="C704" s="2" t="s">
        <v>658</v>
      </c>
      <c r="D704" s="2" t="s">
        <v>3288</v>
      </c>
      <c r="E704" s="2" t="s">
        <v>737</v>
      </c>
      <c r="F704" s="2" t="s">
        <v>761</v>
      </c>
      <c r="G704" s="2" t="s">
        <v>3289</v>
      </c>
      <c r="H704" s="2" t="s">
        <v>3290</v>
      </c>
      <c r="I704" s="2" t="s">
        <v>716</v>
      </c>
      <c r="J704" s="2" t="s">
        <v>3291</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655</v>
      </c>
      <c r="C705" s="2" t="s">
        <v>658</v>
      </c>
      <c r="D705" s="2" t="s">
        <v>3292</v>
      </c>
      <c r="E705" s="2" t="s">
        <v>737</v>
      </c>
      <c r="F705" s="2" t="s">
        <v>761</v>
      </c>
      <c r="G705" s="2" t="s">
        <v>3293</v>
      </c>
      <c r="H705" s="2" t="s">
        <v>3294</v>
      </c>
      <c r="I705" s="2" t="s">
        <v>716</v>
      </c>
      <c r="J705" s="2" t="s">
        <v>3295</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655</v>
      </c>
      <c r="C706" s="2" t="s">
        <v>658</v>
      </c>
      <c r="D706" s="2" t="s">
        <v>3296</v>
      </c>
      <c r="E706" s="2" t="s">
        <v>737</v>
      </c>
      <c r="F706" s="2" t="s">
        <v>761</v>
      </c>
      <c r="G706" s="2" t="s">
        <v>3297</v>
      </c>
      <c r="H706" s="2" t="s">
        <v>3298</v>
      </c>
      <c r="I706" s="2" t="s">
        <v>716</v>
      </c>
      <c r="J706" s="2" t="s">
        <v>3299</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655</v>
      </c>
      <c r="C707" s="2" t="s">
        <v>658</v>
      </c>
      <c r="D707" s="2" t="s">
        <v>3300</v>
      </c>
      <c r="E707" s="2" t="s">
        <v>737</v>
      </c>
      <c r="F707" s="2" t="s">
        <v>761</v>
      </c>
      <c r="G707" s="2" t="s">
        <v>3297</v>
      </c>
      <c r="H707" s="2" t="s">
        <v>3301</v>
      </c>
      <c r="I707" s="2" t="s">
        <v>716</v>
      </c>
      <c r="J707" s="2" t="s">
        <v>3302</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655</v>
      </c>
      <c r="C708" s="2" t="s">
        <v>658</v>
      </c>
      <c r="D708" s="2" t="s">
        <v>3303</v>
      </c>
      <c r="E708" s="2" t="s">
        <v>737</v>
      </c>
      <c r="F708" s="2" t="s">
        <v>761</v>
      </c>
      <c r="G708" s="2" t="s">
        <v>3304</v>
      </c>
      <c r="H708" s="2" t="s">
        <v>3305</v>
      </c>
      <c r="I708" s="2" t="s">
        <v>716</v>
      </c>
      <c r="J708" s="2" t="s">
        <v>3306</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655</v>
      </c>
      <c r="C709" s="2" t="s">
        <v>658</v>
      </c>
      <c r="D709" s="2" t="s">
        <v>3307</v>
      </c>
      <c r="E709" s="2" t="s">
        <v>737</v>
      </c>
      <c r="F709" s="2" t="s">
        <v>761</v>
      </c>
      <c r="G709" s="2" t="s">
        <v>3304</v>
      </c>
      <c r="H709" s="2" t="s">
        <v>3308</v>
      </c>
      <c r="I709" s="2" t="s">
        <v>716</v>
      </c>
      <c r="J709" s="2" t="s">
        <v>3309</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655</v>
      </c>
      <c r="C710" s="2" t="s">
        <v>658</v>
      </c>
      <c r="D710" s="2" t="s">
        <v>3310</v>
      </c>
      <c r="E710" s="2" t="s">
        <v>737</v>
      </c>
      <c r="F710" s="2" t="s">
        <v>761</v>
      </c>
      <c r="G710" s="2" t="s">
        <v>3311</v>
      </c>
      <c r="H710" s="2" t="s">
        <v>3312</v>
      </c>
      <c r="I710" s="2" t="s">
        <v>716</v>
      </c>
      <c r="J710" s="2" t="s">
        <v>3313</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655</v>
      </c>
      <c r="C711" s="2" t="s">
        <v>658</v>
      </c>
      <c r="D711" s="2" t="s">
        <v>3314</v>
      </c>
      <c r="E711" s="2" t="s">
        <v>737</v>
      </c>
      <c r="F711" s="2" t="s">
        <v>761</v>
      </c>
      <c r="G711" s="2" t="s">
        <v>2689</v>
      </c>
      <c r="H711" s="2" t="s">
        <v>3315</v>
      </c>
      <c r="I711" s="2" t="s">
        <v>716</v>
      </c>
      <c r="J711" s="2" t="s">
        <v>3316</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655</v>
      </c>
      <c r="C712" s="2" t="s">
        <v>658</v>
      </c>
      <c r="D712" s="2" t="s">
        <v>3317</v>
      </c>
      <c r="E712" s="2" t="s">
        <v>737</v>
      </c>
      <c r="F712" s="2" t="s">
        <v>761</v>
      </c>
      <c r="G712" s="2" t="s">
        <v>3318</v>
      </c>
      <c r="H712" s="2" t="s">
        <v>3319</v>
      </c>
      <c r="I712" s="2" t="s">
        <v>716</v>
      </c>
      <c r="J712" s="2" t="s">
        <v>3320</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655</v>
      </c>
      <c r="C713" s="2" t="s">
        <v>658</v>
      </c>
      <c r="D713" s="2" t="s">
        <v>3321</v>
      </c>
      <c r="E713" s="2" t="s">
        <v>737</v>
      </c>
      <c r="F713" s="2" t="s">
        <v>761</v>
      </c>
      <c r="G713" s="2" t="s">
        <v>3322</v>
      </c>
      <c r="H713" s="2" t="s">
        <v>3323</v>
      </c>
      <c r="I713" s="2" t="s">
        <v>716</v>
      </c>
      <c r="J713" s="2" t="s">
        <v>3324</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655</v>
      </c>
      <c r="C714" s="2" t="s">
        <v>658</v>
      </c>
      <c r="D714" s="2" t="s">
        <v>3325</v>
      </c>
      <c r="E714" s="2" t="s">
        <v>737</v>
      </c>
      <c r="F714" s="2" t="s">
        <v>761</v>
      </c>
      <c r="G714" s="2" t="s">
        <v>3322</v>
      </c>
      <c r="H714" s="2" t="s">
        <v>3326</v>
      </c>
      <c r="I714" s="2" t="s">
        <v>716</v>
      </c>
      <c r="J714" s="2" t="s">
        <v>3327</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655</v>
      </c>
      <c r="C715" s="2" t="s">
        <v>658</v>
      </c>
      <c r="D715" s="2" t="s">
        <v>3328</v>
      </c>
      <c r="E715" s="2" t="s">
        <v>737</v>
      </c>
      <c r="F715" s="2" t="s">
        <v>761</v>
      </c>
      <c r="G715" s="2" t="s">
        <v>3329</v>
      </c>
      <c r="H715" s="2" t="s">
        <v>3330</v>
      </c>
      <c r="I715" s="2" t="s">
        <v>716</v>
      </c>
      <c r="J715" s="2" t="s">
        <v>3331</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655</v>
      </c>
      <c r="C716" s="2" t="s">
        <v>658</v>
      </c>
      <c r="D716" s="2" t="s">
        <v>3332</v>
      </c>
      <c r="E716" s="2" t="s">
        <v>737</v>
      </c>
      <c r="F716" s="2" t="s">
        <v>761</v>
      </c>
      <c r="G716" s="2" t="s">
        <v>3333</v>
      </c>
      <c r="H716" s="2" t="s">
        <v>3334</v>
      </c>
      <c r="I716" s="2" t="s">
        <v>716</v>
      </c>
      <c r="J716" s="2" t="s">
        <v>3335</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655</v>
      </c>
      <c r="C717" s="2" t="s">
        <v>658</v>
      </c>
      <c r="D717" s="2" t="s">
        <v>3336</v>
      </c>
      <c r="E717" s="2" t="s">
        <v>737</v>
      </c>
      <c r="F717" s="2" t="s">
        <v>761</v>
      </c>
      <c r="G717" s="2" t="s">
        <v>3337</v>
      </c>
      <c r="H717" s="2" t="s">
        <v>3338</v>
      </c>
      <c r="I717" s="2" t="s">
        <v>716</v>
      </c>
      <c r="J717" s="2" t="s">
        <v>3339</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655</v>
      </c>
      <c r="C718" s="2" t="s">
        <v>658</v>
      </c>
      <c r="D718" s="2" t="s">
        <v>3340</v>
      </c>
      <c r="E718" s="2" t="s">
        <v>737</v>
      </c>
      <c r="F718" s="2" t="s">
        <v>761</v>
      </c>
      <c r="G718" s="2" t="s">
        <v>3341</v>
      </c>
      <c r="H718" s="2" t="s">
        <v>3342</v>
      </c>
      <c r="I718" s="2" t="s">
        <v>716</v>
      </c>
      <c r="J718" s="2" t="s">
        <v>3343</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655</v>
      </c>
      <c r="C719" s="2" t="s">
        <v>658</v>
      </c>
      <c r="D719" s="2" t="s">
        <v>3344</v>
      </c>
      <c r="E719" s="2" t="s">
        <v>737</v>
      </c>
      <c r="F719" s="2" t="s">
        <v>761</v>
      </c>
      <c r="G719" s="2" t="s">
        <v>3345</v>
      </c>
      <c r="H719" s="2" t="s">
        <v>3346</v>
      </c>
      <c r="I719" s="2" t="s">
        <v>716</v>
      </c>
      <c r="J719" s="2" t="s">
        <v>3347</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655</v>
      </c>
      <c r="C720" s="2" t="s">
        <v>658</v>
      </c>
      <c r="D720" s="2" t="s">
        <v>3348</v>
      </c>
      <c r="E720" s="2" t="s">
        <v>737</v>
      </c>
      <c r="F720" s="2" t="s">
        <v>761</v>
      </c>
      <c r="G720" s="2" t="s">
        <v>3349</v>
      </c>
      <c r="H720" s="2" t="s">
        <v>3350</v>
      </c>
      <c r="I720" s="2" t="s">
        <v>716</v>
      </c>
      <c r="J720" s="2" t="s">
        <v>3351</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655</v>
      </c>
      <c r="C721" s="2" t="s">
        <v>658</v>
      </c>
      <c r="D721" s="2" t="s">
        <v>3352</v>
      </c>
      <c r="E721" s="2" t="s">
        <v>737</v>
      </c>
      <c r="F721" s="2" t="s">
        <v>761</v>
      </c>
      <c r="G721" s="2" t="s">
        <v>2145</v>
      </c>
      <c r="H721" s="2" t="s">
        <v>3353</v>
      </c>
      <c r="I721" s="2" t="s">
        <v>716</v>
      </c>
      <c r="J721" s="2" t="s">
        <v>3354</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655</v>
      </c>
      <c r="C722" s="2" t="s">
        <v>658</v>
      </c>
      <c r="D722" s="2" t="s">
        <v>3355</v>
      </c>
      <c r="E722" s="2" t="s">
        <v>737</v>
      </c>
      <c r="F722" s="2" t="s">
        <v>761</v>
      </c>
      <c r="G722" s="2" t="s">
        <v>3356</v>
      </c>
      <c r="H722" s="2" t="s">
        <v>3357</v>
      </c>
      <c r="I722" s="2" t="s">
        <v>716</v>
      </c>
      <c r="J722" s="2" t="s">
        <v>3358</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655</v>
      </c>
      <c r="C723" s="2" t="s">
        <v>658</v>
      </c>
      <c r="D723" s="2" t="s">
        <v>3359</v>
      </c>
      <c r="E723" s="2" t="s">
        <v>737</v>
      </c>
      <c r="F723" s="2" t="s">
        <v>761</v>
      </c>
      <c r="G723" s="2" t="s">
        <v>2735</v>
      </c>
      <c r="H723" s="2" t="s">
        <v>3360</v>
      </c>
      <c r="I723" s="2" t="s">
        <v>716</v>
      </c>
      <c r="J723" s="2" t="s">
        <v>3361</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655</v>
      </c>
      <c r="C724" s="2" t="s">
        <v>658</v>
      </c>
      <c r="D724" s="2" t="s">
        <v>3362</v>
      </c>
      <c r="E724" s="2" t="s">
        <v>737</v>
      </c>
      <c r="F724" s="2" t="s">
        <v>761</v>
      </c>
      <c r="G724" s="2" t="s">
        <v>2548</v>
      </c>
      <c r="H724" s="2" t="s">
        <v>3363</v>
      </c>
      <c r="I724" s="2" t="s">
        <v>716</v>
      </c>
      <c r="J724" s="2" t="s">
        <v>3364</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655</v>
      </c>
      <c r="C725" s="2" t="s">
        <v>658</v>
      </c>
      <c r="D725" s="2" t="s">
        <v>3365</v>
      </c>
      <c r="E725" s="2" t="s">
        <v>737</v>
      </c>
      <c r="F725" s="2" t="s">
        <v>761</v>
      </c>
      <c r="G725" s="2" t="s">
        <v>3366</v>
      </c>
      <c r="H725" s="2" t="s">
        <v>3367</v>
      </c>
      <c r="I725" s="2" t="s">
        <v>716</v>
      </c>
      <c r="J725" s="2" t="s">
        <v>3368</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655</v>
      </c>
      <c r="C726" s="2" t="s">
        <v>658</v>
      </c>
      <c r="D726" s="2" t="s">
        <v>3369</v>
      </c>
      <c r="E726" s="2" t="s">
        <v>737</v>
      </c>
      <c r="F726" s="2" t="s">
        <v>761</v>
      </c>
      <c r="G726" s="2" t="s">
        <v>3366</v>
      </c>
      <c r="H726" s="2" t="s">
        <v>3370</v>
      </c>
      <c r="I726" s="2" t="s">
        <v>716</v>
      </c>
      <c r="J726" s="2" t="s">
        <v>3371</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655</v>
      </c>
      <c r="C727" s="2" t="s">
        <v>658</v>
      </c>
      <c r="D727" s="2" t="s">
        <v>3372</v>
      </c>
      <c r="E727" s="2" t="s">
        <v>737</v>
      </c>
      <c r="F727" s="2" t="s">
        <v>761</v>
      </c>
      <c r="G727" s="2" t="s">
        <v>1750</v>
      </c>
      <c r="H727" s="2" t="s">
        <v>3373</v>
      </c>
      <c r="I727" s="2" t="s">
        <v>716</v>
      </c>
      <c r="J727" s="2" t="s">
        <v>3374</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655</v>
      </c>
      <c r="C728" s="2" t="s">
        <v>658</v>
      </c>
      <c r="D728" s="2" t="s">
        <v>3375</v>
      </c>
      <c r="E728" s="2" t="s">
        <v>737</v>
      </c>
      <c r="F728" s="2" t="s">
        <v>761</v>
      </c>
      <c r="G728" s="2" t="s">
        <v>1750</v>
      </c>
      <c r="H728" s="2" t="s">
        <v>3376</v>
      </c>
      <c r="I728" s="2" t="s">
        <v>716</v>
      </c>
      <c r="J728" s="2" t="s">
        <v>3377</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655</v>
      </c>
      <c r="C729" s="2" t="s">
        <v>658</v>
      </c>
      <c r="D729" s="2" t="s">
        <v>3378</v>
      </c>
      <c r="E729" s="2" t="s">
        <v>737</v>
      </c>
      <c r="F729" s="2" t="s">
        <v>761</v>
      </c>
      <c r="G729" s="2" t="s">
        <v>3379</v>
      </c>
      <c r="H729" s="2" t="s">
        <v>3380</v>
      </c>
      <c r="I729" s="2" t="s">
        <v>716</v>
      </c>
      <c r="J729" s="2" t="s">
        <v>3381</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655</v>
      </c>
      <c r="C730" s="2" t="s">
        <v>658</v>
      </c>
      <c r="D730" s="2" t="s">
        <v>3382</v>
      </c>
      <c r="E730" s="2" t="s">
        <v>737</v>
      </c>
      <c r="F730" s="2" t="s">
        <v>761</v>
      </c>
      <c r="G730" s="2" t="s">
        <v>3383</v>
      </c>
      <c r="H730" s="2" t="s">
        <v>3384</v>
      </c>
      <c r="I730" s="2" t="s">
        <v>716</v>
      </c>
      <c r="J730" s="2" t="s">
        <v>3385</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655</v>
      </c>
      <c r="C731" s="2" t="s">
        <v>658</v>
      </c>
      <c r="D731" s="2" t="s">
        <v>3386</v>
      </c>
      <c r="E731" s="2" t="s">
        <v>737</v>
      </c>
      <c r="F731" s="2" t="s">
        <v>761</v>
      </c>
      <c r="G731" s="2" t="s">
        <v>3383</v>
      </c>
      <c r="H731" s="2" t="s">
        <v>3387</v>
      </c>
      <c r="I731" s="2" t="s">
        <v>716</v>
      </c>
      <c r="J731" s="2" t="s">
        <v>3388</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655</v>
      </c>
      <c r="C732" s="2" t="s">
        <v>658</v>
      </c>
      <c r="D732" s="2" t="s">
        <v>3389</v>
      </c>
      <c r="E732" s="2" t="s">
        <v>737</v>
      </c>
      <c r="F732" s="2" t="s">
        <v>761</v>
      </c>
      <c r="G732" s="2" t="s">
        <v>3390</v>
      </c>
      <c r="H732" s="2" t="s">
        <v>3391</v>
      </c>
      <c r="I732" s="2" t="s">
        <v>716</v>
      </c>
      <c r="J732" s="2" t="s">
        <v>3392</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655</v>
      </c>
      <c r="C733" s="2" t="s">
        <v>658</v>
      </c>
      <c r="D733" s="2" t="s">
        <v>3393</v>
      </c>
      <c r="E733" s="2" t="s">
        <v>737</v>
      </c>
      <c r="F733" s="2" t="s">
        <v>761</v>
      </c>
      <c r="G733" s="2" t="s">
        <v>3394</v>
      </c>
      <c r="H733" s="2" t="s">
        <v>3395</v>
      </c>
      <c r="I733" s="2" t="s">
        <v>716</v>
      </c>
      <c r="J733" s="2" t="s">
        <v>3396</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655</v>
      </c>
      <c r="C734" s="2" t="s">
        <v>658</v>
      </c>
      <c r="D734" s="2" t="s">
        <v>3397</v>
      </c>
      <c r="E734" s="2" t="s">
        <v>737</v>
      </c>
      <c r="F734" s="2" t="s">
        <v>761</v>
      </c>
      <c r="G734" s="2" t="s">
        <v>3398</v>
      </c>
      <c r="H734" s="2" t="s">
        <v>3399</v>
      </c>
      <c r="I734" s="2" t="s">
        <v>716</v>
      </c>
      <c r="J734" s="2" t="s">
        <v>3400</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655</v>
      </c>
      <c r="C735" s="2" t="s">
        <v>658</v>
      </c>
      <c r="D735" s="2" t="s">
        <v>3401</v>
      </c>
      <c r="E735" s="2" t="s">
        <v>737</v>
      </c>
      <c r="F735" s="2" t="s">
        <v>761</v>
      </c>
      <c r="G735" s="2" t="s">
        <v>2293</v>
      </c>
      <c r="H735" s="2" t="s">
        <v>3402</v>
      </c>
      <c r="I735" s="2" t="s">
        <v>716</v>
      </c>
      <c r="J735" s="2" t="s">
        <v>3403</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655</v>
      </c>
      <c r="C736" s="2" t="s">
        <v>658</v>
      </c>
      <c r="D736" s="2" t="s">
        <v>3404</v>
      </c>
      <c r="E736" s="2" t="s">
        <v>737</v>
      </c>
      <c r="F736" s="2" t="s">
        <v>761</v>
      </c>
      <c r="G736" s="2" t="s">
        <v>3405</v>
      </c>
      <c r="H736" s="2" t="s">
        <v>3406</v>
      </c>
      <c r="I736" s="2" t="s">
        <v>716</v>
      </c>
      <c r="J736" s="2" t="s">
        <v>3407</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655</v>
      </c>
      <c r="C737" s="2" t="s">
        <v>658</v>
      </c>
      <c r="D737" s="2" t="s">
        <v>3408</v>
      </c>
      <c r="E737" s="2" t="s">
        <v>737</v>
      </c>
      <c r="F737" s="2" t="s">
        <v>761</v>
      </c>
      <c r="G737" s="2" t="s">
        <v>3409</v>
      </c>
      <c r="H737" s="2" t="s">
        <v>3410</v>
      </c>
      <c r="I737" s="2" t="s">
        <v>716</v>
      </c>
      <c r="J737" s="2" t="s">
        <v>3411</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655</v>
      </c>
      <c r="C738" s="2" t="s">
        <v>658</v>
      </c>
      <c r="D738" s="2" t="s">
        <v>3412</v>
      </c>
      <c r="E738" s="2" t="s">
        <v>737</v>
      </c>
      <c r="F738" s="2" t="s">
        <v>761</v>
      </c>
      <c r="G738" s="2" t="s">
        <v>2739</v>
      </c>
      <c r="H738" s="2" t="s">
        <v>3413</v>
      </c>
      <c r="I738" s="2" t="s">
        <v>716</v>
      </c>
      <c r="J738" s="2" t="s">
        <v>3414</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655</v>
      </c>
      <c r="C739" s="2" t="s">
        <v>658</v>
      </c>
      <c r="D739" s="2" t="s">
        <v>3415</v>
      </c>
      <c r="E739" s="2" t="s">
        <v>737</v>
      </c>
      <c r="F739" s="2" t="s">
        <v>761</v>
      </c>
      <c r="G739" s="2" t="s">
        <v>3416</v>
      </c>
      <c r="H739" s="2" t="s">
        <v>3417</v>
      </c>
      <c r="I739" s="2" t="s">
        <v>716</v>
      </c>
      <c r="J739" s="2" t="s">
        <v>3418</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655</v>
      </c>
      <c r="C740" s="2" t="s">
        <v>658</v>
      </c>
      <c r="D740" s="2" t="s">
        <v>3419</v>
      </c>
      <c r="E740" s="2" t="s">
        <v>737</v>
      </c>
      <c r="F740" s="2" t="s">
        <v>761</v>
      </c>
      <c r="G740" s="2" t="s">
        <v>2529</v>
      </c>
      <c r="H740" s="2" t="s">
        <v>3420</v>
      </c>
      <c r="I740" s="2" t="s">
        <v>716</v>
      </c>
      <c r="J740" s="2" t="s">
        <v>3421</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655</v>
      </c>
      <c r="C741" s="2" t="s">
        <v>658</v>
      </c>
      <c r="D741" s="2" t="s">
        <v>3422</v>
      </c>
      <c r="E741" s="2" t="s">
        <v>737</v>
      </c>
      <c r="F741" s="2" t="s">
        <v>761</v>
      </c>
      <c r="G741" s="2" t="s">
        <v>2529</v>
      </c>
      <c r="H741" s="2" t="s">
        <v>3423</v>
      </c>
      <c r="I741" s="2" t="s">
        <v>716</v>
      </c>
      <c r="J741" s="2" t="s">
        <v>3424</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655</v>
      </c>
      <c r="C742" s="2" t="s">
        <v>658</v>
      </c>
      <c r="D742" s="2" t="s">
        <v>3425</v>
      </c>
      <c r="E742" s="2" t="s">
        <v>737</v>
      </c>
      <c r="F742" s="2" t="s">
        <v>761</v>
      </c>
      <c r="G742" s="2" t="s">
        <v>3426</v>
      </c>
      <c r="H742" s="2" t="s">
        <v>3427</v>
      </c>
      <c r="I742" s="2" t="s">
        <v>716</v>
      </c>
      <c r="J742" s="2" t="s">
        <v>3428</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655</v>
      </c>
      <c r="C743" s="2" t="s">
        <v>658</v>
      </c>
      <c r="D743" s="2" t="s">
        <v>3429</v>
      </c>
      <c r="E743" s="2" t="s">
        <v>737</v>
      </c>
      <c r="F743" s="2" t="s">
        <v>761</v>
      </c>
      <c r="G743" s="2" t="s">
        <v>3426</v>
      </c>
      <c r="H743" s="2" t="s">
        <v>3430</v>
      </c>
      <c r="I743" s="2" t="s">
        <v>716</v>
      </c>
      <c r="J743" s="2" t="s">
        <v>3431</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655</v>
      </c>
      <c r="C744" s="2" t="s">
        <v>658</v>
      </c>
      <c r="D744" s="2" t="s">
        <v>3432</v>
      </c>
      <c r="E744" s="2" t="s">
        <v>737</v>
      </c>
      <c r="F744" s="2" t="s">
        <v>761</v>
      </c>
      <c r="G744" s="2" t="s">
        <v>3433</v>
      </c>
      <c r="H744" s="2" t="s">
        <v>3434</v>
      </c>
      <c r="I744" s="2" t="s">
        <v>716</v>
      </c>
      <c r="J744" s="2" t="s">
        <v>3435</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655</v>
      </c>
      <c r="C745" s="2" t="s">
        <v>658</v>
      </c>
      <c r="D745" s="2" t="s">
        <v>3436</v>
      </c>
      <c r="E745" s="2" t="s">
        <v>737</v>
      </c>
      <c r="F745" s="2" t="s">
        <v>761</v>
      </c>
      <c r="G745" s="2" t="s">
        <v>3433</v>
      </c>
      <c r="H745" s="2" t="s">
        <v>3437</v>
      </c>
      <c r="I745" s="2" t="s">
        <v>716</v>
      </c>
      <c r="J745" s="2" t="s">
        <v>3438</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655</v>
      </c>
      <c r="C746" s="2" t="s">
        <v>658</v>
      </c>
      <c r="D746" s="2" t="s">
        <v>3439</v>
      </c>
      <c r="E746" s="2" t="s">
        <v>737</v>
      </c>
      <c r="F746" s="2" t="s">
        <v>761</v>
      </c>
      <c r="G746" s="2" t="s">
        <v>3440</v>
      </c>
      <c r="H746" s="2" t="s">
        <v>3441</v>
      </c>
      <c r="I746" s="2" t="s">
        <v>716</v>
      </c>
      <c r="J746" s="2" t="s">
        <v>3442</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655</v>
      </c>
      <c r="C747" s="2" t="s">
        <v>658</v>
      </c>
      <c r="D747" s="2" t="s">
        <v>3443</v>
      </c>
      <c r="E747" s="2" t="s">
        <v>737</v>
      </c>
      <c r="F747" s="2" t="s">
        <v>761</v>
      </c>
      <c r="G747" s="2" t="s">
        <v>3444</v>
      </c>
      <c r="H747" s="2" t="s">
        <v>3445</v>
      </c>
      <c r="I747" s="2" t="s">
        <v>716</v>
      </c>
      <c r="J747" s="2" t="s">
        <v>3446</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655</v>
      </c>
      <c r="C748" s="2" t="s">
        <v>658</v>
      </c>
      <c r="D748" s="2" t="s">
        <v>3447</v>
      </c>
      <c r="E748" s="2" t="s">
        <v>737</v>
      </c>
      <c r="F748" s="2" t="s">
        <v>761</v>
      </c>
      <c r="G748" s="2" t="s">
        <v>3448</v>
      </c>
      <c r="H748" s="2" t="s">
        <v>3449</v>
      </c>
      <c r="I748" s="2" t="s">
        <v>716</v>
      </c>
      <c r="J748" s="2" t="s">
        <v>3450</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667</v>
      </c>
      <c r="C749" s="2" t="s">
        <v>670</v>
      </c>
      <c r="D749" s="2" t="s">
        <v>3451</v>
      </c>
      <c r="E749" s="2" t="s">
        <v>737</v>
      </c>
      <c r="F749" s="2" t="s">
        <v>738</v>
      </c>
      <c r="G749" s="2" t="s">
        <v>2798</v>
      </c>
      <c r="H749" s="2" t="s">
        <v>3452</v>
      </c>
      <c r="I749" s="2" t="s">
        <v>716</v>
      </c>
      <c r="J749" s="2" t="s">
        <v>3453</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667</v>
      </c>
      <c r="C750" s="2" t="s">
        <v>670</v>
      </c>
      <c r="D750" s="2" t="s">
        <v>3454</v>
      </c>
      <c r="E750" s="2" t="s">
        <v>743</v>
      </c>
      <c r="F750" s="2" t="s">
        <v>744</v>
      </c>
      <c r="G750" s="2" t="s">
        <v>3455</v>
      </c>
      <c r="H750" s="2" t="s">
        <v>3456</v>
      </c>
      <c r="I750" s="2" t="s">
        <v>716</v>
      </c>
      <c r="J750" s="2" t="s">
        <v>3457</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667</v>
      </c>
      <c r="C751" s="2" t="s">
        <v>670</v>
      </c>
      <c r="D751" s="2" t="s">
        <v>3458</v>
      </c>
      <c r="E751" s="2" t="s">
        <v>743</v>
      </c>
      <c r="F751" s="2" t="s">
        <v>744</v>
      </c>
      <c r="G751" s="2" t="s">
        <v>3459</v>
      </c>
      <c r="H751" s="2" t="s">
        <v>3460</v>
      </c>
      <c r="I751" s="2" t="s">
        <v>716</v>
      </c>
      <c r="J751" s="2" t="s">
        <v>3461</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667</v>
      </c>
      <c r="C752" s="2" t="s">
        <v>670</v>
      </c>
      <c r="D752" s="2" t="s">
        <v>3462</v>
      </c>
      <c r="E752" s="2" t="s">
        <v>743</v>
      </c>
      <c r="F752" s="2" t="s">
        <v>744</v>
      </c>
      <c r="G752" s="2" t="s">
        <v>3463</v>
      </c>
      <c r="H752" s="2" t="s">
        <v>3464</v>
      </c>
      <c r="I752" s="2" t="s">
        <v>716</v>
      </c>
      <c r="J752" s="2" t="s">
        <v>3465</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667</v>
      </c>
      <c r="C753" s="2" t="s">
        <v>670</v>
      </c>
      <c r="D753" s="2" t="s">
        <v>3466</v>
      </c>
      <c r="E753" s="2" t="s">
        <v>743</v>
      </c>
      <c r="F753" s="2" t="s">
        <v>744</v>
      </c>
      <c r="G753" s="2" t="s">
        <v>3467</v>
      </c>
      <c r="H753" s="2" t="s">
        <v>3468</v>
      </c>
      <c r="I753" s="2" t="s">
        <v>716</v>
      </c>
      <c r="J753" s="2" t="s">
        <v>3469</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667</v>
      </c>
      <c r="C754" s="2" t="s">
        <v>670</v>
      </c>
      <c r="D754" s="2" t="s">
        <v>3470</v>
      </c>
      <c r="E754" s="2" t="s">
        <v>737</v>
      </c>
      <c r="F754" s="2" t="s">
        <v>761</v>
      </c>
      <c r="G754" s="2" t="s">
        <v>3471</v>
      </c>
      <c r="H754" s="2" t="s">
        <v>3472</v>
      </c>
      <c r="I754" s="2" t="s">
        <v>716</v>
      </c>
      <c r="J754" s="2" t="s">
        <v>3473</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667</v>
      </c>
      <c r="C755" s="2" t="s">
        <v>670</v>
      </c>
      <c r="D755" s="2" t="s">
        <v>3474</v>
      </c>
      <c r="E755" s="2" t="s">
        <v>743</v>
      </c>
      <c r="F755" s="2" t="s">
        <v>744</v>
      </c>
      <c r="G755" s="2" t="s">
        <v>3475</v>
      </c>
      <c r="H755" s="2" t="s">
        <v>3476</v>
      </c>
      <c r="I755" s="2" t="s">
        <v>716</v>
      </c>
      <c r="J755" s="2" t="s">
        <v>3477</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673</v>
      </c>
      <c r="C756" s="2" t="s">
        <v>676</v>
      </c>
      <c r="D756" s="2" t="s">
        <v>3478</v>
      </c>
      <c r="E756" s="2" t="s">
        <v>737</v>
      </c>
      <c r="F756" s="2" t="s">
        <v>761</v>
      </c>
      <c r="G756" s="2" t="s">
        <v>3479</v>
      </c>
      <c r="H756" s="2" t="s">
        <v>3480</v>
      </c>
      <c r="I756" s="2" t="s">
        <v>716</v>
      </c>
      <c r="J756" s="2" t="s">
        <v>3481</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684</v>
      </c>
      <c r="C757" s="2" t="s">
        <v>687</v>
      </c>
      <c r="D757" s="2" t="s">
        <v>3482</v>
      </c>
      <c r="E757" s="2" t="s">
        <v>743</v>
      </c>
      <c r="F757" s="2" t="s">
        <v>744</v>
      </c>
      <c r="G757" s="2" t="s">
        <v>3483</v>
      </c>
      <c r="H757" s="2" t="s">
        <v>3484</v>
      </c>
      <c r="I757" s="2" t="s">
        <v>716</v>
      </c>
      <c r="J757" s="2" t="s">
        <v>3485</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684</v>
      </c>
      <c r="C758" s="2" t="s">
        <v>687</v>
      </c>
      <c r="D758" s="2" t="s">
        <v>3486</v>
      </c>
      <c r="E758" s="2" t="s">
        <v>737</v>
      </c>
      <c r="F758" s="2" t="s">
        <v>738</v>
      </c>
      <c r="G758" s="2" t="s">
        <v>3487</v>
      </c>
      <c r="H758" s="2" t="s">
        <v>3488</v>
      </c>
      <c r="I758" s="2" t="s">
        <v>716</v>
      </c>
      <c r="J758" s="2" t="s">
        <v>3489</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684</v>
      </c>
      <c r="C759" s="2" t="s">
        <v>687</v>
      </c>
      <c r="D759" s="2" t="s">
        <v>3490</v>
      </c>
      <c r="E759" s="2" t="s">
        <v>737</v>
      </c>
      <c r="F759" s="2" t="s">
        <v>761</v>
      </c>
      <c r="G759" s="2" t="s">
        <v>3491</v>
      </c>
      <c r="H759" s="2" t="s">
        <v>3492</v>
      </c>
      <c r="I759" s="2" t="s">
        <v>716</v>
      </c>
      <c r="J759" s="2" t="s">
        <v>3493</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684</v>
      </c>
      <c r="C760" s="2" t="s">
        <v>687</v>
      </c>
      <c r="D760" s="2" t="s">
        <v>3494</v>
      </c>
      <c r="E760" s="2" t="s">
        <v>737</v>
      </c>
      <c r="F760" s="2" t="s">
        <v>738</v>
      </c>
      <c r="G760" s="2" t="s">
        <v>3495</v>
      </c>
      <c r="H760" s="2" t="s">
        <v>3496</v>
      </c>
      <c r="I760" s="2" t="s">
        <v>716</v>
      </c>
      <c r="J760" s="2" t="s">
        <v>3497</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690</v>
      </c>
      <c r="C761" s="2" t="s">
        <v>693</v>
      </c>
      <c r="D761" s="2" t="s">
        <v>3498</v>
      </c>
      <c r="E761" s="2" t="s">
        <v>743</v>
      </c>
      <c r="F761" s="2" t="s">
        <v>744</v>
      </c>
      <c r="G761" s="2" t="s">
        <v>3499</v>
      </c>
      <c r="H761" s="2" t="s">
        <v>3500</v>
      </c>
      <c r="I761" s="2" t="s">
        <v>716</v>
      </c>
      <c r="J761" s="2" t="s">
        <v>3501</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690</v>
      </c>
      <c r="C762" s="2" t="s">
        <v>693</v>
      </c>
      <c r="D762" s="2" t="s">
        <v>3502</v>
      </c>
      <c r="E762" s="2" t="s">
        <v>737</v>
      </c>
      <c r="F762" s="2" t="s">
        <v>738</v>
      </c>
      <c r="G762" s="2" t="s">
        <v>3503</v>
      </c>
      <c r="H762" s="2" t="s">
        <v>3504</v>
      </c>
      <c r="I762" s="2" t="s">
        <v>716</v>
      </c>
      <c r="J762" s="2" t="s">
        <v>3505</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690</v>
      </c>
      <c r="C763" s="2" t="s">
        <v>693</v>
      </c>
      <c r="D763" s="2" t="s">
        <v>3506</v>
      </c>
      <c r="E763" s="2" t="s">
        <v>743</v>
      </c>
      <c r="F763" s="2" t="s">
        <v>744</v>
      </c>
      <c r="G763" s="2" t="s">
        <v>3507</v>
      </c>
      <c r="H763" s="2" t="s">
        <v>3508</v>
      </c>
      <c r="I763" s="2" t="s">
        <v>716</v>
      </c>
      <c r="J763" s="2" t="s">
        <v>3509</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690</v>
      </c>
      <c r="C764" s="2" t="s">
        <v>693</v>
      </c>
      <c r="D764" s="2" t="s">
        <v>3510</v>
      </c>
      <c r="E764" s="2" t="s">
        <v>743</v>
      </c>
      <c r="F764" s="2" t="s">
        <v>744</v>
      </c>
      <c r="G764" s="2" t="s">
        <v>3085</v>
      </c>
      <c r="H764" s="2" t="s">
        <v>3511</v>
      </c>
      <c r="I764" s="2" t="s">
        <v>716</v>
      </c>
      <c r="J764" s="2" t="s">
        <v>3512</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690</v>
      </c>
      <c r="C765" s="2" t="s">
        <v>693</v>
      </c>
      <c r="D765" s="2" t="s">
        <v>3513</v>
      </c>
      <c r="E765" s="2" t="s">
        <v>737</v>
      </c>
      <c r="F765" s="2" t="s">
        <v>761</v>
      </c>
      <c r="G765" s="2" t="s">
        <v>3514</v>
      </c>
      <c r="H765" s="2" t="s">
        <v>3515</v>
      </c>
      <c r="I765" s="2" t="s">
        <v>716</v>
      </c>
      <c r="J765" s="2" t="s">
        <v>3516</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690</v>
      </c>
      <c r="C766" s="2" t="s">
        <v>693</v>
      </c>
      <c r="D766" s="2" t="s">
        <v>3517</v>
      </c>
      <c r="E766" s="2" t="s">
        <v>737</v>
      </c>
      <c r="F766" s="2" t="s">
        <v>738</v>
      </c>
      <c r="G766" s="2" t="s">
        <v>3518</v>
      </c>
      <c r="H766" s="2" t="s">
        <v>3519</v>
      </c>
      <c r="I766" s="2" t="s">
        <v>716</v>
      </c>
      <c r="J766" s="2" t="s">
        <v>3520</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690</v>
      </c>
      <c r="C767" s="2" t="s">
        <v>693</v>
      </c>
      <c r="D767" s="2" t="s">
        <v>3521</v>
      </c>
      <c r="E767" s="2" t="s">
        <v>737</v>
      </c>
      <c r="F767" s="2" t="s">
        <v>761</v>
      </c>
      <c r="G767" s="2" t="s">
        <v>3522</v>
      </c>
      <c r="H767" s="2" t="s">
        <v>3523</v>
      </c>
      <c r="I767" s="2" t="s">
        <v>716</v>
      </c>
      <c r="J767" s="2" t="s">
        <v>3524</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690</v>
      </c>
      <c r="C768" s="2" t="s">
        <v>693</v>
      </c>
      <c r="D768" s="2" t="s">
        <v>3525</v>
      </c>
      <c r="E768" s="2" t="s">
        <v>743</v>
      </c>
      <c r="F768" s="2" t="s">
        <v>744</v>
      </c>
      <c r="G768" s="2" t="s">
        <v>3526</v>
      </c>
      <c r="H768" s="2" t="s">
        <v>3527</v>
      </c>
      <c r="I768" s="2" t="s">
        <v>716</v>
      </c>
      <c r="J768" s="2" t="s">
        <v>3528</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690</v>
      </c>
      <c r="C769" s="2" t="s">
        <v>693</v>
      </c>
      <c r="D769" s="2" t="s">
        <v>3529</v>
      </c>
      <c r="E769" s="2" t="s">
        <v>743</v>
      </c>
      <c r="F769" s="2" t="s">
        <v>744</v>
      </c>
      <c r="G769" s="2" t="s">
        <v>2681</v>
      </c>
      <c r="H769" s="2" t="s">
        <v>3530</v>
      </c>
      <c r="I769" s="2" t="s">
        <v>716</v>
      </c>
      <c r="J769" s="2" t="s">
        <v>3531</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690</v>
      </c>
      <c r="C770" s="2" t="s">
        <v>693</v>
      </c>
      <c r="D770" s="2" t="s">
        <v>3532</v>
      </c>
      <c r="E770" s="2" t="s">
        <v>737</v>
      </c>
      <c r="F770" s="2" t="s">
        <v>761</v>
      </c>
      <c r="G770" s="2" t="s">
        <v>3533</v>
      </c>
      <c r="H770" s="2" t="s">
        <v>3534</v>
      </c>
      <c r="I770" s="2" t="s">
        <v>716</v>
      </c>
      <c r="J770" s="2" t="s">
        <v>3535</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690</v>
      </c>
      <c r="C771" s="2" t="s">
        <v>693</v>
      </c>
      <c r="D771" s="2" t="s">
        <v>3536</v>
      </c>
      <c r="E771" s="2" t="s">
        <v>737</v>
      </c>
      <c r="F771" s="2" t="s">
        <v>761</v>
      </c>
      <c r="G771" s="2" t="s">
        <v>3533</v>
      </c>
      <c r="H771" s="2" t="s">
        <v>3537</v>
      </c>
      <c r="I771" s="2" t="s">
        <v>716</v>
      </c>
      <c r="J771" s="2" t="s">
        <v>3538</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702</v>
      </c>
      <c r="B1" s="1" t="s">
        <v>703</v>
      </c>
      <c r="C1" s="1" t="s">
        <v>704</v>
      </c>
      <c r="D1" s="1" t="s">
        <v>3539</v>
      </c>
      <c r="E1" s="1" t="s">
        <v>708</v>
      </c>
      <c r="F1" s="1" t="s">
        <v>709</v>
      </c>
      <c r="G1" s="1" t="s">
        <v>9</v>
      </c>
      <c r="H1" s="1" t="s">
        <v>39</v>
      </c>
    </row>
    <row r="2" customFormat="false" ht="15" hidden="false" customHeight="false" outlineLevel="0" collapsed="false">
      <c r="A2" s="2" t="n">
        <v>64</v>
      </c>
      <c r="B2" s="2" t="s">
        <v>405</v>
      </c>
      <c r="C2" s="2" t="s">
        <v>408</v>
      </c>
      <c r="D2" s="2" t="s">
        <v>3540</v>
      </c>
      <c r="E2" s="2" t="s">
        <v>3541</v>
      </c>
      <c r="F2" s="2" t="s">
        <v>3542</v>
      </c>
      <c r="G2" s="2" t="s">
        <v>3543</v>
      </c>
      <c r="H2" s="2" t="s">
        <v>3544</v>
      </c>
    </row>
    <row r="3" customFormat="false" ht="15" hidden="false" customHeight="false" outlineLevel="0" collapsed="false">
      <c r="A3" s="2" t="n">
        <v>64</v>
      </c>
      <c r="B3" s="2" t="s">
        <v>405</v>
      </c>
      <c r="C3" s="2" t="s">
        <v>408</v>
      </c>
      <c r="D3" s="2" t="s">
        <v>3545</v>
      </c>
      <c r="E3" s="2" t="s">
        <v>3546</v>
      </c>
      <c r="F3" s="2" t="s">
        <v>3547</v>
      </c>
      <c r="G3" s="2" t="s">
        <v>3548</v>
      </c>
      <c r="H3" s="2" t="s">
        <v>3544</v>
      </c>
    </row>
    <row r="4" customFormat="false" ht="15" hidden="false" customHeight="false" outlineLevel="0" collapsed="false">
      <c r="A4" s="2" t="n">
        <v>64</v>
      </c>
      <c r="B4" s="2" t="s">
        <v>405</v>
      </c>
      <c r="C4" s="2" t="s">
        <v>408</v>
      </c>
      <c r="D4" s="2"/>
      <c r="E4" s="2" t="s">
        <v>3549</v>
      </c>
      <c r="F4" s="2" t="s">
        <v>3550</v>
      </c>
      <c r="G4" s="2" t="s">
        <v>3551</v>
      </c>
      <c r="H4" s="2" t="s">
        <v>3552</v>
      </c>
    </row>
    <row r="5" customFormat="false" ht="15" hidden="false" customHeight="false" outlineLevel="0" collapsed="false">
      <c r="A5" s="2" t="n">
        <v>58</v>
      </c>
      <c r="B5" s="2" t="s">
        <v>370</v>
      </c>
      <c r="C5" s="2" t="s">
        <v>373</v>
      </c>
      <c r="D5" s="2"/>
      <c r="E5" s="2" t="s">
        <v>2314</v>
      </c>
      <c r="F5" s="2" t="s">
        <v>3553</v>
      </c>
      <c r="G5" s="2" t="s">
        <v>3554</v>
      </c>
      <c r="H5" s="2" t="s">
        <v>3555</v>
      </c>
    </row>
    <row r="6" customFormat="false" ht="15" hidden="false" customHeight="false" outlineLevel="0" collapsed="false">
      <c r="A6" s="2" t="n">
        <v>83</v>
      </c>
      <c r="B6" s="2" t="s">
        <v>513</v>
      </c>
      <c r="C6" s="2" t="s">
        <v>516</v>
      </c>
      <c r="D6" s="2"/>
      <c r="E6" s="2" t="s">
        <v>3556</v>
      </c>
      <c r="F6" s="2" t="s">
        <v>3557</v>
      </c>
      <c r="G6" s="2" t="s">
        <v>3558</v>
      </c>
      <c r="H6" s="2" t="s">
        <v>3559</v>
      </c>
    </row>
    <row r="7" customFormat="false" ht="15" hidden="false" customHeight="false" outlineLevel="0" collapsed="false">
      <c r="A7" s="2" t="n">
        <v>83</v>
      </c>
      <c r="B7" s="2" t="s">
        <v>513</v>
      </c>
      <c r="C7" s="2" t="s">
        <v>516</v>
      </c>
      <c r="D7" s="2" t="s">
        <v>3560</v>
      </c>
      <c r="E7" s="2" t="s">
        <v>3561</v>
      </c>
      <c r="F7" s="2" t="s">
        <v>3562</v>
      </c>
      <c r="G7" s="2" t="s">
        <v>3563</v>
      </c>
      <c r="H7" s="2" t="s">
        <v>3564</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6" t="s">
        <v>3565</v>
      </c>
    </row>
    <row r="2" customFormat="false" ht="15" hidden="false" customHeight="false" outlineLevel="0" collapsed="false">
      <c r="A2" s="7"/>
    </row>
    <row r="3" customFormat="false" ht="15" hidden="false" customHeight="false" outlineLevel="0" collapsed="false">
      <c r="A3" s="6" t="s">
        <v>3566</v>
      </c>
    </row>
    <row r="4" customFormat="false" ht="15" hidden="false" customHeight="false" outlineLevel="0" collapsed="false">
      <c r="A4" s="7" t="s">
        <v>3567</v>
      </c>
    </row>
    <row r="5" customFormat="false" ht="57.45" hidden="false" customHeight="false" outlineLevel="0" collapsed="false">
      <c r="A5" s="7" t="s">
        <v>3568</v>
      </c>
    </row>
    <row r="6" customFormat="false" ht="15" hidden="false" customHeight="false" outlineLevel="0" collapsed="false">
      <c r="A6" s="7" t="s">
        <v>3569</v>
      </c>
    </row>
    <row r="7" customFormat="false" ht="15" hidden="false" customHeight="false" outlineLevel="0" collapsed="false">
      <c r="A7" s="7" t="s">
        <v>3570</v>
      </c>
    </row>
    <row r="8" customFormat="false" ht="15" hidden="false" customHeight="false" outlineLevel="0" collapsed="false">
      <c r="A8" s="7"/>
    </row>
    <row r="9" customFormat="false" ht="15" hidden="false" customHeight="false" outlineLevel="0" collapsed="false">
      <c r="A9" s="6" t="s">
        <v>3571</v>
      </c>
    </row>
    <row r="10" customFormat="false" ht="23.85" hidden="false" customHeight="false" outlineLevel="0" collapsed="false">
      <c r="A10" s="7" t="s">
        <v>3572</v>
      </c>
    </row>
    <row r="11" customFormat="false" ht="15" hidden="false" customHeight="false" outlineLevel="0" collapsed="false">
      <c r="A11" s="7"/>
    </row>
    <row r="12" customFormat="false" ht="15" hidden="false" customHeight="false" outlineLevel="0" collapsed="false">
      <c r="A12" s="6" t="s">
        <v>3573</v>
      </c>
    </row>
    <row r="13" customFormat="false" ht="15" hidden="false" customHeight="false" outlineLevel="0" collapsed="false">
      <c r="A13" s="7" t="s">
        <v>3574</v>
      </c>
    </row>
    <row r="14" customFormat="false" ht="23.85" hidden="false" customHeight="false" outlineLevel="0" collapsed="false">
      <c r="A14" s="7" t="s">
        <v>3575</v>
      </c>
    </row>
    <row r="15" customFormat="false" ht="15" hidden="false" customHeight="false" outlineLevel="0" collapsed="false">
      <c r="A15" s="7" t="s">
        <v>3576</v>
      </c>
    </row>
    <row r="16" customFormat="false" ht="15" hidden="false" customHeight="false" outlineLevel="0" collapsed="false">
      <c r="A16" s="7" t="s">
        <v>3577</v>
      </c>
    </row>
    <row r="17" customFormat="false" ht="15" hidden="false" customHeight="false" outlineLevel="0" collapsed="false">
      <c r="A17" s="7"/>
    </row>
    <row r="18" customFormat="false" ht="15" hidden="false" customHeight="false" outlineLevel="0" collapsed="false">
      <c r="A18" s="6" t="s">
        <v>3578</v>
      </c>
    </row>
    <row r="19" customFormat="false" ht="15" hidden="false" customHeight="false" outlineLevel="0" collapsed="false">
      <c r="A19" s="7" t="s">
        <v>3579</v>
      </c>
    </row>
    <row r="20" customFormat="false" ht="15" hidden="false" customHeight="false" outlineLevel="0" collapsed="false">
      <c r="A20" s="7"/>
    </row>
    <row r="21" customFormat="false" ht="15" hidden="false" customHeight="false" outlineLevel="0" collapsed="false">
      <c r="A21" s="7" t="s">
        <v>3580</v>
      </c>
    </row>
    <row r="22" customFormat="false" ht="15" hidden="false" customHeight="false" outlineLevel="0" collapsed="false">
      <c r="A22" s="7" t="s">
        <v>3581</v>
      </c>
    </row>
    <row r="23" customFormat="false" ht="15" hidden="false" customHeight="false" outlineLevel="0" collapsed="false">
      <c r="A23" s="7" t="s">
        <v>3582</v>
      </c>
    </row>
    <row r="24" customFormat="false" ht="15" hidden="false" customHeight="false" outlineLevel="0" collapsed="false">
      <c r="A24" s="7" t="s">
        <v>3583</v>
      </c>
    </row>
    <row r="25" customFormat="false" ht="15" hidden="false" customHeight="false" outlineLevel="0" collapsed="false">
      <c r="A25" s="7" t="s">
        <v>3584</v>
      </c>
    </row>
    <row r="26" customFormat="false" ht="15" hidden="false" customHeight="false" outlineLevel="0" collapsed="false">
      <c r="A26" s="7" t="s">
        <v>3585</v>
      </c>
    </row>
    <row r="27" customFormat="false" ht="15" hidden="false" customHeight="false" outlineLevel="0" collapsed="false">
      <c r="A27" s="7" t="s">
        <v>3586</v>
      </c>
    </row>
    <row r="28" customFormat="false" ht="15" hidden="false" customHeight="false" outlineLevel="0" collapsed="false">
      <c r="A28" s="7"/>
    </row>
    <row r="29" customFormat="false" ht="15" hidden="false" customHeight="false" outlineLevel="0" collapsed="false">
      <c r="A29" s="7" t="s">
        <v>3587</v>
      </c>
    </row>
    <row r="30" customFormat="false" ht="15" hidden="false" customHeight="false" outlineLevel="0" collapsed="false">
      <c r="A30" s="7" t="s">
        <v>3588</v>
      </c>
    </row>
    <row r="31" customFormat="false" ht="15" hidden="false" customHeight="false" outlineLevel="0" collapsed="false">
      <c r="A31" s="7" t="s">
        <v>3589</v>
      </c>
    </row>
    <row r="32" customFormat="false" ht="15" hidden="false" customHeight="false" outlineLevel="0" collapsed="false">
      <c r="A32" s="7" t="s">
        <v>3590</v>
      </c>
    </row>
    <row r="33" customFormat="false" ht="15" hidden="false" customHeight="false" outlineLevel="0" collapsed="false">
      <c r="A33" s="7" t="s">
        <v>3591</v>
      </c>
    </row>
    <row r="34" customFormat="false" ht="15" hidden="false" customHeight="false" outlineLevel="0" collapsed="false">
      <c r="A34" s="7" t="s">
        <v>3592</v>
      </c>
    </row>
    <row r="35" customFormat="false" ht="35.05" hidden="false" customHeight="false" outlineLevel="0" collapsed="false">
      <c r="A35" s="7" t="s">
        <v>3593</v>
      </c>
    </row>
    <row r="36" customFormat="false" ht="15" hidden="false" customHeight="false" outlineLevel="0" collapsed="false">
      <c r="A36" s="7"/>
    </row>
    <row r="37" customFormat="false" ht="23.85" hidden="false" customHeight="false" outlineLevel="0" collapsed="false">
      <c r="A37" s="7" t="s">
        <v>3594</v>
      </c>
    </row>
    <row r="38" customFormat="false" ht="15" hidden="false" customHeight="false" outlineLevel="0" collapsed="false">
      <c r="A38" s="7"/>
    </row>
    <row r="39" customFormat="false" ht="15" hidden="false" customHeight="false" outlineLevel="0" collapsed="false">
      <c r="A39" s="6" t="s">
        <v>3595</v>
      </c>
    </row>
    <row r="40" customFormat="false" ht="23.85" hidden="false" customHeight="false" outlineLevel="0" collapsed="false">
      <c r="A40" s="7" t="s">
        <v>3596</v>
      </c>
    </row>
    <row r="41" customFormat="false" ht="15" hidden="false" customHeight="false" outlineLevel="0" collapsed="false">
      <c r="A41" s="7" t="s">
        <v>3597</v>
      </c>
    </row>
    <row r="42" customFormat="false" ht="15" hidden="false" customHeight="false" outlineLevel="0" collapsed="false">
      <c r="A42" s="7" t="s">
        <v>3598</v>
      </c>
    </row>
    <row r="43" customFormat="false" ht="23.85" hidden="false" customHeight="false" outlineLevel="0" collapsed="false">
      <c r="A43" s="7" t="s">
        <v>3599</v>
      </c>
    </row>
    <row r="44" customFormat="false" ht="15" hidden="false" customHeight="false" outlineLevel="0" collapsed="false">
      <c r="A44" s="7" t="s">
        <v>3600</v>
      </c>
    </row>
    <row r="45" customFormat="false" ht="15" hidden="false" customHeight="false" outlineLevel="0" collapsed="false">
      <c r="A45" s="7"/>
    </row>
    <row r="46" customFormat="false" ht="15" hidden="false" customHeight="false" outlineLevel="0" collapsed="false">
      <c r="A46" s="7" t="s">
        <v>3601</v>
      </c>
    </row>
    <row r="47" customFormat="false" ht="15" hidden="false" customHeight="false" outlineLevel="0" collapsed="false">
      <c r="A47" s="7"/>
    </row>
    <row r="48" customFormat="false" ht="15" hidden="false" customHeight="false" outlineLevel="0" collapsed="false">
      <c r="A48" s="6" t="s">
        <v>3602</v>
      </c>
    </row>
    <row r="49" customFormat="false" ht="23.85" hidden="false" customHeight="false" outlineLevel="0" collapsed="false">
      <c r="A49" s="7" t="s">
        <v>3603</v>
      </c>
    </row>
    <row r="50" customFormat="false" ht="15" hidden="false" customHeight="false" outlineLevel="0" collapsed="false">
      <c r="A50" s="7"/>
    </row>
    <row r="51" customFormat="false" ht="15" hidden="false" customHeight="false" outlineLevel="0" collapsed="false">
      <c r="A51" s="6" t="s">
        <v>3604</v>
      </c>
    </row>
    <row r="52" customFormat="false" ht="15" hidden="false" customHeight="false" outlineLevel="0" collapsed="false">
      <c r="A52" s="7" t="s">
        <v>3605</v>
      </c>
    </row>
    <row r="53" customFormat="false" ht="23.85" hidden="false" customHeight="false" outlineLevel="0" collapsed="false">
      <c r="A53" s="7" t="s">
        <v>3606</v>
      </c>
    </row>
    <row r="54" customFormat="false" ht="23.85" hidden="false" customHeight="false" outlineLevel="0" collapsed="false">
      <c r="A54" s="7" t="s">
        <v>3607</v>
      </c>
    </row>
    <row r="55" customFormat="false" ht="15" hidden="false" customHeight="false" outlineLevel="0" collapsed="false">
      <c r="A55" s="7" t="s">
        <v>3608</v>
      </c>
    </row>
    <row r="56" customFormat="false" ht="15" hidden="false" customHeight="false" outlineLevel="0" collapsed="false">
      <c r="A56" s="7" t="s">
        <v>3609</v>
      </c>
    </row>
    <row r="57" customFormat="false" ht="15" hidden="false" customHeight="false" outlineLevel="0" collapsed="false">
      <c r="A57" s="7" t="s">
        <v>3610</v>
      </c>
    </row>
    <row r="58" customFormat="false" ht="23.85" hidden="false" customHeight="false" outlineLevel="0" collapsed="false">
      <c r="A58" s="7" t="s">
        <v>3611</v>
      </c>
    </row>
    <row r="59" customFormat="false" ht="15" hidden="false" customHeight="false" outlineLevel="0" collapsed="false">
      <c r="A59" s="7"/>
    </row>
    <row r="60" customFormat="false" ht="15" hidden="false" customHeight="false" outlineLevel="0" collapsed="false">
      <c r="A60" s="6" t="s">
        <v>3612</v>
      </c>
    </row>
    <row r="61" customFormat="false" ht="23.85" hidden="false" customHeight="false" outlineLevel="0" collapsed="false">
      <c r="A61" s="7" t="s">
        <v>3613</v>
      </c>
    </row>
    <row r="62" customFormat="false" ht="15" hidden="false" customHeight="false" outlineLevel="0" collapsed="false">
      <c r="A62" s="7"/>
    </row>
    <row r="63" customFormat="false" ht="15" hidden="false" customHeight="false" outlineLevel="0" collapsed="false">
      <c r="A63" s="6" t="s">
        <v>3614</v>
      </c>
    </row>
    <row r="64" customFormat="false" ht="15" hidden="false" customHeight="false" outlineLevel="0" collapsed="false">
      <c r="A64" s="7" t="s">
        <v>3615</v>
      </c>
    </row>
    <row r="65" customFormat="false" ht="15" hidden="false" customHeight="false" outlineLevel="0" collapsed="false">
      <c r="A65" s="7" t="s">
        <v>3616</v>
      </c>
    </row>
    <row r="66" customFormat="false" ht="15" hidden="false" customHeight="false" outlineLevel="0" collapsed="false">
      <c r="A66" s="7" t="s">
        <v>3617</v>
      </c>
    </row>
    <row r="67" customFormat="false" ht="15" hidden="false" customHeight="false" outlineLevel="0" collapsed="false">
      <c r="A67" s="7" t="s">
        <v>3618</v>
      </c>
    </row>
    <row r="68" customFormat="false" ht="15" hidden="false" customHeight="false" outlineLevel="0" collapsed="false">
      <c r="A68" s="7" t="s">
        <v>3619</v>
      </c>
    </row>
    <row r="69" customFormat="false" ht="46.25" hidden="false" customHeight="false" outlineLevel="0" collapsed="false">
      <c r="A69" s="7" t="s">
        <v>3620</v>
      </c>
    </row>
    <row r="70" customFormat="false" ht="15" hidden="false" customHeight="false" outlineLevel="0" collapsed="false">
      <c r="A70" s="7"/>
    </row>
    <row r="71" customFormat="false" ht="15" hidden="false" customHeight="false" outlineLevel="0" collapsed="false">
      <c r="A71" s="6" t="s">
        <v>3621</v>
      </c>
    </row>
    <row r="72" customFormat="false" ht="15" hidden="false" customHeight="false" outlineLevel="0" collapsed="false">
      <c r="A72" s="7" t="s">
        <v>3622</v>
      </c>
    </row>
    <row r="73" customFormat="false" ht="15" hidden="false" customHeight="false" outlineLevel="0" collapsed="false">
      <c r="A73" s="7" t="s">
        <v>3623</v>
      </c>
    </row>
    <row r="74" customFormat="false" ht="15" hidden="false" customHeight="false" outlineLevel="0" collapsed="false">
      <c r="A74" s="7" t="s">
        <v>3624</v>
      </c>
    </row>
    <row r="75" customFormat="false" ht="15" hidden="false" customHeight="false" outlineLevel="0" collapsed="false">
      <c r="A75" s="7" t="s">
        <v>3625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3626</v>
      </c>
      <c r="B1" s="1" t="s">
        <v>3627</v>
      </c>
      <c r="C1" s="1" t="s">
        <v>3628</v>
      </c>
      <c r="D1" s="1" t="s">
        <v>3629</v>
      </c>
      <c r="E1" s="1" t="s">
        <v>3630</v>
      </c>
      <c r="F1" s="1" t="s">
        <v>3631</v>
      </c>
      <c r="G1" s="1" t="s">
        <v>3632</v>
      </c>
      <c r="H1" s="1" t="s">
        <v>3633</v>
      </c>
      <c r="I1" s="1" t="s">
        <v>3634</v>
      </c>
    </row>
    <row r="2" customFormat="false" ht="15" hidden="false" customHeight="false" outlineLevel="0" collapsed="false">
      <c r="A2" s="2" t="s">
        <v>3635</v>
      </c>
      <c r="B2" s="2" t="n">
        <v>78</v>
      </c>
      <c r="C2" s="2" t="n">
        <v>6</v>
      </c>
      <c r="D2" s="2" t="n">
        <v>0</v>
      </c>
      <c r="E2" s="2" t="n">
        <v>16</v>
      </c>
      <c r="F2" s="2" t="n">
        <v>0.929</v>
      </c>
      <c r="G2" s="2" t="n">
        <v>1</v>
      </c>
      <c r="H2" s="2" t="n">
        <v>0.705</v>
      </c>
      <c r="I2" s="2" t="n">
        <v>78</v>
      </c>
    </row>
    <row r="3" customFormat="false" ht="15" hidden="false" customHeight="false" outlineLevel="0" collapsed="false">
      <c r="A3" s="2" t="s">
        <v>3636</v>
      </c>
      <c r="B3" s="2" t="n">
        <v>69</v>
      </c>
      <c r="C3" s="2" t="n">
        <v>9</v>
      </c>
      <c r="D3" s="2" t="n">
        <v>0</v>
      </c>
      <c r="E3" s="2" t="n">
        <v>13</v>
      </c>
      <c r="F3" s="2" t="n">
        <v>0.885</v>
      </c>
      <c r="G3" s="2" t="n">
        <v>1</v>
      </c>
      <c r="H3" s="2" t="n">
        <v>0.652</v>
      </c>
      <c r="I3" s="2" t="n">
        <v>69</v>
      </c>
    </row>
    <row r="4" customFormat="false" ht="15" hidden="false" customHeight="false" outlineLevel="0" collapsed="false">
      <c r="A4" s="2" t="s">
        <v>3637</v>
      </c>
      <c r="B4" s="2" t="s">
        <v>3638</v>
      </c>
      <c r="C4" s="2"/>
      <c r="D4" s="2"/>
      <c r="E4" s="2"/>
      <c r="F4" s="2"/>
      <c r="G4" s="2"/>
      <c r="H4" s="2"/>
      <c r="I4" s="2"/>
    </row>
    <row r="5" customFormat="false" ht="15" hidden="false" customHeight="false" outlineLevel="0" collapsed="false">
      <c r="A5" s="2" t="s">
        <v>3639</v>
      </c>
      <c r="B5" s="2" t="n">
        <v>84</v>
      </c>
      <c r="C5" s="2" t="n">
        <v>16</v>
      </c>
      <c r="D5" s="2"/>
      <c r="E5" s="2"/>
      <c r="F5" s="2" t="n">
        <v>0.84</v>
      </c>
      <c r="G5" s="2"/>
      <c r="H5" s="2" t="n">
        <v>0.738</v>
      </c>
      <c r="I5" s="2" t="n">
        <v>84</v>
      </c>
    </row>
    <row r="6" customFormat="false" ht="15" hidden="false" customHeight="false" outlineLevel="0" collapsed="false">
      <c r="A6" s="2" t="s">
        <v>39</v>
      </c>
      <c r="B6" s="2" t="s">
        <v>3640</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2026-10-10T08:41:34Z</dcterms:created>
  <dc:creator>openpyxl</dc:creator>
  <dc:description/>
  <dc:language>en-US</dc:language>
  <cp:lastModifiedBy/>
  <dcterms:modified xsi:type="dcterms:W3CDTF">2026-10-10T08:41:35Z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