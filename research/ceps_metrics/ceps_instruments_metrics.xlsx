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ments" sheetId="1" state="visible" r:id="rId3"/>
    <sheet name="secondary_acts" sheetId="2" state="visible" r:id="rId4"/>
    <sheet name="amendments" sheetId="3" state="visible" r:id="rId5"/>
    <sheet name="guidance_web" sheetId="4" state="visible" r:id="rId6"/>
    <sheet name="guidance_agencies" sheetId="5" state="visible" r:id="rId7"/>
    <sheet name="benchmarks" sheetId="6" state="visible" r:id="rId8"/>
    <sheet name="proposal_indicators" sheetId="7" state="visible" r:id="rId9"/>
    <sheet name="impact_literature" sheetId="8" state="visible" r:id="rId10"/>
    <sheet name="method" sheetId="9" state="visible" r:id="rId11"/>
    <sheet name="validation" sheetId="10" state="visible" r:id="rId12"/>
  </sheets>
  <definedNames>
    <definedName function="false" hidden="true" localSheetId="2" name="_xlnm._FilterDatabase" vbProcedure="false">amendments!$A$1:$H$544</definedName>
    <definedName function="false" hidden="true" localSheetId="5" name="_xlnm._FilterDatabase" vbProcedure="false">benchmarks!$A$1:$P$5</definedName>
    <definedName function="false" hidden="true" localSheetId="4" name="_xlnm._FilterDatabase" vbProcedure="false">guidance_agencies!$A$1:$V$81</definedName>
    <definedName function="false" hidden="true" localSheetId="3" name="_xlnm._FilterDatabase" vbProcedure="false">guidance_web!$A$1:$H$7</definedName>
    <definedName function="false" hidden="true" localSheetId="7" name="_xlnm._FilterDatabase" vbProcedure="false">impact_literature!$A$1:$U$417</definedName>
    <definedName function="false" hidden="true" localSheetId="0" name="_xlnm._FilterDatabase" vbProcedure="false">instruments!$A$1:$BQ$117</definedName>
    <definedName function="false" hidden="true" localSheetId="6" name="_xlnm._FilterDatabase" vbProcedure="false">proposal_indicators!$A$1:$K$549</definedName>
    <definedName function="false" hidden="true" localSheetId="1" name="_xlnm._FilterDatabase" vbProcedure="false">secondary_acts!$A$1:$AC$771</definedName>
    <definedName function="false" hidden="true" localSheetId="9" name="_xlnm._FilterDatabase" vbProcedure="false">validation!$A$1:$I$6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<sst xmlns="http://schemas.openxmlformats.org/spreadsheetml/2006/main" count="25272" uniqueCount="11589">
  <si>
    <t xml:space="preserve">row_id</t>
  </si>
  <si>
    <t xml:space="preserve">name</t>
  </si>
  <si>
    <t xml:space="preserve">identifier</t>
  </si>
  <si>
    <t xml:space="preserve">policy_area_ceps</t>
  </si>
  <si>
    <t xml:space="preserve">ceps_table_status</t>
  </si>
  <si>
    <t xml:space="preserve">proposal_date</t>
  </si>
  <si>
    <t xml:space="preserve">confidence_proposal_date</t>
  </si>
  <si>
    <t xml:space="preserve">adoption_date</t>
  </si>
  <si>
    <t xml:space="preserve">oj_publication_date</t>
  </si>
  <si>
    <t xml:space="preserve">entry_into_force</t>
  </si>
  <si>
    <t xml:space="preserve">status_ceps_jul2025</t>
  </si>
  <si>
    <t xml:space="preserve">status_oct2026</t>
  </si>
  <si>
    <t xml:space="preserve">celex_measured</t>
  </si>
  <si>
    <t xml:space="preserve">text_measured</t>
  </si>
  <si>
    <t xml:space="preserve">source_url</t>
  </si>
  <si>
    <t xml:space="preserve">pages</t>
  </si>
  <si>
    <t xml:space="preserve">words_legal_text</t>
  </si>
  <si>
    <t xml:space="preserve">words_preamble</t>
  </si>
  <si>
    <t xml:space="preserve">words_recitals</t>
  </si>
  <si>
    <t xml:space="preserve">words_articles</t>
  </si>
  <si>
    <t xml:space="preserve">words_annexes</t>
  </si>
  <si>
    <t xml:space="preserve">words_memorandum</t>
  </si>
  <si>
    <t xml:space="preserve">words_financial_statement</t>
  </si>
  <si>
    <t xml:space="preserve">restrictions_total</t>
  </si>
  <si>
    <t xml:space="preserve">r_obligation</t>
  </si>
  <si>
    <t xml:space="preserve">r_prohibition</t>
  </si>
  <si>
    <t xml:space="preserve">r_restricted_permission</t>
  </si>
  <si>
    <t xml:space="preserve">r_explicit_requirement</t>
  </si>
  <si>
    <t xml:space="preserve">r_duty_of_result</t>
  </si>
  <si>
    <t xml:space="preserve">addr_private_parties</t>
  </si>
  <si>
    <t xml:space="preserve">addr_member_states</t>
  </si>
  <si>
    <t xml:space="preserve">addr_eu_institutions</t>
  </si>
  <si>
    <t xml:space="preserve">addr_unclear</t>
  </si>
  <si>
    <t xml:space="preserve">consolidated_celex</t>
  </si>
  <si>
    <t xml:space="preserve">consolidated_restrictions_total</t>
  </si>
  <si>
    <t xml:space="preserve">consolidated_addr_private_parties</t>
  </si>
  <si>
    <t xml:space="preserve">n_implementing_acts</t>
  </si>
  <si>
    <t xml:space="preserve">n_delegated_acts</t>
  </si>
  <si>
    <t xml:space="preserve">n_other_commission_council_acts</t>
  </si>
  <si>
    <t xml:space="preserve">n_guidance_eurlex</t>
  </si>
  <si>
    <t xml:space="preserve">n_guidance_web</t>
  </si>
  <si>
    <t xml:space="preserve">n_guidance_edpb</t>
  </si>
  <si>
    <t xml:space="preserve">n_guidance_eba</t>
  </si>
  <si>
    <t xml:space="preserve">n_guidance_esma</t>
  </si>
  <si>
    <t xml:space="preserve">restrictions_in_implementing_and_delegated_acts</t>
  </si>
  <si>
    <t xml:space="preserve">national_transposition_measures</t>
  </si>
  <si>
    <t xml:space="preserve">member_states_with_measures</t>
  </si>
  <si>
    <t xml:space="preserve">n_amending_acts</t>
  </si>
  <si>
    <t xml:space="preserve">first_amendment_date</t>
  </si>
  <si>
    <t xml:space="preserve">latest_amendment_date</t>
  </si>
  <si>
    <t xml:space="preserve">n_corrigenda</t>
  </si>
  <si>
    <t xml:space="preserve">proposal_celex</t>
  </si>
  <si>
    <t xml:space="preserve">proposal_text_source</t>
  </si>
  <si>
    <t xml:space="preserve">proposal_words_legal_text</t>
  </si>
  <si>
    <t xml:space="preserve">proposal_restrictions_total</t>
  </si>
  <si>
    <t xml:space="preserve">proposal_addr_private_parties</t>
  </si>
  <si>
    <t xml:space="preserve">change_words</t>
  </si>
  <si>
    <t xml:space="preserve">change_words_pct</t>
  </si>
  <si>
    <t xml:space="preserve">change_restrictions</t>
  </si>
  <si>
    <t xml:space="preserve">change_restrictions_pct</t>
  </si>
  <si>
    <t xml:space="preserve">change_restrictions_private</t>
  </si>
  <si>
    <t xml:space="preserve">impact_evidence_level</t>
  </si>
  <si>
    <t xml:space="preserve">impact_evidence_rating</t>
  </si>
  <si>
    <t xml:space="preserve">impact_summary</t>
  </si>
  <si>
    <t xml:space="preserve">n_promised_indicators</t>
  </si>
  <si>
    <t xml:space="preserve">n_indicators_measured</t>
  </si>
  <si>
    <t xml:space="preserve">n_impact_studies</t>
  </si>
  <si>
    <t xml:space="preserve">n_causal_studies</t>
  </si>
  <si>
    <t xml:space="preserve">note</t>
  </si>
  <si>
    <t xml:space="preserve">Frequency Bands Directive (GSM)</t>
  </si>
  <si>
    <t xml:space="preserve">Directive 87/372/EEC</t>
  </si>
  <si>
    <t xml:space="preserve">Connectivity</t>
  </si>
  <si>
    <t xml:space="preserve">enacted</t>
  </si>
  <si>
    <t xml:space="preserve">1986-09-01</t>
  </si>
  <si>
    <t xml:space="preserve">low</t>
  </si>
  <si>
    <t xml:space="preserve">1987-06-25</t>
  </si>
  <si>
    <t xml:space="preserve">1987-06-30</t>
  </si>
  <si>
    <t xml:space="preserve">adopted</t>
  </si>
  <si>
    <t xml:space="preserve">31987L0372</t>
  </si>
  <si>
    <t xml:space="preserve">Original act as published in the OJ</t>
  </si>
  <si>
    <t xml:space="preserve">https://eur-lex.europa.eu/legal-content/EN/TXT/?uri=CELEX:31987L0372</t>
  </si>
  <si>
    <t xml:space="preserve">01987L0372-19870630</t>
  </si>
  <si>
    <t xml:space="preserve">2009-09-16</t>
  </si>
  <si>
    <t xml:space="preserve">51987PC0035(02)</t>
  </si>
  <si>
    <t xml:space="preserve">PDF text (approximate)</t>
  </si>
  <si>
    <t xml:space="preserve">thin</t>
  </si>
  <si>
    <t xml:space="preserve">thin: two older econometric diffusion studies (mixed on the value of a single mandated standard); no ex-post evaluation</t>
  </si>
  <si>
    <t xml:space="preserve">The 1987 GSM Directive reserved the 900 MHz band for one pan-European digital mobile system. Research shows the move to digital mobile drove rapid phone take-up in Europe, but a worldwide study found no extra diffusion boost from mandating a single digital standard. The rule was relaxed in 2009 to allow 3G, with forecast savings of up to EUR 1.6 billion that were never checked.</t>
  </si>
  <si>
    <t xml:space="preserve">Unfair Contract Terms Directive</t>
  </si>
  <si>
    <t xml:space="preserve">Directive 93/13/EEC</t>
  </si>
  <si>
    <t xml:space="preserve">E-commerce &amp; Consumer Protection</t>
  </si>
  <si>
    <t xml:space="preserve">1990-07-24</t>
  </si>
  <si>
    <t xml:space="preserve">medium</t>
  </si>
  <si>
    <t xml:space="preserve">1993-04-05</t>
  </si>
  <si>
    <t xml:space="preserve">1993-04-21</t>
  </si>
  <si>
    <t xml:space="preserve">1993-04-16</t>
  </si>
  <si>
    <t xml:space="preserve">31993L0013</t>
  </si>
  <si>
    <t xml:space="preserve">https://eur-lex.europa.eu/legal-content/EN/TXT/?uri=CELEX:31993L0013</t>
  </si>
  <si>
    <t xml:space="preserve">01993L0013-20220528</t>
  </si>
  <si>
    <t xml:space="preserve">2011-10-25</t>
  </si>
  <si>
    <t xml:space="preserve">2019-11-27</t>
  </si>
  <si>
    <t xml:space="preserve">51990PC0322</t>
  </si>
  <si>
    <t xml:space="preserve">thin: Commission implementation reports and fitness checks plus legal studies; no causal studies of economic effects</t>
  </si>
  <si>
    <t xml:space="preserve">The 1993 directive makes unfair standard contract terms non-binding on consumers. Commission reviews found it largely fit for purpose and cheap to comply with, and court actions have forced companies to change terms, but legal studies and the 2024 review show many online terms still look unfair and enforcement is weak. No study measures its effect on prices, trade or consumer losses.</t>
  </si>
  <si>
    <t xml:space="preserve">Satellite and Cable Directive</t>
  </si>
  <si>
    <t xml:space="preserve">Directive 93/83/EEC</t>
  </si>
  <si>
    <t xml:space="preserve">Media</t>
  </si>
  <si>
    <t xml:space="preserve">1991-09-11</t>
  </si>
  <si>
    <t xml:space="preserve">1993-09-27</t>
  </si>
  <si>
    <t xml:space="preserve">1993-10-06</t>
  </si>
  <si>
    <t xml:space="preserve">1993-10-04</t>
  </si>
  <si>
    <t xml:space="preserve">31993L0083</t>
  </si>
  <si>
    <t xml:space="preserve">https://eur-lex.europa.eu/legal-content/EN/TXT/?uri=CELEX:31993L0083</t>
  </si>
  <si>
    <t xml:space="preserve">01993L0083-19931004</t>
  </si>
  <si>
    <t xml:space="preserve">2019-04-17</t>
  </si>
  <si>
    <t xml:space="preserve">51991PC0276</t>
  </si>
  <si>
    <t xml:space="preserve">thin: Commission reviews only; no independent quantitative studies found</t>
  </si>
  <si>
    <t xml:space="preserve">The 1993 directive let satellite broadcasters clear rights only in their home country and made cable retransmission rights go through collecting societies. Commission reviews in 2002 and 2016 found these mechanisms eased cross-border TV, but rightholders kept licensing country by country and the rules did not reach online TV, where most broadcasters still geo-block. No independent study measures the effect on access, prices or revenues.</t>
  </si>
  <si>
    <t xml:space="preserve">no consolidated text with amendments in EUR-Lex; consolidated count = original</t>
  </si>
  <si>
    <t xml:space="preserve">Database Directive</t>
  </si>
  <si>
    <t xml:space="preserve">Directive 96/9/EC</t>
  </si>
  <si>
    <t xml:space="preserve">IPR</t>
  </si>
  <si>
    <t xml:space="preserve">1992-05-13</t>
  </si>
  <si>
    <t xml:space="preserve">1996-03-11</t>
  </si>
  <si>
    <t xml:space="preserve">1996-03-27</t>
  </si>
  <si>
    <t xml:space="preserve">1996-04-16</t>
  </si>
  <si>
    <t xml:space="preserve">31996L0009</t>
  </si>
  <si>
    <t xml:space="preserve">https://eur-lex.europa.eu/legal-content/EN/TXT/?uri=CELEX:31996L0009</t>
  </si>
  <si>
    <t xml:space="preserve">01996L0009-20190606</t>
  </si>
  <si>
    <t xml:space="preserve">51992PC0024</t>
  </si>
  <si>
    <t xml:space="preserve">thin but consistent: two Commission evaluations (2005, 2018) with descriptive data find no proven effect on database production; no causal academic study</t>
  </si>
  <si>
    <t xml:space="preserve">The Database Directive created a special 'sui generis' right to encourage investment in European databases. Two Commission evaluations, in 2005 and 2018, found no proven effect on database production or the industry's competitiveness: EU database entries in 2004 were back at their 1998 level (about 3,100) while the US, which has no such right, pulled further ahead. The Commission kept the right because its costs appear modest and publishers value it.</t>
  </si>
  <si>
    <t xml:space="preserve">Community Design Regulation</t>
  </si>
  <si>
    <t xml:space="preserve">Regulation (EC) 6/2002</t>
  </si>
  <si>
    <t xml:space="preserve">1993-12-03</t>
  </si>
  <si>
    <t xml:space="preserve">2001-12-12</t>
  </si>
  <si>
    <t xml:space="preserve">2002-01-09</t>
  </si>
  <si>
    <t xml:space="preserve">2002-03-06</t>
  </si>
  <si>
    <t xml:space="preserve">32002R0006</t>
  </si>
  <si>
    <t xml:space="preserve">https://eur-lex.europa.eu/legal-content/EN/TXT/?uri=CELEX:32002R0006</t>
  </si>
  <si>
    <t xml:space="preserve">02002R0006-20260701</t>
  </si>
  <si>
    <t xml:space="preserve">2006-12-18</t>
  </si>
  <si>
    <t xml:space="preserve">2024-10-23</t>
  </si>
  <si>
    <t xml:space="preserve">51993PC0342</t>
  </si>
  <si>
    <t xml:space="preserve">not comparable: 1993 proposal PDF bundles the companion Design Directive proposal</t>
  </si>
  <si>
    <t xml:space="preserve">thin: Commission evaluation and impact assessment; independent research mostly descriptive; no causal studies</t>
  </si>
  <si>
    <t xml:space="preserve">The 2002 regulation created a single EU-wide design right run by the EU IP office. The Commission's 2020 evaluation found it cheaper and simpler than national routes and widely used (about 1.5 million registrations by 2019), but underused by small firms and outdated for digital designs. Its 2024 reform is forecast to save consumers EUR 340-544 million by opening up car spare parts; no independent study measures effects on innovation or prices.</t>
  </si>
  <si>
    <t xml:space="preserve">Price Indication Directive</t>
  </si>
  <si>
    <t xml:space="preserve">Directive 98/6/EC</t>
  </si>
  <si>
    <t xml:space="preserve">1995-07-24</t>
  </si>
  <si>
    <t xml:space="preserve">1998-02-16</t>
  </si>
  <si>
    <t xml:space="preserve">1998-03-25</t>
  </si>
  <si>
    <t xml:space="preserve">1998-03-18</t>
  </si>
  <si>
    <t xml:space="preserve">31998L0006</t>
  </si>
  <si>
    <t xml:space="preserve">https://eur-lex.europa.eu/legal-content/EN/TXT/?uri=CELEX:31998L0006</t>
  </si>
  <si>
    <t xml:space="preserve">01998L0006-20220528</t>
  </si>
  <si>
    <t xml:space="preserve">51995PC0276</t>
  </si>
  <si>
    <t xml:space="preserve">EUR-Lex HTML</t>
  </si>
  <si>
    <t xml:space="preserve">thin: Commission implementation reports and enforcement sweeps; no independent studies of effects on prices or competition found</t>
  </si>
  <si>
    <t xml:space="preserve">The 1998 directive requires shops to show both the price and the price per kilo or litre. Commission reviews found it in place everywhere and largely fit for purpose, but with differing national exemptions. A 2022 rule requiring discounts to be measured against the lowest price of the previous 30 days was breached in about a quarter of discounts checked in an EU-wide sweep; no study measures effects on prices or competition.</t>
  </si>
  <si>
    <t xml:space="preserve">Information Society (InfoSoc) Directive</t>
  </si>
  <si>
    <t xml:space="preserve">Directive 2001/29/EC</t>
  </si>
  <si>
    <t xml:space="preserve">1997-12-10</t>
  </si>
  <si>
    <t xml:space="preserve">high</t>
  </si>
  <si>
    <t xml:space="preserve">2001-05-22</t>
  </si>
  <si>
    <t xml:space="preserve">2001-06-25</t>
  </si>
  <si>
    <t xml:space="preserve">2001-06-22</t>
  </si>
  <si>
    <t xml:space="preserve">32001L0029</t>
  </si>
  <si>
    <t xml:space="preserve">https://eur-lex.europa.eu/legal-content/EN/TXT/?uri=CELEX:32001L0029</t>
  </si>
  <si>
    <t xml:space="preserve">02001L0029-20190606</t>
  </si>
  <si>
    <t xml:space="preserve">2017-09-13</t>
  </si>
  <si>
    <t xml:space="preserve">51997PC0628</t>
  </si>
  <si>
    <t xml:space="preserve">thin: Commission-commissioned legal evaluation and later IA diagnosis; no causal study of the Directive itself; indirect causal evidence on DRM and correlational evidence on research exceptions</t>
  </si>
  <si>
    <t xml:space="preserve">The InfoSoc Directive promised to harmonise copyright across the EU and spur online content services, but set no measurable targets. The Commission's own 2007 evaluation found it harmonised copyright exceptions only 'very modestly' and created legal uncertainty around copy protection (DRM), and in 2016 the Commission proposed new mandatory exceptions to fix the same problems. Independent research suggests restrictive exceptions are linked to less data-mining research and that removing DRM raised music sales by about 10%, but no study measures the Directive's overall economic effect.</t>
  </si>
  <si>
    <t xml:space="preserve">E-commerce Directive</t>
  </si>
  <si>
    <t xml:space="preserve">Directive 2000/31/EC</t>
  </si>
  <si>
    <t xml:space="preserve">1998-11-18</t>
  </si>
  <si>
    <t xml:space="preserve">2000-06-08</t>
  </si>
  <si>
    <t xml:space="preserve">2000-07-17</t>
  </si>
  <si>
    <t xml:space="preserve">32000L0031</t>
  </si>
  <si>
    <t xml:space="preserve">https://eur-lex.europa.eu/legal-content/EN/TXT/?uri=CELEX:32000L0031</t>
  </si>
  <si>
    <t xml:space="preserve">02000L0031-20240217</t>
  </si>
  <si>
    <t xml:space="preserve">2022-10-19</t>
  </si>
  <si>
    <t xml:space="preserve">51998PC0586</t>
  </si>
  <si>
    <t xml:space="preserve">thin: Commission evaluations are qualitative; no causal study isolates the Directive's or its safe harbours' effect on trade, investment or innovation; main quantitative estimate is industry-funded</t>
  </si>
  <si>
    <t xml:space="preserve">The E-commerce Directive set no measurable targets. The Commission's 2020 evaluation concluded that its core rules, including liability protection for online intermediaries, helped digital services grow across borders, but national courts applied them inconsistently; this led to the Digital Services Act. No independent study has measured the safe harbours' effect on investment or innovation in Europe; the best-known estimate is a Google-funded simulation.</t>
  </si>
  <si>
    <t xml:space="preserve">ePrivacy Directive</t>
  </si>
  <si>
    <t xml:space="preserve">Directive 2002/58/EC</t>
  </si>
  <si>
    <t xml:space="preserve">Data &amp; Privacy</t>
  </si>
  <si>
    <t xml:space="preserve">2000-07-12</t>
  </si>
  <si>
    <t xml:space="preserve">2002-07-12</t>
  </si>
  <si>
    <t xml:space="preserve">2002-08-01</t>
  </si>
  <si>
    <t xml:space="preserve">2002-07-31</t>
  </si>
  <si>
    <t xml:space="preserve">32002L0058</t>
  </si>
  <si>
    <t xml:space="preserve">https://eur-lex.europa.eu/legal-content/EN/TXT/?uri=CELEX:32002L0058</t>
  </si>
  <si>
    <t xml:space="preserve">02002L0058-20091219</t>
  </si>
  <si>
    <t xml:space="preserve">2006-03-15</t>
  </si>
  <si>
    <t xml:space="preserve">2009-11-25</t>
  </si>
  <si>
    <t xml:space="preserve">52000PC0385</t>
  </si>
  <si>
    <t xml:space="preserve">moderate</t>
  </si>
  <si>
    <t xml:space="preserve">moderate: one influential peer-reviewed causal study; Commission evaluation with acknowledged data gaps</t>
  </si>
  <si>
    <t xml:space="preserve">The ePrivacy Directive set no measurable targets. The Commission's own 2017 evaluation found its cookie-consent rule had not given users real control and was over-inclusive, at around EUR 658 compliance cost per business. Independent research found the EU tracking rules made online display advertising markedly less effective, especially for news sites. The proposed ePrivacy Regulation meant to fix this was withdrawn in 2025.</t>
  </si>
  <si>
    <t xml:space="preserve">Radio Spectrum Decision</t>
  </si>
  <si>
    <t xml:space="preserve">Decision 676/2002/EC</t>
  </si>
  <si>
    <t xml:space="preserve">2002-03-07</t>
  </si>
  <si>
    <t xml:space="preserve">2002-04-25</t>
  </si>
  <si>
    <t xml:space="preserve">2002-04-24</t>
  </si>
  <si>
    <t xml:space="preserve">32002D0676</t>
  </si>
  <si>
    <t xml:space="preserve">https://eur-lex.europa.eu/legal-content/EN/TXT/?uri=CELEX:32002D0676</t>
  </si>
  <si>
    <t xml:space="preserve">02002D0676-20020424</t>
  </si>
  <si>
    <t xml:space="preserve">52000PC0407</t>
  </si>
  <si>
    <t xml:space="preserve">thin: Commission implementation reports and evaluations only; no independent causal studies found</t>
  </si>
  <si>
    <t xml:space="preserve">The 2002 decision set up the EU process for harmonising technical rules on radio spectrum. The Commission credits it with making more mobile broadband spectrum available than other world regions, but countries were slow to put that spectrum to use: by 2015 they had assigned only about 708 MHz of a 1,200 MHz target, and 5G bands took over a decade to assign. No independent study isolates its economic effects.</t>
  </si>
  <si>
    <t xml:space="preserve">EC Merger Regulation</t>
  </si>
  <si>
    <t xml:space="preserve">Regulation (EC) 139/2004</t>
  </si>
  <si>
    <t xml:space="preserve">Competition &amp; Single Market</t>
  </si>
  <si>
    <t xml:space="preserve">2002-12-11</t>
  </si>
  <si>
    <t xml:space="preserve">2004-01-20</t>
  </si>
  <si>
    <t xml:space="preserve">2004-01-30</t>
  </si>
  <si>
    <t xml:space="preserve">2004-02-18</t>
  </si>
  <si>
    <t xml:space="preserve">32004R0139</t>
  </si>
  <si>
    <t xml:space="preserve">https://eur-lex.europa.eu/legal-content/EN/TXT/?uri=CELEX:32004R0139</t>
  </si>
  <si>
    <t xml:space="preserve">02004R0139-20040218</t>
  </si>
  <si>
    <t xml:space="preserve">not comparable: proposal COM(2002) 711 not available in EUR-Lex</t>
  </si>
  <si>
    <t xml:space="preserve">moderate: peer-reviewed causal studies (event study, sector panels) and a large merger-case dataset, mostly on the predecessor regime or specific sectors; Commission evaluations are procedural and its savings estimates are ex-ante self-assessments</t>
  </si>
  <si>
    <t xml:space="preserve">The Merger Regulation set no measurable targets. The Commission estimates its competition enforcement saves customers EUR 12-21 billion a year, about 60% from merger control, but that figure assumes every decision was right. Independent studies find that blocking deals removes expected market-power gains while conditions on approved deals work only partly, that four-to-three mobile mergers raised prices about 16%, and that market concentration in Europe has risen; the 2021 evaluation also admitted some takeovers of innovative start-ups escape review, and the Court of Justice struck down the Commission's fix in 2024.</t>
  </si>
  <si>
    <t xml:space="preserve">IPR Enforcement Directive</t>
  </si>
  <si>
    <t xml:space="preserve">Directive 2004/48/EC</t>
  </si>
  <si>
    <t xml:space="preserve">2003-01-30</t>
  </si>
  <si>
    <t xml:space="preserve">2004-04-29</t>
  </si>
  <si>
    <t xml:space="preserve">2004-07-08</t>
  </si>
  <si>
    <t xml:space="preserve">2004-05-20</t>
  </si>
  <si>
    <t xml:space="preserve">32004L0048</t>
  </si>
  <si>
    <t xml:space="preserve">https://eur-lex.europa.eu/legal-content/EN/TXT/?uri=CELEX:32004L0048</t>
  </si>
  <si>
    <t xml:space="preserve">02004L0048-20040430</t>
  </si>
  <si>
    <t xml:space="preserve">52003PC0046</t>
  </si>
  <si>
    <t xml:space="preserve">thin to moderate: one credible natural-experiment study (Sweden) plus Commission reviews that found no measurable effect on litigation</t>
  </si>
  <si>
    <t xml:space="preserve">The 2004 directive harmonised the court tools rights holders can use against IP infringers. A Swedish study found that when the rules came in, file-sharing fell and music sales rose sharply for some months before fading, with no effect on film sales. The Commission's 2017 evaluation judged the directive cheap and useful, but found no measurable effect on court enforcement across the EU, and counterfeiting kept rising.</t>
  </si>
  <si>
    <t xml:space="preserve">Unfair Commercial Practices Directive</t>
  </si>
  <si>
    <t xml:space="preserve">Directive 2005/29/EC</t>
  </si>
  <si>
    <t xml:space="preserve">2003-06-18</t>
  </si>
  <si>
    <t xml:space="preserve">2005-05-11</t>
  </si>
  <si>
    <t xml:space="preserve">2005-06-16</t>
  </si>
  <si>
    <t xml:space="preserve">2005-06-12</t>
  </si>
  <si>
    <t xml:space="preserve">32005L0029</t>
  </si>
  <si>
    <t xml:space="preserve">https://eur-lex.europa.eu/legal-content/EN/TXT/?uri=CELEX:32005L0029</t>
  </si>
  <si>
    <t xml:space="preserve">02005L0029-20260927</t>
  </si>
  <si>
    <t xml:space="preserve">2024-02-28</t>
  </si>
  <si>
    <t xml:space="preserve">52003PC0356</t>
  </si>
  <si>
    <t xml:space="preserve">moderate: one causal study (DiD) on trust and cross-border shopping; two Commission fitness checks with cost and detriment estimates; prevalence studies show persistent online harm</t>
  </si>
  <si>
    <t xml:space="preserve">The UCPD replaced national rules on misleading and aggressive selling in 2005-2007. One causal study finds it raised consumer trust and cross-border shopping, but only in countries with weak protection beforehand. The Commission's 2017 and 2024 reviews found the rules cheap to comply with (about EUR 0.5-0.7 billion a year for the three core consumer laws), but online harm remains large - at least EUR 7.9 billion a year - and almost all popular websites still use manipulative designs.</t>
  </si>
  <si>
    <t xml:space="preserve">Common VAT system Directive</t>
  </si>
  <si>
    <t xml:space="preserve">Directive 2006/112/EC</t>
  </si>
  <si>
    <t xml:space="preserve">Finance</t>
  </si>
  <si>
    <t xml:space="preserve">2004-04-15</t>
  </si>
  <si>
    <t xml:space="preserve">2006-11-28</t>
  </si>
  <si>
    <t xml:space="preserve">2006-12-12</t>
  </si>
  <si>
    <t xml:space="preserve">2007-01-01</t>
  </si>
  <si>
    <t xml:space="preserve">32006L0112</t>
  </si>
  <si>
    <t xml:space="preserve">https://eur-lex.europa.eu/legal-content/EN/TXT/?uri=CELEX:32006L0112</t>
  </si>
  <si>
    <t xml:space="preserve">02006L0112-20100811</t>
  </si>
  <si>
    <t xml:space="preserve">2006-12-19</t>
  </si>
  <si>
    <t xml:space="preserve">2025-07-18</t>
  </si>
  <si>
    <t xml:space="preserve">52004PC0246</t>
  </si>
  <si>
    <t xml:space="preserve">not comparable: recast proposal: PDF includes struck-through and correlation material</t>
  </si>
  <si>
    <t xml:space="preserve">moderate for VAT in general, thin for the Directive's digital rules: Commission forecasts and collection data, one strong causal study on VAT incidence</t>
  </si>
  <si>
    <t xml:space="preserve">The VAT Directive sets the EU's common VAT rules, which have been updated for online sales. Since the 2021 e-commerce reform, VAT collected through the EU's one-stop-shop rose to EUR 33 billion in 2024, though this is gross collection rather than a measured net gain. Independent research using EU VAT changes shows price rises from VAT increases are passed on about twice as fully as VAT cuts; the 2025 digital VAT reform is forecast to raise EUR 135-177 billion over ten years.</t>
  </si>
  <si>
    <t xml:space="preserve">Audiovisual Media Services Directive</t>
  </si>
  <si>
    <t xml:space="preserve">Directive 2010/13/EU</t>
  </si>
  <si>
    <t xml:space="preserve">2005-12-13</t>
  </si>
  <si>
    <t xml:space="preserve">2010-03-10</t>
  </si>
  <si>
    <t xml:space="preserve">2010-05-05</t>
  </si>
  <si>
    <t xml:space="preserve">32010L0013</t>
  </si>
  <si>
    <t xml:space="preserve">https://eur-lex.europa.eu/legal-content/EN/TXT/?uri=CELEX:32010L0013</t>
  </si>
  <si>
    <t xml:space="preserve">02010L0013-20250208</t>
  </si>
  <si>
    <t xml:space="preserve">2018-11-14</t>
  </si>
  <si>
    <t xml:space="preserve">2024-04-11</t>
  </si>
  <si>
    <t xml:space="preserve">52009PC0185</t>
  </si>
  <si>
    <t xml:space="preserve">thin: Commission evaluation and monitoring reports with conflicting figures; no independent causal studies of quotas or other rules found</t>
  </si>
  <si>
    <t xml:space="preserve">The AVMS Directive lets TV and streaming services operate EU-wide under one country's rules and requires them to promote European works. The Commission's 2016 evaluation found the single-country rule effective but admitted little hard data. Member States report European works at about two-thirds of TV and streaming content, yet an independent check found only 35-38%, and no study measures whether the quotas boosted European production.</t>
  </si>
  <si>
    <t xml:space="preserve">European Statistics Regulation</t>
  </si>
  <si>
    <t xml:space="preserve">Regulation (EC) 223/2009</t>
  </si>
  <si>
    <t xml:space="preserve">2007-10-16</t>
  </si>
  <si>
    <t xml:space="preserve">2009-03-11</t>
  </si>
  <si>
    <t xml:space="preserve">2009-04-02</t>
  </si>
  <si>
    <t xml:space="preserve">2009-04-01</t>
  </si>
  <si>
    <t xml:space="preserve">32009R0223</t>
  </si>
  <si>
    <t xml:space="preserve">https://eur-lex.europa.eu/legal-content/EN/TXT/?uri=CELEX:32009R0223</t>
  </si>
  <si>
    <t xml:space="preserve">02009R0223-20241226</t>
  </si>
  <si>
    <t xml:space="preserve">2015-04-29</t>
  </si>
  <si>
    <t xml:space="preserve">2024-11-27</t>
  </si>
  <si>
    <t xml:space="preserve">52007PC0625</t>
  </si>
  <si>
    <t xml:space="preserve">thin: audit and peer-review evidence on governance; no studies of economic effects</t>
  </si>
  <si>
    <t xml:space="preserve">The 2009 regulation is the legal basis for EU official statistics and the independence of statistical offices. The EU's auditors (2012) and peer reviews (2013-2015) found the quality code only partly applied, with over 700 recommendations, many on independence. A 2024 amendment giving statisticians access to private data is forecast to bring EUR 1.5 billion a year of benefits for EUR 757 million of costs; it has not yet been evaluated.</t>
  </si>
  <si>
    <t xml:space="preserve">Toys Safety Directive</t>
  </si>
  <si>
    <t xml:space="preserve">Directive 2009/48/EC</t>
  </si>
  <si>
    <t xml:space="preserve">Trust &amp; Safety</t>
  </si>
  <si>
    <t xml:space="preserve">2008-01-25</t>
  </si>
  <si>
    <t xml:space="preserve">2009-06-18</t>
  </si>
  <si>
    <t xml:space="preserve">2009-07-20</t>
  </si>
  <si>
    <t xml:space="preserve">32009L0048</t>
  </si>
  <si>
    <t xml:space="preserve">https://eur-lex.europa.eu/legal-content/EN/TXT/?uri=CELEX:32009L0048</t>
  </si>
  <si>
    <t xml:space="preserve">02009L0048-20260829</t>
  </si>
  <si>
    <t xml:space="preserve">2012-03-02</t>
  </si>
  <si>
    <t xml:space="preserve">2026-01-28</t>
  </si>
  <si>
    <t xml:space="preserve">52008PC0009</t>
  </si>
  <si>
    <t xml:space="preserve">thin: Commission impact assessments and evaluation only; no data on injuries and no independent studies found</t>
  </si>
  <si>
    <t xml:space="preserve">The 2009 directive tightened safety and chemical rules for toys sold in the EU. The Commission's 2020 evaluation found intra-EU toy trade grew about 60% and compliance costs were modest (about 2% of turnover once), but one in three inspected toys broke the rules and there are no data on whether child injuries fell. A replacement regulation is forecast to avoid EUR 240 million to 1.2 billion a year in health damage.</t>
  </si>
  <si>
    <t xml:space="preserve">Consumer Rights Directive</t>
  </si>
  <si>
    <t xml:space="preserve">Directive 2011/83/EU</t>
  </si>
  <si>
    <t xml:space="preserve">2008-10-08</t>
  </si>
  <si>
    <t xml:space="preserve">2011-11-22</t>
  </si>
  <si>
    <t xml:space="preserve">2011-12-12</t>
  </si>
  <si>
    <t xml:space="preserve">32011L0083</t>
  </si>
  <si>
    <t xml:space="preserve">https://eur-lex.europa.eu/legal-content/EN/TXT/?uri=CELEX:32011L0083</t>
  </si>
  <si>
    <t xml:space="preserve">02011L0083-20260927</t>
  </si>
  <si>
    <t xml:space="preserve">2015-11-25</t>
  </si>
  <si>
    <t xml:space="preserve">52008PC0614</t>
  </si>
  <si>
    <t xml:space="preserve">thin: Commission evaluations and national assessments only; no causal study of the CRD's effect on cross-border trade, prices or returns</t>
  </si>
  <si>
    <t xml:space="preserve">The Consumer Rights Directive harmonised pre-contract information and the 14-day right to withdraw from online and doorstep sales from 2014. Its promised gain - cheaper cross-border selling - was never measured: the Commission's 2017 review found too little data, and the UK's forecast GBP 2.6 billion benefit was not checked after the fact. Reviews show compliance costs are modest but withdrawal rights remain the top cross-border complaint, and the 2024 review flagged subscription traps and simplification needs.</t>
  </si>
  <si>
    <t xml:space="preserve">Administrative cooperation in taxation (DAC)</t>
  </si>
  <si>
    <t xml:space="preserve">Directive 2011/16/EU</t>
  </si>
  <si>
    <t xml:space="preserve">2009-02-02</t>
  </si>
  <si>
    <t xml:space="preserve">2011-02-15</t>
  </si>
  <si>
    <t xml:space="preserve">2011-03-11</t>
  </si>
  <si>
    <t xml:space="preserve">32011L0016</t>
  </si>
  <si>
    <t xml:space="preserve">https://eur-lex.europa.eu/legal-content/EN/TXT/?uri=CELEX:32011L0016</t>
  </si>
  <si>
    <t xml:space="preserve">02011L0016-20260101</t>
  </si>
  <si>
    <t xml:space="preserve">2014-12-09</t>
  </si>
  <si>
    <t xml:space="preserve">2025-04-14</t>
  </si>
  <si>
    <t xml:space="preserve">52009PC0029</t>
  </si>
  <si>
    <t xml:space="preserve">moderate: two Commission evaluations with cost/benefit estimates, ECA audit, and causal evidence on the CRS (DAC2) deposit effect; benefit attribution remains weak</t>
  </si>
  <si>
    <t xml:space="preserve">The EU's tax-information exchange rules set no monitoring indicators. The Commission's 2025 evaluation estimates they raise about EUR 6.8 billion a year in tax against running costs of about EUR 646 million, mostly paid by business, though EU auditors found much exchanged data is poor quality or unused. Independent research on automatic bank-account exchange finds an 11.5% drop in deposits in tax havens, with some money moving to non-participating countries.</t>
  </si>
  <si>
    <t xml:space="preserve">General Data Protection Regulation</t>
  </si>
  <si>
    <t xml:space="preserve">Regulation (EU) 2016/679</t>
  </si>
  <si>
    <t xml:space="preserve">2012-01-25</t>
  </si>
  <si>
    <t xml:space="preserve">2016-04-27</t>
  </si>
  <si>
    <t xml:space="preserve">2016-05-04</t>
  </si>
  <si>
    <t xml:space="preserve">2016-05-24</t>
  </si>
  <si>
    <t xml:space="preserve">32016R0679</t>
  </si>
  <si>
    <t xml:space="preserve">https://eur-lex.europa.eu/legal-content/EN/TXT/?uri=CELEX:32016R0679</t>
  </si>
  <si>
    <t xml:space="preserve">02016R0679-20160504</t>
  </si>
  <si>
    <t xml:space="preserve">52012PC0011</t>
  </si>
  <si>
    <t xml:space="preserve">strong</t>
  </si>
  <si>
    <t xml:space="preserve">strong: several peer-reviewed causal studies (mostly short-run, digital sector); Commission reviews give enforcement statistics but no cost-benefit estimate</t>
  </si>
  <si>
    <t xml:space="preserve">Independent causal studies consistently find costs: less venture funding, fewer apps (a third exited, entry halved), higher data costs (+22%), lower recorded web traffic (-12%) and more concentration among web vendors favouring Google and Facebook. The Commission's reviews report rising enforcement (EUR 4.2bn in fines) and better-resourced regulators, but the promised EUR 2.3bn a year in administrative savings has never been evaluated.</t>
  </si>
  <si>
    <t xml:space="preserve">Law Enforcement Directive</t>
  </si>
  <si>
    <t xml:space="preserve">Directive (EU) 2016/680</t>
  </si>
  <si>
    <t xml:space="preserve">Law Enforcement</t>
  </si>
  <si>
    <t xml:space="preserve">2016-05-05</t>
  </si>
  <si>
    <t xml:space="preserve">32016L0680</t>
  </si>
  <si>
    <t xml:space="preserve">https://eur-lex.europa.eu/legal-content/EN/TXT/?uri=CELEX:32016L0680</t>
  </si>
  <si>
    <t xml:space="preserve">02016L0680-20160504</t>
  </si>
  <si>
    <t xml:space="preserve">52012PC0010</t>
  </si>
  <si>
    <t xml:space="preserve">thin: transposition and complaint statistics only; no independent or causal evidence on protection outcomes or law-enforcement effectiveness found</t>
  </si>
  <si>
    <t xml:space="preserve">The Law Enforcement Directive, which sets data protection rules for police and criminal courts, came with no monitoring indicators. The Commission's 2022 review found two-thirds of countries implemented it late and with gaps, and that complaints are rising; Member States say it improved awareness but some duties are burdensome. No study measures whether it actually changed how police handle personal data; a second Commission review is due in 2026.</t>
  </si>
  <si>
    <t xml:space="preserve">eIDAS Regulation</t>
  </si>
  <si>
    <t xml:space="preserve">Regulation (EU) 910/2014</t>
  </si>
  <si>
    <t xml:space="preserve">2012-06-04</t>
  </si>
  <si>
    <t xml:space="preserve">2014-07-23</t>
  </si>
  <si>
    <t xml:space="preserve">2014-08-28</t>
  </si>
  <si>
    <t xml:space="preserve">2014-09-17</t>
  </si>
  <si>
    <t xml:space="preserve">32014R0910</t>
  </si>
  <si>
    <t xml:space="preserve">https://eur-lex.europa.eu/legal-content/EN/TXT/?uri=CELEX:32014R0910</t>
  </si>
  <si>
    <t xml:space="preserve">02014R0910-20240520</t>
  </si>
  <si>
    <t xml:space="preserve">2022-12-14</t>
  </si>
  <si>
    <t xml:space="preserve">52012PC0238</t>
  </si>
  <si>
    <t xml:space="preserve">thin but direct: Commission evaluation with usage counts and cost-benefit baseline; no independent quantitative or causal studies</t>
  </si>
  <si>
    <t xml:space="preserve">eIDAS aimed to let people use their national e-ID and e-signatures across the EU. The Commission's 2021 evaluation found trust services such as qualified e-signatures took off (202 qualified providers), but cross-border e-ID use was tiny - at most tens of thousands of logins a year per country - so costs exceeded benefits. Notification has since spread to 24 of 27 countries, and the 2024 revision (European Digital Identity Wallet) is meant to fix low uptake; no independent study measures economic effects.</t>
  </si>
  <si>
    <t xml:space="preserve">Payment Services Directive 2 (PSD2)</t>
  </si>
  <si>
    <t xml:space="preserve">Directive (EU) 2015/2366</t>
  </si>
  <si>
    <t xml:space="preserve">2013-07-24</t>
  </si>
  <si>
    <t xml:space="preserve">2015-12-23</t>
  </si>
  <si>
    <t xml:space="preserve">2016-01-12</t>
  </si>
  <si>
    <t xml:space="preserve">32015L2366</t>
  </si>
  <si>
    <t xml:space="preserve">https://eur-lex.europa.eu/legal-content/EN/TXT/?uri=CELEX:32015L2366</t>
  </si>
  <si>
    <t xml:space="preserve">02015L2366-20250117</t>
  </si>
  <si>
    <t xml:space="preserve">2024-03-13</t>
  </si>
  <si>
    <t xml:space="preserve">52013PC0547</t>
  </si>
  <si>
    <t xml:space="preserve">moderate: Commission evaluation with market data; cross-country causal evidence on open banking; little independent evidence on prices or SCA trade-offs</t>
  </si>
  <si>
    <t xml:space="preserve">PSD2's strong customer authentication cut card fraud sharply (70-80% lower on authenticated remote payments) and open-banking rules helped new payment firms enter; cross-country research links open banking to more fintech investment. But open-banking uptake is uneven, banks report high API costs, card markets stay national and the promised fall in payment costs for merchants has not materialised. Industry data point to some lost online sales from authentication friction.</t>
  </si>
  <si>
    <t xml:space="preserve">Open Internet Access Regulation</t>
  </si>
  <si>
    <t xml:space="preserve">Regulation (EU) 2015/2120</t>
  </si>
  <si>
    <t xml:space="preserve">2013-09-11</t>
  </si>
  <si>
    <t xml:space="preserve">2015-11-26</t>
  </si>
  <si>
    <t xml:space="preserve">2015-11-29</t>
  </si>
  <si>
    <t xml:space="preserve">32015R2120</t>
  </si>
  <si>
    <t xml:space="preserve">https://eur-lex.europa.eu/legal-content/EN/TXT/?uri=CELEX:32015R2120</t>
  </si>
  <si>
    <t xml:space="preserve">02015R2120-20151126</t>
  </si>
  <si>
    <t xml:space="preserve">2018-12-11</t>
  </si>
  <si>
    <t xml:space="preserve">2024-04-29</t>
  </si>
  <si>
    <t xml:space="preserve">52013PC0627</t>
  </si>
  <si>
    <t xml:space="preserve">thin to moderate: qualitative Commission/BEREC reviews; one cross-country causal study on investment (negative) and conflicting correlational studies on zero-rating</t>
  </si>
  <si>
    <t xml:space="preserve">The EU's net neutrality rules set no measurable targets; Commission reviews in 2019 and 2023 found them applied consistently and still fit for purpose, and EU court rulings in 2020-21 ended most 'zero-rating' offers. Evidence on economic effects is limited and conflicting: one study of 32 OECD countries finds strict net neutrality rules slowed fibre investment, while studies of zero-rating disagree on whether it raised mobile data prices.</t>
  </si>
  <si>
    <t xml:space="preserve">Technology Transfer Block Exemption</t>
  </si>
  <si>
    <t xml:space="preserve">Regulation (EU) 316/2014</t>
  </si>
  <si>
    <t xml:space="preserve">2013-02-20</t>
  </si>
  <si>
    <t xml:space="preserve">2014-03-21</t>
  </si>
  <si>
    <t xml:space="preserve">2014-03-28</t>
  </si>
  <si>
    <t xml:space="preserve">2014-05-01</t>
  </si>
  <si>
    <t xml:space="preserve">32014R0316</t>
  </si>
  <si>
    <t xml:space="preserve">https://eur-lex.europa.eu/legal-content/EN/TXT/?uri=CELEX:32014R0316</t>
  </si>
  <si>
    <t xml:space="preserve">02014R0316-20140501</t>
  </si>
  <si>
    <t xml:space="preserve">no legislative proposal (Commission act)</t>
  </si>
  <si>
    <t xml:space="preserve">thin: Commission evaluation based on stakeholder views; no independent empirical study of the Regulation's effect on licensing or innovation found</t>
  </si>
  <si>
    <t xml:space="preserve">This competition-law safe harbour for technology licensing had no monitoring indicators. The Commission's 2024 evaluation, based mostly on stakeholder views, found it largely did its job of giving firms legal certainty, but had gaps on early-stage technologies and data licensing; its 2026 replacement is forecast to cut legal-assessment costs by 15-40%. No independent study measuring its effect on licensing or innovation was found.</t>
  </si>
  <si>
    <t xml:space="preserve">Block exemption: defines a safe harbour ('the exemption shall not apply to...'), so few direct restrictions are counted; no consolidated text with amendments in EUR-Lex; consolidated count = original</t>
  </si>
  <si>
    <t xml:space="preserve">Trade Secrets Directive</t>
  </si>
  <si>
    <t xml:space="preserve">Directive (EU) 2016/943</t>
  </si>
  <si>
    <t xml:space="preserve">2013-11-28</t>
  </si>
  <si>
    <t xml:space="preserve">2016-06-08</t>
  </si>
  <si>
    <t xml:space="preserve">2016-06-15</t>
  </si>
  <si>
    <t xml:space="preserve">2016-07-05</t>
  </si>
  <si>
    <t xml:space="preserve">32016L0943</t>
  </si>
  <si>
    <t xml:space="preserve">https://eur-lex.europa.eu/legal-content/EN/TXT/?uri=CELEX:32016L0943</t>
  </si>
  <si>
    <t xml:space="preserve">02016L0943-20160615</t>
  </si>
  <si>
    <t xml:space="preserve">52013PC0813</t>
  </si>
  <si>
    <t xml:space="preserve">thin: one descriptive litigation study; the Commission's Article 18 impact evaluation (due June 2026) was not found; no causal evidence on innovation</t>
  </si>
  <si>
    <t xml:space="preserve">The Trade Secrets Directive aimed to encourage innovation by giving firms the same protection for confidential know-how across the EU; the Commission cited a survey in which 40% of firms said they held back from sharing secrets. An EU-commissioned study of about 700 court cases shows litigation still varies widely between countries and rarely crosses borders. No study has measured whether the directive changed innovation, knowledge-sharing or worker mobility.</t>
  </si>
  <si>
    <t xml:space="preserve">Digital Content Directive</t>
  </si>
  <si>
    <t xml:space="preserve">Directive (EU) 2019/770</t>
  </si>
  <si>
    <t xml:space="preserve">2015-12-09</t>
  </si>
  <si>
    <t xml:space="preserve">2019-05-20</t>
  </si>
  <si>
    <t xml:space="preserve">2019-05-22</t>
  </si>
  <si>
    <t xml:space="preserve">2019-06-11</t>
  </si>
  <si>
    <t xml:space="preserve">32019L0770</t>
  </si>
  <si>
    <t xml:space="preserve">https://eur-lex.europa.eu/legal-content/EN/TXT/?uri=CELEX:32019L0770</t>
  </si>
  <si>
    <t xml:space="preserve">02019L0770-20190522</t>
  </si>
  <si>
    <t xml:space="preserve">52015PC0634</t>
  </si>
  <si>
    <t xml:space="preserve">ex-ante only</t>
  </si>
  <si>
    <t xml:space="preserve">none ex-post: forecasts only; the review due June 2024 was not found and no independent impact studies were found</t>
  </si>
  <si>
    <t xml:space="preserve">The Directive gave consumers EU-wide rights when apps, streaming, software and other digital content or services are faulty. The Commission forecast that, with the sister Sale of Goods Directive, it would add about EUR 4 billion a year to EU GDP and bring 8-13 million more people to shop online across borders. None of this has been measured: the Commission's review was due in June 2024 but has not been found, and no independent study has assessed the effects.</t>
  </si>
  <si>
    <t xml:space="preserve">Sale of Goods Directive</t>
  </si>
  <si>
    <t xml:space="preserve">Directive (EU) 2019/771</t>
  </si>
  <si>
    <t xml:space="preserve">32019L0771</t>
  </si>
  <si>
    <t xml:space="preserve">https://eur-lex.europa.eu/legal-content/EN/TXT/?uri=CELEX:32019L0771</t>
  </si>
  <si>
    <t xml:space="preserve">02019L0771-20260731</t>
  </si>
  <si>
    <t xml:space="preserve">2024-06-13</t>
  </si>
  <si>
    <t xml:space="preserve">52015PC0635</t>
  </si>
  <si>
    <t xml:space="preserve">The Directive harmonised consumers' rights when goods bought in shops or online are faulty, including a minimum two-year guarantee. The Commission forecast slightly lower prices, 122,000 more firms selling across borders online and about EUR 4 billion a year more GDP. None of this has been measured: the review due in June 2024 has not been found, and the rules have since been amended by the 2024 Right to Repair Directive without an evaluation.</t>
  </si>
  <si>
    <t xml:space="preserve">Company Law Directive</t>
  </si>
  <si>
    <t xml:space="preserve">Directive (EU) 2017/1132</t>
  </si>
  <si>
    <t xml:space="preserve">2015-12-03</t>
  </si>
  <si>
    <t xml:space="preserve">2017-06-14</t>
  </si>
  <si>
    <t xml:space="preserve">2017-06-30</t>
  </si>
  <si>
    <t xml:space="preserve">2017-07-20</t>
  </si>
  <si>
    <t xml:space="preserve">32017L1132</t>
  </si>
  <si>
    <t xml:space="preserve">https://eur-lex.europa.eu/legal-content/EN/TXT/?uri=CELEX:32017L1132</t>
  </si>
  <si>
    <t xml:space="preserve">02017L1132-20220812</t>
  </si>
  <si>
    <t xml:space="preserve">2019-06-20</t>
  </si>
  <si>
    <t xml:space="preserve">2024-12-19</t>
  </si>
  <si>
    <t xml:space="preserve">52015PC0616</t>
  </si>
  <si>
    <t xml:space="preserve">ex-ante only: codification with no promises of its own; amendment forecasts not yet evaluated; only descriptive mobility counts</t>
  </si>
  <si>
    <t xml:space="preserve">The 2017 Company Law Directive merely consolidated older rules, so it set no targets of its own. Later amendments promised EUR 42-84 million in savings from online company registration and about EUR 437 million a year from easier cross-border use of company data, but none has been evaluated. Independent counts show cross-border company moves remain concentrated in a few countries.</t>
  </si>
  <si>
    <t xml:space="preserve">Geo-blocking Regulation</t>
  </si>
  <si>
    <t xml:space="preserve">Regulation (EU) 2018/302</t>
  </si>
  <si>
    <t xml:space="preserve">2016-05-25</t>
  </si>
  <si>
    <t xml:space="preserve">2018-02-28</t>
  </si>
  <si>
    <t xml:space="preserve">2018-03-02</t>
  </si>
  <si>
    <t xml:space="preserve">2018-03-22</t>
  </si>
  <si>
    <t xml:space="preserve">32018R0302</t>
  </si>
  <si>
    <t xml:space="preserve">https://eur-lex.europa.eu/legal-content/EN/TXT/?uri=CELEX:32018R0302</t>
  </si>
  <si>
    <t xml:space="preserve">02018R0302-20180302</t>
  </si>
  <si>
    <t xml:space="preserve">52016PC0289</t>
  </si>
  <si>
    <t xml:space="preserve">moderate: one quasi-experimental JRC study (traffic proxy) and before/after mystery shopping; no ex-post evidence on prices or sales; full evaluation pending</t>
  </si>
  <si>
    <t xml:space="preserve">The Commission forecast that banning unjustified geo-blocking would cut online prices by about 0.6% and raise consumer welfare by 0.8%; prices have not been checked since. Outright blocking of foreign shoppers has fallen and a Commission study found cross-border visits to online shops rose by roughly 9-13%, but most cross-border purchases still fail because sellers may refuse to deliver abroad. EU auditors in 2025 found enforcement weak and uneven.</t>
  </si>
  <si>
    <t xml:space="preserve">Consumer Protection Cooperation Regulation</t>
  </si>
  <si>
    <t xml:space="preserve">Regulation (EU) 2017/2394</t>
  </si>
  <si>
    <t xml:space="preserve">2017-12-12</t>
  </si>
  <si>
    <t xml:space="preserve">2017-12-27</t>
  </si>
  <si>
    <t xml:space="preserve">2018-01-16</t>
  </si>
  <si>
    <t xml:space="preserve">32017R2394</t>
  </si>
  <si>
    <t xml:space="preserve">https://eur-lex.europa.eu/legal-content/EN/TXT/?uri=CELEX:32017R2394</t>
  </si>
  <si>
    <t xml:space="preserve">02017R2394-20260731</t>
  </si>
  <si>
    <t xml:space="preserve">52016PC0283</t>
  </si>
  <si>
    <t xml:space="preserve">thin: activity counts and stakeholder views; headline non-compliance indicator not tracked consistently; no independent studies found</t>
  </si>
  <si>
    <t xml:space="preserve">The CPC Regulation promised to cut widespread breaches of consumer law, which the Commission put at 37% of websites checked and about EUR 770 million in consumer losses in five online markets. Its 2024 review found joint actions against big traders work, but procedures are slow and national resources uneven, and recent checks still find more than a third of websites using manipulative designs. No study has measured whether consumer harm actually fell.</t>
  </si>
  <si>
    <t xml:space="preserve">European Electronic Communications Code</t>
  </si>
  <si>
    <t xml:space="preserve">Directive (EU) 2018/1972</t>
  </si>
  <si>
    <t xml:space="preserve">2016-09-14</t>
  </si>
  <si>
    <t xml:space="preserve">2018-12-17</t>
  </si>
  <si>
    <t xml:space="preserve">2018-12-20</t>
  </si>
  <si>
    <t xml:space="preserve">32018L1972</t>
  </si>
  <si>
    <t xml:space="preserve">https://eur-lex.europa.eu/legal-content/EN/TXT/?uri=CELEX:32018L1972</t>
  </si>
  <si>
    <t xml:space="preserve">02018L1972-20241018</t>
  </si>
  <si>
    <t xml:space="preserve">52016PC0590</t>
  </si>
  <si>
    <t xml:space="preserve">thin on the EECC itself: Commission review and coverage statistics, no causal evaluation; solid older econometric literature on access regulation and investment under the predecessor framework</t>
  </si>
  <si>
    <t xml:space="preserve">The telecoms code was forecast to lift EU GDP by 1.45% by 2025 by spurring fibre and 5G investment; that has never been measured. Fast networks did spread - fibre reached 69% of homes and 5G 94% in 2024 - but the Commission's 2026 review found its main investment tool (co-investment) was never used and national rules stayed fragmented, leading it to propose replacing the code with a Digital Networks Act. Older research shows strict access regulation tends to reduce incumbents' network investment.</t>
  </si>
  <si>
    <t xml:space="preserve">Copyright in the Digital Single Market Directive</t>
  </si>
  <si>
    <t xml:space="preserve">Directive (EU) 2019/790</t>
  </si>
  <si>
    <t xml:space="preserve">2019-05-17</t>
  </si>
  <si>
    <t xml:space="preserve">2019-06-06</t>
  </si>
  <si>
    <t xml:space="preserve">32019L0790</t>
  </si>
  <si>
    <t xml:space="preserve">https://eur-lex.europa.eu/legal-content/EN/TXT/?uri=CELEX:32019L0790</t>
  </si>
  <si>
    <t xml:space="preserve">02019L0790-20190517</t>
  </si>
  <si>
    <t xml:space="preserve">52016PC0593</t>
  </si>
  <si>
    <t xml:space="preserve">thin on the Directive itself; moderate causal evidence on predecessor national press publishers' rights (Spain, Germany); no measurement of Art. 17 effects</t>
  </si>
  <si>
    <t xml:space="preserve">The Commission promised that the Directive would help news publishers and other right holders license their content to online platforms, but set no measurable targets and has not yet evaluated it. Studies of earlier national publishers' rights found they raised little money and that when Google News left Spain, traffic to news sites fell by 8-14%. In France, Google paid only after EUR 750m in competition fines; the effect of the upload-filter rules (Art. 17) on creators, platforms and users has not been measured.</t>
  </si>
  <si>
    <t xml:space="preserve">Satellite and Cable II Directive</t>
  </si>
  <si>
    <t xml:space="preserve">Directive (EU) 2019/789</t>
  </si>
  <si>
    <t xml:space="preserve">32019L0789</t>
  </si>
  <si>
    <t xml:space="preserve">https://eur-lex.europa.eu/legal-content/EN/TXT/?uri=CELEX:32019L0789</t>
  </si>
  <si>
    <t xml:space="preserve">02019L0789-20190517</t>
  </si>
  <si>
    <t xml:space="preserve">52016PC0594</t>
  </si>
  <si>
    <t xml:space="preserve">none</t>
  </si>
  <si>
    <t xml:space="preserve">none: qualitative forecasts only; no baseline data, no review report found and no independent studies found</t>
  </si>
  <si>
    <t xml:space="preserve">The Directive aimed to make more TV and radio programmes available online across borders by simplifying copyright clearance for broadcasters' online services and for internet-based retransmission. The Commission promised to monitor cross-border availability but no data have been published, the review due in June 2025 has not been found, and no independent study has measured the effects.</t>
  </si>
  <si>
    <t xml:space="preserve">Data protection by EU institutions Regulation</t>
  </si>
  <si>
    <t xml:space="preserve">Regulation (EU) 2018/1725</t>
  </si>
  <si>
    <t xml:space="preserve">2017-01-10</t>
  </si>
  <si>
    <t xml:space="preserve">2018-10-23</t>
  </si>
  <si>
    <t xml:space="preserve">2018-11-21</t>
  </si>
  <si>
    <t xml:space="preserve">32018R1725</t>
  </si>
  <si>
    <t xml:space="preserve">https://eur-lex.europa.eu/legal-content/EN/TXT/?uri=CELEX:32018R1725</t>
  </si>
  <si>
    <t xml:space="preserve">02018R1725-20181121</t>
  </si>
  <si>
    <t xml:space="preserve">52017PC0008</t>
  </si>
  <si>
    <t xml:space="preserve">thin: one Commission self-assessment based on a survey of EU bodies; no independent studies found</t>
  </si>
  <si>
    <t xml:space="preserve">These rules bring data protection in the EU institutions in line with the GDPR. The Commission's 2022 review, based on a survey of 56 EU bodies, judged them to be working well: over half gave their data protection officers more resources and routine checks by the supervisor fell as intended, but the supervisor had not issued any fines. No independent study has assessed the rules' effects.</t>
  </si>
  <si>
    <t xml:space="preserve">Single Digital Gateway Regulation</t>
  </si>
  <si>
    <t xml:space="preserve">Regulation (EU) 2018/1724</t>
  </si>
  <si>
    <t xml:space="preserve">2017-05-02</t>
  </si>
  <si>
    <t xml:space="preserve">2018-10-02</t>
  </si>
  <si>
    <t xml:space="preserve">32018R1724</t>
  </si>
  <si>
    <t xml:space="preserve">https://eur-lex.europa.eu/legal-content/EN/TXT/?uri=CELEX:32018R1724</t>
  </si>
  <si>
    <t xml:space="preserve">02018R1724-20260520</t>
  </si>
  <si>
    <t xml:space="preserve">2022-05-30</t>
  </si>
  <si>
    <t xml:space="preserve">2025-10-22</t>
  </si>
  <si>
    <t xml:space="preserve">52017PC0256</t>
  </si>
  <si>
    <t xml:space="preserve">moderate on usage, thin on impact: usage and satisfaction indicators measured by the Commission; forecast cost savings unmeasured; no independent impact studies found</t>
  </si>
  <si>
    <t xml:space="preserve">The Single Digital Gateway promised to save businesses EUR 11-55 billion a year by putting EU and national information and procedures online. The Commission's 2023 report shows the Your Europe portal is heavily used (43 million visits in 2022) with over 90% satisfaction, but only about half of key procedures could be completed online by users from other EU countries. The promised savings have not been measured, and the 2025 evaluation was not found.</t>
  </si>
  <si>
    <t xml:space="preserve">Cybersecurity Act</t>
  </si>
  <si>
    <t xml:space="preserve">Regulation (EU) 2019/881</t>
  </si>
  <si>
    <t xml:space="preserve">Cybersecurity</t>
  </si>
  <si>
    <t xml:space="preserve">2019-06-07</t>
  </si>
  <si>
    <t xml:space="preserve">2019-06-27</t>
  </si>
  <si>
    <t xml:space="preserve">32019R0881</t>
  </si>
  <si>
    <t xml:space="preserve">https://eur-lex.europa.eu/legal-content/EN/TXT/?uri=CELEX:32019R0881</t>
  </si>
  <si>
    <t xml:space="preserve">02019R0881-20250204</t>
  </si>
  <si>
    <t xml:space="preserve">52017PC0477</t>
  </si>
  <si>
    <t xml:space="preserve">thin: one Commission evaluation based on interviews and surveys (no outcome indicators); no independent impact studies</t>
  </si>
  <si>
    <t xml:space="preserve">The Cybersecurity Act made the EU cyber agency ENISA permanent and created an EU-wide certification system for ICT products. The Commission's 2026 evaluation found ENISA delivered nearly all its planned work but lacked resources and indicators, while certification badly underperformed: the first scheme took almost five years and the cloud scheme stalled. The Commission has proposed replacing the Act; no independent study measures its effect on cyber resilience.</t>
  </si>
  <si>
    <t xml:space="preserve">Free Flow of Non-Personal Data Regulation</t>
  </si>
  <si>
    <t xml:space="preserve">Regulation (EU) 2018/1807</t>
  </si>
  <si>
    <t xml:space="preserve">2018-11-28</t>
  </si>
  <si>
    <t xml:space="preserve">2018-12-18</t>
  </si>
  <si>
    <t xml:space="preserve">32018R1807</t>
  </si>
  <si>
    <t xml:space="preserve">https://eur-lex.europa.eu/legal-content/EN/TXT/?uri=CELEX:32018R1807</t>
  </si>
  <si>
    <t xml:space="preserve">52017PC0495</t>
  </si>
  <si>
    <t xml:space="preserve">thin: no promised indicators measured; evaluation evidence qualitative and points to limited effect; no causal studies</t>
  </si>
  <si>
    <t xml:space="preserve">The Commission expected the Regulation to add up to EUR 8 billion a year to EU GDP by removing national rules on where data must be stored. That gain was never measured; an evaluation study and the Commission's own 2025 review found limited uptake, no recorded use of its enforcement mechanisms and little success in removing localisation rules. The Commission now proposes to repeal it and move its core principle into the Data Act.</t>
  </si>
  <si>
    <t xml:space="preserve">FDI Screening Regulation</t>
  </si>
  <si>
    <t xml:space="preserve">Regulation (EU) 2019/452</t>
  </si>
  <si>
    <t xml:space="preserve">2019-03-19</t>
  </si>
  <si>
    <t xml:space="preserve">2019-03-21</t>
  </si>
  <si>
    <t xml:space="preserve">2019-04-10</t>
  </si>
  <si>
    <t xml:space="preserve">32019R0452</t>
  </si>
  <si>
    <t xml:space="preserve">https://eur-lex.europa.eu/legal-content/EN/TXT/?uri=CELEX:32019R0452</t>
  </si>
  <si>
    <t xml:space="preserve">02019R0452-20211223</t>
  </si>
  <si>
    <t xml:space="preserve">2020-07-13</t>
  </si>
  <si>
    <t xml:space="preserve">2021-09-29</t>
  </si>
  <si>
    <t xml:space="preserve">52017PC0487</t>
  </si>
  <si>
    <t xml:space="preserve">moderate: Commission evaluation, ECA audit and OECD review on process; two independent quasi-experimental studies on investment flows (working papers) that point to some chilling effect of screening</t>
  </si>
  <si>
    <t xml:space="preserve">The FDI Screening Regulation set no measurable targets beyond a review. By 2024, 24 of 27 countries screened foreign investments and handled over 3,000 cases, blocking about 1% of those formally screened; the Commission's 2024 evaluation says the system protects security without deterring investment, while EU auditors found 'blind spots'. Independent studies suggest screening reduces foreign takeovers in newly screened sectors by roughly 12-16%, so the claim of no chilling effect is contested; a revised Regulation was adopted in 2026.</t>
  </si>
  <si>
    <t xml:space="preserve">Non-cash payment fraud Directive</t>
  </si>
  <si>
    <t xml:space="preserve">Directive (EU) 2019/713</t>
  </si>
  <si>
    <t xml:space="preserve">2019-05-10</t>
  </si>
  <si>
    <t xml:space="preserve">2019-05-30</t>
  </si>
  <si>
    <t xml:space="preserve">32019L0713</t>
  </si>
  <si>
    <t xml:space="preserve">https://eur-lex.europa.eu/legal-content/EN/TXT/?uri=CELEX:32019L0713</t>
  </si>
  <si>
    <t xml:space="preserve">52017PC0489</t>
  </si>
  <si>
    <t xml:space="preserve">thin: only a legal transposition report; fraud statistics exist but no study links them to the Directive; impact evaluation (due May 2026) not found</t>
  </si>
  <si>
    <t xml:space="preserve">The Directive updated criminal law on payment card and online payment fraud. The Commission's only review so far checked legal transposition, finding most countries late and some gaps on virtual currencies. Payment fraud in Europe still runs at about EUR 4 billion a year, but no study has assessed whether the Directive helped reduce it.</t>
  </si>
  <si>
    <t xml:space="preserve">Market Surveillance Regulation</t>
  </si>
  <si>
    <t xml:space="preserve">Regulation (EU) 2019/1020</t>
  </si>
  <si>
    <t xml:space="preserve">2017-12-19</t>
  </si>
  <si>
    <t xml:space="preserve">2019-06-25</t>
  </si>
  <si>
    <t xml:space="preserve">2019-07-15</t>
  </si>
  <si>
    <t xml:space="preserve">32019R1020</t>
  </si>
  <si>
    <t xml:space="preserve">https://eur-lex.europa.eu/legal-content/EN/TXT/?uri=CELEX:32019R1020</t>
  </si>
  <si>
    <t xml:space="preserve">02019R1020-20260812</t>
  </si>
  <si>
    <t xml:space="preserve">2023-07-12</t>
  </si>
  <si>
    <t xml:space="preserve">2026-07-08</t>
  </si>
  <si>
    <t xml:space="preserve">52017PC0795</t>
  </si>
  <si>
    <t xml:space="preserve">thin: one partial Commission report on Article 4 based on authority surveys; full evaluation (due July 2026) not found; no independent studies</t>
  </si>
  <si>
    <t xml:space="preserve">The Regulation strengthened checks on products sold in the EU, including a rule that every product must have an EU-based responsible company. A 2025 Commission review found no clear improvement in compliance: about one in ten checked products still fails the rules, and in an online check only a third of the EU contacts given could be confirmed. Meanwhile direct imports of cheap parcels tripled to 4.6 billion in 2024, and the full evaluation is still awaited.</t>
  </si>
  <si>
    <t xml:space="preserve">E-evidence Regulation</t>
  </si>
  <si>
    <t xml:space="preserve">Regulation (EU) 2023/1543</t>
  </si>
  <si>
    <t xml:space="preserve">2018-04-17</t>
  </si>
  <si>
    <t xml:space="preserve">2023-07-28</t>
  </si>
  <si>
    <t xml:space="preserve">2023-08-17</t>
  </si>
  <si>
    <t xml:space="preserve">32023R1543</t>
  </si>
  <si>
    <t xml:space="preserve">https://eur-lex.europa.eu/legal-content/EN/TXT/?uri=CELEX:32023R1543</t>
  </si>
  <si>
    <t xml:space="preserve">02023R1543-20230728</t>
  </si>
  <si>
    <t xml:space="preserve">52018PC0225</t>
  </si>
  <si>
    <t xml:space="preserve">ex-ante only: rules applied from August 2026; impact assessment forecasts and an industry readiness paper</t>
  </si>
  <si>
    <t xml:space="preserve">The E-evidence Regulation lets prosecutors order online service providers in other EU countries to hand over or preserve electronic data. The Commission expected faster investigations and savings of over EUR 11 million a year, but the rules only applied from August 2026 and industry warned that the IT system and national laws were not ready. There is no evidence yet on how well it works.</t>
  </si>
  <si>
    <t xml:space="preserve">Open Data Directive (PSI)</t>
  </si>
  <si>
    <t xml:space="preserve">Directive (EU) 2019/1024</t>
  </si>
  <si>
    <t xml:space="preserve">2018-04-25</t>
  </si>
  <si>
    <t xml:space="preserve">2019-06-26</t>
  </si>
  <si>
    <t xml:space="preserve">2019-07-16</t>
  </si>
  <si>
    <t xml:space="preserve">32019L1024</t>
  </si>
  <si>
    <t xml:space="preserve">https://eur-lex.europa.eu/legal-content/EN/TXT/?uri=CELEX:32019L1024</t>
  </si>
  <si>
    <t xml:space="preserve">52018PC0234</t>
  </si>
  <si>
    <t xml:space="preserve">thin: large ex-ante forecasts and self-reported maturity scores; no ex-post evaluation of the Directive yet; causal evidence on open data exists only outside the EU</t>
  </si>
  <si>
    <t xml:space="preserve">The Commission forecast that the Open Data Directive would make public data worth about EUR 194 billion a year by 2028 and support around 709,000 jobs, but none of these forecasts has been checked: the evaluation due from 2025 had not been published by October 2026. Monitoring relies on countries' self-assessed open data maturity, which reached 86% in 2025, with the lowest score for demonstrating impact. Research from outside the EU shows free public data can spur discoveries and new entrants, but no study measures what this Directive has achieved.</t>
  </si>
  <si>
    <t xml:space="preserve">Platform-to-Business (P2B) Regulation</t>
  </si>
  <si>
    <t xml:space="preserve">Regulation (EU) 2019/1150</t>
  </si>
  <si>
    <t xml:space="preserve">2018-04-26</t>
  </si>
  <si>
    <t xml:space="preserve">2019-07-11</t>
  </si>
  <si>
    <t xml:space="preserve">2019-07-31</t>
  </si>
  <si>
    <t xml:space="preserve">32019R1150</t>
  </si>
  <si>
    <t xml:space="preserve">https://eur-lex.europa.eu/legal-content/EN/TXT/?uri=CELEX:32019R1150</t>
  </si>
  <si>
    <t xml:space="preserve">02019R1150-20190711</t>
  </si>
  <si>
    <t xml:space="preserve">52018PC0238</t>
  </si>
  <si>
    <t xml:space="preserve">thin: Commission compliance review and national regulator surveys/sweeps only; no study of effects on business users' sales, prices or competition</t>
  </si>
  <si>
    <t xml:space="preserve">The P2B Regulation (applying since July 2020) gave businesses that sell through platforms rights to clear terms, ranking explanations and complaint handling. The Commission forecast EUR 0.8-4 billion of extra online trade but never measured it; its 2023 review and later national checks found low compliance (around 80% of platforms in an Irish 2025 sweep) and low awareness among businesses. In November 2025 the Commission proposed repealing it as largely overtaken by the DSA and DMA.</t>
  </si>
  <si>
    <t xml:space="preserve">Digital Europe Programme</t>
  </si>
  <si>
    <t xml:space="preserve">Regulation (EU) 2021/694</t>
  </si>
  <si>
    <t xml:space="preserve">Research &amp; Innovation</t>
  </si>
  <si>
    <t xml:space="preserve">2018-06-06</t>
  </si>
  <si>
    <t xml:space="preserve">2021-04-29</t>
  </si>
  <si>
    <t xml:space="preserve">2021-05-11</t>
  </si>
  <si>
    <t xml:space="preserve">2021-05-12</t>
  </si>
  <si>
    <t xml:space="preserve">32021R0694</t>
  </si>
  <si>
    <t xml:space="preserve">https://eur-lex.europa.eu/legal-content/EN/TXT/?uri=CELEX:32021R0694</t>
  </si>
  <si>
    <t xml:space="preserve">02021R0694-20251223</t>
  </si>
  <si>
    <t xml:space="preserve">2023-09-13</t>
  </si>
  <si>
    <t xml:space="preserve">2025-12-19</t>
  </si>
  <si>
    <t xml:space="preserve">52018PC0434</t>
  </si>
  <si>
    <t xml:space="preserve">thin: Commission interim evaluation reports outputs and user ratings; no counterfactual or independent study of impact found</t>
  </si>
  <si>
    <t xml:space="preserve">Digital Europe (EUR 8.2bn, 2021-2027) funds supercomputers, AI and cybersecurity infrastructure, innovation hubs and advanced skills. The Commission's 2025 mid-term review shows outputs largely on track - the JUPITER exascale computer, over 150 innovation hubs serving 54,600 firms and 20,700 people trained - but effects on firms' productivity or digital uptake have not been measured, and no independent evaluation was found.</t>
  </si>
  <si>
    <t xml:space="preserve">InvestEU Programme</t>
  </si>
  <si>
    <t xml:space="preserve">Regulation (EU) 2021/523</t>
  </si>
  <si>
    <t xml:space="preserve">Industrial Policy</t>
  </si>
  <si>
    <t xml:space="preserve">2021-03-24</t>
  </si>
  <si>
    <t xml:space="preserve">2021-03-26</t>
  </si>
  <si>
    <t xml:space="preserve">32021R0523</t>
  </si>
  <si>
    <t xml:space="preserve">https://eur-lex.europa.eu/legal-content/EN/TXT/?uri=CELEX:32021R0523</t>
  </si>
  <si>
    <t xml:space="preserve">02021R0523-20251224</t>
  </si>
  <si>
    <t xml:space="preserve">2024-02-29</t>
  </si>
  <si>
    <t xml:space="preserve">2025-12-16</t>
  </si>
  <si>
    <t xml:space="preserve">52020PC0403</t>
  </si>
  <si>
    <t xml:space="preserve">moderate-thin: Commission interim evaluation with self-reported mobilisation figures; auditors' critique and one causal study concern the predecessor EFSI, not InvestEU itself</t>
  </si>
  <si>
    <t xml:space="preserve">InvestEU uses a EUR 26.2 billion EU budget guarantee to unlock more than EUR 372 billion of investment by 2028. The Commission's 2024 mid-term review reported EUR 218 billion expected by end-2023, mostly private, but these are expected rather than realised figures. EU auditors found the predecessor fund overstated its results by 26% and could not prove additionality, although an independent causal study finds its loans did boost firms' investment.</t>
  </si>
  <si>
    <t xml:space="preserve">Connecting Europe Facility</t>
  </si>
  <si>
    <t xml:space="preserve">Regulation (EU) 2021/1153</t>
  </si>
  <si>
    <t xml:space="preserve">2021-07-07</t>
  </si>
  <si>
    <t xml:space="preserve">2021-07-14</t>
  </si>
  <si>
    <t xml:space="preserve">32021R1153</t>
  </si>
  <si>
    <t xml:space="preserve">https://eur-lex.europa.eu/legal-content/EN/TXT/?uri=CELEX:32021R1153</t>
  </si>
  <si>
    <t xml:space="preserve">02021R1153-20251224</t>
  </si>
  <si>
    <t xml:space="preserve">52018PC0438</t>
  </si>
  <si>
    <t xml:space="preserve">thin: budget commitments and project counts only; interim evaluation pending; no causal study of CEF found</t>
  </si>
  <si>
    <t xml:space="preserve">The Connecting Europe Facility co-funds cross-border transport, energy and digital networks. By 2025 the transport money was fully committed and calls had been nearly three times oversubscribed, but only a handful of the 600+ funded transport projects were finished. There is no measured evidence yet of effects on trade, energy markets or growth, and the formal interim evaluation was still under way.</t>
  </si>
  <si>
    <t xml:space="preserve">Horizon Europe</t>
  </si>
  <si>
    <t xml:space="preserve">Regulation (EU) 2021/695</t>
  </si>
  <si>
    <t xml:space="preserve">2018-06-07</t>
  </si>
  <si>
    <t xml:space="preserve">2021-04-28</t>
  </si>
  <si>
    <t xml:space="preserve">32021R0695</t>
  </si>
  <si>
    <t xml:space="preserve">https://eur-lex.europa.eu/legal-content/EN/TXT/?uri=CELEX:32021R0695</t>
  </si>
  <si>
    <t xml:space="preserve">02021R0695-20251224</t>
  </si>
  <si>
    <t xml:space="preserve">52018PC0435</t>
  </si>
  <si>
    <t xml:space="preserve">moderate: strong causal evidence that predecessor (Horizon 2020) grants help firms; Horizon Europe's own GDP and jobs effects only model-based so far</t>
  </si>
  <si>
    <t xml:space="preserve">Horizon Europe, the EU's EUR 93.5 billion research programme, was forecast to return up to EUR 11 in GDP for every euro spent over 25 years and create up to 100,000 research jobs. Its 2025 interim evaluation says it is on track, but those figures come from re-running economic models; measured results so far are about 40,000 jobs reported by a fifth of projects and EUR 10 billion of co-investment. Rigorous studies of its predecessor find that grants helped small firms invest, patent and grow, while European Research Council grants made little difference to researchers just above the funding line.</t>
  </si>
  <si>
    <t xml:space="preserve">Single Market Programme</t>
  </si>
  <si>
    <t xml:space="preserve">Regulation (EU) 2021/690</t>
  </si>
  <si>
    <t xml:space="preserve">2021-05-03</t>
  </si>
  <si>
    <t xml:space="preserve">32021R0690</t>
  </si>
  <si>
    <t xml:space="preserve">https://eur-lex.europa.eu/legal-content/EN/TXT/?uri=CELEX:32021R0690</t>
  </si>
  <si>
    <t xml:space="preserve">02021R0690-20210503</t>
  </si>
  <si>
    <t xml:space="preserve">52018PC0441</t>
  </si>
  <si>
    <t xml:space="preserve">thin: Commission interim evaluation based on outputs and satisfaction surveys; no counterfactual or independent study found</t>
  </si>
  <si>
    <t xml:space="preserve">The EUR 4.4bn Single Market Programme funds SME support networks, consumer enforcement, standards, food safety and statistics. The Commission's 2025 mid-term review calls it effective, citing satisfied users and disease control results, but admits it does not yet measure effects on firms' growth. No independent study of its impact was found.</t>
  </si>
  <si>
    <t xml:space="preserve">European Cybersecurity Competence Centre</t>
  </si>
  <si>
    <t xml:space="preserve">Regulation (EU) 2021/887</t>
  </si>
  <si>
    <t xml:space="preserve">2018-09-12</t>
  </si>
  <si>
    <t xml:space="preserve">2021-05-20</t>
  </si>
  <si>
    <t xml:space="preserve">2021-06-08</t>
  </si>
  <si>
    <t xml:space="preserve">2021-06-28</t>
  </si>
  <si>
    <t xml:space="preserve">32021R0887</t>
  </si>
  <si>
    <t xml:space="preserve">https://eur-lex.europa.eu/legal-content/EN/TXT/?uri=CELEX:32021R0887</t>
  </si>
  <si>
    <t xml:space="preserve">52018PC0630</t>
  </si>
  <si>
    <t xml:space="preserve">thin: output counts and audit findings only; headline 25% market-share target not tracked; no independent study</t>
  </si>
  <si>
    <t xml:space="preserve">The Centre in Bucharest channels EU cybersecurity funding with Member States. The infrastructure it oversees (26 CyberHubs, 27 national centres) is in place, but the Centre only became operationally independent in late 2024, auditors found gaps in its reporting, and its headline aim of a 25% global market share for EU cybersecurity firms by 2027 is not being tracked.</t>
  </si>
  <si>
    <t xml:space="preserve">Terrorist Content Online Regulation</t>
  </si>
  <si>
    <t xml:space="preserve">Regulation (EU) 2021/784</t>
  </si>
  <si>
    <t xml:space="preserve">2021-05-17</t>
  </si>
  <si>
    <t xml:space="preserve">2021-06-06</t>
  </si>
  <si>
    <t xml:space="preserve">32021R0784</t>
  </si>
  <si>
    <t xml:space="preserve">https://eur-lex.europa.eu/legal-content/EN/TXT/?uri=CELEX:32021R0784</t>
  </si>
  <si>
    <t xml:space="preserve">02021R0784-20210517</t>
  </si>
  <si>
    <t xml:space="preserve">52018PC0640</t>
  </si>
  <si>
    <t xml:space="preserve">thin: Commission activity counts and a qualitative rights assessment; no measure of effect on terrorist content or on platforms</t>
  </si>
  <si>
    <t xml:space="preserve">Since June 2022 national authorities can order platforms to remove terrorist content within one hour. The Commission counted about 350 such orders by end-2023, mostly acted on quickly, and judged the law a success, but no study measures whether terrorist content online actually fell. The EU's rights agency (2026) warns of over-removal and uneven effects on Muslim and Arabic-speaking users.</t>
  </si>
  <si>
    <t xml:space="preserve">Recovery and Resilience Facility</t>
  </si>
  <si>
    <t xml:space="preserve">Regulation (EU) 2021/241</t>
  </si>
  <si>
    <t xml:space="preserve">2020-05-28</t>
  </si>
  <si>
    <t xml:space="preserve">2021-02-12</t>
  </si>
  <si>
    <t xml:space="preserve">2021-02-18</t>
  </si>
  <si>
    <t xml:space="preserve">2021-02-19</t>
  </si>
  <si>
    <t xml:space="preserve">32021R0241</t>
  </si>
  <si>
    <t xml:space="preserve">https://eur-lex.europa.eu/legal-content/EN/TXT/?uri=CELEX:32021R0241</t>
  </si>
  <si>
    <t xml:space="preserve">02021R0241-20240301</t>
  </si>
  <si>
    <t xml:space="preserve">2023-02-27</t>
  </si>
  <si>
    <t xml:space="preserve">52020PC0408</t>
  </si>
  <si>
    <t xml:space="preserve">moderate on implementation, thin on impact: detailed disbursement and audit data; GDP effects only from macro models (Commission, ECB) and early IMF analysis; no ex-post causal evaluation (due 2028)</t>
  </si>
  <si>
    <t xml:space="preserve">The Recovery and Resilience Facility paid out EUR 450 billion (79% of its funds) by October 2026, tied to reforms and investments that countries promised, of which about two-thirds of milestones were met. Commission models suggested it could lift EU output by up to 1.4% by 2026, while ECB staff now expect a smaller 0.4-0.9% for the euro area because of widespread delays. EU auditors warn that the fund's indicators track spending progress, not real results, so its actual impact remains unmeasured until the 2028 ex-post evaluation.</t>
  </si>
  <si>
    <t xml:space="preserve">Temporary CSAM Derogation Regulation</t>
  </si>
  <si>
    <t xml:space="preserve">Regulation (EU) 2021/1232</t>
  </si>
  <si>
    <t xml:space="preserve">2020-09-10</t>
  </si>
  <si>
    <t xml:space="preserve">2021-07-30</t>
  </si>
  <si>
    <t xml:space="preserve">2021-08-02</t>
  </si>
  <si>
    <t xml:space="preserve">32021R1232</t>
  </si>
  <si>
    <t xml:space="preserve">https://eur-lex.europa.eu/legal-content/EN/TXT/?uri=CELEX:32021R1232</t>
  </si>
  <si>
    <t xml:space="preserve">02021R1232-20240515</t>
  </si>
  <si>
    <t xml:space="preserve">52020PC0568</t>
  </si>
  <si>
    <t xml:space="preserve">thin: Commission reports say data too incomplete to assess effectiveness or proportionality; no independent study</t>
  </si>
  <si>
    <t xml:space="preserve">This temporary law lets messaging services keep voluntarily scanning for child sexual abuse material despite EU privacy rules. Two Commission reports (2023, 2025) say national and platform data are too incomplete to measure its effect reliably, although thousands of children were identified and millions of images removed. Data protection authorities warn safeguards against blanket scanning remain weak.</t>
  </si>
  <si>
    <t xml:space="preserve">EuroHPC Joint Undertaking Regulation</t>
  </si>
  <si>
    <t xml:space="preserve">Regulation (EU) 2021/1173</t>
  </si>
  <si>
    <t xml:space="preserve">2020-09-18</t>
  </si>
  <si>
    <t xml:space="preserve">2021-07-13</t>
  </si>
  <si>
    <t xml:space="preserve">2021-07-19</t>
  </si>
  <si>
    <t xml:space="preserve">2021-08-08</t>
  </si>
  <si>
    <t xml:space="preserve">32021R1173</t>
  </si>
  <si>
    <t xml:space="preserve">https://eur-lex.europa.eu/legal-content/EN/TXT/?uri=CELEX:32021R1173</t>
  </si>
  <si>
    <t xml:space="preserve">02021R1173-20260120</t>
  </si>
  <si>
    <t xml:space="preserve">2024-06-17</t>
  </si>
  <si>
    <t xml:space="preserve">2026-01-16</t>
  </si>
  <si>
    <t xml:space="preserve">52020PC0569</t>
  </si>
  <si>
    <t xml:space="preserve">thin: output evidence (rankings, procurements) and audit findings; no study of effects on research or industry</t>
  </si>
  <si>
    <t xml:space="preserve">EuroHPC pools EU and national money to buy supercomputers. It has delivered Europe's first exascale machine, JUPITER, ranked fourth in the world in 2025 - later than the original aim of a top-three system around 2022. EU auditors found private partners have contributed only about EUR 20m of the EUR 420m expected, and no study yet measures the benefits for science or industry.</t>
  </si>
  <si>
    <t xml:space="preserve">DLT Pilot Regime Regulation</t>
  </si>
  <si>
    <t xml:space="preserve">Regulation (EU) 2022/858</t>
  </si>
  <si>
    <t xml:space="preserve">2020-09-24</t>
  </si>
  <si>
    <t xml:space="preserve">2022-06-02</t>
  </si>
  <si>
    <t xml:space="preserve">2022-06-22</t>
  </si>
  <si>
    <t xml:space="preserve">32022R0858</t>
  </si>
  <si>
    <t xml:space="preserve">https://eur-lex.europa.eu/legal-content/EN/TXT/?uri=CELEX:32022R0858</t>
  </si>
  <si>
    <t xml:space="preserve">02022R0858-20220602</t>
  </si>
  <si>
    <t xml:space="preserve">52020PC0594</t>
  </si>
  <si>
    <t xml:space="preserve">thin: regulator's review documents very low uptake; no independent study of effects</t>
  </si>
  <si>
    <t xml:space="preserve">The DLT Pilot Regime lets trading venues and securities depositories test blockchain technology under relaxed rules. By mid-2025 only three had been licensed and live trading was minimal; the EU securities regulator blamed tight size caps and practical barriers. The Commission proposed in December 2025 to make the regime permanent with much higher caps; no study has measured effects on costs or competition.</t>
  </si>
  <si>
    <t xml:space="preserve">Markets in Crypto-Assets (MiCA)</t>
  </si>
  <si>
    <t xml:space="preserve">Regulation (EU) 2023/1114</t>
  </si>
  <si>
    <t xml:space="preserve">2023-05-31</t>
  </si>
  <si>
    <t xml:space="preserve">2023-06-09</t>
  </si>
  <si>
    <t xml:space="preserve">2023-06-29</t>
  </si>
  <si>
    <t xml:space="preserve">32023R1114</t>
  </si>
  <si>
    <t xml:space="preserve">https://eur-lex.europa.eu/legal-content/EN/TXT/?uri=CELEX:32023R1114</t>
  </si>
  <si>
    <t xml:space="preserve">02023R1114-20240109</t>
  </si>
  <si>
    <t xml:space="preserve">2023-12-13</t>
  </si>
  <si>
    <t xml:space="preserve">52020PC0593</t>
  </si>
  <si>
    <t xml:space="preserve">early and thin: authorisation counts measured; two small quasi-experimental studies on stablecoin markets; nothing on fraud, consumer losses or funding</t>
  </si>
  <si>
    <t xml:space="preserve">MiCA set up EU licences for crypto firms and stablecoin issuers. By October 2026 about 365 firms were licensed and licensed euro stablecoins had more than doubled in value to about USD 674 million, though from a tiny base. Early studies find MiCA moved EU exchanges from unlicensed to licensed stablecoins but barely changed wider markets; promised savings on remittances and reductions in fraud have not been measured.</t>
  </si>
  <si>
    <t xml:space="preserve">Digital Operational Resilience Act (DORA)</t>
  </si>
  <si>
    <t xml:space="preserve">Regulation (EU) 2022/2554</t>
  </si>
  <si>
    <t xml:space="preserve">2022-12-27</t>
  </si>
  <si>
    <t xml:space="preserve">2023-01-16</t>
  </si>
  <si>
    <t xml:space="preserve">32022R2554</t>
  </si>
  <si>
    <t xml:space="preserve">https://eur-lex.europa.eu/legal-content/EN/TXT/?uri=CELEX:32022R2554</t>
  </si>
  <si>
    <t xml:space="preserve">02022R2554-20221227</t>
  </si>
  <si>
    <t xml:space="preserve">52020PC0595</t>
  </si>
  <si>
    <t xml:space="preserve">very thin: forecasts plus implementation milestones and vendor surveys; no independent evidence on incidents, resilience or costs</t>
  </si>
  <si>
    <t xml:space="preserve">DORA aims to make banks, insurers and other financial firms withstand IT failures and cyber attacks, and to oversee their key tech suppliers. Since it applied in January 2025, regulators have mapped firms' IT supply chains and put 19 critical providers - including the big cloud companies - under direct oversight. The forecast savings and reduction in incident costs have not been measured; the only cost evidence comes from vendor surveys suggesting many firms spent over EUR 1 million on compliance.</t>
  </si>
  <si>
    <t xml:space="preserve">Data Governance Act</t>
  </si>
  <si>
    <t xml:space="preserve">Regulation (EU) 2022/868</t>
  </si>
  <si>
    <t xml:space="preserve">2020-11-25</t>
  </si>
  <si>
    <t xml:space="preserve">2022-06-03</t>
  </si>
  <si>
    <t xml:space="preserve">2022-06-23</t>
  </si>
  <si>
    <t xml:space="preserve">32022R0868</t>
  </si>
  <si>
    <t xml:space="preserve">https://eur-lex.europa.eu/legal-content/EN/TXT/?uri=CELEX:32022R0868</t>
  </si>
  <si>
    <t xml:space="preserve">02022R0868-20220603</t>
  </si>
  <si>
    <t xml:space="preserve">52020PC0767</t>
  </si>
  <si>
    <t xml:space="preserve">thin: Commission forecasts, registers and enforcement records, two critical legal analyses; no evaluation or causal evidence</t>
  </si>
  <si>
    <t xml:space="preserve">The Data Governance Act (applying since September 2023) created a regime for trusted data intermediaries and data altruism. The Commission forecast EUR 7-11 billion for the data economy by 2028, but uptake has been modest - 38 registered intermediaries and 7 altruism organisations by mid-2026 - and many countries were late in setting up authorities. Legal scholars argued the rules could make intermediaries unviable, and in November 2025 the Commission proposed folding the DGA into the Data Act and making the intermediary regime voluntary.</t>
  </si>
  <si>
    <t xml:space="preserve">Digital Markets Act</t>
  </si>
  <si>
    <t xml:space="preserve">Regulation (EU) 2022/1925</t>
  </si>
  <si>
    <t xml:space="preserve">2020-12-15</t>
  </si>
  <si>
    <t xml:space="preserve">2022-09-14</t>
  </si>
  <si>
    <t xml:space="preserve">2022-10-12</t>
  </si>
  <si>
    <t xml:space="preserve">2022-11-01</t>
  </si>
  <si>
    <t xml:space="preserve">32022R1925</t>
  </si>
  <si>
    <t xml:space="preserve">https://eur-lex.europa.eu/legal-content/EN/TXT/?uri=CELEX:32022R1925</t>
  </si>
  <si>
    <t xml:space="preserve">02022R1925-20221012</t>
  </si>
  <si>
    <t xml:space="preserve">52020PC0842</t>
  </si>
  <si>
    <t xml:space="preserve">early and thin: Commission review is qualitative; three studies with causal designs on individual remedies (browsers, Amazon ranking, maps) and one small study on start-ups; headline benefits never measured</t>
  </si>
  <si>
    <t xml:space="preserve">The DMA has changed gatekeeper conduct (choice screens, steering, alternative app stores, consent, less self-preferencing on Amazon) and produced EUR 1.59bn of fines, but none of the six promised indicators is reported systematically and the EUR 13bn consumer-surplus estimate has not been assessed. Causal studies find large default effects for browsers (Firefox +91% on iOS), a one-third drop in Amazon's self-preferencing after designation, but no shift to rival map services; one small study finds lower start-up entry and investment. Theory (Madio, Manenti &amp; Motta 2026) supports the DMA's equal-access design.</t>
  </si>
  <si>
    <t xml:space="preserve">Digital Services Act</t>
  </si>
  <si>
    <t xml:space="preserve">Regulation (EU) 2022/2065</t>
  </si>
  <si>
    <t xml:space="preserve">2022-10-27</t>
  </si>
  <si>
    <t xml:space="preserve">2022-11-16</t>
  </si>
  <si>
    <t xml:space="preserve">32022R2065</t>
  </si>
  <si>
    <t xml:space="preserve">https://eur-lex.europa.eu/legal-content/EN/TXT/?uri=CELEX:32022R2065</t>
  </si>
  <si>
    <t xml:space="preserve">02022R2065-20221027</t>
  </si>
  <si>
    <t xml:space="preserve">52020PC0825</t>
  </si>
  <si>
    <t xml:space="preserve">thin: no promised indicators; enforcement record and descriptive transparency studies only; no causal evidence on economic or safety outcomes</t>
  </si>
  <si>
    <t xml:space="preserve">The DSA set no monitoring indicators, and its forecast 1-1.8% boost to cross-border digital trade has not been evaluated. Enforcement has begun - X was fined EUR 120m in December 2025 - and the new transparency database has made moderation more visible, but audits of hundreds of millions of records show platforms report inconsistently. No study yet measures the DSA's effect on illegal content, users' safety or the platform economy.</t>
  </si>
  <si>
    <t xml:space="preserve">NIS 2 Directive</t>
  </si>
  <si>
    <t xml:space="preserve">Directive (EU) 2022/2555</t>
  </si>
  <si>
    <t xml:space="preserve">2020-12-16</t>
  </si>
  <si>
    <t xml:space="preserve">32022L2555</t>
  </si>
  <si>
    <t xml:space="preserve">https://eur-lex.europa.eu/legal-content/EN/TXT/?uri=CELEX:32022L2555</t>
  </si>
  <si>
    <t xml:space="preserve">02022L2555-20221227</t>
  </si>
  <si>
    <t xml:space="preserve">52020PC0823</t>
  </si>
  <si>
    <t xml:space="preserve">thin: forecasts only; outcome data limited to ENISA's descriptive surveys; no causal study of NIS1 or NIS2 effects on incidents or costs</t>
  </si>
  <si>
    <t xml:space="preserve">The Commission expected NIS 2 to cut the cost of cyber incidents by EUR 11.3 billion over ten years, at the price of up to 22% more security spending for newly covered firms. Neither figure has been measured: ENISA's surveys show security budgets steady at about 9% of IT spending, compliance as the main driver of investment, and newly covered sectors lagging behind those already regulated. Transposition was slow - four countries were taken to court in July 2026 - and no study yet measures whether incidents have fallen.</t>
  </si>
  <si>
    <t xml:space="preserve">Joint Undertakings under Horizon Europe</t>
  </si>
  <si>
    <t xml:space="preserve">Regulation (EU) 2021/2085</t>
  </si>
  <si>
    <t xml:space="preserve">2021-02-23</t>
  </si>
  <si>
    <t xml:space="preserve">2021-11-19</t>
  </si>
  <si>
    <t xml:space="preserve">2021-11-30</t>
  </si>
  <si>
    <t xml:space="preserve">32021R2085</t>
  </si>
  <si>
    <t xml:space="preserve">https://eur-lex.europa.eu/legal-content/EN/TXT/?uri=CELEX:32021R2085</t>
  </si>
  <si>
    <t xml:space="preserve">02021R2085-20230921</t>
  </si>
  <si>
    <t xml:space="preserve">2023-07-25</t>
  </si>
  <si>
    <t xml:space="preserve">52021PC0087</t>
  </si>
  <si>
    <t xml:space="preserve">thin: Commission self-evaluation and audit evidence on co-funding; no counterfactual study of impact for the Horizon Europe JUs</t>
  </si>
  <si>
    <t xml:space="preserve">This regulation set up nine public-private research partnerships (aviation, rail, hydrogen, chips, health and others) meant to multiply EU research money with industry funds. The Commission's 2025 mid-term review finds they attract co-funding and support strategic technologies, but few newcomers join and only some speed up market uptake. EU auditors report sizeable shortfalls in promised partner contributions for several of them.</t>
  </si>
  <si>
    <t xml:space="preserve">Roaming Regulation</t>
  </si>
  <si>
    <t xml:space="preserve">Regulation (EU) 2022/612</t>
  </si>
  <si>
    <t xml:space="preserve">2021-02-24</t>
  </si>
  <si>
    <t xml:space="preserve">2022-04-06</t>
  </si>
  <si>
    <t xml:space="preserve">2022-04-13</t>
  </si>
  <si>
    <t xml:space="preserve">2022-07-01</t>
  </si>
  <si>
    <t xml:space="preserve">32022R0612</t>
  </si>
  <si>
    <t xml:space="preserve">https://eur-lex.europa.eu/legal-content/EN/TXT/?uri=CELEX:32022R0612</t>
  </si>
  <si>
    <t xml:space="preserve">02022R0612-20220413</t>
  </si>
  <si>
    <t xml:space="preserve">52021PC0085</t>
  </si>
  <si>
    <t xml:space="preserve">strong: several peer-reviewed causal studies of Roam Like at Home plus regular BEREC/Commission data; gaps on quality of service</t>
  </si>
  <si>
    <t xml:space="preserve">Since roaming charges in the EU ended in 2017, mobile data use abroad has risen about 48-fold, and peer-reviewed studies find large consumer gains (about EUR 2.44 per traveller per day) that outweigh operators' lost profits, with no sign of higher domestic prices. The 2022 recast kept the regime sustainable: no network operator has needed a surcharge derogation since 2022. The main shortfall is quality: a 2025 study found 76% of travellers get slower download speeds abroad than at home.</t>
  </si>
  <si>
    <t xml:space="preserve">Artificial Intelligence Act</t>
  </si>
  <si>
    <t xml:space="preserve">Regulation (EU) 2024/1689</t>
  </si>
  <si>
    <t xml:space="preserve">2021-04-21</t>
  </si>
  <si>
    <t xml:space="preserve">2024-07-12</t>
  </si>
  <si>
    <t xml:space="preserve">2024-08-01</t>
  </si>
  <si>
    <t xml:space="preserve">32024R1689</t>
  </si>
  <si>
    <t xml:space="preserve">https://eur-lex.europa.eu/legal-content/EN/TXT/?uri=CELEX:32024R1689</t>
  </si>
  <si>
    <t xml:space="preserve">02024R1689-20260727</t>
  </si>
  <si>
    <t xml:space="preserve">52021PC0206</t>
  </si>
  <si>
    <t xml:space="preserve">forecasts only: main obligations not yet applicable (postponed to 2027-28); no ex-post evidence; ex-ante cost assumptions contested</t>
  </si>
  <si>
    <t xml:space="preserve">The AI Act's main high-risk obligations do not yet apply and were postponed in 2026 to December 2027 and August 2028, so its effects cannot yet be measured. One of its own success indicators - the share of firms using AI - rose from 8% (2023) to 20% (2025), but this reflects the generative-AI boom rather than the Act. The Commission's forecast of EUR 100-500m compliance costs assumed only 5-15% of AI systems would be high-risk; start-up surveys put that share at 33-50%.</t>
  </si>
  <si>
    <t xml:space="preserve">Machinery Regulation</t>
  </si>
  <si>
    <t xml:space="preserve">Regulation (EU) 2023/1230</t>
  </si>
  <si>
    <t xml:space="preserve">2023-06-14</t>
  </si>
  <si>
    <t xml:space="preserve">2023-07-19</t>
  </si>
  <si>
    <t xml:space="preserve">32023R1230</t>
  </si>
  <si>
    <t xml:space="preserve">https://eur-lex.europa.eu/legal-content/EN/TXT/?uri=CELEX:32023R1230</t>
  </si>
  <si>
    <t xml:space="preserve">02023R1230-20260727</t>
  </si>
  <si>
    <t xml:space="preserve">2024-10-09</t>
  </si>
  <si>
    <t xml:space="preserve">52021PC0202</t>
  </si>
  <si>
    <t xml:space="preserve">ex-ante only: rules apply from January 2027; only impact assessment forecasts and trade commentary</t>
  </si>
  <si>
    <t xml:space="preserve">The Machinery Regulation updates EU safety rules for machines, covering new risks from digital technologies and allowing digital instead of printed manuals. The Commission forecast printing savings of up to EUR 16.6 billion a year, but that rests on a broad assumption and the lower end is around EUR 4 billion. The rules only apply from January 2027, so no effects on safety or costs can be measured yet.</t>
  </si>
  <si>
    <t xml:space="preserve">Foreign Subsidies Regulation</t>
  </si>
  <si>
    <t xml:space="preserve">Regulation (EU) 2022/2560</t>
  </si>
  <si>
    <t xml:space="preserve">2021-05-05</t>
  </si>
  <si>
    <t xml:space="preserve">2022-12-23</t>
  </si>
  <si>
    <t xml:space="preserve">2023-01-12</t>
  </si>
  <si>
    <t xml:space="preserve">32022R2560</t>
  </si>
  <si>
    <t xml:space="preserve">https://eur-lex.europa.eu/legal-content/EN/TXT/?uri=CELEX:32022R2560</t>
  </si>
  <si>
    <t xml:space="preserve">02022R2560-20221223</t>
  </si>
  <si>
    <t xml:space="preserve">52021PC0223</t>
  </si>
  <si>
    <t xml:space="preserve">thin: Commission enforcement statistics and self-assessed review only; no independent or causal study of effects on competition, investment or prices</t>
  </si>
  <si>
    <t xml:space="preserve">The Foreign Subsidies Regulation lets the Commission check whether subsidies from non-EU governments distort EU takeovers and public tenders. Its first review (July 2026) counted about 100 merger notifications a year, far above the 30-40 expected, a handful of in-depth cases ending in commitments, and several Chinese bidders withdrawing from tenders. No independent study yet measures its effect on competition, investment or prices, and businesses say the filing burden is heavy.</t>
  </si>
  <si>
    <t xml:space="preserve">General Product Safety Regulation</t>
  </si>
  <si>
    <t xml:space="preserve">Regulation (EU) 2023/988</t>
  </si>
  <si>
    <t xml:space="preserve">2021-06-30</t>
  </si>
  <si>
    <t xml:space="preserve">2023-05-10</t>
  </si>
  <si>
    <t xml:space="preserve">2023-05-23</t>
  </si>
  <si>
    <t xml:space="preserve">2023-06-12</t>
  </si>
  <si>
    <t xml:space="preserve">32023R0988</t>
  </si>
  <si>
    <t xml:space="preserve">https://eur-lex.europa.eu/legal-content/EN/TXT/?uri=CELEX:32023R0988</t>
  </si>
  <si>
    <t xml:space="preserve">02023R0988-20260529</t>
  </si>
  <si>
    <t xml:space="preserve">52021PC0346</t>
  </si>
  <si>
    <t xml:space="preserve">thin: forecasts plus enforcement activity counts and consumer-group tests; no evaluation of effects on injuries or consumer detriment</t>
  </si>
  <si>
    <t xml:space="preserve">The General Product Safety Regulation, applied since December 2024, updated EU rules on unsafe consumer goods, especially those sold online. The Commission forecast it would cut harm from unsafe products by about EUR 5.5 billion over ten years. So far there are only activity figures - a record 4,671 safety alerts in 2025 and over 1,200 marketplaces registered - while consumer-group tests still find most products bought on Temu and Shein non-compliant; no study measures effects on injuries or costs.</t>
  </si>
  <si>
    <t xml:space="preserve">Anti-Money Laundering Regulation</t>
  </si>
  <si>
    <t xml:space="preserve">Regulation (EU) 2024/1624</t>
  </si>
  <si>
    <t xml:space="preserve">2021-07-20</t>
  </si>
  <si>
    <t xml:space="preserve">2024-05-31</t>
  </si>
  <si>
    <t xml:space="preserve">2024-06-19</t>
  </si>
  <si>
    <t xml:space="preserve">2024-07-09</t>
  </si>
  <si>
    <t xml:space="preserve">32024R1624</t>
  </si>
  <si>
    <t xml:space="preserve">https://eur-lex.europa.eu/legal-content/EN/TXT/?uri=CELEX:32024R1624</t>
  </si>
  <si>
    <t xml:space="preserve">02024R1624-20240619</t>
  </si>
  <si>
    <t xml:space="preserve">52021PC0420</t>
  </si>
  <si>
    <t xml:space="preserve">thin: not yet applicable (from July 2027); no evaluation; general literature sceptical of AML effectiveness and documents unintended costs (de-risking, credit)</t>
  </si>
  <si>
    <t xml:space="preserve">The Anti-Money Laundering Regulation, which applies from July 2027, replaces national rules with a single EU rulebook, caps cash payments at EUR 10,000 and is backed by a new EU authority costing about EUR 40 million a year. The Commission did not estimate how much money laundering it would prevent, and nothing has yet been measured. Wider research is sceptical: one review finds anti-money-laundering rules remove less than 0.1% of criminal money, and studies document side effects such as banks dropping whole groups of customers and cutting lending to small firms.</t>
  </si>
  <si>
    <t xml:space="preserve">Vertical Block Exemption Regulation</t>
  </si>
  <si>
    <t xml:space="preserve">Regulation (EU) 2022/720</t>
  </si>
  <si>
    <t xml:space="preserve">2021-07-09</t>
  </si>
  <si>
    <t xml:space="preserve">2022-05-10</t>
  </si>
  <si>
    <t xml:space="preserve">2022-05-11</t>
  </si>
  <si>
    <t xml:space="preserve">2022-06-01</t>
  </si>
  <si>
    <t xml:space="preserve">32022R0720</t>
  </si>
  <si>
    <t xml:space="preserve">https://eur-lex.europa.eu/legal-content/EN/TXT/?uri=CELEX:32022R0720</t>
  </si>
  <si>
    <t xml:space="preserve">02022R0720-20220511</t>
  </si>
  <si>
    <t xml:space="preserve">2024-01-19</t>
  </si>
  <si>
    <t xml:space="preserve">thin: no evaluation of the 2022 rules yet; causal evidence exists only for related national bans on hotel price-parity clauses</t>
  </si>
  <si>
    <t xml:space="preserve">The 2022 rules define which supply and distribution agreements are automatically allowed under EU competition law, with changes for online sales and platform price-parity clauses. No study has yet measured their effect. Earlier research on national bans of hotel-booking parity clauses found more price competition and some short-run price falls, which helped motivate the change.</t>
  </si>
  <si>
    <t xml:space="preserve">Digital Decade Policy Programme Decision</t>
  </si>
  <si>
    <t xml:space="preserve">Decision (EU) 2022/2481</t>
  </si>
  <si>
    <t xml:space="preserve">2021-09-15</t>
  </si>
  <si>
    <t xml:space="preserve">2022-12-19</t>
  </si>
  <si>
    <t xml:space="preserve">2023-01-08</t>
  </si>
  <si>
    <t xml:space="preserve">32022D2481</t>
  </si>
  <si>
    <t xml:space="preserve">https://eur-lex.europa.eu/legal-content/EN/TXT/?uri=CELEX:32022D2481</t>
  </si>
  <si>
    <t xml:space="preserve">52021PC0574</t>
  </si>
  <si>
    <t xml:space="preserve">monitoring only: annual Commission KPI tracking against 2030 targets; no assessment of whether the governance mechanism itself changed outcomes</t>
  </si>
  <si>
    <t xml:space="preserve">The Digital Decade programme sets EU targets for 2030 on connectivity, skills, business digitalisation and public services, and makes the Commission report progress every year. Its own reports show basic 5G at 96.8% of households and online public services above 80%, but the EU is far off target on AI use by firms (about 20% vs 75%), basic digital skills (just over 60% vs 80%), fibre and chips. No study has assessed whether the programme's governance changed what Member States do.</t>
  </si>
  <si>
    <t xml:space="preserve">Political Advertising Regulation</t>
  </si>
  <si>
    <t xml:space="preserve">Regulation (EU) 2024/900</t>
  </si>
  <si>
    <t xml:space="preserve">2021-11-25</t>
  </si>
  <si>
    <t xml:space="preserve">2024-03-20</t>
  </si>
  <si>
    <t xml:space="preserve">2024-04-09</t>
  </si>
  <si>
    <t xml:space="preserve">32024R0900</t>
  </si>
  <si>
    <t xml:space="preserve">https://eur-lex.europa.eu/legal-content/EN/TXT/?uri=CELEX:32024R0900</t>
  </si>
  <si>
    <t xml:space="preserve">02024R0900-20240320</t>
  </si>
  <si>
    <t xml:space="preserve">52021PC0731</t>
  </si>
  <si>
    <t xml:space="preserve">ex-ante only, with an early unintended effect: largest platforms withdrew from political ads</t>
  </si>
  <si>
    <t xml:space="preserve">The Commission expected EU-wide rules to make political ads more transparent and easier to run across borders, but put no numbers on it. When the rules took effect in October 2025, Google and Meta stopped selling political and social-issue ads in the EU altogether rather than comply, so the regulation's main early effect has been to shrink online political advertising rather than make it more transparent; no study yet measures effects on campaigns or voters.</t>
  </si>
  <si>
    <t xml:space="preserve">Digitalisation of judicial cooperation Regulation</t>
  </si>
  <si>
    <t xml:space="preserve">Regulation (EU) 2023/2844</t>
  </si>
  <si>
    <t xml:space="preserve">2021-12-01</t>
  </si>
  <si>
    <t xml:space="preserve">2023-12-27</t>
  </si>
  <si>
    <t xml:space="preserve">2024-01-16</t>
  </si>
  <si>
    <t xml:space="preserve">32023R2844</t>
  </si>
  <si>
    <t xml:space="preserve">https://eur-lex.europa.eu/legal-content/EN/TXT/?uri=CELEX:32023R2844</t>
  </si>
  <si>
    <t xml:space="preserve">02023R2844-20231227</t>
  </si>
  <si>
    <t xml:space="preserve">52021PC0759</t>
  </si>
  <si>
    <t xml:space="preserve">ex-ante only: impact assessment forecasts; no monitoring data or independent studies found</t>
  </si>
  <si>
    <t xml:space="preserve">This regulation moves communication between courts and authorities in cross-border cases onto secure digital channels and lets people and firms file claims online and join hearings by video. The Commission forecast savings of about EUR 25 million a year in postage and paper and shorter proceedings. Its obligations are still being phased in, and no data or studies on its effects have been published yet.</t>
  </si>
  <si>
    <t xml:space="preserve">Platform Work Directive</t>
  </si>
  <si>
    <t xml:space="preserve">Directive (EU) 2024/2831</t>
  </si>
  <si>
    <t xml:space="preserve">2021-12-09</t>
  </si>
  <si>
    <t xml:space="preserve">2024-11-11</t>
  </si>
  <si>
    <t xml:space="preserve">2024-12-01</t>
  </si>
  <si>
    <t xml:space="preserve">32024L2831</t>
  </si>
  <si>
    <t xml:space="preserve">https://eur-lex.europa.eu/legal-content/EN/TXT/?uri=CELEX:32024L2831</t>
  </si>
  <si>
    <t xml:space="preserve">02024L2831-20241111</t>
  </si>
  <si>
    <t xml:space="preserve">52021PC0762</t>
  </si>
  <si>
    <t xml:space="preserve">ex-ante only: Commission forecasts plus model-based evidence from a similar Spanish law; transposition due December 2026</t>
  </si>
  <si>
    <t xml:space="preserve">The Commission expected 1.7-4.1 million people working through apps to be reclassified as employees and to earn up to EUR 484 million a year more. The final law left the test for employment status to national rules and applies only from late 2026, so nothing has been measured; a study of a similar Spanish law suggests more riders got contracts but overall rider work and pay fell.</t>
  </si>
  <si>
    <t xml:space="preserve">European Chips Act</t>
  </si>
  <si>
    <t xml:space="preserve">Regulation (EU) 2023/1781</t>
  </si>
  <si>
    <t xml:space="preserve">2022-02-08</t>
  </si>
  <si>
    <t xml:space="preserve">2023-09-18</t>
  </si>
  <si>
    <t xml:space="preserve">2023-09-21</t>
  </si>
  <si>
    <t xml:space="preserve">32023R1781</t>
  </si>
  <si>
    <t xml:space="preserve">https://eur-lex.europa.eu/legal-content/EN/TXT/?uri=CELEX:32023R1781</t>
  </si>
  <si>
    <t xml:space="preserve">52022PC0046</t>
  </si>
  <si>
    <t xml:space="preserve">thin but consistent: Commission evaluation and EU auditors agree investment rose but the 20% market-share goal is far out of reach; no causal study</t>
  </si>
  <si>
    <t xml:space="preserve">The European Chips Act aimed to double the EU's share of world chip production to 20% by 2030. It has triggered about EUR 80 billion in announced factory investments and a 30% rise in planned capacity, but both the EU's auditors and the Commission's own 2026 evaluation find the EU's share will stay around 8-12%, because other regions are expanding just as fast. No independent study has yet measured its effect on prices, jobs or supply security.</t>
  </si>
  <si>
    <t xml:space="preserve">Union Secure Connectivity Programme</t>
  </si>
  <si>
    <t xml:space="preserve">Regulation (EU) 2023/588</t>
  </si>
  <si>
    <t xml:space="preserve">2022-02-15</t>
  </si>
  <si>
    <t xml:space="preserve">2023-03-15</t>
  </si>
  <si>
    <t xml:space="preserve">2023-03-17</t>
  </si>
  <si>
    <t xml:space="preserve">2023-03-20</t>
  </si>
  <si>
    <t xml:space="preserve">32023R0588</t>
  </si>
  <si>
    <t xml:space="preserve">https://eur-lex.europa.eu/legal-content/EN/TXT/?uri=CELEX:32023R0588</t>
  </si>
  <si>
    <t xml:space="preserve">52022PC0057</t>
  </si>
  <si>
    <t xml:space="preserve">thin: no outcomes yet; cost and schedule tracking via press reports shows large overruns against the impact assessment</t>
  </si>
  <si>
    <t xml:space="preserve">IRIS² is the EU's planned secure satellite communications network. The impact assessment promised initial government services by 2025 and full capacity by 2027 for about EUR 6 billion; by August 2026 the expected cost had risen to over EUR 15.6 billion and first launches had slipped to 2029. No services exist yet, so none of the promised security, broadband or innovation results can be measured.</t>
  </si>
  <si>
    <t xml:space="preserve">Data Act</t>
  </si>
  <si>
    <t xml:space="preserve">Regulation (EU) 2023/2854</t>
  </si>
  <si>
    <t xml:space="preserve">2022-02-23</t>
  </si>
  <si>
    <t xml:space="preserve">2023-12-22</t>
  </si>
  <si>
    <t xml:space="preserve">2024-01-11</t>
  </si>
  <si>
    <t xml:space="preserve">32023R2854</t>
  </si>
  <si>
    <t xml:space="preserve">https://eur-lex.europa.eu/legal-content/EN/TXT/?uri=CELEX:32023R2854</t>
  </si>
  <si>
    <t xml:space="preserve">02023R2854-20231222</t>
  </si>
  <si>
    <t xml:space="preserve">52022PC0068</t>
  </si>
  <si>
    <t xml:space="preserve">ex-ante only: large Commission forecasts, critical legal-economic analyses, one industry readiness survey; no ex-post evidence (applied from September 2025)</t>
  </si>
  <si>
    <t xml:space="preserve">The Data Act gives users of connected devices and businesses rights to access and share data, and has applied since September 2025. The Commission forecast EUR 270 billion of extra GDP by 2028, but nothing has yet been measured, and economists at Bruegel, CERRE and universities argue the access rules are weak or complex. A 2025 survey found almost no German firms ready, and the Commission has already proposed amendments in its November 2025 Digital Omnibus.</t>
  </si>
  <si>
    <t xml:space="preserve">Violence Against Women Directive</t>
  </si>
  <si>
    <t xml:space="preserve">Directive (EU) 2024/1385</t>
  </si>
  <si>
    <t xml:space="preserve">2022-03-08</t>
  </si>
  <si>
    <t xml:space="preserve">2024-05-14</t>
  </si>
  <si>
    <t xml:space="preserve">2024-05-24</t>
  </si>
  <si>
    <t xml:space="preserve">32024L1385</t>
  </si>
  <si>
    <t xml:space="preserve">https://eur-lex.europa.eu/legal-content/EN/TXT/?uri=CELEX:32024L1385</t>
  </si>
  <si>
    <t xml:space="preserve">52022PC0105</t>
  </si>
  <si>
    <t xml:space="preserve">ex-ante only: Commission forecasts and a fresh survey baseline; transposition not due until 2027</t>
  </si>
  <si>
    <t xml:space="preserve">The Commission forecast that the Directive could save the EU economy around EUR 53 billion a year by reducing violence against women, against EUR 5-6.6 billion in compliance costs. Countries have until 2027 to apply it, so there is no evidence yet on its effect; a 2024 EU survey, finding that about one in three women have experienced physical or sexual violence or threats, provides the starting point for future evaluation.</t>
  </si>
  <si>
    <t xml:space="preserve">Cybersecurity Regulation (EU institutions)</t>
  </si>
  <si>
    <t xml:space="preserve">Regulation (EU) 2023/2841</t>
  </si>
  <si>
    <t xml:space="preserve">2022-03-22</t>
  </si>
  <si>
    <t xml:space="preserve">2023-12-18</t>
  </si>
  <si>
    <t xml:space="preserve">2024-01-07</t>
  </si>
  <si>
    <t xml:space="preserve">32023R2841</t>
  </si>
  <si>
    <t xml:space="preserve">https://eur-lex.europa.eu/legal-content/EN/TXT/?uri=CELEX:32023R2841</t>
  </si>
  <si>
    <t xml:space="preserve">02023R2841-20231218</t>
  </si>
  <si>
    <t xml:space="preserve">52022PC0122</t>
  </si>
  <si>
    <t xml:space="preserve">thin: self-reported implementation monitoring plus a pre-regulation audit baseline; no independent assessment of outcomes</t>
  </si>
  <si>
    <t xml:space="preserve">This regulation sets common cybersecurity rules for the EU's own institutions and agencies and strengthens their response team, CERT-EU. The board overseeing it reports that all 2025 milestones were met and serious incidents fell to 8 in 2025, though threats remain very high and staff numbers fall short. There is no independent assessment yet of whether EU bodies are actually more secure than when auditors found them poorly prepared in 2022.</t>
  </si>
  <si>
    <t xml:space="preserve">Information Security Regulation</t>
  </si>
  <si>
    <t xml:space="preserve">2022/0084(COD)</t>
  </si>
  <si>
    <t xml:space="preserve">proposal</t>
  </si>
  <si>
    <t xml:space="preserve">proposed</t>
  </si>
  <si>
    <t xml:space="preserve">52022PC0119</t>
  </si>
  <si>
    <t xml:space="preserve">Commission proposal (COM)</t>
  </si>
  <si>
    <t xml:space="preserve">https://eur-lex.europa.eu/legal-content/EN/TXT/?uri=CELEX:52022PC0119</t>
  </si>
  <si>
    <t xml:space="preserve">row is itself a proposal</t>
  </si>
  <si>
    <t xml:space="preserve">ex-ante only: proposal still pending; qualitative impact analysis and audit baseline</t>
  </si>
  <si>
    <t xml:space="preserve">This 2022 proposal would set common information security rules for all EU institutions and agencies; it was still being negotiated in 2026. The Commission expected better protection at little net cost but set no measurable targets. The baseline is an EU audit finding that many EU bodies were poorly prepared as serious cyber incidents rose more than tenfold between 2018 and 2021.</t>
  </si>
  <si>
    <t xml:space="preserve">Ecodesign for Sustainable Products Regulation</t>
  </si>
  <si>
    <t xml:space="preserve">Regulation (EU) 2024/1781</t>
  </si>
  <si>
    <t xml:space="preserve">2022-03-30</t>
  </si>
  <si>
    <t xml:space="preserve">2024-06-28</t>
  </si>
  <si>
    <t xml:space="preserve">2024-07-18</t>
  </si>
  <si>
    <t xml:space="preserve">32024R1781</t>
  </si>
  <si>
    <t xml:space="preserve">https://eur-lex.europa.eu/legal-content/EN/TXT/?uri=CELEX:32024R1781</t>
  </si>
  <si>
    <t xml:space="preserve">02024R1781-20240628</t>
  </si>
  <si>
    <t xml:space="preserve">52022PC0142</t>
  </si>
  <si>
    <t xml:space="preserve">ex-ante only: framework law, product rules not yet adopted; forecasts largely unquantified</t>
  </si>
  <si>
    <t xml:space="preserve">This framework law lets the EU set durability, repairability, recycled-content and digital-passport rules for almost any product. The Commission said it could save energy by 2030 roughly equal to EU imports of Russian gas, but its impact assessment did not quantify overall costs and benefits. Apart from a ban on destroying unsold clothes (from July 2026), product rules are still being prepared, so there is no evidence of impact yet.</t>
  </si>
  <si>
    <t xml:space="preserve">European Health Data Space</t>
  </si>
  <si>
    <t xml:space="preserve">Regulation (EU) 2025/327</t>
  </si>
  <si>
    <t xml:space="preserve">2022-05-03</t>
  </si>
  <si>
    <t xml:space="preserve">2025-02-11</t>
  </si>
  <si>
    <t xml:space="preserve">2025-03-05</t>
  </si>
  <si>
    <t xml:space="preserve">2025-03-25</t>
  </si>
  <si>
    <t xml:space="preserve">32025R0327</t>
  </si>
  <si>
    <t xml:space="preserve">https://eur-lex.europa.eu/legal-content/EN/TXT/?uri=CELEX:32025R0327</t>
  </si>
  <si>
    <t xml:space="preserve">02025R0327-20250305</t>
  </si>
  <si>
    <t xml:space="preserve">52022PC0197</t>
  </si>
  <si>
    <t xml:space="preserve">ex-ante only: Commission IA forecast and baseline counts; obligations apply from 2027-2031 so no outcome evidence</t>
  </si>
  <si>
    <t xml:space="preserve">The Commission expected the European Health Data Space to bring more than EUR 11 billion in benefits over ten years, by letting patients access and share their records and researchers reuse health data. Most obligations start between 2027 and 2031, so effects cannot be measured yet; in early 2025, 15 countries could exchange patient summaries and e-prescriptions across borders. Independent reviews warn that funding and incentives for healthcare providers may fall short.</t>
  </si>
  <si>
    <t xml:space="preserve">Child Sexual Abuse Regulation (CSAR)</t>
  </si>
  <si>
    <t xml:space="preserve">2022/0155(COD)</t>
  </si>
  <si>
    <t xml:space="preserve">proposal (listed in the cell of its enacted predecessor)</t>
  </si>
  <si>
    <t xml:space="preserve">52022PC0209</t>
  </si>
  <si>
    <t xml:space="preserve">https://eur-lex.europa.eu/legal-content/EN/TXT/?uri=CELEX:52022PC0209</t>
  </si>
  <si>
    <t xml:space="preserve">ex-ante only and contested: Commission IA cost forecasts versus critical Parliament complementary IA and regulators' opinion; proposal still in trilogue</t>
  </si>
  <si>
    <t xml:space="preserve">The Commission estimated its child sexual abuse proposal would cost online services about EUR 1.5 billion a year and public authorities about EUR 0.8 billion, in exchange for more detection and reporting of abuse. A study for the European Parliament and Europe's data protection authorities found that scanning for new abuse material and grooming is too inaccurate and intrusive to be proportionate. The law was still being negotiated in 2026, so there is no evidence of its effects.</t>
  </si>
  <si>
    <t xml:space="preserve">Cyber Resilience Act</t>
  </si>
  <si>
    <t xml:space="preserve">Regulation (EU) 2024/2847</t>
  </si>
  <si>
    <t xml:space="preserve">2022-09-15</t>
  </si>
  <si>
    <t xml:space="preserve">2024-11-20</t>
  </si>
  <si>
    <t xml:space="preserve">2024-12-10</t>
  </si>
  <si>
    <t xml:space="preserve">32024R2847</t>
  </si>
  <si>
    <t xml:space="preserve">https://eur-lex.europa.eu/legal-content/EN/TXT/?uri=CELEX:32024R2847</t>
  </si>
  <si>
    <t xml:space="preserve">02024R2847-20241120</t>
  </si>
  <si>
    <t xml:space="preserve">52022PC0454</t>
  </si>
  <si>
    <t xml:space="preserve">ex-ante only: obligations apply 2026-27; one readiness survey by an interested party</t>
  </si>
  <si>
    <t xml:space="preserve">The Commission forecast that mandatory security rules for connected products and software would cut the cost of cyber incidents for businesses by EUR 180-290 billion a year, against compliance costs of up to EUR 29 billion. The main requirements apply only from December 2027. An open-source industry survey in 2025 found low awareness and readiness, but no study has measured effects on security or costs.</t>
  </si>
  <si>
    <t xml:space="preserve">European Media Freedom Act</t>
  </si>
  <si>
    <t xml:space="preserve">Regulation (EU) 2024/1083</t>
  </si>
  <si>
    <t xml:space="preserve">2022-09-16</t>
  </si>
  <si>
    <t xml:space="preserve">2024-04-17</t>
  </si>
  <si>
    <t xml:space="preserve">2024-05-07</t>
  </si>
  <si>
    <t xml:space="preserve">32024R1083</t>
  </si>
  <si>
    <t xml:space="preserve">https://eur-lex.europa.eu/legal-content/EN/TXT/?uri=CELEX:32024R1083</t>
  </si>
  <si>
    <t xml:space="preserve">02024R1083-20240417</t>
  </si>
  <si>
    <t xml:space="preserve">52022PC0457</t>
  </si>
  <si>
    <t xml:space="preserve">ex-ante only: Act fully applicable since Aug 2025; only baseline monitoring data</t>
  </si>
  <si>
    <t xml:space="preserve">The Commission forecast that the Media Freedom Act would lift media companies' revenues by about EUR 2.9 billion a year and reduce risks to editorial independence. The Act has only applied in full since August 2025; the new EU media board is operating, but the Media Pluralism Monitor's latest results describe the situation before the Act and use a new scale. No study has yet measured its effects.</t>
  </si>
  <si>
    <t xml:space="preserve">Single Market Emergency Instrument (IMERA)</t>
  </si>
  <si>
    <t xml:space="preserve">Regulation (EU) 2024/2747</t>
  </si>
  <si>
    <t xml:space="preserve">2022-09-19</t>
  </si>
  <si>
    <t xml:space="preserve">2024-11-08</t>
  </si>
  <si>
    <t xml:space="preserve">2024-11-28</t>
  </si>
  <si>
    <t xml:space="preserve">32024R2747</t>
  </si>
  <si>
    <t xml:space="preserve">https://eur-lex.europa.eu/legal-content/EN/TXT/?uri=CELEX:32024R2747</t>
  </si>
  <si>
    <t xml:space="preserve">02024R2747-20241108</t>
  </si>
  <si>
    <t xml:space="preserve">52022PC0459</t>
  </si>
  <si>
    <t xml:space="preserve">ex-ante only: unquantified forecasts; applies from May 2026 and never yet activated</t>
  </si>
  <si>
    <t xml:space="preserve">The instrument gives the EU powers to keep goods, services and people moving in a crisis and, as a last resort, to request information from firms or prioritise orders for crisis goods. The Commission's impact assessment described the benefits only in general terms and flagged costs for businesses. It has applied only since May 2026 and has not been activated, so there is no evidence on its effects.</t>
  </si>
  <si>
    <t xml:space="preserve">Product Liability Directive</t>
  </si>
  <si>
    <t xml:space="preserve">Directive (EU) 2024/2853</t>
  </si>
  <si>
    <t xml:space="preserve">2022-09-28</t>
  </si>
  <si>
    <t xml:space="preserve">2024-11-18</t>
  </si>
  <si>
    <t xml:space="preserve">2024-12-08</t>
  </si>
  <si>
    <t xml:space="preserve">32024L2853</t>
  </si>
  <si>
    <t xml:space="preserve">https://eur-lex.europa.eu/legal-content/EN/TXT/?uri=CELEX:32024L2853</t>
  </si>
  <si>
    <t xml:space="preserve">02024L2853-20241118</t>
  </si>
  <si>
    <t xml:space="preserve">52022PC0495</t>
  </si>
  <si>
    <t xml:space="preserve">ex-ante only: Commission forecasts, an evaluation of the old law and industry critique; applies from December 2026</t>
  </si>
  <si>
    <t xml:space="preserve">The Commission expected the new rules, which extend no-fault liability to software and make claims easier, to raise compensation for victims by up to tens of millions of euros a year, with a small rise in producers' insurance costs. The rules apply only to products placed on the market from December 2026, so there is no evidence yet; insurers warned of more litigation and harder-to-insure risks.</t>
  </si>
  <si>
    <t xml:space="preserve">Horizontal Block Exemption Regulations</t>
  </si>
  <si>
    <t xml:space="preserve">Regulations (EU) 2023/1066, 2023/1067</t>
  </si>
  <si>
    <t xml:space="preserve">2022-03-01</t>
  </si>
  <si>
    <t xml:space="preserve">2023-06-01</t>
  </si>
  <si>
    <t xml:space="preserve">2023-06-02</t>
  </si>
  <si>
    <t xml:space="preserve">2023-07-01</t>
  </si>
  <si>
    <t xml:space="preserve">32023R1066;32023R1067</t>
  </si>
  <si>
    <t xml:space="preserve">https://eur-lex.europa.eu/legal-content/EN/TXT/?uri=CELEX:32023R1066 ; https://eur-lex.europa.eu/legal-content/EN/TXT/?uri=CELEX:32023R1067</t>
  </si>
  <si>
    <t xml:space="preserve">02023R1066-20230602;02023R1067-20230602</t>
  </si>
  <si>
    <t xml:space="preserve">very thin: Commission evaluation of the predecessor rules (qualitative) and theory; no empirical study of effects on R&amp;D cooperation or innovation</t>
  </si>
  <si>
    <t xml:space="preserve">These two Commission regulations let competitors cooperate on research and on specialised production without breaching EU competition law if they stay below market-share limits. The Commission's 2021 evaluation of the previous rules found them useful but outdated, and could not measure how much they saved companies. No study has measured whether the block exemptions increase research cooperation or innovation.</t>
  </si>
  <si>
    <t xml:space="preserve">Interoperable Europe Act</t>
  </si>
  <si>
    <t xml:space="preserve">Regulation (EU) 2024/903</t>
  </si>
  <si>
    <t xml:space="preserve">2022-11-18</t>
  </si>
  <si>
    <t xml:space="preserve">2024-03-22</t>
  </si>
  <si>
    <t xml:space="preserve">32024R0903</t>
  </si>
  <si>
    <t xml:space="preserve">https://eur-lex.europa.eu/legal-content/EN/TXT/?uri=CELEX:32024R0903</t>
  </si>
  <si>
    <t xml:space="preserve">52022PC0720</t>
  </si>
  <si>
    <t xml:space="preserve">ex-ante only: savings potential not attributable to the Act; Commission activity reporting</t>
  </si>
  <si>
    <t xml:space="preserve">The Commission pointed to large potential savings from better-connected public services - up to EUR 543 million a year for citizens according to its research centre - while admitting the Act's own effect is hard to quantify. The first annual report (December 2025) shows the new governance bodies and mandatory interoperability checks are running, but there is no data yet on savings or service quality.</t>
  </si>
  <si>
    <t xml:space="preserve">Design Directive</t>
  </si>
  <si>
    <t xml:space="preserve">Directive (EU) 2024/2823</t>
  </si>
  <si>
    <t xml:space="preserve">2022-11-28</t>
  </si>
  <si>
    <t xml:space="preserve">32024L2823</t>
  </si>
  <si>
    <t xml:space="preserve">https://eur-lex.europa.eu/legal-content/EN/TXT/?uri=CELEX:32024L2823</t>
  </si>
  <si>
    <t xml:space="preserve">02024L2823-20241118</t>
  </si>
  <si>
    <t xml:space="preserve">52022PC0667</t>
  </si>
  <si>
    <t xml:space="preserve">ex-ante only, backed by one pre-reform causal price study; transposition due December 2027</t>
  </si>
  <si>
    <t xml:space="preserve">The Commission forecast that opening the market for visible car spare parts such as bumpers and lights would save consumers EUR 340-544 million a year once a 10-year transition ends. A pre-reform study comparing countries found design protection makes these parts about 5-8% more expensive, supporting the forecast, but the Directive has not yet been transposed and no savings have been measured.</t>
  </si>
  <si>
    <t xml:space="preserve">VAT in the Digital Age (ViDA)</t>
  </si>
  <si>
    <t xml:space="preserve">2022/0407(CNS)</t>
  </si>
  <si>
    <t xml:space="preserve">2022-12-08</t>
  </si>
  <si>
    <t xml:space="preserve">2025-03-11</t>
  </si>
  <si>
    <t xml:space="preserve">32025L0516</t>
  </si>
  <si>
    <t xml:space="preserve">https://eur-lex.europa.eu/legal-content/EN/TXT/?uri=CELEX:32025L0516</t>
  </si>
  <si>
    <t xml:space="preserve">02025L0516-20250325</t>
  </si>
  <si>
    <t xml:space="preserve">52022PC0701</t>
  </si>
  <si>
    <t xml:space="preserve">ex-ante only: Commission IA and contracted study forecasts; key measures apply 2027-2035 so no outcome evidence yet</t>
  </si>
  <si>
    <t xml:space="preserve">The Commission forecast that ViDA would raise EUR 135-177 billion in extra VAT and save businesses about EUR 51 billion over ten years, mainly through EU-wide e-invoicing and digital reporting. These are forecasts for the option assessed in 2022; the main reporting rules only start in 2030, so nothing can be measured yet. The starting point is a VAT compliance gap of EUR 128 billion in 2023.</t>
  </si>
  <si>
    <t xml:space="preserve">Adopted after CEPS snapshot: Council Directive (EU) 2025/516 (11 Mar 2025); no consolidated text with amendments in EUR-Lex; consolidated count = original</t>
  </si>
  <si>
    <t xml:space="preserve">Gigabit Infrastructure Act</t>
  </si>
  <si>
    <t xml:space="preserve">Regulation (EU) 2024/1309</t>
  </si>
  <si>
    <t xml:space="preserve">2023-02-23</t>
  </si>
  <si>
    <t xml:space="preserve">2024-05-08</t>
  </si>
  <si>
    <t xml:space="preserve">2024-05-11</t>
  </si>
  <si>
    <t xml:space="preserve">32024R1309</t>
  </si>
  <si>
    <t xml:space="preserve">https://eur-lex.europa.eu/legal-content/EN/TXT/?uri=CELEX:32024R1309</t>
  </si>
  <si>
    <t xml:space="preserve">02024R1309-20240508</t>
  </si>
  <si>
    <t xml:space="preserve">52023PC0094</t>
  </si>
  <si>
    <t xml:space="preserve">ex-ante only: applied from Nov 2025; only implementation tracking</t>
  </si>
  <si>
    <t xml:space="preserve">The Commission forecast that the Act would cut the cost of building fibre and 5G networks by EUR 14.5 billion and reduce the public subsidies needed by EUR 2.4 billion, mainly through re-using ducts and poles and faster permits. Its main rules have only applied since November 2025, and by March 2026 about half of EU countries had started adapting national law. No evidence yet shows whether costs have fallen.</t>
  </si>
  <si>
    <t xml:space="preserve">Critical Raw Materials Act</t>
  </si>
  <si>
    <t xml:space="preserve">Regulation (EU) 2024/1252</t>
  </si>
  <si>
    <t xml:space="preserve">2023-03-16</t>
  </si>
  <si>
    <t xml:space="preserve">2024-05-03</t>
  </si>
  <si>
    <t xml:space="preserve">2024-05-23</t>
  </si>
  <si>
    <t xml:space="preserve">32024R1252</t>
  </si>
  <si>
    <t xml:space="preserve">https://eur-lex.europa.eu/legal-content/EN/TXT/?uri=CELEX:32024R1252</t>
  </si>
  <si>
    <t xml:space="preserve">02024R1252-20240503</t>
  </si>
  <si>
    <t xml:space="preserve">52023PC0160</t>
  </si>
  <si>
    <t xml:space="preserve">ex-ante plus early audit: Commission activity data and a critical ECA audit; no causal study</t>
  </si>
  <si>
    <t xml:space="preserve">The Act set 2030 goals for the EU to mine 10%, process 40% and recycle 25% of the strategic raw materials it uses, and to rely on no single country for more than 65%. The Commission has designated 47 EU Strategic Projects with EUR 22.5 billion of planned investment, but the European Court of Auditors concluded in 2026 that the goals are unlikely to be met. No study has yet measured the Act's effect on supply security or prices.</t>
  </si>
  <si>
    <t xml:space="preserve">Net-Zero Industry Act</t>
  </si>
  <si>
    <t xml:space="preserve">Regulation (EU) 2024/1735</t>
  </si>
  <si>
    <t xml:space="preserve">2024-06-29</t>
  </si>
  <si>
    <t xml:space="preserve">32024R1735</t>
  </si>
  <si>
    <t xml:space="preserve">https://eur-lex.europa.eu/legal-content/EN/TXT/?uri=CELEX:32024R1735</t>
  </si>
  <si>
    <t xml:space="preserve">02024R1735-20250817</t>
  </si>
  <si>
    <t xml:space="preserve">2025-05-23</t>
  </si>
  <si>
    <t xml:space="preserve">52023PC0161</t>
  </si>
  <si>
    <t xml:space="preserve">ex-ante only, no impact assessment: one think-tank critique; no measurement of the 40% benchmark</t>
  </si>
  <si>
    <t xml:space="preserve">The Act aims for EU factories to supply at least 40% of the EU's needs for clean technologies such as solar panels, batteries and heat pumps by 2030. It was proposed without an impact assessment, and economists at Bruegel called the 40% goal vague and protectionist. No study or official report has yet measured progress towards the goal or the Act's effect on investment.</t>
  </si>
  <si>
    <t xml:space="preserve">Right to Repair Directive</t>
  </si>
  <si>
    <t xml:space="preserve">Directive (EU) 2024/1799</t>
  </si>
  <si>
    <t xml:space="preserve">2023-03-22</t>
  </si>
  <si>
    <t xml:space="preserve">2024-07-10</t>
  </si>
  <si>
    <t xml:space="preserve">2024-07-30</t>
  </si>
  <si>
    <t xml:space="preserve">32024L1799</t>
  </si>
  <si>
    <t xml:space="preserve">https://eur-lex.europa.eu/legal-content/EN/TXT/?uri=CELEX:32024L1799</t>
  </si>
  <si>
    <t xml:space="preserve">02024L1799-20260731</t>
  </si>
  <si>
    <t xml:space="preserve">2026-01-12</t>
  </si>
  <si>
    <t xml:space="preserve">52023PC0155</t>
  </si>
  <si>
    <t xml:space="preserve">ex-ante only: Commission forecasts plus academic critique; rules apply from July 2026</t>
  </si>
  <si>
    <t xml:space="preserve">The Commission forecast that the right to repair would save consumers EUR 176.5 billion and cut 18.4 million tonnes of CO2 over 15 years. The rules only started applying in July 2026, so nothing has been measured yet, and academic critics argue the law does too little about the main barriers to repair, such as the price and availability of spare parts.</t>
  </si>
  <si>
    <t xml:space="preserve">Cyber Solidarity Act</t>
  </si>
  <si>
    <t xml:space="preserve">Regulation (EU) 2025/38</t>
  </si>
  <si>
    <t xml:space="preserve">2023-04-18</t>
  </si>
  <si>
    <t xml:space="preserve">2025-01-15</t>
  </si>
  <si>
    <t xml:space="preserve">2025-02-04</t>
  </si>
  <si>
    <t xml:space="preserve">32025R0038</t>
  </si>
  <si>
    <t xml:space="preserve">https://eur-lex.europa.eu/legal-content/EN/TXT/?uri=CELEX:32025R0038</t>
  </si>
  <si>
    <t xml:space="preserve">02025R0038-20250115</t>
  </si>
  <si>
    <t xml:space="preserve">52023PC0209</t>
  </si>
  <si>
    <t xml:space="preserve">ex-ante only and thin: no impact assessment, output indicators only; early activity counts from Commission</t>
  </si>
  <si>
    <t xml:space="preserve">The Cyber Solidarity Act was proposed without an impact assessment or cost estimate, and its two indicators only count tools bought and emergency actions taken. The Commission reports 26 EU-funded security-operations hubs, including two cross-border ones, but there is no evidence yet on whether Europe detects or recovers from cyberattacks faster. The EU Court of Auditors warned the new structures add complexity.</t>
  </si>
  <si>
    <t xml:space="preserve">Compulsory licensing of patents Regulation</t>
  </si>
  <si>
    <t xml:space="preserve">2023/0129(COD)</t>
  </si>
  <si>
    <t xml:space="preserve">2023-04-27</t>
  </si>
  <si>
    <t xml:space="preserve">2025-12-30</t>
  </si>
  <si>
    <t xml:space="preserve">2026-01-19</t>
  </si>
  <si>
    <t xml:space="preserve">32025R2645</t>
  </si>
  <si>
    <t xml:space="preserve">https://eur-lex.europa.eu/legal-content/EN/TXT/?uri=CELEX:32025R2645</t>
  </si>
  <si>
    <t xml:space="preserve">52023PC0224</t>
  </si>
  <si>
    <t xml:space="preserve">ex-ante only: qualitative IA, no indicators; no licence granted so nothing to measure</t>
  </si>
  <si>
    <t xml:space="preserve">The Commission expected an EU-wide compulsory patent licence to speed up access to critical products in a crisis, but gave only qualitative estimates and expected it to be used rarely. No EU licence appears to have been granted since the law took effect in January 2026, so there is no evidence on its impact. The final text was narrowed in patent holders' favour.</t>
  </si>
  <si>
    <t xml:space="preserve">Adopted after CEPS snapshot: Regulation (EU) 2025/2645 (16 Dec 2025)</t>
  </si>
  <si>
    <t xml:space="preserve">Strategic Technologies for Europe Platform (STEP)</t>
  </si>
  <si>
    <t xml:space="preserve">Regulation (EU) 2024/795</t>
  </si>
  <si>
    <t xml:space="preserve">2023-06-20</t>
  </si>
  <si>
    <t xml:space="preserve">2024-03-01</t>
  </si>
  <si>
    <t xml:space="preserve">32024R0795</t>
  </si>
  <si>
    <t xml:space="preserve">https://eur-lex.europa.eu/legal-content/EN/TXT/?uri=CELEX:32024R0795</t>
  </si>
  <si>
    <t xml:space="preserve">02024R0795-20251223</t>
  </si>
  <si>
    <t xml:space="preserve">52023PC0335</t>
  </si>
  <si>
    <t xml:space="preserve">ex-ante only: no impact assessment; Commission activity figures; no independent impact study</t>
  </si>
  <si>
    <t xml:space="preserve">The Commission claimed STEP could trigger up to EUR 160 billion of investment in critical technologies, but the final law added only EUR 1.5 billion of new money and mostly redirects existing EU funds. Its own interim review counts about EUR 15 billion steered to strategic technologies in the first year but no data yet on jobs, firms or competitiveness.</t>
  </si>
  <si>
    <t xml:space="preserve">Financial Data Access Regulation (FiDA)</t>
  </si>
  <si>
    <t xml:space="preserve">2023/0205(COD)</t>
  </si>
  <si>
    <t xml:space="preserve">2023-06-28</t>
  </si>
  <si>
    <t xml:space="preserve">52023PC0360</t>
  </si>
  <si>
    <t xml:space="preserve">https://eur-lex.europa.eu/legal-content/EN/TXT/?uri=CELEX:52023PC0360</t>
  </si>
  <si>
    <t xml:space="preserve">ex-ante only: impact assessment cost estimates; no indicators; regulation not adopted</t>
  </si>
  <si>
    <t xml:space="preserve">The Commission estimated that letting customers share their insurance, investment, pension and loan data would cost financial firms EUR 2.2-2.4 billion up front, in return for more competition and new services whose value it did not estimate. The proposal sets no monitoring indicators, and as it has not been adopted (talks stalled in 2025-26) there is no evidence on its effects.</t>
  </si>
  <si>
    <t xml:space="preserve">Payment Services Regulation (PSR)</t>
  </si>
  <si>
    <t xml:space="preserve">2023/0210(COD)</t>
  </si>
  <si>
    <t xml:space="preserve">agreed</t>
  </si>
  <si>
    <t xml:space="preserve">52023PC0367</t>
  </si>
  <si>
    <t xml:space="preserve">https://eur-lex.europa.eu/legal-content/EN/TXT/?uri=CELEX:52023PC0367</t>
  </si>
  <si>
    <t xml:space="preserve">ex-ante only: joint impact assessment with PSD3; fraud baseline statistics; not yet applied</t>
  </si>
  <si>
    <t xml:space="preserve">The Payment Services Regulation (shared impact assessment with PSD3) is meant to cut payment scams through payee name checks, fraud data sharing and refunds in some impersonation cases, and to improve open banking; the Commission put the targeted scam losses at about EUR 323 million a year (2020). A political agreement was reached in November 2025 but the rules do not yet apply; reported payment fraud in Europe has since risen to EUR 4.2 billion in 2024.</t>
  </si>
  <si>
    <t xml:space="preserve">Provisional agreement 27 Nov 2025; measured on the 2023 Commission proposal (user choice). Council final compromise text ST 8221/26: 431 Council-format pages, 74,497 words of legal text, 588 restrictions (323 on private parties)</t>
  </si>
  <si>
    <t xml:space="preserve">Payment Services Directive 3 (PSD3)</t>
  </si>
  <si>
    <t xml:space="preserve">2023/0209(COD)</t>
  </si>
  <si>
    <t xml:space="preserve">52023PC0366</t>
  </si>
  <si>
    <t xml:space="preserve">https://eur-lex.europa.eu/legal-content/EN/TXT/?uri=CELEX:52023PC0366</t>
  </si>
  <si>
    <t xml:space="preserve">ex-ante only: joint impact assessment with PSR; fraud baseline statistics; not yet applied</t>
  </si>
  <si>
    <t xml:space="preserve">PSD3 (licensing and supervision of payment and e-money institutions) shares its impact assessment with the Payment Services Regulation; the Commission expected them to cut payment scams and strengthen open banking and competition from non-bank firms, at one-off costs of a few hundred million euros. A political agreement was reached in November 2025 but the rules are not yet applied, so there is no evidence of effect; meanwhile payment fraud in Europe rose to EUR 4.2 billion in 2024.</t>
  </si>
  <si>
    <t xml:space="preserve">Provisional agreement 27 Nov 2025; measured on the 2023 Commission proposal (user choice). Council final compromise text ST 8222/26: 167 Council-format pages, 30,433 words of legal text, 266 restrictions (56 on private parties)</t>
  </si>
  <si>
    <t xml:space="preserve">Digital Euro Regulation</t>
  </si>
  <si>
    <t xml:space="preserve">2023/0212(COD)</t>
  </si>
  <si>
    <t xml:space="preserve">52023PC0369</t>
  </si>
  <si>
    <t xml:space="preserve">https://eur-lex.europa.eu/legal-content/EN/TXT/?uri=CELEX:52023PC0369</t>
  </si>
  <si>
    <t xml:space="preserve">ex-ante only: Commission IA and ECB simulations, contested industry cost study; regulation not adopted</t>
  </si>
  <si>
    <t xml:space="preserve">The Commission judged that a digital euro's benefits outweigh set-up costs of several billion euros if holding limits protect banks. ECB simulations suggest a EUR 3,000 limit would leave bank funding largely unaffected in normal times, though a severe crisis could shift up to EUR 699 billion of deposits; a bank-funded study puts banks' costs at EUR 18 billion or more, well above ECB estimates. The law is still being negotiated, so there is no evidence of actual effects.</t>
  </si>
  <si>
    <t xml:space="preserve">GDPR Procedural Regulation</t>
  </si>
  <si>
    <t xml:space="preserve">2023/0202(COD)</t>
  </si>
  <si>
    <t xml:space="preserve">2023-07-04</t>
  </si>
  <si>
    <t xml:space="preserve">2025-11-26</t>
  </si>
  <si>
    <t xml:space="preserve">2025-12-12</t>
  </si>
  <si>
    <t xml:space="preserve">2026-01-01</t>
  </si>
  <si>
    <t xml:space="preserve">32025R2518</t>
  </si>
  <si>
    <t xml:space="preserve">https://eur-lex.europa.eu/legal-content/EN/TXT/?uri=CELEX:32025R2518</t>
  </si>
  <si>
    <t xml:space="preserve">52023PC0348</t>
  </si>
  <si>
    <t xml:space="preserve">ex-ante only: no IA or indicators; baseline figures and opposing expert opinions; applies from 2027</t>
  </si>
  <si>
    <t xml:space="preserve">The GDPR Procedural Regulation was adopted without an impact assessment or monitoring indicators, aiming to speed up cross-border data protection cases that often take years. It only applies to cases opened from April 2027, so there is no evidence yet on whether it works. Regulators backed it, while privacy campaigners warned the final text may be too complex to deliver faster decisions.</t>
  </si>
  <si>
    <t xml:space="preserve">Adopted after CEPS snapshot: Regulation (EU) 2025/2518 (26 Nov 2025)</t>
  </si>
  <si>
    <t xml:space="preserve">Toys Safety Regulation</t>
  </si>
  <si>
    <t xml:space="preserve">2023/0290(COD)</t>
  </si>
  <si>
    <t xml:space="preserve">32025R2509</t>
  </si>
  <si>
    <t xml:space="preserve">https://eur-lex.europa.eu/legal-content/EN/TXT/?uri=CELEX:32025R2509</t>
  </si>
  <si>
    <t xml:space="preserve">02025R2509-20251212</t>
  </si>
  <si>
    <t xml:space="preserve">52023PC0462</t>
  </si>
  <si>
    <t xml:space="preserve">ex-ante only: Commission IA forecasts plus baseline data on unsafe toys; rules apply from 2030</t>
  </si>
  <si>
    <t xml:space="preserve">The Commission expected the new toy rules to avoid EUR 240 million to 1.2 billion a year in health damage by banning harmful chemicals, and to cut unsafe imports through a digital product passport. The rules only fully apply from August 2030, so no effects can be measured yet. As a baseline, toys made up 15% of EU dangerous-product alerts in 2024, and industry tests found most toys from third-party online sellers broke EU rules.</t>
  </si>
  <si>
    <t xml:space="preserve">Adopted after CEPS snapshot: Regulation (EU) 2025/2509 (26 Nov 2025); no consolidated text with amendments in EUR-Lex; consolidated count = original</t>
  </si>
  <si>
    <t xml:space="preserve">Late Payment Regulation</t>
  </si>
  <si>
    <t xml:space="preserve">2023/0323(COD)</t>
  </si>
  <si>
    <t xml:space="preserve">2023-09-12</t>
  </si>
  <si>
    <t xml:space="preserve">52023PC0533</t>
  </si>
  <si>
    <t xml:space="preserve">https://eur-lex.europa.eu/legal-content/EN/TXT/?uri=CELEX:52023PC0533</t>
  </si>
  <si>
    <t xml:space="preserve">ex-ante only: impact assessment forecasts with clear targets; contested by stakeholders; not adopted</t>
  </si>
  <si>
    <t xml:space="preserve">The Commission set a clear target - cutting the share of firms reporting late payment as a problem from 43% to 28% - and expected a strict 30-day payment limit to shorten payment times by about 35%. Business groups and trade credit insurers dispute the costs, and the proposal has stalled in the Council, so none of these promises can yet be tested.</t>
  </si>
  <si>
    <t xml:space="preserve">Child Sexual Abuse Directive (recast)</t>
  </si>
  <si>
    <t xml:space="preserve">2024/0035(COD)</t>
  </si>
  <si>
    <t xml:space="preserve">2024-02-06</t>
  </si>
  <si>
    <t xml:space="preserve">52024PC0060</t>
  </si>
  <si>
    <t xml:space="preserve">https://eur-lex.europa.eu/legal-content/EN/TXT/?uri=CELEX:52024PC0060</t>
  </si>
  <si>
    <t xml:space="preserve">ex-ante only: qualitative impact assessment; no quantified forecasts; not yet adopted</t>
  </si>
  <si>
    <t xml:space="preserve">The Commission expected the updated criminal-law rules to improve prevention, investigation and support for victims of child sexual abuse, but gave no figures. Its main monitoring tool is a new duty for countries to collect comparable statistics and survey victims every three years, which does not exist yet; a political agreement was reported in June 2026, so there is no evidence on effects.</t>
  </si>
  <si>
    <t xml:space="preserve">EU Digital Travel Application Regulation</t>
  </si>
  <si>
    <t xml:space="preserve">2024/0670(COD)</t>
  </si>
  <si>
    <t xml:space="preserve">2024-10-08</t>
  </si>
  <si>
    <t xml:space="preserve">52024PC0670</t>
  </si>
  <si>
    <t xml:space="preserve">https://eur-lex.europa.eu/legal-content/EN/TXT/?uri=CELEX:52024PC0670</t>
  </si>
  <si>
    <t xml:space="preserve">ex-ante only: detailed LFS uptake targets; small pilot evidence cited by the Commission; proposal pending</t>
  </si>
  <si>
    <t xml:space="preserve">The Commission wants an EU app that lets travellers send a digital copy of their passport before crossing Schengen's external borders, with targets of 30% of travellers using it within five years of launch (planned for end 2030). It expects faster, safer border checks at modest cost, about EUR 2 million per country and EUR 49.5 million for the EU app, Pilots in Finland and Croatia cut border processing of pre-cleared travellers from 30-90 seconds to under 9 seconds, but the EU-wide effect cannot be measured until the app exists.</t>
  </si>
  <si>
    <t xml:space="preserve">EU Space Act</t>
  </si>
  <si>
    <t xml:space="preserve">COM(2025) 335</t>
  </si>
  <si>
    <t xml:space="preserve">planned</t>
  </si>
  <si>
    <t xml:space="preserve">2025-06-25</t>
  </si>
  <si>
    <t xml:space="preserve">52025PC0335</t>
  </si>
  <si>
    <t xml:space="preserve">https://eur-lex.europa.eu/legal-content/EN/TXT/?uri=CELEX:52025PC0335</t>
  </si>
  <si>
    <t xml:space="preserve">ex-ante only: impact assessment with cost estimates; qualitative critiques; proposal pending</t>
  </si>
  <si>
    <t xml:space="preserve">The Commission expects one EU-wide licensing regime for space activities to replace 13 or more national systems, reduce space debris and cyber risks, and help European start-ups grow, at the price of satellites costing 3-10% more to build. The United States and some companies argue the burden is higher and unfairly hits non-EU operators. The proposal is still under negotiation, so there is no evidence of effects yet.</t>
  </si>
  <si>
    <t xml:space="preserve">European Standardisation Regulation</t>
  </si>
  <si>
    <t xml:space="preserve">Regulation (EU) 1025/2012</t>
  </si>
  <si>
    <t xml:space="preserve">2011-06-01</t>
  </si>
  <si>
    <t xml:space="preserve">2012-10-25</t>
  </si>
  <si>
    <t xml:space="preserve">2012-12-04</t>
  </si>
  <si>
    <t xml:space="preserve">32012R1025</t>
  </si>
  <si>
    <t xml:space="preserve">https://eur-lex.europa.eu/legal-content/EN/TXT/?uri=CELEX:32012R1025</t>
  </si>
  <si>
    <t xml:space="preserve">02012R1025-20241213</t>
  </si>
  <si>
    <t xml:space="preserve">2013-06-12</t>
  </si>
  <si>
    <t xml:space="preserve">52011PC0315</t>
  </si>
  <si>
    <t xml:space="preserve">thin: Commission monitoring reports and one evaluation track speed and participation; no independent causal study of economic effects found</t>
  </si>
  <si>
    <t xml:space="preserve">The Regulation promised faster European standards with more input from small firms and civil society. The Commission's 2025 evaluation found it removed conflicting national standards and made modest progress, but harmonised standards still take about six years to produce and smaller stakeholders have little real influence. No independent study measuring its economic effects was found.</t>
  </si>
  <si>
    <t xml:space="preserve">Electromagnetic Compatibility Directive</t>
  </si>
  <si>
    <t xml:space="preserve">Directive 2014/30/EU</t>
  </si>
  <si>
    <t xml:space="preserve">2011-11-21</t>
  </si>
  <si>
    <t xml:space="preserve">2014-02-26</t>
  </si>
  <si>
    <t xml:space="preserve">2014-03-29</t>
  </si>
  <si>
    <t xml:space="preserve">2014-04-18</t>
  </si>
  <si>
    <t xml:space="preserve">32014L0030</t>
  </si>
  <si>
    <t xml:space="preserve">https://eur-lex.europa.eu/legal-content/EN/TXT/?uri=CELEX:32014L0030</t>
  </si>
  <si>
    <t xml:space="preserve">02014L0030-20260530</t>
  </si>
  <si>
    <t xml:space="preserve">2018-07-04</t>
  </si>
  <si>
    <t xml:space="preserve">52011PC0765</t>
  </si>
  <si>
    <t xml:space="preserve">thin: one Commission evaluation based on stakeholder views; no measured compliance trend and no independent studies found</t>
  </si>
  <si>
    <t xml:space="preserve">The EMC Directive, which keeps electrical products from interfering with each other, set no monitoring indicators. The Commission's 2023 evaluation found it effective and worth its cost, with industry putting compliance at 5-10% of production costs, but warned that cheap non-compliant products bought online remain a problem. No independent study of its effects was found.</t>
  </si>
  <si>
    <t xml:space="preserve">Radio Equipment Directive</t>
  </si>
  <si>
    <t xml:space="preserve">Directive 2014/53/EU</t>
  </si>
  <si>
    <t xml:space="preserve">2012-10-17</t>
  </si>
  <si>
    <t xml:space="preserve">2014-04-16</t>
  </si>
  <si>
    <t xml:space="preserve">2014-05-22</t>
  </si>
  <si>
    <t xml:space="preserve">2014-06-11</t>
  </si>
  <si>
    <t xml:space="preserve">32014L0053</t>
  </si>
  <si>
    <t xml:space="preserve">https://eur-lex.europa.eu/legal-content/EN/TXT/?uri=CELEX:32014L0053</t>
  </si>
  <si>
    <t xml:space="preserve">02014L0053-20260530</t>
  </si>
  <si>
    <t xml:space="preserve">52012PC0584</t>
  </si>
  <si>
    <t xml:space="preserve">thin: compliance indicator partially tracked through targeted (non-representative) inspections; burden and innovation indicators not measured; no independent studies found</t>
  </si>
  <si>
    <t xml:space="preserve">The Radio Equipment Directive promised higher product compliance with little extra burden. Market surveillance data show around 60% of inspected products failing in 2022, but because inspectors target risky products this does not show whether compliance has improved since the 28-56% baseline. The promised indicators on red tape and innovation were never measured, and no independent study was found.</t>
  </si>
  <si>
    <t xml:space="preserve">E-invoicing Directive</t>
  </si>
  <si>
    <t xml:space="preserve">Directive 2014/55/EU</t>
  </si>
  <si>
    <t xml:space="preserve">2013-06-26</t>
  </si>
  <si>
    <t xml:space="preserve">2014-05-06</t>
  </si>
  <si>
    <t xml:space="preserve">2014-05-26</t>
  </si>
  <si>
    <t xml:space="preserve">32014L0055</t>
  </si>
  <si>
    <t xml:space="preserve">https://eur-lex.europa.eu/legal-content/EN/TXT/?uri=CELEX:32014L0055</t>
  </si>
  <si>
    <t xml:space="preserve">02014L0055-20140526</t>
  </si>
  <si>
    <t xml:space="preserve">52013PC0449</t>
  </si>
  <si>
    <t xml:space="preserve">thin: Commission evaluation confirms standard and partial uptake; forecast savings never measured; no independent studies of this Directive found</t>
  </si>
  <si>
    <t xml:space="preserve">The Commission forecast that full e-invoicing in public procurement could save EUR 1.5-2.3 billion a year. Its 2024 evaluation found the directive did create a common European e-invoice standard accepted by almost all central governments, but uptake is high only where it is mandatory and the promised savings were never measured. No independent study of the directive's effects was found.</t>
  </si>
  <si>
    <t xml:space="preserve">Portability Regulation</t>
  </si>
  <si>
    <t xml:space="preserve">Regulation (EU) 2017/1128</t>
  </si>
  <si>
    <t xml:space="preserve">32017R1128</t>
  </si>
  <si>
    <t xml:space="preserve">https://eur-lex.europa.eu/legal-content/EN/TXT/?uri=CELEX:32017R1128</t>
  </si>
  <si>
    <t xml:space="preserve">02017R1128-20170630</t>
  </si>
  <si>
    <t xml:space="preserve">52015PC0627</t>
  </si>
  <si>
    <t xml:space="preserve">thin: one Commission review backed by surveys and self-reported provider evidence; no independent or causal studies</t>
  </si>
  <si>
    <t xml:space="preserve">The Portability Regulation lets people use their paid streaming, music and gaming subscriptions when travelling in other EU countries. The Commission's 2022 review found it works well: about a third of subscribers had used their services abroad, few complained, and providers and rightholders reported only minor costs, though some services still cap how long you can use them abroad. No independent study has measured its economic effects.</t>
  </si>
  <si>
    <t xml:space="preserve">.eu Top-Level Domain Regulation</t>
  </si>
  <si>
    <t xml:space="preserve">Regulation (EU) 2019/517</t>
  </si>
  <si>
    <t xml:space="preserve">2018-04-27</t>
  </si>
  <si>
    <t xml:space="preserve">2019-03-29</t>
  </si>
  <si>
    <t xml:space="preserve">2019-04-18</t>
  </si>
  <si>
    <t xml:space="preserve">32019R0517</t>
  </si>
  <si>
    <t xml:space="preserve">https://eur-lex.europa.eu/legal-content/EN/TXT/?uri=CELEX:32019R0517</t>
  </si>
  <si>
    <t xml:space="preserve">02019R0517-20190329</t>
  </si>
  <si>
    <t xml:space="preserve">52018PC0231</t>
  </si>
  <si>
    <t xml:space="preserve">thin: registry statistics only; no evaluation of the new Regulation yet (due 2027); no independent studies</t>
  </si>
  <si>
    <t xml:space="preserve">The Regulation modernised the rules for the .eu internet domain and opened it to EU citizens living anywhere. Registrations have been broadly flat since it was proposed, at about 3.7-3.8 million (end-2025). The new framework has applied only since October 2022 and its first evaluation is due by 2027; no independent study exists.</t>
  </si>
  <si>
    <t xml:space="preserve">Interoperability of EU information systems (borders and visa) Regulation</t>
  </si>
  <si>
    <t xml:space="preserve">Regulation (EU) 2019/817</t>
  </si>
  <si>
    <t xml:space="preserve">32019R0817</t>
  </si>
  <si>
    <t xml:space="preserve">https://eur-lex.europa.eu/legal-content/EN/TXT/?uri=CELEX:32019R0817</t>
  </si>
  <si>
    <t xml:space="preserve">02019R0817-20260612</t>
  </si>
  <si>
    <t xml:space="preserve">52017PC0793</t>
  </si>
  <si>
    <t xml:space="preserve">thin: implementation monitoring only; components not yet operating, so none of the outcome indicators can be measured; no independent studies</t>
  </si>
  <si>
    <t xml:space="preserve">The Regulation links the EU's border, visa and security databases so officials can check identities in one search and detect people using multiple identities. Delivery is about three years behind plan: the first component went live in May 2025 and the main search tools are due in June 2026, while spending by the EU IT agency alone (EUR 171 million) already exceeds the original one-off cost estimate. The promised savings and anti-fraud benefits cannot yet be measured.</t>
  </si>
  <si>
    <t xml:space="preserve">Short-Term Rental Data Regulation</t>
  </si>
  <si>
    <t xml:space="preserve">Regulation (EU) 2024/1028</t>
  </si>
  <si>
    <t xml:space="preserve">2022-11-07</t>
  </si>
  <si>
    <t xml:space="preserve">2024-05-19</t>
  </si>
  <si>
    <t xml:space="preserve">32024R1028</t>
  </si>
  <si>
    <t xml:space="preserve">https://eur-lex.europa.eu/legal-content/EN/TXT/?uri=CELEX:32024R1028</t>
  </si>
  <si>
    <t xml:space="preserve">52022PC0571</t>
  </si>
  <si>
    <t xml:space="preserve">ex-ante only: rules applied from May 2026; no evaluation or independent study yet</t>
  </si>
  <si>
    <t xml:space="preserve">The regulation requires hosts to register and platforms such as Airbnb to share activity data with public authorities. The Commission forecast savings of EUR 54-115 million for platforms and over EUR 1.4 billion in time saved for hosts over five years. The rules only started to apply in May 2026, so there is no evidence yet on whether these savings, or better local regulation of short-term rentals, have materialised.</t>
  </si>
  <si>
    <t xml:space="preserve">TOTAL (all rows)</t>
  </si>
  <si>
    <t xml:space="preserve">parent_row_id</t>
  </si>
  <si>
    <t xml:space="preserve">parent_name</t>
  </si>
  <si>
    <t xml:space="preserve">parent_celex</t>
  </si>
  <si>
    <t xml:space="preserve">celex</t>
  </si>
  <si>
    <t xml:space="preserve">kind</t>
  </si>
  <si>
    <t xml:space="preserve">eurlex_type</t>
  </si>
  <si>
    <t xml:space="preserve">date</t>
  </si>
  <si>
    <t xml:space="preserve">title</t>
  </si>
  <si>
    <t xml:space="preserve">addressed_to_specific_member_state</t>
  </si>
  <si>
    <t xml:space="preserve">52019XC0927(01)</t>
  </si>
  <si>
    <t xml:space="preserve">guidance</t>
  </si>
  <si>
    <t xml:space="preserve">GUIDELINE_GEN</t>
  </si>
  <si>
    <t xml:space="preserve">2019-09-27</t>
  </si>
  <si>
    <t xml:space="preserve">Commission notice — Guidance on the interpretation and application of Council Directive 93/13/EEC on unfair terms in consumer contracts (Text with EEA relevance.)</t>
  </si>
  <si>
    <t xml:space="preserve">no</t>
  </si>
  <si>
    <t xml:space="preserve">https://eur-lex.europa.eu/legal-content/EN/TXT/?uri=CELEX:52019XC0927(01)</t>
  </si>
  <si>
    <t xml:space="preserve">Guidance is non-binding: restriction counts mostly reflect obligations it restates</t>
  </si>
  <si>
    <t xml:space="preserve">32002R2245</t>
  </si>
  <si>
    <t xml:space="preserve">other Commission/Council act</t>
  </si>
  <si>
    <t xml:space="preserve">REG</t>
  </si>
  <si>
    <t xml:space="preserve">2002-10-21</t>
  </si>
  <si>
    <t xml:space="preserve">Commission Regulation (EC) No 2245/2002 of 21 October 2002 implementing Council Regulation (EC) No 6/2002 on Community designs</t>
  </si>
  <si>
    <t xml:space="preserve">https://eur-lex.europa.eu/legal-content/EN/TXT/?uri=CELEX:32002R2245</t>
  </si>
  <si>
    <t xml:space="preserve">32002R2246</t>
  </si>
  <si>
    <t xml:space="preserve">2002-12-16</t>
  </si>
  <si>
    <t xml:space="preserve">Commission Regulation (EC) No 2246/2002 of 16 December 2002 on the fees payable to the Office for Harmonization in the Internal Market (Trade Marks and Designs) in respect of the registration of Community designs</t>
  </si>
  <si>
    <t xml:space="preserve">https://eur-lex.europa.eu/legal-content/EN/TXT/?uri=CELEX:32002R2246</t>
  </si>
  <si>
    <t xml:space="preserve">32007R0876</t>
  </si>
  <si>
    <t xml:space="preserve">2007-07-24</t>
  </si>
  <si>
    <t xml:space="preserve">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</si>
  <si>
    <t xml:space="preserve">https://eur-lex.europa.eu/legal-content/EN/TXT/?uri=CELEX:32007R0876</t>
  </si>
  <si>
    <t xml:space="preserve">32007R0877</t>
  </si>
  <si>
    <t xml:space="preserve">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</si>
  <si>
    <t xml:space="preserve">https://eur-lex.europa.eu/legal-content/EN/TXT/?uri=CELEX:32007R0877</t>
  </si>
  <si>
    <t xml:space="preserve">32025R0073</t>
  </si>
  <si>
    <t xml:space="preserve">implementing</t>
  </si>
  <si>
    <t xml:space="preserve">REG_IMPL</t>
  </si>
  <si>
    <t xml:space="preserve">2025-01-17</t>
  </si>
  <si>
    <t xml:space="preserve">Commission Implementing Regulation (EU) 2025/73 of 17 January 2025 amending Regulation (EC) No 2245/2002 implementing Council Regulation (EC) No 6/2002 on Community designs</t>
  </si>
  <si>
    <t xml:space="preserve">https://eur-lex.europa.eu/legal-content/EN/TXT/?uri=CELEX:32025R0073</t>
  </si>
  <si>
    <t xml:space="preserve">32026R0137</t>
  </si>
  <si>
    <t xml:space="preserve">delegated</t>
  </si>
  <si>
    <t xml:space="preserve">REG_DEL</t>
  </si>
  <si>
    <t xml:space="preserve">2026-01-15</t>
  </si>
  <si>
    <t xml:space="preserve">Commission Delegated Regulation (EU) 2026/137 of 15 January 2026 supplementing Council Regulation (EC) No 6/2002 on European Union designs with rules specifying the details of certain proceedings concerning registered designs, and repealing Commission Regulation (EC) No 2245/2002</t>
  </si>
  <si>
    <t xml:space="preserve">https://eur-lex.europa.eu/legal-content/EN/TXT/?uri=CELEX:32026R0137</t>
  </si>
  <si>
    <t xml:space="preserve">32026R0138</t>
  </si>
  <si>
    <t xml:space="preserve">Commission Implementing Regulation (EU) 2026/138 of 15 January 2026 laying down detailed rules for implementing certain provisions of Council Regulation (EC) No 6/2002 on European Union designs</t>
  </si>
  <si>
    <t xml:space="preserve">https://eur-lex.europa.eu/legal-content/EN/TXT/?uri=CELEX:32026R0138</t>
  </si>
  <si>
    <t xml:space="preserve">52021XC1229(06)</t>
  </si>
  <si>
    <t xml:space="preserve">NOTICE</t>
  </si>
  <si>
    <t xml:space="preserve">2021-12-29</t>
  </si>
  <si>
    <t xml:space="preserve">Commission Notice – Guidance on the interpretation and application of Article 6a of Directive 98/6/EC of the European Parliament and of the Council on consumer protection in the indication of the prices of products offered to consumers (Text with EEA relevance)</t>
  </si>
  <si>
    <t xml:space="preserve">https://eur-lex.europa.eu/legal-content/EN/TXT/?uri=CELEX:52021XC1229(06)</t>
  </si>
  <si>
    <t xml:space="preserve">32013R0611</t>
  </si>
  <si>
    <t xml:space="preserve">2013-06-24</t>
  </si>
  <si>
    <t xml:space="preserve">Commission Regulation (EU) No 611/2013 of 24 June 2013 on the measures applicable to the notification of personal data breaches under Directive 2002/58/EC of the European Parliament and of the Council on privacy and electronic communications</t>
  </si>
  <si>
    <t xml:space="preserve">https://eur-lex.europa.eu/legal-content/EN/TXT/?uri=CELEX:32013R0611</t>
  </si>
  <si>
    <t xml:space="preserve">32011D0251</t>
  </si>
  <si>
    <t xml:space="preserve">DEC_IMPL</t>
  </si>
  <si>
    <t xml:space="preserve">2011-04-18</t>
  </si>
  <si>
    <t xml:space="preserve">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</si>
  <si>
    <t xml:space="preserve">https://eur-lex.europa.eu/legal-content/EN/TXT/?uri=CELEX:32011D0251</t>
  </si>
  <si>
    <t xml:space="preserve">32011D0485</t>
  </si>
  <si>
    <t xml:space="preserve">2011-07-29</t>
  </si>
  <si>
    <t xml:space="preserve">Commission Implementing Decision of 29 July 2011 amending Decision 2005/50/EC on the harmonisation of the 24 GHz range radio spectrum band for the time-limited use by automotive short-range radar equipment in the Community (notified under document C(2011) 5444) Text with EEA relevance</t>
  </si>
  <si>
    <t xml:space="preserve">https://eur-lex.europa.eu/legal-content/EN/TXT/?uri=CELEX:32011D0485</t>
  </si>
  <si>
    <t xml:space="preserve">32011D0829</t>
  </si>
  <si>
    <t xml:space="preserve">2011-12-08</t>
  </si>
  <si>
    <t xml:space="preserve">2011/829/EU: Commission Implementing Decision of 8 December 2011 amending Decision 2006/771/EC on harmonisation of the radio spectrum for use by short-range devices (notified under document C(2011) 9030)  Text with EEA relevance</t>
  </si>
  <si>
    <t xml:space="preserve">https://eur-lex.europa.eu/legal-content/EN/TXT/?uri=CELEX:32011D0829</t>
  </si>
  <si>
    <t xml:space="preserve">32012D0688</t>
  </si>
  <si>
    <t xml:space="preserve">2012-11-05</t>
  </si>
  <si>
    <t xml:space="preserve">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</si>
  <si>
    <t xml:space="preserve">https://eur-lex.europa.eu/legal-content/EN/TXT/?uri=CELEX:32012D0688</t>
  </si>
  <si>
    <t xml:space="preserve">32013D0654</t>
  </si>
  <si>
    <t xml:space="preserve">2013-11-12</t>
  </si>
  <si>
    <t xml:space="preserve">2013/654/EU: Commission Implementing Decision of 12 November 2013 amending Decision 2008/294/EC to include additional access technologies and frequency bands for mobile communications services on aircraft (MCA services) (notified under document C(2013) 7491)  Text with EEA relevance</t>
  </si>
  <si>
    <t xml:space="preserve">https://eur-lex.europa.eu/legal-content/EN/TXT/?uri=CELEX:32013D0654</t>
  </si>
  <si>
    <t xml:space="preserve">32013D0752</t>
  </si>
  <si>
    <t xml:space="preserve">2013-12-11</t>
  </si>
  <si>
    <t xml:space="preserve">2013/752/EU: Commission Implementing Decision of 11 December 2013 amending Decision 2006/771/EC on harmonisation of the radio spectrum for use by short-range devices and repealing Decision 2005/928/EC (notified under document C(2013) 8776)  Text with EEA relevance</t>
  </si>
  <si>
    <t xml:space="preserve">https://eur-lex.europa.eu/legal-content/EN/TXT/?uri=CELEX:32013D0752</t>
  </si>
  <si>
    <t xml:space="preserve">32014D0276</t>
  </si>
  <si>
    <t xml:space="preserve">2014-05-02</t>
  </si>
  <si>
    <t xml:space="preserve">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</si>
  <si>
    <t xml:space="preserve">https://eur-lex.europa.eu/legal-content/EN/TXT/?uri=CELEX:32014D0276</t>
  </si>
  <si>
    <t xml:space="preserve">32014D0641</t>
  </si>
  <si>
    <t xml:space="preserve">2014-09-01</t>
  </si>
  <si>
    <t xml:space="preserve">2014/641/EU: Commission Implementing Decision of 1 September 2014 on harmonised technical conditions of radio spectrum use by wireless audio programme making and special events equipment in the Union (notified under document C(2014) 6011)  Text with EEA relevance</t>
  </si>
  <si>
    <t xml:space="preserve">https://eur-lex.europa.eu/legal-content/EN/TXT/?uri=CELEX:32014D0641</t>
  </si>
  <si>
    <t xml:space="preserve">32014D0702</t>
  </si>
  <si>
    <t xml:space="preserve">2014-10-07</t>
  </si>
  <si>
    <t xml:space="preserve">2014/702/EU: Commission Implementing Decision of 7 October 2014 amending Decision 2007/131/EC on allowing the use of the radio spectrum for equipment using ultra-wideband technology in a harmonised manner in the Community (notified under document C(2014) 7083)</t>
  </si>
  <si>
    <t xml:space="preserve">https://eur-lex.europa.eu/legal-content/EN/TXT/?uri=CELEX:32014D0702</t>
  </si>
  <si>
    <t xml:space="preserve">32015D0750</t>
  </si>
  <si>
    <t xml:space="preserve">2015-05-08</t>
  </si>
  <si>
    <t xml:space="preserve">Commission Implementing Decision (EU) 2015/750 of 8 May 2015 on the harmonisation of the 1452-1492 MHz frequency band for terrestrial systems capable of providing electronic communications services in the Union (notified under document C(2015) 3061) (Text with EEA relevance)</t>
  </si>
  <si>
    <t xml:space="preserve">https://eur-lex.europa.eu/legal-content/EN/TXT/?uri=CELEX:32015D0750</t>
  </si>
  <si>
    <t xml:space="preserve">32016D0339</t>
  </si>
  <si>
    <t xml:space="preserve">2016-03-08</t>
  </si>
  <si>
    <t xml:space="preserve">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</si>
  <si>
    <t xml:space="preserve">https://eur-lex.europa.eu/legal-content/EN/TXT/?uri=CELEX:32016D0339</t>
  </si>
  <si>
    <t xml:space="preserve">32016D0687</t>
  </si>
  <si>
    <t xml:space="preserve">2016-04-28</t>
  </si>
  <si>
    <t xml:space="preserve">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</si>
  <si>
    <t xml:space="preserve">https://eur-lex.europa.eu/legal-content/EN/TXT/?uri=CELEX:32016D0687</t>
  </si>
  <si>
    <t xml:space="preserve">32016D2317</t>
  </si>
  <si>
    <t xml:space="preserve">2016-12-16</t>
  </si>
  <si>
    <t xml:space="preserve">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</si>
  <si>
    <t xml:space="preserve">https://eur-lex.europa.eu/legal-content/EN/TXT/?uri=CELEX:32016D2317</t>
  </si>
  <si>
    <t xml:space="preserve">32017D0191</t>
  </si>
  <si>
    <t xml:space="preserve">2017-02-01</t>
  </si>
  <si>
    <t xml:space="preserve">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</si>
  <si>
    <t xml:space="preserve">https://eur-lex.europa.eu/legal-content/EN/TXT/?uri=CELEX:32017D0191</t>
  </si>
  <si>
    <t xml:space="preserve">32017D1438</t>
  </si>
  <si>
    <t xml:space="preserve">2017-08-04</t>
  </si>
  <si>
    <t xml:space="preserve">Commission Implementing Decision (EU) 2017/1438 of 4 August 2017 amending Decision 2007/131/EC on allowing the use of the radio spectrum for equipment using ultra-wideband technology in a harmonised manner in the Community (notified under document C(2017) 5456) (Text with EEA relevance. )</t>
  </si>
  <si>
    <t xml:space="preserve">https://eur-lex.europa.eu/legal-content/EN/TXT/?uri=CELEX:32017D1438</t>
  </si>
  <si>
    <t xml:space="preserve">32017D1483</t>
  </si>
  <si>
    <t xml:space="preserve">2017-08-08</t>
  </si>
  <si>
    <t xml:space="preserve">Commission Implementing Decision (EU) 2017/1483 of 8 August 2017 amending Decision 2006/771/EC on harmonisation of the radio spectrum for use by short-range devices and repealing Decision 2006/804/EC (notified under document C(2017) 5464) (Text with EEA relevance. )</t>
  </si>
  <si>
    <t xml:space="preserve">https://eur-lex.europa.eu/legal-content/EN/TXT/?uri=CELEX:32017D1483</t>
  </si>
  <si>
    <t xml:space="preserve">32017D2077</t>
  </si>
  <si>
    <t xml:space="preserve">2017-11-10</t>
  </si>
  <si>
    <t xml:space="preserve">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</si>
  <si>
    <t xml:space="preserve">https://eur-lex.europa.eu/legal-content/EN/TXT/?uri=CELEX:32017D2077</t>
  </si>
  <si>
    <t xml:space="preserve">32018D0637</t>
  </si>
  <si>
    <t xml:space="preserve">2018-04-20</t>
  </si>
  <si>
    <t xml:space="preserve">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</si>
  <si>
    <t xml:space="preserve">https://eur-lex.europa.eu/legal-content/EN/TXT/?uri=CELEX:32018D0637</t>
  </si>
  <si>
    <t xml:space="preserve">32018D0661</t>
  </si>
  <si>
    <t xml:space="preserve">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</si>
  <si>
    <t xml:space="preserve">https://eur-lex.europa.eu/legal-content/EN/TXT/?uri=CELEX:32018D0661</t>
  </si>
  <si>
    <t xml:space="preserve">32018D1538</t>
  </si>
  <si>
    <t xml:space="preserve">2018-10-11</t>
  </si>
  <si>
    <t xml:space="preserve">Commission Implementing Decision (EU) 2018/1538 of 11 October 2018 on the harmonisation of radio spectrum for use by short-range devices within the 874-876 and 915-921 MHz frequency bands (notified under document C(2018) 6535) (Text with EEA relevance.)</t>
  </si>
  <si>
    <t xml:space="preserve">https://eur-lex.europa.eu/legal-content/EN/TXT/?uri=CELEX:32018D1538</t>
  </si>
  <si>
    <t xml:space="preserve">32019D0235</t>
  </si>
  <si>
    <t xml:space="preserve">2019-01-24</t>
  </si>
  <si>
    <t xml:space="preserve">Commission Implementing Decision (EU) 2019/235 of 24 January 2019 on amending Decision 2008/411/EC as regards an update of relevant technical conditions applicable to the 3400-3800 MHz frequency band (notified under document C(2019) 262) (Text with EEA relevance.)</t>
  </si>
  <si>
    <t xml:space="preserve">https://eur-lex.europa.eu/legal-content/EN/TXT/?uri=CELEX:32019D0235</t>
  </si>
  <si>
    <t xml:space="preserve">32019D0784</t>
  </si>
  <si>
    <t xml:space="preserve">2019-05-14</t>
  </si>
  <si>
    <t xml:space="preserve">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</si>
  <si>
    <t xml:space="preserve">https://eur-lex.europa.eu/legal-content/EN/TXT/?uri=CELEX:32019D0784</t>
  </si>
  <si>
    <t xml:space="preserve">32019D0785</t>
  </si>
  <si>
    <t xml:space="preserve">Commission Implementing Decision (EU) 2019/785 of 14 May 2019 on the harmonisation of radio spectrum for equipment using ultra-wideband technology in the Union and repealing Decision 2007/131/EC (notified under document C(2019) 3461) (Text with EEA relevance.)</t>
  </si>
  <si>
    <t xml:space="preserve">https://eur-lex.europa.eu/legal-content/EN/TXT/?uri=CELEX:32019D0785</t>
  </si>
  <si>
    <t xml:space="preserve">32019D1345</t>
  </si>
  <si>
    <t xml:space="preserve">2019-08-02</t>
  </si>
  <si>
    <t xml:space="preserve">Commission Implementing Decision (EU) 2019/1345 of 2 August 2019 amending Decision 2006/771/EC updating harmonised technical conditions in the area of radio spectrum use for short-range devices (notified under document C(2019) 5660) (Text with EEA relevance.)</t>
  </si>
  <si>
    <t xml:space="preserve">https://eur-lex.europa.eu/legal-content/EN/TXT/?uri=CELEX:32019D1345</t>
  </si>
  <si>
    <t xml:space="preserve">32020D0590</t>
  </si>
  <si>
    <t xml:space="preserve">2020-04-24</t>
  </si>
  <si>
    <t xml:space="preserve">Commission Implementing Decision (EU) 2020/590 of 24 April 2020 amending Decision (EU) 2019/784 as regards an update of relevant technical conditions applicable to the 24,25-27,5 GHz frequency band (notified under document C(2020) 2542) (Text with EEA relevance)</t>
  </si>
  <si>
    <t xml:space="preserve">https://eur-lex.europa.eu/legal-content/EN/TXT/?uri=CELEX:32020D0590</t>
  </si>
  <si>
    <t xml:space="preserve">32020D0667</t>
  </si>
  <si>
    <t xml:space="preserve">2020-05-06</t>
  </si>
  <si>
    <t xml:space="preserve">Commission Implementing Decision (EU) 2020/667 of 6 May 2020 amending Decision 2012/688/EU as regards an update of relevant technical conditions applicable to the frequency bands 1 920-1 980 MHz and 2 110-2 170 MHz (notified under document C(2020) 2816) (Text with EEA relevance)</t>
  </si>
  <si>
    <t xml:space="preserve">https://eur-lex.europa.eu/legal-content/EN/TXT/?uri=CELEX:32020D0667</t>
  </si>
  <si>
    <t xml:space="preserve">32020D0636</t>
  </si>
  <si>
    <t xml:space="preserve">2020-05-08</t>
  </si>
  <si>
    <t xml:space="preserve">Commission Implementing Decision (EU) 2020/636 of 8 May 2020 amending Decision 2008/477/EC as regards an update of relevant technical conditions applicable to the 2 500–2 690 MHz frequency band (notified under document C(2020) 2831) (Text with EEA relevance)</t>
  </si>
  <si>
    <t xml:space="preserve">https://eur-lex.europa.eu/legal-content/EN/TXT/?uri=CELEX:32020D0636</t>
  </si>
  <si>
    <t xml:space="preserve">32020D1426</t>
  </si>
  <si>
    <t xml:space="preserve">2020-10-07</t>
  </si>
  <si>
    <t xml:space="preserve">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</si>
  <si>
    <t xml:space="preserve">https://eur-lex.europa.eu/legal-content/EN/TXT/?uri=CELEX:32020D1426</t>
  </si>
  <si>
    <t xml:space="preserve">32021D1067</t>
  </si>
  <si>
    <t xml:space="preserve">2021-06-17</t>
  </si>
  <si>
    <t xml:space="preserve">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</si>
  <si>
    <t xml:space="preserve">https://eur-lex.europa.eu/legal-content/EN/TXT/?uri=CELEX:32021D1067</t>
  </si>
  <si>
    <t xml:space="preserve">32021D1730</t>
  </si>
  <si>
    <t xml:space="preserve">2021-09-28</t>
  </si>
  <si>
    <t xml:space="preserve">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</si>
  <si>
    <t xml:space="preserve">https://eur-lex.europa.eu/legal-content/EN/TXT/?uri=CELEX:32021D1730</t>
  </si>
  <si>
    <t xml:space="preserve">32022D0172</t>
  </si>
  <si>
    <t xml:space="preserve">2022-02-07</t>
  </si>
  <si>
    <t xml:space="preserve">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</si>
  <si>
    <t xml:space="preserve">https://eur-lex.europa.eu/legal-content/EN/TXT/?uri=CELEX:32022D0172</t>
  </si>
  <si>
    <t xml:space="preserve">32022D0173</t>
  </si>
  <si>
    <t xml:space="preserve">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</si>
  <si>
    <t xml:space="preserve">https://eur-lex.europa.eu/legal-content/EN/TXT/?uri=CELEX:32022D0173</t>
  </si>
  <si>
    <t xml:space="preserve">32022D0179</t>
  </si>
  <si>
    <t xml:space="preserve">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</si>
  <si>
    <t xml:space="preserve">https://eur-lex.europa.eu/legal-content/EN/TXT/?uri=CELEX:32022D0179</t>
  </si>
  <si>
    <t xml:space="preserve">32022D0180</t>
  </si>
  <si>
    <t xml:space="preserve">Commission Implementing Decision (EU) 2022/180 of 8 February 2022 amending Decision 2006/771/EC as regards the update of harmonised technical conditions in the area of radio spectrum use for short-range devices (notified under document C(2022) 644) (Text with EEA relevance)</t>
  </si>
  <si>
    <t xml:space="preserve">https://eur-lex.europa.eu/legal-content/EN/TXT/?uri=CELEX:32022D0180</t>
  </si>
  <si>
    <t xml:space="preserve">32022D2307</t>
  </si>
  <si>
    <t xml:space="preserve">2022-11-23</t>
  </si>
  <si>
    <t xml:space="preserve">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</si>
  <si>
    <t xml:space="preserve">https://eur-lex.europa.eu/legal-content/EN/TXT/?uri=CELEX:32022D2307</t>
  </si>
  <si>
    <t xml:space="preserve">32022D2324</t>
  </si>
  <si>
    <t xml:space="preserve">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</si>
  <si>
    <t xml:space="preserve">https://eur-lex.europa.eu/legal-content/EN/TXT/?uri=CELEX:32022D2324</t>
  </si>
  <si>
    <t xml:space="preserve">32024D0340</t>
  </si>
  <si>
    <t xml:space="preserve">2024-01-22</t>
  </si>
  <si>
    <t xml:space="preserve">Commission Implementing Decision (EU) 2024/340 of 22 January 2024 on harmonised conditions for the use of radio spectrum for mobile communication services on board vessels in the Union, repealing Decision 2010/166/EU (notified under document C(2024) 236)</t>
  </si>
  <si>
    <t xml:space="preserve">https://eur-lex.europa.eu/legal-content/EN/TXT/?uri=CELEX:32024D0340</t>
  </si>
  <si>
    <t xml:space="preserve">32024D1467</t>
  </si>
  <si>
    <t xml:space="preserve">2024-05-27</t>
  </si>
  <si>
    <t xml:space="preserve">Commission Implementing Decision (EU) 2024/1467 of 27 May 2024 amending Implementing Decision (EU) 2019/785 on the harmonisation of radio spectrum for equipment using ultra-wideband technology in the Union (notified under document C(2024) 3377)</t>
  </si>
  <si>
    <t xml:space="preserve">https://eur-lex.europa.eu/legal-content/EN/TXT/?uri=CELEX:32024D1467</t>
  </si>
  <si>
    <t xml:space="preserve">32024D1983</t>
  </si>
  <si>
    <t xml:space="preserve">Commission Implementing Decision (EU) 2024/1983 of 18 July 2024 on the harmonisation of the 40,5-43,5 GHz frequency band for terrestrial systems capable of providing wireless broadband electronic communications services in the Union (notified under document C(2024) 1520)</t>
  </si>
  <si>
    <t xml:space="preserve">https://eur-lex.europa.eu/legal-content/EN/TXT/?uri=CELEX:32024D1983</t>
  </si>
  <si>
    <t xml:space="preserve">32024D3157</t>
  </si>
  <si>
    <t xml:space="preserve">2024-12-17</t>
  </si>
  <si>
    <t xml:space="preserve">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</si>
  <si>
    <t xml:space="preserve">https://eur-lex.europa.eu/legal-content/EN/TXT/?uri=CELEX:32024D3157</t>
  </si>
  <si>
    <t xml:space="preserve">32025D0105</t>
  </si>
  <si>
    <t xml:space="preserve">2025-01-22</t>
  </si>
  <si>
    <t xml:space="preserve">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</si>
  <si>
    <t xml:space="preserve">https://eur-lex.europa.eu/legal-content/EN/TXT/?uri=CELEX:32025D0105</t>
  </si>
  <si>
    <t xml:space="preserve">32025D0650</t>
  </si>
  <si>
    <t xml:space="preserve">2025-03-26</t>
  </si>
  <si>
    <t xml:space="preserve">Commission Implementing Decision (EU) 2025/650 of 26 March 2025 amending Implementing Decision (EU) 2018/1538 as regards the update of harmonised technical conditions for short-range devices within the 874-876 and 915-921 MHz frequency bands (notified under document C(2025) 1739)</t>
  </si>
  <si>
    <t xml:space="preserve">https://eur-lex.europa.eu/legal-content/EN/TXT/?uri=CELEX:32025D0650</t>
  </si>
  <si>
    <t xml:space="preserve">32025D0913</t>
  </si>
  <si>
    <t xml:space="preserve">2025-05-20</t>
  </si>
  <si>
    <t xml:space="preserve">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</si>
  <si>
    <t xml:space="preserve">https://eur-lex.europa.eu/legal-content/EN/TXT/?uri=CELEX:32025D0913</t>
  </si>
  <si>
    <t xml:space="preserve">32025D2425</t>
  </si>
  <si>
    <t xml:space="preserve">2025-12-02</t>
  </si>
  <si>
    <t xml:space="preserve">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</si>
  <si>
    <t xml:space="preserve">https://eur-lex.europa.eu/legal-content/EN/TXT/?uri=CELEX:32025D2425</t>
  </si>
  <si>
    <t xml:space="preserve">32026D0291</t>
  </si>
  <si>
    <t xml:space="preserve">2026-02-09</t>
  </si>
  <si>
    <t xml:space="preserve">Commission Implementing Decision (EU) 2026/291 of 9 February 2026 amending Implementing Decision (EU) 2021/1730, as regards additional use cases in the paired 874,4-880 MHz and 919,4-925 MHz frequency bands for Railway Mobile Radio (notified under document C(2026)674)</t>
  </si>
  <si>
    <t xml:space="preserve">https://eur-lex.europa.eu/legal-content/EN/TXT/?uri=CELEX:32026D0291</t>
  </si>
  <si>
    <t xml:space="preserve">32026D0883</t>
  </si>
  <si>
    <t xml:space="preserve">2026-04-21</t>
  </si>
  <si>
    <t xml:space="preserve">Commission Implementing Decision (EU) 2026/883 of 21 April 2026 on the harmonisation of radio spectrum for use by radiodetermination applications in the 116-260 GHz frequency band (notified under document C(2026) 2519)</t>
  </si>
  <si>
    <t xml:space="preserve">https://eur-lex.europa.eu/legal-content/EN/TXT/?uri=CELEX:32026D0883</t>
  </si>
  <si>
    <t xml:space="preserve">32026D1800</t>
  </si>
  <si>
    <t xml:space="preserve">2026-07-24</t>
  </si>
  <si>
    <t xml:space="preserve">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</si>
  <si>
    <t xml:space="preserve">https://eur-lex.europa.eu/legal-content/EN/TXT/?uri=CELEX:32026D1800</t>
  </si>
  <si>
    <t xml:space="preserve">52004XC0205(02)</t>
  </si>
  <si>
    <t xml:space="preserve">COMMUNIC</t>
  </si>
  <si>
    <t xml:space="preserve">2004-02-05</t>
  </si>
  <si>
    <t xml:space="preserve">Guidelines on the assessment of horizontal mergers under the Council Regulation on the control of concentrations between undertakings</t>
  </si>
  <si>
    <t xml:space="preserve">https://eur-lex.europa.eu/legal-content/EN/TXT/?uri=CELEX:52004XC0205(02)</t>
  </si>
  <si>
    <t xml:space="preserve">32004R0802</t>
  </si>
  <si>
    <t xml:space="preserve">2004-04-07</t>
  </si>
  <si>
    <t xml:space="preserve">Commission Regulation (EC) No 802/2004 of 7 April 2004 implementing Council Regulation (EC) No 139/2004 on the control of concentrations between undertakings (Text with EEA relevance)</t>
  </si>
  <si>
    <t xml:space="preserve">https://eur-lex.europa.eu/legal-content/EN/TXT/?uri=CELEX:32004R0802</t>
  </si>
  <si>
    <t xml:space="preserve">52008XC1018(03)</t>
  </si>
  <si>
    <t xml:space="preserve">2008-10-18</t>
  </si>
  <si>
    <t xml:space="preserve">Guidelines on the assessment of non-horizontal mergers under the Council Regulation on the control of concentrations between undertakings</t>
  </si>
  <si>
    <t xml:space="preserve">https://eur-lex.europa.eu/legal-content/EN/TXT/?uri=CELEX:52008XC1018(03)</t>
  </si>
  <si>
    <t xml:space="preserve">32008R1033</t>
  </si>
  <si>
    <t xml:space="preserve">2008-10-20</t>
  </si>
  <si>
    <t xml:space="preserve">Commission Regulation (EC) No 1033/2008 of 20 October 2008 amending Regulation (EC) No 802/2004 implementing Council Regulation (EC) No 139/2004 on the control of concentrations between undertakings (Text with EEA relevance)</t>
  </si>
  <si>
    <t xml:space="preserve">https://eur-lex.europa.eu/legal-content/EN/TXT/?uri=CELEX:32008R1033</t>
  </si>
  <si>
    <t xml:space="preserve">32013R1269</t>
  </si>
  <si>
    <t xml:space="preserve">2013-12-05</t>
  </si>
  <si>
    <t xml:space="preserve">Commission Implementing Regulation (EU) No 1269/2013 of 5 December 2013 amending Regulation (EC) No 802/2004 implementing Council Regulation (EC) No 139/2004 on the control of concentrations between undertakings  Text with EEA relevance</t>
  </si>
  <si>
    <t xml:space="preserve">https://eur-lex.europa.eu/legal-content/EN/TXT/?uri=CELEX:32013R1269</t>
  </si>
  <si>
    <t xml:space="preserve">52021XC0331(01)</t>
  </si>
  <si>
    <t xml:space="preserve">2021-03-31</t>
  </si>
  <si>
    <t xml:space="preserve">Communication from the Commission Guidance on the application of the referral mechanism set out in Article 22 of the Merger Regulation to certain categories of cases 2021/C 113/01</t>
  </si>
  <si>
    <t xml:space="preserve">https://eur-lex.europa.eu/legal-content/EN/TXT/?uri=CELEX:52021XC0331(01)</t>
  </si>
  <si>
    <t xml:space="preserve">32023R0914</t>
  </si>
  <si>
    <t xml:space="preserve">2023-04-20</t>
  </si>
  <si>
    <t xml:space="preserve">Commission Implementing Regulation (EU) 2023/914 of 20 April 2023 implementing Council Regulation (EC) No 139/2004 on the control of concentrations between undertakings and repealing Commission Regulation (EC) No 802/2004 (Text with EEA relevance)</t>
  </si>
  <si>
    <t xml:space="preserve">https://eur-lex.europa.eu/legal-content/EN/TXT/?uri=CELEX:32023R0914</t>
  </si>
  <si>
    <t xml:space="preserve">32024R2776</t>
  </si>
  <si>
    <t xml:space="preserve">2024-10-31</t>
  </si>
  <si>
    <t xml:space="preserve">Commission Implementing Regulation (EU) 2024/2776 of 31 October 2024 correcting Implementing Regulation (EU) 2023/914 implementing Council Regulation (EC) No 139/2004 on the control of concentrations between undertakings and repealing Commission Regulation (EC) No 802/2004</t>
  </si>
  <si>
    <t xml:space="preserve">https://eur-lex.europa.eu/legal-content/EN/TXT/?uri=CELEX:32024R2776</t>
  </si>
  <si>
    <t xml:space="preserve">52017DC0708</t>
  </si>
  <si>
    <t xml:space="preserve">2017-11-29</t>
  </si>
  <si>
    <t xml:space="preserve">COMMUNICATION FROM THE COMMISSION TO THE EUROPEAN PARLIAMENT, THE COUNCIL AND THE EUROPEAN ECONOMIC AND SOCIAL COMMITTEE Guidance on certain aspects of Directive 2004/48/EC of the European Parliament and of the Council on the enforcement of intellectual property rights</t>
  </si>
  <si>
    <t xml:space="preserve">https://eur-lex.europa.eu/legal-content/EN/TXT/?uri=CELEX:52017DC0708</t>
  </si>
  <si>
    <t xml:space="preserve">52013DC0138</t>
  </si>
  <si>
    <t xml:space="preserve">2013-03-14</t>
  </si>
  <si>
    <t xml:space="preserve">COMMUNICATION FROM THE COMMISSION TO THE EUROPEAN PARLIAMENT, THE COUNCIL AND THE EUROPEAN ECONOMIC AND SOCIAL COMMITTEE On the application of the Unfair Commercial Practices Directive Achieving a high level of consumer protection Building trust in the Internal Market</t>
  </si>
  <si>
    <t xml:space="preserve">https://eur-lex.europa.eu/legal-content/EN/TXT/?uri=CELEX:52013DC0138</t>
  </si>
  <si>
    <t xml:space="preserve">52021XC1229(05)</t>
  </si>
  <si>
    <t xml:space="preserve">Commission Notice – Guidance on the interpretation and application of Directive 2005/29/EC of the European Parliament and of the Council concerning unfair business-to-consumer commercial practices in the internal market (Text with EEA relevance)</t>
  </si>
  <si>
    <t xml:space="preserve">https://eur-lex.europa.eu/legal-content/EN/TXT/?uri=CELEX:52021XC1229(05)</t>
  </si>
  <si>
    <t xml:space="preserve">32009D0938</t>
  </si>
  <si>
    <t xml:space="preserve">2009-12-07</t>
  </si>
  <si>
    <t xml:space="preserve">Council Implementing Decision of 7 December 2009 authorising the Kingdom of Sweden and the United Kingdom of Great Britain and Northern Ireland to apply a measure derogating from Article 167 of Directive 2006/112/EC on the common system of value added tax</t>
  </si>
  <si>
    <t xml:space="preserve">yes</t>
  </si>
  <si>
    <t xml:space="preserve">https://eur-lex.europa.eu/legal-content/EN/TXT/?uri=CELEX:32009D0938</t>
  </si>
  <si>
    <t xml:space="preserve">32009D0939</t>
  </si>
  <si>
    <t xml:space="preserve">Council Implementing Decision of 7 December 2009 authorising the Republic of Slovenia to apply a measure derogating from Article 167 of Directive 2006/112/EC on the common system of value added tax</t>
  </si>
  <si>
    <t xml:space="preserve">https://eur-lex.europa.eu/legal-content/EN/TXT/?uri=CELEX:32009D0939</t>
  </si>
  <si>
    <t xml:space="preserve">32009D1008</t>
  </si>
  <si>
    <t xml:space="preserve">Council Implementing Decision of 7 December 2009 authorising the Republic of Latvia to extend the application of a measure derogating from Article 193 of Directive 2006/112/EC on the common system of value added tax</t>
  </si>
  <si>
    <t xml:space="preserve">https://eur-lex.europa.eu/legal-content/EN/TXT/?uri=CELEX:32009D1008</t>
  </si>
  <si>
    <t xml:space="preserve">32009D1022</t>
  </si>
  <si>
    <t xml:space="preserve">2009-12-15</t>
  </si>
  <si>
    <t xml:space="preserve">Council Implementing Decision of 15 December 2009 authorising the Republic of Estonia to apply a measure derogating from Article 167 of Directive 2006/112/EC on the common system of value added tax</t>
  </si>
  <si>
    <t xml:space="preserve">https://eur-lex.europa.eu/legal-content/EN/TXT/?uri=CELEX:32009D1022</t>
  </si>
  <si>
    <t xml:space="preserve">32009D1013</t>
  </si>
  <si>
    <t xml:space="preserve">2009-12-22</t>
  </si>
  <si>
    <t xml:space="preserve">Council Implementing Decision of 22 December 2009 authorising the Republic of Austria to continue to apply a measure derogating from Article 168 of Directive 2006/112/EC on the common system of value added tax</t>
  </si>
  <si>
    <t xml:space="preserve">https://eur-lex.europa.eu/legal-content/EN/TXT/?uri=CELEX:32009D1013</t>
  </si>
  <si>
    <t xml:space="preserve">32010D0039</t>
  </si>
  <si>
    <t xml:space="preserve">2010-01-19</t>
  </si>
  <si>
    <t xml:space="preserve">2010/39/EU: Council Implementing Decision of 19 January 2010 authorising the Portuguese Republic to apply a measure derogating from Articles 168, 193 and 250 of Directive 2006/112/EC on the common system of value added tax</t>
  </si>
  <si>
    <t xml:space="preserve">https://eur-lex.europa.eu/legal-content/EN/TXT/?uri=CELEX:32010D0039</t>
  </si>
  <si>
    <t xml:space="preserve">32010D0099</t>
  </si>
  <si>
    <t xml:space="preserve">2010-02-16</t>
  </si>
  <si>
    <t xml:space="preserve">Council Implementing Decision of 16 February 2010 authorising the Republic of Lithuania to extend the application of a measure derogating from Article 193 of Directive 2006/112/EC on the common system of value added tax</t>
  </si>
  <si>
    <t xml:space="preserve">https://eur-lex.europa.eu/legal-content/EN/TXT/?uri=CELEX:32010D0099</t>
  </si>
  <si>
    <t xml:space="preserve">32010D0579</t>
  </si>
  <si>
    <t xml:space="preserve">2010-09-27</t>
  </si>
  <si>
    <t xml:space="preserve">2010/579/EU: Council Implementing Decision of 27 September 2010 authorising the Federal Republic of Germany and the Grand Duchy of Luxembourg to apply a measure derogating from Article 5 of Directive 2006/112/EC on the common system of value added tax</t>
  </si>
  <si>
    <t xml:space="preserve">https://eur-lex.europa.eu/legal-content/EN/TXT/?uri=CELEX:32010D0579</t>
  </si>
  <si>
    <t xml:space="preserve">32010D0580</t>
  </si>
  <si>
    <t xml:space="preserve">2010/580/EU: Council Implementing Decision of 27 September 2010 authorising the Kingdom of the Netherlands to apply a measure derogating from Article 193 of Directive 2006/112/EC on the common system of value added tax</t>
  </si>
  <si>
    <t xml:space="preserve">https://eur-lex.europa.eu/legal-content/EN/TXT/?uri=CELEX:32010D0580</t>
  </si>
  <si>
    <t xml:space="preserve">32010D0581</t>
  </si>
  <si>
    <t xml:space="preserve">2010/581/EU: Council Implementing Decision of 27 September 2010 authorising the Republic of Poland to introduce a special measure derogating from Article 26(1)(a) and Article 168 of Directive 2006/112/EC on the common system of value added tax</t>
  </si>
  <si>
    <t xml:space="preserve">https://eur-lex.europa.eu/legal-content/EN/TXT/?uri=CELEX:32010D0581</t>
  </si>
  <si>
    <t xml:space="preserve">32010D0582</t>
  </si>
  <si>
    <t xml:space="preserve">2010/582/EU: Council Implementing Decision of 27 September 2010 authorising the French Republic and the Italian Republic to introduce a special measure derogating from Article 5 of Directive 2006/112/EC on the common system of value added tax</t>
  </si>
  <si>
    <t xml:space="preserve">https://eur-lex.europa.eu/legal-content/EN/TXT/?uri=CELEX:32010D0582</t>
  </si>
  <si>
    <t xml:space="preserve">32010D0583</t>
  </si>
  <si>
    <t xml:space="preserve">2010/583/EU: Council Implementing Decision of 27 September 2010 authorising Romania to introduce a special measure derogating from Article 193 of Directive 2006/112/EC on the common system of value added tax</t>
  </si>
  <si>
    <t xml:space="preserve">https://eur-lex.europa.eu/legal-content/EN/TXT/?uri=CELEX:32010D0583</t>
  </si>
  <si>
    <t xml:space="preserve">32010D0584</t>
  </si>
  <si>
    <t xml:space="preserve">2010/584/EU: Council Implementing Decision of 27 September 2010 authorising the Republic of Latvia to apply a measure derogating from Article 287 of Directive 2006/112/EC on the common system of value added tax</t>
  </si>
  <si>
    <t xml:space="preserve">https://eur-lex.europa.eu/legal-content/EN/TXT/?uri=CELEX:32010D0584</t>
  </si>
  <si>
    <t xml:space="preserve">32010D0688</t>
  </si>
  <si>
    <t xml:space="preserve">2010-10-15</t>
  </si>
  <si>
    <t xml:space="preserve">Council Implementing Decision of 15 October 2010 authorising the Italian Republic to continue to apply a special measure derogating from Article 285 of Directive 2006/112/EC on the common system of value added tax</t>
  </si>
  <si>
    <t xml:space="preserve">https://eur-lex.europa.eu/legal-content/EN/TXT/?uri=CELEX:32010D0688</t>
  </si>
  <si>
    <t xml:space="preserve">32010D0710</t>
  </si>
  <si>
    <t xml:space="preserve">2010-11-22</t>
  </si>
  <si>
    <t xml:space="preserve">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</si>
  <si>
    <t xml:space="preserve">https://eur-lex.europa.eu/legal-content/EN/TXT/?uri=CELEX:32010D0710</t>
  </si>
  <si>
    <t xml:space="preserve">32010D0748</t>
  </si>
  <si>
    <t xml:space="preserve">2010-11-25</t>
  </si>
  <si>
    <t xml:space="preserve">2010/748/EU: Council Implementing Decision of 29 November 2010 amending Decision 2007/441/EC authorising the Italian Republic to apply measures derogating from Articles 26(1)(a) and 168 of Directive 2006/112/EC on the common system of value added tax</t>
  </si>
  <si>
    <t xml:space="preserve">https://eur-lex.europa.eu/legal-content/EN/TXT/?uri=CELEX:32010D0748</t>
  </si>
  <si>
    <t xml:space="preserve">32011D0037</t>
  </si>
  <si>
    <t xml:space="preserve">2011-01-18</t>
  </si>
  <si>
    <t xml:space="preserve">2011/37/EU: Council Implementing Decision of 18 January 2011 amending Decision 2007/884/EC authorising the United Kingdom to continue to apply a measure derogating from Articles 26(1)(a), 168 and 169 of Directive 2006/112/EC on the common system of value added tax</t>
  </si>
  <si>
    <t xml:space="preserve">https://eur-lex.europa.eu/legal-content/EN/TXT/?uri=CELEX:32011D0037</t>
  </si>
  <si>
    <t xml:space="preserve">32011R0282</t>
  </si>
  <si>
    <t xml:space="preserve">2011-03-15</t>
  </si>
  <si>
    <t xml:space="preserve">Council Implementing Regulation (EU) No 282/2011 of 15 March 2011 laying down implementing measures for Directive 2006/112/EC on the common system of value added tax (recast)</t>
  </si>
  <si>
    <t xml:space="preserve">https://eur-lex.europa.eu/legal-content/EN/TXT/?uri=CELEX:32011R0282</t>
  </si>
  <si>
    <t xml:space="preserve">32011D0335</t>
  </si>
  <si>
    <t xml:space="preserve">2011-05-30</t>
  </si>
  <si>
    <t xml:space="preserve">2011/335/EU: Council Implementing Decision of 30 May 2011 authorising the Republic of Lithuania to apply a measure derogating from Article 287 of Directive 2006/112/EC on the common system of value added tax</t>
  </si>
  <si>
    <t xml:space="preserve">https://eur-lex.europa.eu/legal-content/EN/TXT/?uri=CELEX:32011D0335</t>
  </si>
  <si>
    <t xml:space="preserve">32011D0363</t>
  </si>
  <si>
    <t xml:space="preserve">2011-06-20</t>
  </si>
  <si>
    <t xml:space="preserve">2011/363/EU: Council Implementing Decision of 20 June 2011 authorising Romania to introduce a special measure derogating from Article 193 of Directive 2006/112/EC on the common system of value added tax</t>
  </si>
  <si>
    <t xml:space="preserve">https://eur-lex.europa.eu/legal-content/EN/TXT/?uri=CELEX:32011D0363</t>
  </si>
  <si>
    <t xml:space="preserve">32012D0085</t>
  </si>
  <si>
    <t xml:space="preserve">2012-02-10</t>
  </si>
  <si>
    <t xml:space="preserve">2012/85/EU: Council Implementing Decision of 10 February 2012 authorising Spain and France to introduce a special measure derogating from Article 5 of Directive 2006/112/EC on the common system of value added tax</t>
  </si>
  <si>
    <t xml:space="preserve">https://eur-lex.europa.eu/legal-content/EN/TXT/?uri=CELEX:32012D0085</t>
  </si>
  <si>
    <t xml:space="preserve">32012D0181</t>
  </si>
  <si>
    <t xml:space="preserve">2012-03-26</t>
  </si>
  <si>
    <t xml:space="preserve">2012/181/EU: Council Implementing Decision of 26 March 2012 authorising Romania to introduce a special measure derogating from Article 287 of Directive 2006/112/EC on the common system of value added tax</t>
  </si>
  <si>
    <t xml:space="preserve">https://eur-lex.europa.eu/legal-content/EN/TXT/?uri=CELEX:32012D0181</t>
  </si>
  <si>
    <t xml:space="preserve">32012D0232</t>
  </si>
  <si>
    <t xml:space="preserve">2012-04-26</t>
  </si>
  <si>
    <t xml:space="preserve">2012/232/EU: Council Implementing Decision of 26 April 2012 authorising Romania to apply measures derogating from Article 26(1)(a) and Article 168 of Directive 2006/112/EC on the common system of value added tax</t>
  </si>
  <si>
    <t xml:space="preserve">https://eur-lex.europa.eu/legal-content/EN/TXT/?uri=CELEX:32012D0232</t>
  </si>
  <si>
    <t xml:space="preserve">32012D0447</t>
  </si>
  <si>
    <t xml:space="preserve">2012-07-24</t>
  </si>
  <si>
    <t xml:space="preserve">2012/447/EU: Council Implementing Decision of 24 July 2012 authorising Denmark to introduce a special measure derogating from Article 75 of Directive 2006/112/EC on the common system of value added tax</t>
  </si>
  <si>
    <t xml:space="preserve">https://eur-lex.europa.eu/legal-content/EN/TXT/?uri=CELEX:32012D0447</t>
  </si>
  <si>
    <t xml:space="preserve">32012D0624</t>
  </si>
  <si>
    <t xml:space="preserve">2012-10-04</t>
  </si>
  <si>
    <t xml:space="preserve">2012/624/EU: Council Implementing Decision of 4 October 2012 authorising Hungary to introduce a special measure derogating from Article 193 of Directive 2006/112/EC on the common system of value added tax</t>
  </si>
  <si>
    <t xml:space="preserve">https://eur-lex.europa.eu/legal-content/EN/TXT/?uri=CELEX:32012D0624</t>
  </si>
  <si>
    <t xml:space="preserve">32012R0967</t>
  </si>
  <si>
    <t xml:space="preserve">2012-10-09</t>
  </si>
  <si>
    <t xml:space="preserve">Council Regulation (EU) No 967/2012 of 9 October 2012 amending Implementing Regulation (EU) No 282/2011 as regards the special schemes for non-established taxable persons supplying telecommunications services, broadcasting services or electronic services to non-taxable persons</t>
  </si>
  <si>
    <t xml:space="preserve">https://eur-lex.europa.eu/legal-content/EN/TXT/?uri=CELEX:32012R0967</t>
  </si>
  <si>
    <t xml:space="preserve">32012D0704</t>
  </si>
  <si>
    <t xml:space="preserve">2012-11-13</t>
  </si>
  <si>
    <t xml:space="preserve">2012/704/EU: Council Implementing Decision of 13 November 2012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</si>
  <si>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https://eur-lex.europa.eu/legal-content/EN/TXT/?uri=CELEX:32012D0704</t>
  </si>
  <si>
    <t xml:space="preserve">32012D0705</t>
  </si>
  <si>
    <t xml:space="preserve">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</si>
  <si>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https://eur-lex.europa.eu/legal-content/EN/TXT/?uri=CELEX:32012D0705</t>
  </si>
  <si>
    <t xml:space="preserve">32012D0769</t>
  </si>
  <si>
    <t xml:space="preserve">2012/769/EU: Council Implementing Decision of 4 December 2012 amending Decision 2009/790/EC authorising the Republic of Poland to apply a measure derogating from Article 287 of Directive 2006/112/EC on the common system of value added tax</t>
  </si>
  <si>
    <t xml:space="preserve">https://eur-lex.europa.eu/legal-content/EN/TXT/?uri=CELEX:32012D0769</t>
  </si>
  <si>
    <t xml:space="preserve">32012D0794</t>
  </si>
  <si>
    <t xml:space="preserve">2012-12-17</t>
  </si>
  <si>
    <t xml:space="preserve">2012/794/EU: Council Implementing Decision of 17 December 2012 authorising Bulgaria and Romania to apply measures derogating from Article 5 of Directive 2006/112/EC on the common system of value added tax</t>
  </si>
  <si>
    <t xml:space="preserve">https://eur-lex.europa.eu/legal-content/EN/TXT/?uri=CELEX:32012D0794</t>
  </si>
  <si>
    <t xml:space="preserve">32013D0053</t>
  </si>
  <si>
    <t xml:space="preserve">2013-01-22</t>
  </si>
  <si>
    <t xml:space="preserve">2013/53/EU: Council Implementing Decision of 22 January 2013 authorising the Kingdom of Belgium to introduce a special measure derogating from Article 285 of Directive 2006/112/EC on the common system of value added tax</t>
  </si>
  <si>
    <t xml:space="preserve">https://eur-lex.europa.eu/legal-content/EN/TXT/?uri=CELEX:32013D0053</t>
  </si>
  <si>
    <t xml:space="preserve">32013D0054</t>
  </si>
  <si>
    <t xml:space="preserve">2013/54/EU: Council Implementing Decision of 22 January 2013 authorising the Republic of Slovenia to introduce a special measure derogating from Article 287 of Directive 2006/112/EC on the common system of value added tax</t>
  </si>
  <si>
    <t xml:space="preserve">https://eur-lex.europa.eu/legal-content/EN/TXT/?uri=CELEX:32013D0054</t>
  </si>
  <si>
    <t xml:space="preserve">32013D0055</t>
  </si>
  <si>
    <t xml:space="preserve">2013/55/EU: Council Implementing Decision of 22 January 2013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</si>
  <si>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https://eur-lex.europa.eu/legal-content/EN/TXT/?uri=CELEX:32013D0055</t>
  </si>
  <si>
    <t xml:space="preserve">32013D0056</t>
  </si>
  <si>
    <t xml:space="preserve">2013/56/EU: Council Implementing Decision of 22 January 2013 amending Implementing Decision 2010/39/EU authorising the Portuguese Republic to apply a measure derogating from Articles 168, 193 and 250 of Directive 2006/112/EC on the common system of value added tax</t>
  </si>
  <si>
    <t xml:space="preserve">https://eur-lex.europa.eu/legal-content/EN/TXT/?uri=CELEX:32013D0056</t>
  </si>
  <si>
    <t xml:space="preserve">32013D0116</t>
  </si>
  <si>
    <t xml:space="preserve">2013-03-05</t>
  </si>
  <si>
    <t xml:space="preserve">2013/116/EU: Council Implementing Decision of 5 March 2013 authorising the Kingdom of the Netherlands to apply a measure derogating from Article 193 of Directive 2006/112/EC on the common system of value added tax</t>
  </si>
  <si>
    <t xml:space="preserve">https://eur-lex.europa.eu/legal-content/EN/TXT/?uri=CELEX:32013D0116</t>
  </si>
  <si>
    <t xml:space="preserve">32013D0191</t>
  </si>
  <si>
    <t xml:space="preserve">2013-04-22</t>
  </si>
  <si>
    <t xml:space="preserve">2013/191/EU: Council Implementing Decision of 22 April 2013 authorising Latvia to introduce a special measure derogating from point (a) of Article 26(1) and Articles 168 and 168a of Directive 2006/112/EC on the common system of value added tax</t>
  </si>
  <si>
    <t xml:space="preserve">https://eur-lex.europa.eu/legal-content/EN/TXT/?uri=CELEX:32013D0191</t>
  </si>
  <si>
    <t xml:space="preserve">32013D0237</t>
  </si>
  <si>
    <t xml:space="preserve">2013-05-14</t>
  </si>
  <si>
    <t xml:space="preserve">2013/237/EU: Council Implementing Decision of 14 May 2013 authorising the Czech Republic and the Republic of Poland to apply special measures derogating from Article 5 of Directive 2006/112/EC on the common system of value added tax</t>
  </si>
  <si>
    <t xml:space="preserve">https://eur-lex.europa.eu/legal-content/EN/TXT/?uri=CELEX:32013D0237</t>
  </si>
  <si>
    <t xml:space="preserve">32013R1042</t>
  </si>
  <si>
    <t xml:space="preserve">2013-10-07</t>
  </si>
  <si>
    <t xml:space="preserve">Council Implementing Regulation (EU) No 1042/2013 of 7 October 2013 amending Implementing Regulation (EU) No 282/2011 as regards the place of supply of services</t>
  </si>
  <si>
    <t xml:space="preserve">https://eur-lex.europa.eu/legal-content/EN/TXT/?uri=CELEX:32013R1042</t>
  </si>
  <si>
    <t xml:space="preserve">32013D0676</t>
  </si>
  <si>
    <t xml:space="preserve">2013-11-15</t>
  </si>
  <si>
    <t xml:space="preserve">2013/676/EU: Council Implementing Decision of 15 November 2013 authorising Romania to continue to apply a special measure derogating from Article 193 of Directive 2006/112/EC on the common system of value added tax</t>
  </si>
  <si>
    <t xml:space="preserve">https://eur-lex.europa.eu/legal-content/EN/TXT/?uri=CELEX:32013D0676</t>
  </si>
  <si>
    <t xml:space="preserve">32013D0677</t>
  </si>
  <si>
    <t xml:space="preserve">2013/677/EU: Council Implementing Decision of 15 November 2013 authorising Luxembourg to introduce a special measure derogating from Article 285 of Directive 2006/112/EC on the common system of value added tax</t>
  </si>
  <si>
    <t xml:space="preserve">https://eur-lex.europa.eu/legal-content/EN/TXT/?uri=CELEX:32013D0677</t>
  </si>
  <si>
    <t xml:space="preserve">32013D0678</t>
  </si>
  <si>
    <t xml:space="preserve">2013/678/EU: Council Implementing Decision of 15 November 2013 authorising the Italian Republic to continue to apply a special measure derogating from Article 285 of Directive 2006/112/EC on the common system of value added tax</t>
  </si>
  <si>
    <t xml:space="preserve">https://eur-lex.europa.eu/legal-content/EN/TXT/?uri=CELEX:32013D0678</t>
  </si>
  <si>
    <t xml:space="preserve">32013D0679</t>
  </si>
  <si>
    <t xml:space="preserve">2013/679/EU: Council Implementing Decision of 15 November 2013 amending Decision 2007/441/EC authorising the Italian Republic to apply measures derogating from Articles 26(1)(a) and 168 of Directive 2006/112/EC on the common system of value added tax</t>
  </si>
  <si>
    <t xml:space="preserve">https://eur-lex.europa.eu/legal-content/EN/TXT/?uri=CELEX:32013D0679</t>
  </si>
  <si>
    <t xml:space="preserve">32013D0680</t>
  </si>
  <si>
    <t xml:space="preserve">2013/680/EU: Council Implementing Decision of 15 November 2013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</si>
  <si>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https://eur-lex.europa.eu/legal-content/EN/TXT/?uri=CELEX:32013D0680</t>
  </si>
  <si>
    <t xml:space="preserve">32013D0681</t>
  </si>
  <si>
    <t xml:space="preserve">2013/681/EU: Council Implementing Decision of 15 November 2013 amending Decision 2007/884/EC authorising the United Kingdom to continue to apply a measure derogating from Articles 26(1)(a), 168 and 169 of Directive 2006/112/EC on the common system of value added tax</t>
  </si>
  <si>
    <t xml:space="preserve">https://eur-lex.europa.eu/legal-content/EN/TXT/?uri=CELEX:32013D0681</t>
  </si>
  <si>
    <t xml:space="preserve">32013D0769</t>
  </si>
  <si>
    <t xml:space="preserve">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</si>
  <si>
    <t xml:space="preserve">https://eur-lex.europa.eu/legal-content/EN/TXT/?uri=CELEX:32013D0769</t>
  </si>
  <si>
    <t xml:space="preserve">32013D0805</t>
  </si>
  <si>
    <t xml:space="preserve">2013-12-17</t>
  </si>
  <si>
    <t xml:space="preserve">2013/805/EU: Council Implementing Decision of 17 December 2013 authorising the Republic of Poland to introduce measures derogating from point (a) of Article 26(1) and Article 168 of Directive 2006/112/EC on the common system of value added tax</t>
  </si>
  <si>
    <t xml:space="preserve">https://eur-lex.europa.eu/legal-content/EN/TXT/?uri=CELEX:32013D0805</t>
  </si>
  <si>
    <t xml:space="preserve">32014R0017</t>
  </si>
  <si>
    <t xml:space="preserve">2014-01-10</t>
  </si>
  <si>
    <t xml:space="preserve">Commission Implementing Regulation (EU) No 17/2014 of 10 January 2014 laying down the standardised form for the notification for a special measure under the Quick Reaction Mechanism against VAT fraud</t>
  </si>
  <si>
    <t xml:space="preserve">https://eur-lex.europa.eu/legal-content/EN/TXT/?uri=CELEX:32014R0017</t>
  </si>
  <si>
    <t xml:space="preserve">32014D0795</t>
  </si>
  <si>
    <t xml:space="preserve">2014-11-07</t>
  </si>
  <si>
    <t xml:space="preserve">2014/795/EU: Council Implementing Decision of 7 November 2014 extending the application of Implementing Decision 2011/335/EU authorising the Republic of Lithuania to apply a measure derogating from Article 287 of Directive 2006/112/EC on the common system of value added tax</t>
  </si>
  <si>
    <t xml:space="preserve">https://eur-lex.europa.eu/legal-content/EN/TXT/?uri=CELEX:32014D0795</t>
  </si>
  <si>
    <t xml:space="preserve">32014D0796</t>
  </si>
  <si>
    <t xml:space="preserve">2014/796/EU: Council Implementing Decision of 7 November 2014 authorising the Republic of Latvia to apply a measure derogating from Article 287 of Directive 2006/112/EC on the common system of value added tax</t>
  </si>
  <si>
    <t xml:space="preserve">https://eur-lex.europa.eu/legal-content/EN/TXT/?uri=CELEX:32014D0796</t>
  </si>
  <si>
    <t xml:space="preserve">32014D0797</t>
  </si>
  <si>
    <t xml:space="preserve">2014/797/EU: Council Implementing Decision of 7 November 2014 authorising the Republic of Estonia to apply a measure derogating from point (a) of Article 26(1) and Articles 168 and 168a of Directive 2006/112/EC on the common system of value added tax</t>
  </si>
  <si>
    <t xml:space="preserve">https://eur-lex.europa.eu/legal-content/EN/TXT/?uri=CELEX:32014D0797</t>
  </si>
  <si>
    <t xml:space="preserve">32014D0931</t>
  </si>
  <si>
    <t xml:space="preserve">2014-12-16</t>
  </si>
  <si>
    <t xml:space="preserve">2014/931/EU: Council Implementing Decision of 16 December 2014 extending the application of Implementing Decision 2012/181/EU authorising Romania to introduce a special measure derogating from Article 287 of Directive 2006/112/EC on the common system of value added tax</t>
  </si>
  <si>
    <t xml:space="preserve">https://eur-lex.europa.eu/legal-content/EN/TXT/?uri=CELEX:32014D0931</t>
  </si>
  <si>
    <t xml:space="preserve">32015D0156</t>
  </si>
  <si>
    <t xml:space="preserve">2015-01-27</t>
  </si>
  <si>
    <t xml:space="preserve">Council Implementing Decision (EU) 2015/156 of 27 January 2015 extending the period of validity of Implementing Decision 2012/232/EU authorising Romania to apply measures derogating from Article 26(1)(a) and Article 168 of Directive 2006/112/EC on the common system of value added tax</t>
  </si>
  <si>
    <t xml:space="preserve">https://eur-lex.europa.eu/legal-content/EN/TXT/?uri=CELEX:32015D0156</t>
  </si>
  <si>
    <t xml:space="preserve">32015D0992</t>
  </si>
  <si>
    <t xml:space="preserve">2015-06-19</t>
  </si>
  <si>
    <t xml:space="preserve">Council Implementing Decision (EU) 2015/992 of 19 June 2015 authorising Denmark to introduce a special measure derogating from Article 75 of Directive 2006/112/EC on the common system of value added tax</t>
  </si>
  <si>
    <t xml:space="preserve">https://eur-lex.europa.eu/legal-content/EN/TXT/?uri=CELEX:32015D0992</t>
  </si>
  <si>
    <t xml:space="preserve">32015D1173</t>
  </si>
  <si>
    <t xml:space="preserve">2015-07-14</t>
  </si>
  <si>
    <t xml:space="preserve">Council Implementing Decision (EU) 2015/1173 of 14 July 2015 amending Decision 2009/790/EC authorising the Republic of Poland to apply a measure derogating from Article 287 of Directive 2006/112/EC on the common system of value added tax</t>
  </si>
  <si>
    <t xml:space="preserve">https://eur-lex.europa.eu/legal-content/EN/TXT/?uri=CELEX:32015D1173</t>
  </si>
  <si>
    <t xml:space="preserve">32015D1401</t>
  </si>
  <si>
    <t xml:space="preserve">Council Implementing Decision (EU) 2015/1401 of 14 July 2015 authorising Italy to introduce a special measure derogating from Articles 206 and 226 of Directive 2006/112/EC on the common system of value added tax</t>
  </si>
  <si>
    <t xml:space="preserve">https://eur-lex.europa.eu/legal-content/EN/TXT/?uri=CELEX:32015D1401</t>
  </si>
  <si>
    <t xml:space="preserve">32015D2089</t>
  </si>
  <si>
    <t xml:space="preserve">2015-11-10</t>
  </si>
  <si>
    <t xml:space="preserve">Council Implementing Decision (EU) 2015/2089 of 10 November 2015 amending Implementing Decision 2013/54/EU authorising the Republic of Slovenia to introduce a special measure derogating from Article 287 of Directive 2006/112/EC on the common system of value added tax</t>
  </si>
  <si>
    <t xml:space="preserve">https://eur-lex.europa.eu/legal-content/EN/TXT/?uri=CELEX:32015D2089</t>
  </si>
  <si>
    <t xml:space="preserve">32015D2109</t>
  </si>
  <si>
    <t xml:space="preserve">2015-11-17</t>
  </si>
  <si>
    <t xml:space="preserve">Council Implementing Decision (EU) 2015/2109 of 17 November 2015 authorising the United Kingdom to apply a special measure derogating from Articles 26(1)(a), 168 and 168a of Directive 2006/112/EC on the common system of value added tax</t>
  </si>
  <si>
    <t xml:space="preserve">https://eur-lex.europa.eu/legal-content/EN/TXT/?uri=CELEX:32015D2109</t>
  </si>
  <si>
    <t xml:space="preserve">32015D2348</t>
  </si>
  <si>
    <t xml:space="preserve">2015-12-10</t>
  </si>
  <si>
    <t xml:space="preserve">Council Implementing Decision (EU) 2015/2348 of 10 December 2015 amending Implementing Decision 2013/53/EU authorising the Kingdom of Belgium to introduce a special measure derogating from Article 285 of Directive 2006/112/EC on the common system of value added tax</t>
  </si>
  <si>
    <t xml:space="preserve">https://eur-lex.europa.eu/legal-content/EN/TXT/?uri=CELEX:32015D2348</t>
  </si>
  <si>
    <t xml:space="preserve">32015D2349</t>
  </si>
  <si>
    <t xml:space="preserve">Council Implementing Decision (EU) 2015/2349 of 10 December 2015 authorising Hungary to apply a measure derogating from Article 193 of Directive 2006/112/EC on the common system of value added tax</t>
  </si>
  <si>
    <t xml:space="preserve">https://eur-lex.europa.eu/legal-content/EN/TXT/?uri=CELEX:32015D2349</t>
  </si>
  <si>
    <t xml:space="preserve">32015D2395</t>
  </si>
  <si>
    <t xml:space="preserve">Council Implementing Decision (EU) 2015/2395 of 10 December 2015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</si>
  <si>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https://eur-lex.europa.eu/legal-content/EN/TXT/?uri=CELEX:32015D2395</t>
  </si>
  <si>
    <t xml:space="preserve">32015D2396</t>
  </si>
  <si>
    <t xml:space="preserve">Council Implementing Decision (EU) 2015/2396 of 10 December 2015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</si>
  <si>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https://eur-lex.europa.eu/legal-content/EN/TXT/?uri=CELEX:32015D2396</t>
  </si>
  <si>
    <t xml:space="preserve">32015D2428</t>
  </si>
  <si>
    <t xml:space="preserve">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</si>
  <si>
    <t xml:space="preserve">https://eur-lex.europa.eu/legal-content/EN/TXT/?uri=CELEX:32015D2428</t>
  </si>
  <si>
    <t xml:space="preserve">32015D2429</t>
  </si>
  <si>
    <t xml:space="preserve">Council Implementing Decision (EU) 2015/2429 of 10 December 2015 authorising Latvia to introduce a special measure derogating from point (a) of Article 26(1) and Articles 168 and 168a of Directive 2006/112/EC on the common system of value added tax</t>
  </si>
  <si>
    <t xml:space="preserve">https://eur-lex.europa.eu/legal-content/EN/TXT/?uri=CELEX:32015D2429</t>
  </si>
  <si>
    <t xml:space="preserve">32016D1206</t>
  </si>
  <si>
    <t xml:space="preserve">2016-07-18</t>
  </si>
  <si>
    <t xml:space="preserve">Council Implementing Decision (EU) 2016/1206 of 18 July 2016 amending Implementing Decision 2013/676/EU authorising Romania to continue to apply a special measure derogating from Article 193 of Directive 2006/112/EC on the common system of value added tax</t>
  </si>
  <si>
    <t xml:space="preserve">https://eur-lex.europa.eu/legal-content/EN/TXT/?uri=CELEX:32016D1206</t>
  </si>
  <si>
    <t xml:space="preserve">32016D1837</t>
  </si>
  <si>
    <t xml:space="preserve">2016-10-11</t>
  </si>
  <si>
    <t xml:space="preserve">Council Implementing Decision (EU) 2016/1837 of 11 October 2016 authorising the Republic of Poland to continue to apply measures derogating from point (a) of Article 26(1) and Article 168 of Directive 2006/112/EC on the common system of value added tax</t>
  </si>
  <si>
    <t xml:space="preserve">https://eur-lex.europa.eu/legal-content/EN/TXT/?uri=CELEX:32016D1837</t>
  </si>
  <si>
    <t xml:space="preserve">32016D1982</t>
  </si>
  <si>
    <t xml:space="preserve">2016-11-08</t>
  </si>
  <si>
    <t xml:space="preserve">Council Implementing Decision (EU) 2016/1982 of 8 November 2016 amending Decision 2007/441/EC authorising the Italian Republic to apply measures derogating from Articles 26(1)(a) and 168 of Directive 2006/112/EC on the common system of value added tax</t>
  </si>
  <si>
    <t xml:space="preserve">https://eur-lex.europa.eu/legal-content/EN/TXT/?uri=CELEX:32016D1982</t>
  </si>
  <si>
    <t xml:space="preserve">32016D1988</t>
  </si>
  <si>
    <t xml:space="preserve">Council Implementing Decision (EU) 2016/1988 of 8 November 2016 amending Implementing Decision 2013/678/EU authorising the Italian Republic to continue to apply a special measure derogating from Article 285 of Directive 2006/112/EC on the common system of value added tax</t>
  </si>
  <si>
    <t xml:space="preserve">https://eur-lex.europa.eu/legal-content/EN/TXT/?uri=CELEX:32016D1988</t>
  </si>
  <si>
    <t xml:space="preserve">32016D2090</t>
  </si>
  <si>
    <t xml:space="preserve">2016-11-21</t>
  </si>
  <si>
    <t xml:space="preserve">Council Implementing Decision (EU) 2016/2090 of 21 November 2016 amending Decision 2009/790/EC authorising the Republic of Poland to apply a measure derogating from Article 287 of Directive 2006/112/EC on the common system of value added tax</t>
  </si>
  <si>
    <t xml:space="preserve">https://eur-lex.europa.eu/legal-content/EN/TXT/?uri=CELEX:32016D2090</t>
  </si>
  <si>
    <t xml:space="preserve">32016D2265</t>
  </si>
  <si>
    <t xml:space="preserve">2016-12-06</t>
  </si>
  <si>
    <t xml:space="preserve">Council Implementing Decision (EU) 2016/2265 of 6 December 2016 amending Decision 2007/884/EC authorising the United Kingdom to continue to apply a measure derogating from Articles 26(1)(a), 168 and 169 of Directive 2006/112/EC on the common system of value added tax</t>
  </si>
  <si>
    <t xml:space="preserve">https://eur-lex.europa.eu/legal-content/EN/TXT/?uri=CELEX:32016D2265</t>
  </si>
  <si>
    <t xml:space="preserve">32017D0319</t>
  </si>
  <si>
    <t xml:space="preserve">2017-02-21</t>
  </si>
  <si>
    <t xml:space="preserve">Council Implementing Decision (EU) 2017/319 of 21 February 2017 amending Implementing Decision 2013/677/EU authorising Luxembourg to introduce a special measure derogating from Article 285 of Directive 2006/112/EC on the common system of value added tax</t>
  </si>
  <si>
    <t xml:space="preserve">https://eur-lex.europa.eu/legal-content/EN/TXT/?uri=CELEX:32017D0319</t>
  </si>
  <si>
    <t xml:space="preserve">32017D0320</t>
  </si>
  <si>
    <t xml:space="preserve">Council Implementing Decision (EU) 2017/320 of 21 February 2017 authorising France to conclude an agreement with the Swiss Confederation concerning Basel-Mulhouse Airport that includes provisions derogating from Article 5 of Directive 2006/112/EC</t>
  </si>
  <si>
    <t xml:space="preserve">https://eur-lex.europa.eu/legal-content/EN/TXT/?uri=CELEX:32017D0320</t>
  </si>
  <si>
    <t xml:space="preserve">32017D0563</t>
  </si>
  <si>
    <t xml:space="preserve">2017-03-21</t>
  </si>
  <si>
    <t xml:space="preserve">Council Implementing Decision (EU) 2017/563 of 21 March 2017 authorising the Republic of Estonia to apply a special measure derogating from Article 287 of Directive 2006/112/EC on the common system of value added tax</t>
  </si>
  <si>
    <t xml:space="preserve">https://eur-lex.europa.eu/legal-content/EN/TXT/?uri=CELEX:32017D0563</t>
  </si>
  <si>
    <t xml:space="preserve">32017D0784</t>
  </si>
  <si>
    <t xml:space="preserve">2017-04-25</t>
  </si>
  <si>
    <t xml:space="preserve">Council Implementing Decision (EU) 2017/784 of 25 April 2017 authorising the Italian Republic to apply a special measure derogating from Articles 206 and 226 of Directive 2006/112/EC on the common system of value added tax and repealing Implementing Decision (EU) 2015/1401</t>
  </si>
  <si>
    <t xml:space="preserve">https://eur-lex.europa.eu/legal-content/EN/TXT/?uri=CELEX:32017D0784</t>
  </si>
  <si>
    <t xml:space="preserve">32017D1768</t>
  </si>
  <si>
    <t xml:space="preserve">2017-09-25</t>
  </si>
  <si>
    <t xml:space="preserve">Council Implementing Decision (EU) 2017/1768 of 25 September 2017 authorising the Republic of Croatia to introduce a special measure derogating from Article 287 of Directive 2006/112/EC on the common system of value added tax</t>
  </si>
  <si>
    <t xml:space="preserve">https://eur-lex.europa.eu/legal-content/EN/TXT/?uri=CELEX:32017D1768</t>
  </si>
  <si>
    <t xml:space="preserve">32017D1769</t>
  </si>
  <si>
    <t xml:space="preserve">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</si>
  <si>
    <t xml:space="preserve">https://eur-lex.europa.eu/legal-content/EN/TXT/?uri=CELEX:32017D1769</t>
  </si>
  <si>
    <t xml:space="preserve">32017D1853</t>
  </si>
  <si>
    <t xml:space="preserve">2017-10-10</t>
  </si>
  <si>
    <t xml:space="preserve">Council Implementing Decision (EU) 2017/1853 of 10 October 2017 amending Implementing Decision 2011/335/EU authorising the Republic of Lithuania to apply a measure derogating from Article 287 of Directive 2006/112/EC on the common system of value added tax</t>
  </si>
  <si>
    <t xml:space="preserve">https://eur-lex.europa.eu/legal-content/EN/TXT/?uri=CELEX:32017D1853</t>
  </si>
  <si>
    <t xml:space="preserve">32017D1854</t>
  </si>
  <si>
    <t xml:space="preserve">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</si>
  <si>
    <t xml:space="preserve">https://eur-lex.europa.eu/legal-content/EN/TXT/?uri=CELEX:32017D1854</t>
  </si>
  <si>
    <t xml:space="preserve">32017D1855</t>
  </si>
  <si>
    <t xml:space="preserve">Council Implementing Decision (EU) 2017/1855 of 10 October 2017 authorising Romania to apply a special measure derogating from Article 287 of Directive 2006/112/EC on the common system of value added tax</t>
  </si>
  <si>
    <t xml:space="preserve">https://eur-lex.europa.eu/legal-content/EN/TXT/?uri=CELEX:32017D1855</t>
  </si>
  <si>
    <t xml:space="preserve">32017D1856</t>
  </si>
  <si>
    <t xml:space="preserve">Council Implementing Decision (EU) 2017/1856 of 10 October 2017 authorising the Republic of Poland to introduce a special measure derogating from Article 193 of Directive 2006/112/EC on the common system of value added tax</t>
  </si>
  <si>
    <t xml:space="preserve">https://eur-lex.europa.eu/legal-content/EN/TXT/?uri=CELEX:32017D1856</t>
  </si>
  <si>
    <t xml:space="preserve">32017D2012</t>
  </si>
  <si>
    <t xml:space="preserve">2017-11-07</t>
  </si>
  <si>
    <t xml:space="preserve">Council Implementing Decision (EU) 2017/2012 of 7 November 2017 amending Implementing Decision 2012/232/EU authorising Romania to apply measures derogating from Article 26(1)(a) and Article 168 of Directive 2006/112/EC on the common system of value added tax</t>
  </si>
  <si>
    <t xml:space="preserve">https://eur-lex.europa.eu/legal-content/EN/TXT/?uri=CELEX:32017D2012</t>
  </si>
  <si>
    <t xml:space="preserve">32017D2013</t>
  </si>
  <si>
    <t xml:space="preserve">Council Implementing Decision (EU) 2017/2013 of 7 November 2017 authorising the Kingdom of the Netherlands to introduce a special measure derogating from Article 193 of Directive 2006/112/EC on the common system of value added tax</t>
  </si>
  <si>
    <t xml:space="preserve">https://eur-lex.europa.eu/legal-content/EN/TXT/?uri=CELEX:32017D2013</t>
  </si>
  <si>
    <t xml:space="preserve">32017R2459</t>
  </si>
  <si>
    <t xml:space="preserve">2017-12-05</t>
  </si>
  <si>
    <t xml:space="preserve">Council Implementing Regulation (EU) 2017/2459 of 5 December 2017 amending Implementing Regulation (EU) No 282/2011 laying down implementing measures for Directive 2006/112/EC on the common system of value added tax</t>
  </si>
  <si>
    <t xml:space="preserve">https://eur-lex.europa.eu/legal-content/EN/TXT/?uri=CELEX:32017R2459</t>
  </si>
  <si>
    <t xml:space="preserve">32017D2408</t>
  </si>
  <si>
    <t xml:space="preserve">2017-12-18</t>
  </si>
  <si>
    <t xml:space="preserve">Council Implementing Decision (EU) 2017/2408 of 18 December 2017 authorising the Republic of Latvia to apply a special measure derogating from Article 287 of Directive 2006/112/EC on the common system of value added tax</t>
  </si>
  <si>
    <t xml:space="preserve">https://eur-lex.europa.eu/legal-content/EN/TXT/?uri=CELEX:32017D2408</t>
  </si>
  <si>
    <t xml:space="preserve">32018D0279</t>
  </si>
  <si>
    <t xml:space="preserve">2018-02-20</t>
  </si>
  <si>
    <t xml:space="preserve">Council Implementing Decision (EU) 2018/279 of 20 February 2018 authorising Malta to apply a special measure derogating from Article 287 of Directive 2006/112/EC on the common system of value added tax</t>
  </si>
  <si>
    <t xml:space="preserve">https://eur-lex.europa.eu/legal-content/EN/TXT/?uri=CELEX:32018D0279</t>
  </si>
  <si>
    <t xml:space="preserve">32018D0457</t>
  </si>
  <si>
    <t xml:space="preserve">2018-03-13</t>
  </si>
  <si>
    <t xml:space="preserve">Council Implementing Decision (EU) 2018/457 of 13 March 2018 authorising the Republic of Latvia to introduce a special measure derogating from Article 193 of Directive 2006/112/EC on the common system of value added tax</t>
  </si>
  <si>
    <t xml:space="preserve">https://eur-lex.europa.eu/legal-content/EN/TXT/?uri=CELEX:32018D0457</t>
  </si>
  <si>
    <t xml:space="preserve">32018D0485</t>
  </si>
  <si>
    <t xml:space="preserve">2018-03-19</t>
  </si>
  <si>
    <t xml:space="preserve">Council Implementing Decision (EU) 2018/485 of 19 March 2018 authorising Denmark to apply a special measure derogating from Article 75 of Directive 2006/112/EC on the common system of value added tax</t>
  </si>
  <si>
    <t xml:space="preserve">https://eur-lex.europa.eu/legal-content/EN/TXT/?uri=CELEX:32018D0485</t>
  </si>
  <si>
    <t xml:space="preserve">32018D0486</t>
  </si>
  <si>
    <t xml:space="preserve">Council Implementing Decision (EU) 2018/486 of 19 March 2018 authorising Hungary to apply a special measure derogating from Article 193 of Directive 2006/112/EC on the common system of value added tax</t>
  </si>
  <si>
    <t xml:space="preserve">https://eur-lex.europa.eu/legal-content/EN/TXT/?uri=CELEX:32018D0486</t>
  </si>
  <si>
    <t xml:space="preserve">32018D0593</t>
  </si>
  <si>
    <t xml:space="preserve">2018-04-16</t>
  </si>
  <si>
    <t xml:space="preserve">Council Implementing Decision (EU) 2018/593 of 16 April 2018 authorising the Italian Republic to introduce a special measure derogating from Articles 218 and 232 of Directive 2006/112/EC on the common system of value added tax</t>
  </si>
  <si>
    <t xml:space="preserve">https://eur-lex.europa.eu/legal-content/EN/TXT/?uri=CELEX:32018D0593</t>
  </si>
  <si>
    <t xml:space="preserve">32018D0789</t>
  </si>
  <si>
    <t xml:space="preserve">2018-05-25</t>
  </si>
  <si>
    <t xml:space="preserve">Council Implementing Decision (EU) 2018/789 of 25 May 2018 authorising Hungary to introduce a special measure derogating from Article 193 of Directive 2006/112/EC on the common system of value added tax</t>
  </si>
  <si>
    <t xml:space="preserve">https://eur-lex.europa.eu/legal-content/EN/TXT/?uri=CELEX:32018D0789</t>
  </si>
  <si>
    <t xml:space="preserve">32018D0918</t>
  </si>
  <si>
    <t xml:space="preserve">2018-06-22</t>
  </si>
  <si>
    <t xml:space="preserve">Council Implementing Decision (EU) 2018/918 of 22 June 2018 authorising Germany and Poland to introduce a special measure derogating from Article 5 of Directive 2006/112/EC on the common system of value added tax</t>
  </si>
  <si>
    <t xml:space="preserve">https://eur-lex.europa.eu/legal-content/EN/TXT/?uri=CELEX:32018D0918</t>
  </si>
  <si>
    <t xml:space="preserve">32018D1487</t>
  </si>
  <si>
    <t xml:space="preserve">Council Implementing Decision (EU) 2018/1487 of 2 October 2018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</si>
  <si>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https://eur-lex.europa.eu/legal-content/EN/TXT/?uri=CELEX:32018D1487</t>
  </si>
  <si>
    <t xml:space="preserve">32018D1490</t>
  </si>
  <si>
    <t xml:space="preserve">Council Implementing Decision (EU) 2018/1490 of 2 October 2018 authorising Hungary to introduce a special measure derogating from Article 287 of Directive 2006/112/EC on the common system of value added tax</t>
  </si>
  <si>
    <t xml:space="preserve">https://eur-lex.europa.eu/legal-content/EN/TXT/?uri=CELEX:32018D1490</t>
  </si>
  <si>
    <t xml:space="preserve">32018D1492</t>
  </si>
  <si>
    <t xml:space="preserve">Council Implementing Decision (EU) 2018/1492 of 2 October 2018 authorising the Republic of Latvia to introduce a special measure derogating from Article 193 of Directive 2006/112/EC on the common system of value added tax</t>
  </si>
  <si>
    <t xml:space="preserve">https://eur-lex.europa.eu/legal-content/EN/TXT/?uri=CELEX:32018D1492</t>
  </si>
  <si>
    <t xml:space="preserve">32018D1493</t>
  </si>
  <si>
    <t xml:space="preserve">Council Implementing Decision (EU) 2018/1493 of 2 October 2018 authorising Hungary to introduce a special measure derogating from point (a) of Article 26(1) and Articles 168 and 168a of Directive 2006/112/EC on the common system of value added tax</t>
  </si>
  <si>
    <t xml:space="preserve">https://eur-lex.europa.eu/legal-content/EN/TXT/?uri=CELEX:32018D1493</t>
  </si>
  <si>
    <t xml:space="preserve">32018D1700</t>
  </si>
  <si>
    <t xml:space="preserve">2018-11-06</t>
  </si>
  <si>
    <t xml:space="preserve">Council Implementing Decision (EU) 2018/1700 of 6 November 2018 amending Implementing Decision 2013/54/EU authorising the Republic of Slovenia to introduce a special measure derogating from Article 287 of Directive 2006/112/EC on the common system of value added tax</t>
  </si>
  <si>
    <t xml:space="preserve">https://eur-lex.europa.eu/legal-content/EN/TXT/?uri=CELEX:32018D1700</t>
  </si>
  <si>
    <t xml:space="preserve">32018D1904</t>
  </si>
  <si>
    <t xml:space="preserve">2018-12-04</t>
  </si>
  <si>
    <t xml:space="preserve">Council Implementing Decision (EU) 2018/1904 of 4 December 2018 authorising the Netherlands to introduce a special measure derogating from Article 285 of Directive 2006/112/EC on the common system of value added tax</t>
  </si>
  <si>
    <t xml:space="preserve">https://eur-lex.europa.eu/legal-content/EN/TXT/?uri=CELEX:32018D1904</t>
  </si>
  <si>
    <t xml:space="preserve">32018D1918</t>
  </si>
  <si>
    <t xml:space="preserve">Council Implementing Decision (EU) 2018/1918 of 4 December 2018 authorising the United Kingdom to apply a special measure derogating from Articles 16 and 168 of Directive 2006/112/EC on the common system of value added tax</t>
  </si>
  <si>
    <t xml:space="preserve">https://eur-lex.europa.eu/legal-content/EN/TXT/?uri=CELEX:32018D1918</t>
  </si>
  <si>
    <t xml:space="preserve">32018D1919</t>
  </si>
  <si>
    <t xml:space="preserve">Council Implementing Decision (EU) 2018/1919 of 4 December 2018 amending Decision 2009/790/EC authorising the Republic of Poland to apply a measure derogating from Article 287 of Directive 2006/112/EC on the common system of value added tax</t>
  </si>
  <si>
    <t xml:space="preserve">https://eur-lex.europa.eu/legal-content/EN/TXT/?uri=CELEX:32018D1919</t>
  </si>
  <si>
    <t xml:space="preserve">32018D1920</t>
  </si>
  <si>
    <t xml:space="preserve">Council Implementing Decision (EU) 2018/1920 of 4 December 2018 amending Implementing Decision 2010/99/EU authorising the Republic of Lithuania to extend the application of a measure derogating from Article 193 of Directive 2006/112/EC on the common system of value added tax</t>
  </si>
  <si>
    <t xml:space="preserve">https://eur-lex.europa.eu/legal-content/EN/TXT/?uri=CELEX:32018D1920</t>
  </si>
  <si>
    <t xml:space="preserve">32018D1921</t>
  </si>
  <si>
    <t xml:space="preserve">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</si>
  <si>
    <t xml:space="preserve">https://eur-lex.europa.eu/legal-content/EN/TXT/?uri=CELEX:32018D1921</t>
  </si>
  <si>
    <t xml:space="preserve">32018R1912</t>
  </si>
  <si>
    <t xml:space="preserve">Council Implementing Regulation (EU) 2018/1912 of 4 December 2018 amending Implementing Regulation (EU) No 282/2011 as regards certain exemptions for intra-Community transactions</t>
  </si>
  <si>
    <t xml:space="preserve">https://eur-lex.europa.eu/legal-content/EN/TXT/?uri=CELEX:32018R1912</t>
  </si>
  <si>
    <t xml:space="preserve">32018D1994</t>
  </si>
  <si>
    <t xml:space="preserve">Council Implementing Decision (EU) 2018/1994 of 11 December 2018 authorising Croatia to introduce a special measure derogating from point (a) of Article 26(1) and Article 168 of Directive 2006/112/EC on the common system of value added tax</t>
  </si>
  <si>
    <t xml:space="preserve">https://eur-lex.europa.eu/legal-content/EN/TXT/?uri=CELEX:32018D1994</t>
  </si>
  <si>
    <t xml:space="preserve">32018D2006</t>
  </si>
  <si>
    <t xml:space="preserve">Council Implementing Decision (EU) 2018/2006 of 11 December 2018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</si>
  <si>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https://eur-lex.europa.eu/legal-content/EN/TXT/?uri=CELEX:32018D2006</t>
  </si>
  <si>
    <t xml:space="preserve">32018D2060</t>
  </si>
  <si>
    <t xml:space="preserve">Council Implementing Decision (EU) 2018/2060 of 20 December 2018 amending Decision 2009/791/EC authorising Germany to continue to apply a measure derogating from Articles 168 and 168a of Directive 2006/112/EC on the common system of value added tax</t>
  </si>
  <si>
    <t xml:space="preserve">https://eur-lex.europa.eu/legal-content/EN/TXT/?uri=CELEX:32018D2060</t>
  </si>
  <si>
    <t xml:space="preserve">32018D2077</t>
  </si>
  <si>
    <t xml:space="preserve">Council Implementing Decision (EU) 2018/2077 of 20 December 2018 amending Implementing Decision 2013/53/EU authorising the Kingdom of Belgium to introduce a special measure derogating from Article 285 of Directive 2006/112/EC on the common system of value added tax</t>
  </si>
  <si>
    <t xml:space="preserve">https://eur-lex.europa.eu/legal-content/EN/TXT/?uri=CELEX:32018D2077</t>
  </si>
  <si>
    <t xml:space="preserve">32019D0309</t>
  </si>
  <si>
    <t xml:space="preserve">2019-02-18</t>
  </si>
  <si>
    <t xml:space="preserve">Council Implementing Decision (EU) 2019/309 of 18 February 2019 authorising Lithuania to introduce a special measure derogating from Article 193 of Directive 2006/112/EC on the common system of value added tax</t>
  </si>
  <si>
    <t xml:space="preserve">https://eur-lex.europa.eu/legal-content/EN/TXT/?uri=CELEX:32019D0309</t>
  </si>
  <si>
    <t xml:space="preserve">32019D0310</t>
  </si>
  <si>
    <t xml:space="preserve">Council Implementing Decision (EU) 2019/310 of 18 February 2019 authorising Poland to introduce a special measure derogating from Article 226 of Directive 2006/112/EC on the common system of value added tax</t>
  </si>
  <si>
    <t xml:space="preserve">https://eur-lex.europa.eu/legal-content/EN/TXT/?uri=CELEX:32019D0310</t>
  </si>
  <si>
    <t xml:space="preserve">32019D1592</t>
  </si>
  <si>
    <t xml:space="preserve">2019-09-24</t>
  </si>
  <si>
    <t xml:space="preserve">Council Implementing Decision (EU) 2019/1592 of 24 September 2019 authorising Portugal to introduce a special measure derogating from Article 193 of Directive 2006/112/EC on the common system of value added tax</t>
  </si>
  <si>
    <t xml:space="preserve">https://eur-lex.europa.eu/legal-content/EN/TXT/?uri=CELEX:32019D1592</t>
  </si>
  <si>
    <t xml:space="preserve">32019D1593</t>
  </si>
  <si>
    <t xml:space="preserve">Council Implementing Decision (EU) 2019/1593 of 24 September 2019 amending Implementing Decision 2013/676/EU authorising Romania to continue to apply a special measure derogating from Article 193 of Directive 2006/112/EC on the common system of value added tax</t>
  </si>
  <si>
    <t xml:space="preserve">https://eur-lex.europa.eu/legal-content/EN/TXT/?uri=CELEX:32019D1593</t>
  </si>
  <si>
    <t xml:space="preserve">32019D1594</t>
  </si>
  <si>
    <t xml:space="preserve">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</si>
  <si>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https://eur-lex.europa.eu/legal-content/EN/TXT/?uri=CELEX:32019D1594</t>
  </si>
  <si>
    <t xml:space="preserve">32019D1903</t>
  </si>
  <si>
    <t xml:space="preserve">2019-11-08</t>
  </si>
  <si>
    <t xml:space="preserve">Council Implementing Decision (EU) 2019/1903 of 8 November 2019 authorising Czechia to apply the generalised reverse charge mechanism derogating from Article 193 of Directive 2006/112/EC</t>
  </si>
  <si>
    <t xml:space="preserve">https://eur-lex.europa.eu/legal-content/EN/TXT/?uri=CELEX:32019D1903</t>
  </si>
  <si>
    <t xml:space="preserve">32019R2026</t>
  </si>
  <si>
    <t xml:space="preserve">2019-11-21</t>
  </si>
  <si>
    <t xml:space="preserve">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</si>
  <si>
    <t xml:space="preserve">https://eur-lex.europa.eu/legal-content/EN/TXT/?uri=CELEX:32019R2026</t>
  </si>
  <si>
    <t xml:space="preserve">32019D2138</t>
  </si>
  <si>
    <t xml:space="preserve">2019-12-05</t>
  </si>
  <si>
    <t xml:space="preserve">Council Implementing Decision (EU) 2019/2138 of 5 December 2019 amending Decision 2007/441/EC authorising the Italian Republic to apply measures derogating from Articles 26(1)(a) and 168 of Directive 2006/112/EC on the common system of value added tax</t>
  </si>
  <si>
    <t xml:space="preserve">https://eur-lex.europa.eu/legal-content/EN/TXT/?uri=CELEX:32019D2138</t>
  </si>
  <si>
    <t xml:space="preserve">32019D2244</t>
  </si>
  <si>
    <t xml:space="preserve">2019-12-16</t>
  </si>
  <si>
    <t xml:space="preserve">Council Implementing Decision (EU) 2019/2244 of 16 December 2019 authorising Spain and France to apply a special measure derogating from Article 5 of Directive 2006/112/EC on the common system of value added tax</t>
  </si>
  <si>
    <t xml:space="preserve">https://eur-lex.europa.eu/legal-content/EN/TXT/?uri=CELEX:32019D2244</t>
  </si>
  <si>
    <t xml:space="preserve">32019D2210</t>
  </si>
  <si>
    <t xml:space="preserve">2019-12-19</t>
  </si>
  <si>
    <t xml:space="preserve">Council Implementing Decision (EU) 2019/2210 of 19 December 2019 amending Implementing Decision 2013/677/EU authorising Luxembourg to introduce a special measure derogating from Article 285 of Directive 2006/112/EC on the common system of value added tax</t>
  </si>
  <si>
    <t xml:space="preserve">https://eur-lex.europa.eu/legal-content/EN/TXT/?uri=CELEX:32019D2210</t>
  </si>
  <si>
    <t xml:space="preserve">32019D2230</t>
  </si>
  <si>
    <t xml:space="preserve">Council Implementing Decision (EU) 2019/2230 of 19 December 2019 amending Decision 2007/884/EC authorising the United Kingdom to continue to apply a measure derogating from Articles 26(1)(a), 168 and 169 of Directive 2006/112/EC on the common system of value added tax</t>
  </si>
  <si>
    <t xml:space="preserve">https://eur-lex.europa.eu/legal-content/EN/TXT/?uri=CELEX:32019D2230</t>
  </si>
  <si>
    <t xml:space="preserve">32020D0647</t>
  </si>
  <si>
    <t xml:space="preserve">2020-05-11</t>
  </si>
  <si>
    <t xml:space="preserve">Council Implementing Decision (EU) 2020/647 of 11 May 2020 authorising the Italian Republic to apply a special measure derogating from Article 285 of Directive 2006/112/EC on the common system of value added tax</t>
  </si>
  <si>
    <t xml:space="preserve">https://eur-lex.europa.eu/legal-content/EN/TXT/?uri=CELEX:32020D0647</t>
  </si>
  <si>
    <t xml:space="preserve">32020D0774</t>
  </si>
  <si>
    <t xml:space="preserve">2020-06-08</t>
  </si>
  <si>
    <t xml:space="preserve">Council Implementing Decision (EU) 2020/774 of 8 June 2020 authorising the Republic of Finland to apply a special measure derogating from Article 287 of Directive 2006/112/EC on the common system of value added tax</t>
  </si>
  <si>
    <t xml:space="preserve">https://eur-lex.europa.eu/legal-content/EN/TXT/?uri=CELEX:32020D0774</t>
  </si>
  <si>
    <t xml:space="preserve">32020R1112</t>
  </si>
  <si>
    <t xml:space="preserve">2020-07-20</t>
  </si>
  <si>
    <t xml:space="preserve">Council Implementing Regulation (EU) 2020/1112 of 20 July 2020 amending Implementing Regulation (EU) 2019/2026 as regards the dates of application in response to the COVID-19 pandemic</t>
  </si>
  <si>
    <t xml:space="preserve">https://eur-lex.europa.eu/legal-content/EN/TXT/?uri=CELEX:32020R1112</t>
  </si>
  <si>
    <t xml:space="preserve">32020D1088</t>
  </si>
  <si>
    <t xml:space="preserve">2020-07-22</t>
  </si>
  <si>
    <t xml:space="preserve">Council Implementing Decision (EU) 2020/1088 of 22 July 2020 amending Implementing Decision (EU) 2018/485 authorising Denmark to apply a special measure derogating from Article 75 of Directive 2006/112/EC on the common system of value added tax</t>
  </si>
  <si>
    <t xml:space="preserve">https://eur-lex.europa.eu/legal-content/EN/TXT/?uri=CELEX:32020D1088</t>
  </si>
  <si>
    <t xml:space="preserve">32020D1105</t>
  </si>
  <si>
    <t xml:space="preserve">2020-07-24</t>
  </si>
  <si>
    <t xml:space="preserve">Council Implementing Decision (EU) 2020/1105 of 24 July 2020 amending Implementing Decision (EU) 2017/784 authorising the Italian Republic to apply a special measure derogating from Articles 206 and 226 of Directive 2006/112/EC on the common system of value added tax</t>
  </si>
  <si>
    <t xml:space="preserve">https://eur-lex.europa.eu/legal-content/EN/TXT/?uri=CELEX:32020D1105</t>
  </si>
  <si>
    <t xml:space="preserve">32020D1260</t>
  </si>
  <si>
    <t xml:space="preserve">2020-09-04</t>
  </si>
  <si>
    <t xml:space="preserve">Council Implementing Decision (EU) 2020/1260 of 4 September 2020 amending Implementing Decision (EU) 2017/1855 authorising Romania to apply a special measure derogating from Article 287 of Directive 2006/112/EC on the common system of value added tax</t>
  </si>
  <si>
    <t xml:space="preserve">https://eur-lex.europa.eu/legal-content/EN/TXT/?uri=CELEX:32020D1260</t>
  </si>
  <si>
    <t xml:space="preserve">32020D1261</t>
  </si>
  <si>
    <t xml:space="preserve">Council Implementing Decision (EU) 2020/1261 of 4 September 2020 amending Implementing Decision (EU) 2017/2408 authorising the Republic of Latvia to apply a special measure derogating from Article 287 of Directive 2006/112/EC on the common system of value added tax</t>
  </si>
  <si>
    <t xml:space="preserve">https://eur-lex.europa.eu/legal-content/EN/TXT/?uri=CELEX:32020D1261</t>
  </si>
  <si>
    <t xml:space="preserve">32020D1262</t>
  </si>
  <si>
    <t xml:space="preserve">Council Implementing Decision (EU) 2020/1262 of 4 September 2020 amending Implementing Decision 2012/232/EU authorising Romania to apply measures derogating from Article 26(1)(a) and Article 168 of Directive 2006/112/EC on the common system of value added tax</t>
  </si>
  <si>
    <t xml:space="preserve">https://eur-lex.europa.eu/legal-content/EN/TXT/?uri=CELEX:32020D1262</t>
  </si>
  <si>
    <t xml:space="preserve">32020D1277</t>
  </si>
  <si>
    <t xml:space="preserve">2020-09-09</t>
  </si>
  <si>
    <t xml:space="preserve">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</si>
  <si>
    <t xml:space="preserve">https://eur-lex.europa.eu/legal-content/EN/TXT/?uri=CELEX:32020D1277</t>
  </si>
  <si>
    <t xml:space="preserve">32020D1661</t>
  </si>
  <si>
    <t xml:space="preserve">2020-11-03</t>
  </si>
  <si>
    <t xml:space="preserve">Council Implementing Decision (EU) 2020/1661 of 3 November 2020 amending Implementing Decision (EU) 2017/1768 authorising the Republic of Croatia to introduce a special measure derogating from Article 287 of Directive 2006/112/EC on the common system of value added tax</t>
  </si>
  <si>
    <t xml:space="preserve">https://eur-lex.europa.eu/legal-content/EN/TXT/?uri=CELEX:32020D1661</t>
  </si>
  <si>
    <t xml:space="preserve">32020D1662</t>
  </si>
  <si>
    <t xml:space="preserve">Council Implementing Decision (EU) 2020/1662 of 3 November 2020 amending Implementing Decision (EU) 2018/279 authorising Malta to apply a special measure derogating from Article 287 of Directive 2006/112/EC on the common system of value added tax</t>
  </si>
  <si>
    <t xml:space="preserve">https://eur-lex.europa.eu/legal-content/EN/TXT/?uri=CELEX:32020D1662</t>
  </si>
  <si>
    <t xml:space="preserve">32020D2189</t>
  </si>
  <si>
    <t xml:space="preserve">2020-12-18</t>
  </si>
  <si>
    <t xml:space="preserve">Council Implementing Decision (EU) 2020/2189 of 18 December 2020 authorising the Netherlands to introduce a special measure derogating from Articles 168 and 168a of Directive 2006/112/EC on the common system of value added tax</t>
  </si>
  <si>
    <t xml:space="preserve">https://eur-lex.europa.eu/legal-content/EN/TXT/?uri=CELEX:32020D2189</t>
  </si>
  <si>
    <t xml:space="preserve">32021D0086</t>
  </si>
  <si>
    <t xml:space="preserve">2021-01-22</t>
  </si>
  <si>
    <t xml:space="preserve">Council Implementing Decision (EU) 2021/86 of 22 January 2021 authorising the Republic of Lithuania to apply a special measure derogating from Article 287 of Directive 2006/112/EC on the common system of value added tax</t>
  </si>
  <si>
    <t xml:space="preserve">https://eur-lex.europa.eu/legal-content/EN/TXT/?uri=CELEX:32021D0086</t>
  </si>
  <si>
    <t xml:space="preserve">32021D0358</t>
  </si>
  <si>
    <t xml:space="preserve">2021-02-22</t>
  </si>
  <si>
    <t xml:space="preserve">Council Implementing Decision (EU) 2021/358 of 22 February 2021 amending Implementing Decision (EU) 2017/563 authorising the Republic of Estonia to apply a special measure derogating from Article 287 of Directive 2006/112/EC on the common system of value added tax</t>
  </si>
  <si>
    <t xml:space="preserve">https://eur-lex.europa.eu/legal-content/EN/TXT/?uri=CELEX:32021D0358</t>
  </si>
  <si>
    <t xml:space="preserve">32021D0512</t>
  </si>
  <si>
    <t xml:space="preserve">2021-03-22</t>
  </si>
  <si>
    <t xml:space="preserve">Council Implementing Decision (EU) 2021/512 of 22 March 2021 authorising the United Kingdom to apply, in respect of Northern Ireland, a special measure derogating from Articles 16 and 168 of Directive 2006/112/EC on the common system of value added tax</t>
  </si>
  <si>
    <t xml:space="preserve">https://eur-lex.europa.eu/legal-content/EN/TXT/?uri=CELEX:32021D0512</t>
  </si>
  <si>
    <t xml:space="preserve">32021D0753</t>
  </si>
  <si>
    <t xml:space="preserve">2021-05-06</t>
  </si>
  <si>
    <t xml:space="preserve">Council Implementing Decision (EU) 2021/753 of 6 May 2021 authorising Malta to apply a special measure derogating from Article 287 of Directive 2006/112/EC on the common system of value added tax, and repealing Implementing Decision (EU) 2018/279</t>
  </si>
  <si>
    <t xml:space="preserve">https://eur-lex.europa.eu/legal-content/EN/TXT/?uri=CELEX:32021D0753</t>
  </si>
  <si>
    <t xml:space="preserve">32021D0942</t>
  </si>
  <si>
    <t xml:space="preserve">2021-06-10</t>
  </si>
  <si>
    <t xml:space="preserve">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</si>
  <si>
    <t xml:space="preserve">https://eur-lex.europa.eu/legal-content/EN/TXT/?uri=CELEX:32021D0942</t>
  </si>
  <si>
    <t xml:space="preserve">32021D1774</t>
  </si>
  <si>
    <t xml:space="preserve">2021-10-05</t>
  </si>
  <si>
    <t xml:space="preserve">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</si>
  <si>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https://eur-lex.europa.eu/legal-content/EN/TXT/?uri=CELEX:32021D1774</t>
  </si>
  <si>
    <t xml:space="preserve">32021D1775</t>
  </si>
  <si>
    <t xml:space="preserve">Council Implementing Decision (EU) 2021/1775 of 5 October 2021 amending Implementing Decision (EU) 2018/789 authorising Hungary to introduce a special measure derogating from Article 193 of Directive 2006/112/EC on the common system of value added tax</t>
  </si>
  <si>
    <t xml:space="preserve">https://eur-lex.europa.eu/legal-content/EN/TXT/?uri=CELEX:32021D1775</t>
  </si>
  <si>
    <t xml:space="preserve">32021D1776</t>
  </si>
  <si>
    <t xml:space="preserve">Council Implementing Decision (EU) 2021/1776 of 5 October 2021 amending Decision 2009/791/EC authorising the Federal Republic of Germany to continue to apply a measure derogating from Article 168 of Directive 2006/112/EC on the common system of value added tax</t>
  </si>
  <si>
    <t xml:space="preserve">https://eur-lex.europa.eu/legal-content/EN/TXT/?uri=CELEX:32021D1776</t>
  </si>
  <si>
    <t xml:space="preserve">32021D1778</t>
  </si>
  <si>
    <t xml:space="preserve">Council Implementing Decision (EU) 2021/1778 of 5 October 2021 authorising the Federal Republic of Germany to apply a special measure derogating from Article 193 of Directive 2006/112/EC on the common system of value added tax</t>
  </si>
  <si>
    <t xml:space="preserve">https://eur-lex.europa.eu/legal-content/EN/TXT/?uri=CELEX:32021D1778</t>
  </si>
  <si>
    <t xml:space="preserve">32021D1779</t>
  </si>
  <si>
    <t xml:space="preserve">Council Implementing Decision (EU) 2021/1779 of 5 October 2021 amending Implementing Decision 2009/1013/EU authorising the Republic of Austria to continue to apply a measure derogating from Article 168 of Directive 2006/112/EC on the common system of value added tax</t>
  </si>
  <si>
    <t xml:space="preserve">https://eur-lex.europa.eu/legal-content/EN/TXT/?uri=CELEX:32021D1779</t>
  </si>
  <si>
    <t xml:space="preserve">32021D1780</t>
  </si>
  <si>
    <t xml:space="preserve">Council Implementing Decision (EU) 2021/1780 of 5 October 2021 amending Decision 2009/790/EC authorising the Republic of Poland to apply a measure derogating from Article 287 of Directive 2006/112/EC on the common system of value added tax</t>
  </si>
  <si>
    <t xml:space="preserve">https://eur-lex.europa.eu/legal-content/EN/TXT/?uri=CELEX:32021D1780</t>
  </si>
  <si>
    <t xml:space="preserve">32021D1968</t>
  </si>
  <si>
    <t xml:space="preserve">2021-11-09</t>
  </si>
  <si>
    <t xml:space="preserve">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</si>
  <si>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https://eur-lex.europa.eu/legal-content/EN/TXT/?uri=CELEX:32021D1968</t>
  </si>
  <si>
    <t xml:space="preserve">32021D1997</t>
  </si>
  <si>
    <t xml:space="preserve">2021-11-15</t>
  </si>
  <si>
    <t xml:space="preserve">Council Implementing Decision (EU) 2021/1997 of 15 November 2021 amending Implementing Decision (EU) 2018/1994 authorising Croatia to introduce a special measure derogating from point (a) of Article 26(1) and Article 168 of Directive 2006/112/EC on the common system of value added tax</t>
  </si>
  <si>
    <t xml:space="preserve">https://eur-lex.europa.eu/legal-content/EN/TXT/?uri=CELEX:32021D1997</t>
  </si>
  <si>
    <t xml:space="preserve">32021D1998</t>
  </si>
  <si>
    <t xml:space="preserve">Council Implementing Decision (EU) 2021/1998 of 15 November 2021 authorising Estonia to apply a measure derogating from Article 26(1), point (a), and Articles 168 and 168a of Directive 2006/112/EC on the common system of value added tax</t>
  </si>
  <si>
    <t xml:space="preserve">https://eur-lex.europa.eu/legal-content/EN/TXT/?uri=CELEX:32021D1998</t>
  </si>
  <si>
    <t xml:space="preserve">32021D2251</t>
  </si>
  <si>
    <t xml:space="preserve">2021-12-13</t>
  </si>
  <si>
    <t xml:space="preserve">Council Implementing Decision (EU) 2021/2251 of 13 December 2021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</si>
  <si>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https://eur-lex.europa.eu/legal-content/EN/TXT/?uri=CELEX:32021D2251</t>
  </si>
  <si>
    <t xml:space="preserve">32022D0073</t>
  </si>
  <si>
    <t xml:space="preserve">2022-01-18</t>
  </si>
  <si>
    <t xml:space="preserve">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</si>
  <si>
    <t xml:space="preserve">https://eur-lex.europa.eu/legal-content/EN/TXT/?uri=CELEX:32022D0073</t>
  </si>
  <si>
    <t xml:space="preserve">32022D0081</t>
  </si>
  <si>
    <t xml:space="preserve">Council Implementing Decision (EU) 2022/81 of 18 January 2022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</si>
  <si>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https://eur-lex.europa.eu/legal-content/EN/TXT/?uri=CELEX:32022D0081</t>
  </si>
  <si>
    <t xml:space="preserve">32022D0088</t>
  </si>
  <si>
    <t xml:space="preserve">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</si>
  <si>
    <t xml:space="preserve">https://eur-lex.europa.eu/legal-content/EN/TXT/?uri=CELEX:32022D0088</t>
  </si>
  <si>
    <t xml:space="preserve">32022D0133</t>
  </si>
  <si>
    <t xml:space="preserve">2022-01-25</t>
  </si>
  <si>
    <t xml:space="preserve">Council Implementing Decision (EU) 2022/133 of 25 January 2022 authorising France to introduce a special measure derogating from Articles 218 and 232 of Directive 2006/112/EC on the common system of value added tax</t>
  </si>
  <si>
    <t xml:space="preserve">https://eur-lex.europa.eu/legal-content/EN/TXT/?uri=CELEX:32022D0133</t>
  </si>
  <si>
    <t xml:space="preserve">32022R0432</t>
  </si>
  <si>
    <t xml:space="preserve">2022-03-15</t>
  </si>
  <si>
    <t xml:space="preserve">Council Implementing Regulation (EU) 2022/432 of 15 March 2022 amending Implementing Regulation (EU) No 282/2011 as regards the VAT and/or excise duty exemption certificate</t>
  </si>
  <si>
    <t xml:space="preserve">https://eur-lex.europa.eu/legal-content/EN/TXT/?uri=CELEX:32022R0432</t>
  </si>
  <si>
    <t xml:space="preserve">32022D0464</t>
  </si>
  <si>
    <t xml:space="preserve">2022-03-21</t>
  </si>
  <si>
    <t xml:space="preserve">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</si>
  <si>
    <t xml:space="preserve">https://eur-lex.europa.eu/legal-content/EN/TXT/?uri=CELEX:32022D0464</t>
  </si>
  <si>
    <t xml:space="preserve">32022D0559</t>
  </si>
  <si>
    <t xml:space="preserve">2022-04-05</t>
  </si>
  <si>
    <t xml:space="preserve">Council Implementing Decision (EU) 2022/559 of 5 April 2022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</si>
  <si>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https://eur-lex.europa.eu/legal-content/EN/TXT/?uri=CELEX:32022D0559</t>
  </si>
  <si>
    <t xml:space="preserve">32022D0865</t>
  </si>
  <si>
    <t xml:space="preserve">2022-05-24</t>
  </si>
  <si>
    <t xml:space="preserve">Council Implementing Decision (EU) 2022/865 of 24 May 2022 authorising the Czech Republic to introduce a special measure derogating from Article 287 of Directive 2006/112/EC on the common system of value added tax</t>
  </si>
  <si>
    <t xml:space="preserve">https://eur-lex.europa.eu/legal-content/EN/TXT/?uri=CELEX:32022D0865</t>
  </si>
  <si>
    <t xml:space="preserve">32022D1003</t>
  </si>
  <si>
    <t xml:space="preserve">2022-06-17</t>
  </si>
  <si>
    <t xml:space="preserve">Council Implementing Decision (EU) 2022/1003 of 17 June 2022 authorising the Republic of Poland to apply a special measure derogating from Articles 218 and 232 of Directive 2006/112/EC on the common system of value added tax</t>
  </si>
  <si>
    <t xml:space="preserve">https://eur-lex.europa.eu/legal-content/EN/TXT/?uri=CELEX:32022D1003</t>
  </si>
  <si>
    <t xml:space="preserve">32022D1661</t>
  </si>
  <si>
    <t xml:space="preserve">2022-09-26</t>
  </si>
  <si>
    <t xml:space="preserve">Council Implementing Decision (EU) 2022/1661 of 26 September 2022 amending Implementing Decision 2013/677/EU authorising Luxembourg to introduce a special measure derogating from Article 285 of Directive 2006/112/EC on the common system of value added tax</t>
  </si>
  <si>
    <t xml:space="preserve">https://eur-lex.europa.eu/legal-content/EN/TXT/?uri=CELEX:32022D1661</t>
  </si>
  <si>
    <t xml:space="preserve">32022D2254</t>
  </si>
  <si>
    <t xml:space="preserve">2022-11-14</t>
  </si>
  <si>
    <t xml:space="preserve">Council Implementing Decision (EU) 2022/2254 of 14 November 2022 authorising Bulgaria to introduce a special measure derogating from Article 287 of Directive 2006/112/EC on the common system of value added tax</t>
  </si>
  <si>
    <t xml:space="preserve">https://eur-lex.europa.eu/legal-content/EN/TXT/?uri=CELEX:32022D2254</t>
  </si>
  <si>
    <t xml:space="preserve">32022D2385</t>
  </si>
  <si>
    <t xml:space="preserve">2022-12-06</t>
  </si>
  <si>
    <t xml:space="preserve">Council Implementing Decision (EU) 2022/2385 of 6 December 2022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</si>
  <si>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https://eur-lex.europa.eu/legal-content/EN/TXT/?uri=CELEX:32022D2385</t>
  </si>
  <si>
    <t xml:space="preserve">32022D2411</t>
  </si>
  <si>
    <t xml:space="preserve">Council Implementing Decision (EU) 2022/2411 of 6 December 2022 amending Decision 2007/441/EC authorising the Italian Republic to apply measures derogating from Articles 26(1)(a) and 168 of Directive 2006/112/EC on the common system of value added tax</t>
  </si>
  <si>
    <t xml:space="preserve">https://eur-lex.europa.eu/legal-content/EN/TXT/?uri=CELEX:32022D2411</t>
  </si>
  <si>
    <t xml:space="preserve">32022D2542</t>
  </si>
  <si>
    <t xml:space="preserve">Council Implementing Decision (EU) 2022/2542 of 19 December 2022 amending Implementing Decision (EU) 2018/1904 authorising the Netherlands to introduce a special measure derogating from Article 285 of Directive 2006/112/EC on the common system of value added tax</t>
  </si>
  <si>
    <t xml:space="preserve">https://eur-lex.europa.eu/legal-content/EN/TXT/?uri=CELEX:32022D2542</t>
  </si>
  <si>
    <t xml:space="preserve">32023D0218</t>
  </si>
  <si>
    <t xml:space="preserve">2023-01-30</t>
  </si>
  <si>
    <t xml:space="preserve">Council Implementing Decision (EU) 2023/218 of 30 January 2023 amending Implementing Decision 2013/676/EU authorising Romania to continue to apply a special measure derogating from Article 193 of Directive 2006/112/EC on the common system of value added tax</t>
  </si>
  <si>
    <t xml:space="preserve">https://eur-lex.europa.eu/legal-content/EN/TXT/?uri=CELEX:32023D0218</t>
  </si>
  <si>
    <t xml:space="preserve">32023D0664</t>
  </si>
  <si>
    <t xml:space="preserve">2023-03-21</t>
  </si>
  <si>
    <t xml:space="preserve">Council Implementing Decision (EU) 2023/664 of 21 March 2023 authorising the Italian Republic to apply a special measure derogating from Article 285 of Directive 2006/112/EC on the common system of value added tax and repealing Implementing Decision (EU) 2020/647</t>
  </si>
  <si>
    <t xml:space="preserve">https://eur-lex.europa.eu/legal-content/EN/TXT/?uri=CELEX:32023D0664</t>
  </si>
  <si>
    <t xml:space="preserve">32023D1025</t>
  </si>
  <si>
    <t xml:space="preserve">2023-05-22</t>
  </si>
  <si>
    <t xml:space="preserve">Council Implementing Decision (EU) 2023/1025 of 22 May 2023 authorising Hungary to apply a special measure derogating from Article 287 of Directive 2006/112/EC on the common system of value added tax, and repealing Implementing Decision (EU) 2018/1490</t>
  </si>
  <si>
    <t xml:space="preserve">https://eur-lex.europa.eu/legal-content/EN/TXT/?uri=CELEX:32023D1025</t>
  </si>
  <si>
    <t xml:space="preserve">32023D1551</t>
  </si>
  <si>
    <t xml:space="preserve">Council Implementing Decision (EU) 2023/1551 of 25 July 2023 authorising Germany to introduce a special measure derogating from Articles 218 and 232 of Directive 2006/112/EC on the common system of value added tax</t>
  </si>
  <si>
    <t xml:space="preserve">https://eur-lex.europa.eu/legal-content/EN/TXT/?uri=CELEX:32023D1551</t>
  </si>
  <si>
    <t xml:space="preserve">32023D1552</t>
  </si>
  <si>
    <t xml:space="preserve">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</si>
  <si>
    <t xml:space="preserve">https://eur-lex.europa.eu/legal-content/EN/TXT/?uri=CELEX:32023D1552</t>
  </si>
  <si>
    <t xml:space="preserve">32023D1553</t>
  </si>
  <si>
    <t xml:space="preserve">Council Implementing Decision (EU) 2023/1553 of 25 July 2023 authorising Romania to introduce a special measure derogating from Articles 218 and 232 of Directive 2006/112/EC on the common system of value added tax</t>
  </si>
  <si>
    <t xml:space="preserve">https://eur-lex.europa.eu/legal-content/EN/TXT/?uri=CELEX:32023D1553</t>
  </si>
  <si>
    <t xml:space="preserve">32023D2094</t>
  </si>
  <si>
    <t xml:space="preserve">2023-09-25</t>
  </si>
  <si>
    <t xml:space="preserve">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</si>
  <si>
    <t xml:space="preserve">https://eur-lex.europa.eu/legal-content/EN/TXT/?uri=CELEX:32023D2094</t>
  </si>
  <si>
    <t xml:space="preserve">32023D2907</t>
  </si>
  <si>
    <t xml:space="preserve">2023-12-21</t>
  </si>
  <si>
    <t xml:space="preserve">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</si>
  <si>
    <t xml:space="preserve">https://eur-lex.europa.eu/legal-content/EN/TXT/?uri=CELEX:32023D2907</t>
  </si>
  <si>
    <t xml:space="preserve">32024D1641</t>
  </si>
  <si>
    <t xml:space="preserve">Council Implementing Decision (EU) 2024/1641 of 24 May 2024 authorising Romania to apply special measures derogating from Article 26(1), point (a), and Article 168 of Directive 2006/112/EC on the common system of value added tax</t>
  </si>
  <si>
    <t xml:space="preserve">https://eur-lex.europa.eu/legal-content/EN/TXT/?uri=CELEX:32024D1641</t>
  </si>
  <si>
    <t xml:space="preserve">32024D2680</t>
  </si>
  <si>
    <t xml:space="preserve">Council Implementing Decision (EU) 2024/2680 of 8 October 2024 amending Implementing Decision (EU) 2021/1778 authorising Germany to continue to apply a special measure derogating from Article 193 of Directive 2006/112/EC on the common system of value added tax</t>
  </si>
  <si>
    <t xml:space="preserve">https://eur-lex.europa.eu/legal-content/EN/TXT/?uri=CELEX:32024D2680</t>
  </si>
  <si>
    <t xml:space="preserve">32024D2884</t>
  </si>
  <si>
    <t xml:space="preserve">2024-11-05</t>
  </si>
  <si>
    <t xml:space="preserve">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</si>
  <si>
    <t xml:space="preserve">https://eur-lex.europa.eu/legal-content/EN/TXT/?uri=CELEX:32024D2884</t>
  </si>
  <si>
    <t xml:space="preserve">32024D2885</t>
  </si>
  <si>
    <t xml:space="preserve">Council Implementing Decision (EU) 2024/2885 of 5 November 2024 amending Decision 2009/791/EC authorising the Federal Republic of Germany to continue to apply a measure derogating from Articles 168 and 168a of Directive 2006/112/EC on the common system of value added tax</t>
  </si>
  <si>
    <t xml:space="preserve">https://eur-lex.europa.eu/legal-content/EN/TXT/?uri=CELEX:32024D2885</t>
  </si>
  <si>
    <t xml:space="preserve">32024D3013</t>
  </si>
  <si>
    <t xml:space="preserve">Council Implementing Decision (EU) 2024/3013 of 28 November 2024 amending Implementing Decision 2009/1013/EU authorising the Republic of Austria to continue to apply a measure derogating from Articles 168 and 168a of Directive 2006/112/EC on the common system of value added tax</t>
  </si>
  <si>
    <t xml:space="preserve">https://eur-lex.europa.eu/legal-content/EN/TXT/?uri=CELEX:32024D3013</t>
  </si>
  <si>
    <t xml:space="preserve">32024D3150</t>
  </si>
  <si>
    <t xml:space="preserve">Council Implementing Decision (EU) 2024/3150 of 10 December 2024 amending Implementing Decision (EU) 2018/593 authorising the Italian Republic to introduce a special measure derogating from Articles 218 and 232 of Directive 2006/112/EC on the common system of value added tax</t>
  </si>
  <si>
    <t xml:space="preserve">https://eur-lex.europa.eu/legal-content/EN/TXT/?uri=CELEX:32024D3150</t>
  </si>
  <si>
    <t xml:space="preserve">32024D3205</t>
  </si>
  <si>
    <t xml:space="preserve">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</si>
  <si>
    <t xml:space="preserve">https://eur-lex.europa.eu/legal-content/EN/TXT/?uri=CELEX:32024D3205</t>
  </si>
  <si>
    <t xml:space="preserve">32024D3206</t>
  </si>
  <si>
    <t xml:space="preserve">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</si>
  <si>
    <t xml:space="preserve">https://eur-lex.europa.eu/legal-content/EN/TXT/?uri=CELEX:32024D3206</t>
  </si>
  <si>
    <t xml:space="preserve">32024D3207</t>
  </si>
  <si>
    <t xml:space="preserve">2024-12-12</t>
  </si>
  <si>
    <t xml:space="preserve">Council Implementing Decision (EU) 2024/3207 of 12 December 2024 amending Implementing Decision 2009/1008/EU authorising the Republic of Latvia to extend the application of a measure derogating from Article 193 of Directive 2006/112/EC on the common system of value added tax</t>
  </si>
  <si>
    <t xml:space="preserve">https://eur-lex.europa.eu/legal-content/EN/TXT/?uri=CELEX:32024D3207</t>
  </si>
  <si>
    <t xml:space="preserve">32024D3209</t>
  </si>
  <si>
    <t xml:space="preserve">Council Implementing Decision (EU) 2024/3209 of 12 December 2024 amending Implementing Decision (EU) 2018/789 authorising Hungary to introduce a special measure derogating from Article 193 of Directive 2006/112/EC on the common system of value added tax</t>
  </si>
  <si>
    <t xml:space="preserve">https://eur-lex.europa.eu/legal-content/EN/TXT/?uri=CELEX:32024D3209</t>
  </si>
  <si>
    <t xml:space="preserve">32025D0373</t>
  </si>
  <si>
    <t xml:space="preserve">2025-02-18</t>
  </si>
  <si>
    <t xml:space="preserve">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</si>
  <si>
    <t xml:space="preserve">https://eur-lex.europa.eu/legal-content/EN/TXT/?uri=CELEX:32025D0373</t>
  </si>
  <si>
    <t xml:space="preserve">32025R0428</t>
  </si>
  <si>
    <t xml:space="preserve">Council Implementing Regulation (EU) 2025/428 of 18 February 2025 amending Implementing Regulation (EU) No 282/2011 as regards the electronic value added tax exemption certificate</t>
  </si>
  <si>
    <t xml:space="preserve">https://eur-lex.europa.eu/legal-content/EN/TXT/?uri=CELEX:32025R0428</t>
  </si>
  <si>
    <t xml:space="preserve">32025D0502</t>
  </si>
  <si>
    <t xml:space="preserve">Council Implementing Decision (EU) 2025/502 of 5 March 2025 authorising Greece to introduce a special measure derogating from Articles 218 and 232 of Directive 2006/112/EC on the common system of value added tax</t>
  </si>
  <si>
    <t xml:space="preserve">https://eur-lex.europa.eu/legal-content/EN/TXT/?uri=CELEX:32025D0502</t>
  </si>
  <si>
    <t xml:space="preserve">32025R0518</t>
  </si>
  <si>
    <t xml:space="preserve">Council Implementing Regulation (EU) 2025/518 of 11 March 2025 amending Implementing Regulation (EU) No 282/2011 as regards information requirements for certain VAT schemes</t>
  </si>
  <si>
    <t xml:space="preserve">https://eur-lex.europa.eu/legal-content/EN/TXT/?uri=CELEX:32025R0518</t>
  </si>
  <si>
    <t xml:space="preserve">32025D0539</t>
  </si>
  <si>
    <t xml:space="preserve">2025-03-18</t>
  </si>
  <si>
    <t xml:space="preserve">Council Implementing Decision (EU) 2025/539 of 18 March 2025 authorising Estonia to apply a special measure derogating from Article 26(1), point (a), and Articles 168 and 168a of Directive 2006/112/EC on the common system of value added tax</t>
  </si>
  <si>
    <t xml:space="preserve">https://eur-lex.europa.eu/legal-content/EN/TXT/?uri=CELEX:32025D0539</t>
  </si>
  <si>
    <t xml:space="preserve">32025D0852</t>
  </si>
  <si>
    <t xml:space="preserve">Council Implementing Decision (EU) 2025/852 of 14 April 2025 authorising the Slovak Republic to introduce a special measure derogating from Article 26(1), point (a), and Articles 168 and 168a of Directive 2006/112/EC on the common system of value added tax</t>
  </si>
  <si>
    <t xml:space="preserve">https://eur-lex.europa.eu/legal-content/EN/TXT/?uri=CELEX:32025D0852</t>
  </si>
  <si>
    <t xml:space="preserve">32025D1986</t>
  </si>
  <si>
    <t xml:space="preserve">2025-09-22</t>
  </si>
  <si>
    <t xml:space="preserve">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</si>
  <si>
    <t xml:space="preserve">https://eur-lex.europa.eu/legal-content/EN/TXT/?uri=CELEX:32025D1986</t>
  </si>
  <si>
    <t xml:space="preserve">32025D2529</t>
  </si>
  <si>
    <t xml:space="preserve">2025-12-08</t>
  </si>
  <si>
    <t xml:space="preserve">Council Implementing Decision (EU) 2025/2529 of 8 December 2025 amending Decision 2007/441/EC authorising the Italian Republic to apply measures derogating from Articles 26(1)(a) and 168 of Directive 2006/112/EC on the common system of value added tax</t>
  </si>
  <si>
    <t xml:space="preserve">https://eur-lex.europa.eu/legal-content/EN/TXT/?uri=CELEX:32025D2529</t>
  </si>
  <si>
    <t xml:space="preserve">32026D1728</t>
  </si>
  <si>
    <t xml:space="preserve">2026-07-10</t>
  </si>
  <si>
    <t xml:space="preserve">Council Implementing Decision (EU) 2026/1728 of 10 July 2026 amending Implementing Decision (EU) 2017/784 authorising the Italian Republic to apply a special measure derogating from Articles 206 and 226 of Directive 2006/112/EC on the common system of value added tax</t>
  </si>
  <si>
    <t xml:space="preserve">https://eur-lex.europa.eu/legal-content/EN/TXT/?uri=CELEX:32026D1728</t>
  </si>
  <si>
    <t xml:space="preserve">52020XC0707(02)</t>
  </si>
  <si>
    <t xml:space="preserve">2020-07-07</t>
  </si>
  <si>
    <t xml:space="preserve">Communication from the Commission Guidelines on the practical application of the essential functionality criterion of the definition of a ‘video-sharing platform service’ under the Audiovisual Media Services Directive 2020/C 223/02</t>
  </si>
  <si>
    <t xml:space="preserve">https://eur-lex.europa.eu/legal-content/EN/TXT/?uri=CELEX:52020XC0707(02)</t>
  </si>
  <si>
    <t xml:space="preserve">52020XC0707(03)</t>
  </si>
  <si>
    <t xml:space="preserve">Communication from the Commission Guidelines pursuant to Article 13(7) of the Audiovisual Media Services Directive on the calculation of the share of European works in on-demand catalogues and on the definition of low audience and low turnover 2020/C 223/03</t>
  </si>
  <si>
    <t xml:space="preserve">https://eur-lex.europa.eu/legal-content/EN/TXT/?uri=CELEX:52020XC0707(03)</t>
  </si>
  <si>
    <t xml:space="preserve">52023XC0223(01)</t>
  </si>
  <si>
    <t xml:space="preserve">Communication from the Commission Guidelines pursuant to Article 33a(3) of the Audiovisual Media Services Directive on the scope of Member States' reports concerning measures for the promotion and development of media literacy skills 2023/C 66/02</t>
  </si>
  <si>
    <t xml:space="preserve">https://eur-lex.europa.eu/legal-content/EN/TXT/?uri=CELEX:52023XC0223(01)</t>
  </si>
  <si>
    <t xml:space="preserve">32010R0520</t>
  </si>
  <si>
    <t xml:space="preserve">2010-06-16</t>
  </si>
  <si>
    <t xml:space="preserve">Commission Regulation (EU) No 520/2010 of 16 June 2010 amending Regulation (EC) No 831/2002 concerning access to confidential data for scientific purposes as regards the available surveys and statistical data sources  (Text with EEA relevance)</t>
  </si>
  <si>
    <t xml:space="preserve">https://eur-lex.europa.eu/legal-content/EN/TXT/?uri=CELEX:32010R0520</t>
  </si>
  <si>
    <t xml:space="preserve">32013R0557</t>
  </si>
  <si>
    <t xml:space="preserve">2013-06-17</t>
  </si>
  <si>
    <t xml:space="preserve">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</si>
  <si>
    <t xml:space="preserve">https://eur-lex.europa.eu/legal-content/EN/TXT/?uri=CELEX:32013R0557</t>
  </si>
  <si>
    <t xml:space="preserve">32018R1799</t>
  </si>
  <si>
    <t xml:space="preserve">Commission Implementing Regulation (EU) 2018/1799 of 21 November 2018 on the establishment of a temporary direct statistical action for the dissemination of selected topics of the 2021 population and housing census geocoded to a 1 km2 grid (Text with EEA relevance.)</t>
  </si>
  <si>
    <t xml:space="preserve">https://eur-lex.europa.eu/legal-content/EN/TXT/?uri=CELEX:32018R1799</t>
  </si>
  <si>
    <t xml:space="preserve">32012L0007</t>
  </si>
  <si>
    <t xml:space="preserve">DIR</t>
  </si>
  <si>
    <t xml:space="preserve">Commission Directive 2012/7/EU of 2 March 2012 amending, for the purpose of adaptation to technical progress, part III of Annex II to Directive 2009/48/EC of the European Parliament and of the Council relating to toy safety  Text with EEA relevance</t>
  </si>
  <si>
    <t xml:space="preserve">https://eur-lex.europa.eu/legal-content/EN/TXT/?uri=CELEX:32012L0007</t>
  </si>
  <si>
    <t xml:space="preserve">32013R0681</t>
  </si>
  <si>
    <t xml:space="preserve">2013-07-17</t>
  </si>
  <si>
    <t xml:space="preserve">Commission Regulation (EU) No 681/2013 of 17 July 2013 amending part III of Annex II to Directive 2009/48/EC of the European Parliament and of the Council on the safety of toys  Text with EEA relevance</t>
  </si>
  <si>
    <t xml:space="preserve">https://eur-lex.europa.eu/legal-content/EN/TXT/?uri=CELEX:32013R0681</t>
  </si>
  <si>
    <t xml:space="preserve">32014L0079</t>
  </si>
  <si>
    <t xml:space="preserve">2014-06-20</t>
  </si>
  <si>
    <t xml:space="preserve">Commission Directive 2014/79/EU of 20 June 2014 amending Appendix C of Annex II to Directive 2009/48/EC of the European Parliament and of the Council on the safety of toys, as regards TCEP, TCPP and TDCP  Text with EEA relevance</t>
  </si>
  <si>
    <t xml:space="preserve">https://eur-lex.europa.eu/legal-content/EN/TXT/?uri=CELEX:32014L0079</t>
  </si>
  <si>
    <t xml:space="preserve">32014L0081</t>
  </si>
  <si>
    <t xml:space="preserve">2014-06-23</t>
  </si>
  <si>
    <t xml:space="preserve">Commission Directive 2014/81/EU of 23 June 2014 amending Appendix C of Annex II to Directive 2009/48/EC of the European Parliament and of the Council on the safety of toys, as regards bisphenol A  Text with EEA relevance</t>
  </si>
  <si>
    <t xml:space="preserve">https://eur-lex.europa.eu/legal-content/EN/TXT/?uri=CELEX:32014L0081</t>
  </si>
  <si>
    <t xml:space="preserve">32014L0084</t>
  </si>
  <si>
    <t xml:space="preserve">2014-06-30</t>
  </si>
  <si>
    <t xml:space="preserve">Commission Directive 2014/84/EU of 30 June 2014 amending Appendix A of Annex II to Directive 2009/48/EC of the European Parliament and of the Council on the safety of toys, as regards nickel  Text with EEA relevance</t>
  </si>
  <si>
    <t xml:space="preserve">https://eur-lex.europa.eu/legal-content/EN/TXT/?uri=CELEX:32014L0084</t>
  </si>
  <si>
    <t xml:space="preserve">32015L2115</t>
  </si>
  <si>
    <t xml:space="preserve">2015-11-23</t>
  </si>
  <si>
    <t xml:space="preserve">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</si>
  <si>
    <t xml:space="preserve">https://eur-lex.europa.eu/legal-content/EN/TXT/?uri=CELEX:32015L2115</t>
  </si>
  <si>
    <t xml:space="preserve">32015L2116</t>
  </si>
  <si>
    <t xml:space="preserve">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</si>
  <si>
    <t xml:space="preserve">https://eur-lex.europa.eu/legal-content/EN/TXT/?uri=CELEX:32015L2116</t>
  </si>
  <si>
    <t xml:space="preserve">32015L2117</t>
  </si>
  <si>
    <t xml:space="preserve">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</si>
  <si>
    <t xml:space="preserve">https://eur-lex.europa.eu/legal-content/EN/TXT/?uri=CELEX:32015L2117</t>
  </si>
  <si>
    <t xml:space="preserve">32017L0738</t>
  </si>
  <si>
    <t xml:space="preserve">2017-03-27</t>
  </si>
  <si>
    <t xml:space="preserve">Council Directive (EU) 2017/738 of 27 March 2017 amending, for the purpose of adapting to technical progress, Annex II to Directive 2009/48/EC of the European Parliament and of the Council on the safety of toys, as regards lead (Text with EEA relevance. )</t>
  </si>
  <si>
    <t xml:space="preserve">https://eur-lex.europa.eu/legal-content/EN/TXT/?uri=CELEX:32017L0738</t>
  </si>
  <si>
    <t xml:space="preserve">32017L0774</t>
  </si>
  <si>
    <t xml:space="preserve">2017-05-03</t>
  </si>
  <si>
    <t xml:space="preserve">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</si>
  <si>
    <t xml:space="preserve">https://eur-lex.europa.eu/legal-content/EN/TXT/?uri=CELEX:32017L0774</t>
  </si>
  <si>
    <t xml:space="preserve">32017L0898</t>
  </si>
  <si>
    <t xml:space="preserve">2017-05-24</t>
  </si>
  <si>
    <t xml:space="preserve">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</si>
  <si>
    <t xml:space="preserve">https://eur-lex.europa.eu/legal-content/EN/TXT/?uri=CELEX:32017L0898</t>
  </si>
  <si>
    <t xml:space="preserve">32018L0725</t>
  </si>
  <si>
    <t xml:space="preserve">2018-05-16</t>
  </si>
  <si>
    <t xml:space="preserve">Commission Directive (EU) 2018/725 of 16 May 2018 amending, for the purpose of adaptation to technical and scientific developments, point 13 of part III of Annex II to Directive 2009/48/EC of the European Parliament and of the Council on the safety of toys, as regards chromium VI</t>
  </si>
  <si>
    <t xml:space="preserve">https://eur-lex.europa.eu/legal-content/EN/TXT/?uri=CELEX:32018L0725</t>
  </si>
  <si>
    <t xml:space="preserve">32019L1922</t>
  </si>
  <si>
    <t xml:space="preserve">2019-11-18</t>
  </si>
  <si>
    <t xml:space="preserve">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</si>
  <si>
    <t xml:space="preserve">https://eur-lex.europa.eu/legal-content/EN/TXT/?uri=CELEX:32019L1922</t>
  </si>
  <si>
    <t xml:space="preserve">32019L1929</t>
  </si>
  <si>
    <t xml:space="preserve">2019-11-19</t>
  </si>
  <si>
    <t xml:space="preserve">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</si>
  <si>
    <t xml:space="preserve">https://eur-lex.europa.eu/legal-content/EN/TXT/?uri=CELEX:32019L1929</t>
  </si>
  <si>
    <t xml:space="preserve">32020L2088</t>
  </si>
  <si>
    <t xml:space="preserve">2020-12-11</t>
  </si>
  <si>
    <t xml:space="preserve">Commission Directive (EU) 2020/2088 of 11 December 2020 amending Annex II to Directive 2009/48/EC of the European Parliament and of the Council as regards the labelling of allergenic fragrances in toys (Text with EEA relevance)</t>
  </si>
  <si>
    <t xml:space="preserve">https://eur-lex.europa.eu/legal-content/EN/TXT/?uri=CELEX:32020L2088</t>
  </si>
  <si>
    <t xml:space="preserve">32020L2089</t>
  </si>
  <si>
    <t xml:space="preserve">Commission Directive (EU) 2020/2089 of 11 December 2020 amending Annex II to Directive 2009/48/EC of the European Parliament and of the Council as regards the prohibition of allergenic fragrances in toys (Text with EEA relevance)</t>
  </si>
  <si>
    <t xml:space="preserve">https://eur-lex.europa.eu/legal-content/EN/TXT/?uri=CELEX:32020L2089</t>
  </si>
  <si>
    <t xml:space="preserve">32021L0903</t>
  </si>
  <si>
    <t xml:space="preserve">2021-06-03</t>
  </si>
  <si>
    <t xml:space="preserve">Commission Directive (EU) 2021/903 of 3 June 2021 amending Directive 2009/48/EC of the European Parliament and of the Council as regards specific limit values for aniline in certain toys (Text with EEA relevance)</t>
  </si>
  <si>
    <t xml:space="preserve">https://eur-lex.europa.eu/legal-content/EN/TXT/?uri=CELEX:32021L0903</t>
  </si>
  <si>
    <t xml:space="preserve">32025D1785</t>
  </si>
  <si>
    <t xml:space="preserve">2025-09-09</t>
  </si>
  <si>
    <t xml:space="preserve">Commission Implementing Decision (EU) 2025/1785 of 9 September 2025 amending Implementing Decision (EU) 2023/740 as regards the harmonised standards for certain ride-on toys (wave rollers) drafted in support of Directive 2009/48/EC of the European Parliament and of the Council</t>
  </si>
  <si>
    <t xml:space="preserve">https://eur-lex.europa.eu/legal-content/EN/TXT/?uri=CELEX:32025D1785</t>
  </si>
  <si>
    <t xml:space="preserve">32026L0192</t>
  </si>
  <si>
    <t xml:space="preserve">Commission Directive (EU) 2026/192 of 28 January 2026 amending Appendix A of Annex II to Directive 2009/48/EC of the European Parliament and of the Council on the safety of toys, as regards cobalt</t>
  </si>
  <si>
    <t xml:space="preserve">https://eur-lex.europa.eu/legal-content/EN/TXT/?uri=CELEX:32026L0192</t>
  </si>
  <si>
    <t xml:space="preserve">52021XC1229(04)</t>
  </si>
  <si>
    <t xml:space="preserve">Commission notice Guidance on the interpretation and application of Directive 2011/83/EU of the European Parliament and of the Council on consumer rights (Text with EEA relevance) 2021/C 525/01</t>
  </si>
  <si>
    <t xml:space="preserve">https://eur-lex.europa.eu/legal-content/EN/TXT/?uri=CELEX:52021XC1229(04)</t>
  </si>
  <si>
    <t xml:space="preserve">32025R1960</t>
  </si>
  <si>
    <t xml:space="preserve">2025-09-25</t>
  </si>
  <si>
    <t xml:space="preserve">Commission Implementing Regulation (EU) 2025/1960 of 25 September 2025 on the design and content of the harmonised notice on the legal guarantee of conformity and of the harmonised label for the commercial guarantee of durability</t>
  </si>
  <si>
    <t xml:space="preserve">https://eur-lex.europa.eu/legal-content/EN/TXT/?uri=CELEX:32025R1960</t>
  </si>
  <si>
    <t xml:space="preserve">32012R1156</t>
  </si>
  <si>
    <t xml:space="preserve">2012-12-06</t>
  </si>
  <si>
    <t xml:space="preserve">Commission Implementing Regulation (EU) No 1156/2012 of 6 December 2012 laying down detailed rules for implementing certain provisions of Council Directive 2011/16/EU on administrative cooperation in the field of taxation</t>
  </si>
  <si>
    <t xml:space="preserve">https://eur-lex.europa.eu/legal-content/EN/TXT/?uri=CELEX:32012R1156</t>
  </si>
  <si>
    <t xml:space="preserve">32014R1353</t>
  </si>
  <si>
    <t xml:space="preserve">2014-12-15</t>
  </si>
  <si>
    <t xml:space="preserve">Commission Implementing Regulation (EU) No 1353/2014 of 15 December 2014 amending Implementing Regulation (EU) No 1156/2012 laying down detailed rules for implementing certain provisions of Council Directive 2011/16/EU on administrative cooperation in the field of taxation</t>
  </si>
  <si>
    <t xml:space="preserve">https://eur-lex.europa.eu/legal-content/EN/TXT/?uri=CELEX:32014R1353</t>
  </si>
  <si>
    <t xml:space="preserve">32015R2378</t>
  </si>
  <si>
    <t xml:space="preserve">2015-12-15</t>
  </si>
  <si>
    <t xml:space="preserve">Commission Implementing Regulation (EU) 2015/2378 of 15 December 2015 laying down detailed rules for implementing certain provisions of Council Directive 2011/16/EU on administrative cooperation in the field of taxation and repealing Implementing Regulation (EU) No 1156/2012</t>
  </si>
  <si>
    <t xml:space="preserve">https://eur-lex.europa.eu/legal-content/EN/TXT/?uri=CELEX:32015R2378</t>
  </si>
  <si>
    <t xml:space="preserve">32016R1963</t>
  </si>
  <si>
    <t xml:space="preserve">2016-11-09</t>
  </si>
  <si>
    <t xml:space="preserve">Commission Implementing Regulation (EU) 2016/1963 of 9 November 2016 amending Implementing Regulation (EU) 2015/2378 as regards standard forms and linguistic arrangements to be used in relation to Council Directives (EU) 2015/2376 and (EU) 2016/881</t>
  </si>
  <si>
    <t xml:space="preserve">https://eur-lex.europa.eu/legal-content/EN/TXT/?uri=CELEX:32016R1963</t>
  </si>
  <si>
    <t xml:space="preserve">32018R0099</t>
  </si>
  <si>
    <t xml:space="preserve">2018-01-22</t>
  </si>
  <si>
    <t xml:space="preserve">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</si>
  <si>
    <t xml:space="preserve">https://eur-lex.europa.eu/legal-content/EN/TXT/?uri=CELEX:32018R0099</t>
  </si>
  <si>
    <t xml:space="preserve">32019R0532</t>
  </si>
  <si>
    <t xml:space="preserve">2019-03-28</t>
  </si>
  <si>
    <t xml:space="preserve">Commission Implementing Regulation (EU) 2019/532 of 28 March 2019 amending Implementing Regulation (EU) 2015/2378 as regards the standard forms, including linguistic arrangements, for the mandatory automatic exchange of information on reportable cross-border arrangements</t>
  </si>
  <si>
    <t xml:space="preserve">https://eur-lex.europa.eu/legal-content/EN/TXT/?uri=CELEX:32019R0532</t>
  </si>
  <si>
    <t xml:space="preserve">32022R1467</t>
  </si>
  <si>
    <t xml:space="preserve">2022-09-05</t>
  </si>
  <si>
    <t xml:space="preserve">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</si>
  <si>
    <t xml:space="preserve">https://eur-lex.europa.eu/legal-content/EN/TXT/?uri=CELEX:32022R1467</t>
  </si>
  <si>
    <t xml:space="preserve">32023R0823</t>
  </si>
  <si>
    <t xml:space="preserve">2023-04-13</t>
  </si>
  <si>
    <t xml:space="preserve">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</si>
  <si>
    <t xml:space="preserve">https://eur-lex.europa.eu/legal-content/EN/TXT/?uri=CELEX:32023R0823</t>
  </si>
  <si>
    <t xml:space="preserve">32023R2389</t>
  </si>
  <si>
    <t xml:space="preserve">2023-09-29</t>
  </si>
  <si>
    <t xml:space="preserve">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</si>
  <si>
    <t xml:space="preserve">https://eur-lex.europa.eu/legal-content/EN/TXT/?uri=CELEX:32023R2389</t>
  </si>
  <si>
    <t xml:space="preserve">32023R2693</t>
  </si>
  <si>
    <t xml:space="preserve">2023-11-30</t>
  </si>
  <si>
    <t xml:space="preserve">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</si>
  <si>
    <t xml:space="preserve">https://eur-lex.europa.eu/legal-content/EN/TXT/?uri=CELEX:32023R2693</t>
  </si>
  <si>
    <t xml:space="preserve">32024R0432</t>
  </si>
  <si>
    <t xml:space="preserve">2024-02-02</t>
  </si>
  <si>
    <t xml:space="preserve">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</si>
  <si>
    <t xml:space="preserve">https://eur-lex.europa.eu/legal-content/EN/TXT/?uri=CELEX:32024R0432</t>
  </si>
  <si>
    <t xml:space="preserve">32025R0648</t>
  </si>
  <si>
    <t xml:space="preserve">2025-04-02</t>
  </si>
  <si>
    <t xml:space="preserve">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</si>
  <si>
    <t xml:space="preserve">https://eur-lex.europa.eu/legal-content/EN/TXT/?uri=CELEX:32025R0648</t>
  </si>
  <si>
    <t xml:space="preserve">32025R1325</t>
  </si>
  <si>
    <t xml:space="preserve">2025-07-07</t>
  </si>
  <si>
    <t xml:space="preserve">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</si>
  <si>
    <t xml:space="preserve">https://eur-lex.europa.eu/legal-content/EN/TXT/?uri=CELEX:32025R1325</t>
  </si>
  <si>
    <t xml:space="preserve">32025R2263</t>
  </si>
  <si>
    <t xml:space="preserve">2025-11-12</t>
  </si>
  <si>
    <t xml:space="preserve">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</si>
  <si>
    <t xml:space="preserve">https://eur-lex.europa.eu/legal-content/EN/TXT/?uri=CELEX:32025R2263</t>
  </si>
  <si>
    <t xml:space="preserve">52018DC0043</t>
  </si>
  <si>
    <t xml:space="preserve">2018-01-24</t>
  </si>
  <si>
    <t xml:space="preserve">COMMUNICATION FROM THE COMMISSION TO THE EUROPEAN PARLIAMENT AND THE COUNCIL Stronger protection, new opportunities - Commission guidance on the direct application of the General Data Protection Regulation as of 25 May 2018</t>
  </si>
  <si>
    <t xml:space="preserve">https://eur-lex.europa.eu/legal-content/EN/TXT/?uri=CELEX:52018DC0043</t>
  </si>
  <si>
    <t xml:space="preserve">32019D0419</t>
  </si>
  <si>
    <t xml:space="preserve">2019-01-23</t>
  </si>
  <si>
    <t xml:space="preserve">Commission Implementing Decision (EU) 2019/419 of 23 January 2019 pursuant to Regulation (EU) 2016/679 of the European Parliament and of the Council on the adequate protection of personal data by Japan under the Act on the Protection of Personal Information (Text with EEA relevance)</t>
  </si>
  <si>
    <t xml:space="preserve">https://eur-lex.europa.eu/legal-content/EN/TXT/?uri=CELEX:32019D0419</t>
  </si>
  <si>
    <t xml:space="preserve">52020DC0264</t>
  </si>
  <si>
    <t xml:space="preserve">2020-06-24</t>
  </si>
  <si>
    <t xml:space="preserve">COMMUNICATION FROM THE COMMISSION TO THE EUROPEAN PARLIAMENT AND THE COUNCIL Data protection as a pillar of citizens’ empowerment and the EU’s approach to the digital transition - two years of application of the General Data Protection Regulation</t>
  </si>
  <si>
    <t xml:space="preserve">https://eur-lex.europa.eu/legal-content/EN/TXT/?uri=CELEX:52020DC0264</t>
  </si>
  <si>
    <t xml:space="preserve">32021D0914</t>
  </si>
  <si>
    <t xml:space="preserve">2021-06-04</t>
  </si>
  <si>
    <t xml:space="preserve">Commission Implementing Decision (EU) 2021/914 of 4 June 2021 on standard contractual clauses for the transfer of personal data to third countries pursuant to Regulation (EU) 2016/679 of the European Parliament and of the Council (Text with EEA relevance)</t>
  </si>
  <si>
    <t xml:space="preserve">https://eur-lex.europa.eu/legal-content/EN/TXT/?uri=CELEX:32021D0914</t>
  </si>
  <si>
    <t xml:space="preserve">32021D0915</t>
  </si>
  <si>
    <t xml:space="preserve">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</si>
  <si>
    <t xml:space="preserve">https://eur-lex.europa.eu/legal-content/EN/TXT/?uri=CELEX:32021D0915</t>
  </si>
  <si>
    <t xml:space="preserve">32021D1772</t>
  </si>
  <si>
    <t xml:space="preserve">Commission Implementing Decision (EU) 2021/1772 of 28 June 2021 pursuant to Regulation (EU) 2016/679 of the European Parliament and of the Council on the adequate protection of personal data by the United Kingdom (notified under document C(2021)4800) (Text with EEA relevance)</t>
  </si>
  <si>
    <t xml:space="preserve">https://eur-lex.europa.eu/legal-content/EN/TXT/?uri=CELEX:32021D1772</t>
  </si>
  <si>
    <t xml:space="preserve">32022D0254</t>
  </si>
  <si>
    <t xml:space="preserve">2021-12-17</t>
  </si>
  <si>
    <t xml:space="preserve">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</si>
  <si>
    <t xml:space="preserve">https://eur-lex.europa.eu/legal-content/EN/TXT/?uri=CELEX:32022D0254</t>
  </si>
  <si>
    <t xml:space="preserve">32023D0975</t>
  </si>
  <si>
    <t xml:space="preserve">2023-05-15</t>
  </si>
  <si>
    <t xml:space="preserve">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</si>
  <si>
    <t xml:space="preserve">https://eur-lex.europa.eu/legal-content/EN/TXT/?uri=CELEX:32023D0975</t>
  </si>
  <si>
    <t xml:space="preserve">32023D1795</t>
  </si>
  <si>
    <t xml:space="preserve">2023-07-10</t>
  </si>
  <si>
    <t xml:space="preserve">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</si>
  <si>
    <t xml:space="preserve">https://eur-lex.europa.eu/legal-content/EN/TXT/?uri=CELEX:32023D1795</t>
  </si>
  <si>
    <t xml:space="preserve">32025D1226</t>
  </si>
  <si>
    <t xml:space="preserve">2025-06-24</t>
  </si>
  <si>
    <t xml:space="preserve">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</si>
  <si>
    <t xml:space="preserve">https://eur-lex.europa.eu/legal-content/EN/TXT/?uri=CELEX:32025D1226</t>
  </si>
  <si>
    <t xml:space="preserve">32025D1382</t>
  </si>
  <si>
    <t xml:space="preserve">2025-07-15</t>
  </si>
  <si>
    <t xml:space="preserve">Commission Implementing Decision (EU) 2025/1382 of 15 July 2025 pursuant to Regulation (EU) 2016/679 of the European Parliament and of the Council on the adequate protection of personal data by the European Patent Organisation (notified under document C(2025) 4626)</t>
  </si>
  <si>
    <t xml:space="preserve">https://eur-lex.europa.eu/legal-content/EN/TXT/?uri=CELEX:32025D1382</t>
  </si>
  <si>
    <t xml:space="preserve">32025D2574</t>
  </si>
  <si>
    <t xml:space="preserve">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</si>
  <si>
    <t xml:space="preserve">https://eur-lex.europa.eu/legal-content/EN/TXT/?uri=CELEX:32025D2574</t>
  </si>
  <si>
    <t xml:space="preserve">32026D0179</t>
  </si>
  <si>
    <t xml:space="preserve">2026-01-26</t>
  </si>
  <si>
    <t xml:space="preserve">Commission Implementing Decision (EU) 2026/179 of 26 January 2026 pursuant to Regulation (EU) 2016/679 of the European Parliament and of the Council on the adequate level of protection of personal data by Brazil (notified under document C(2026) 373)</t>
  </si>
  <si>
    <t xml:space="preserve">https://eur-lex.europa.eu/legal-content/EN/TXT/?uri=CELEX:32026D0179</t>
  </si>
  <si>
    <t xml:space="preserve">32021D1773</t>
  </si>
  <si>
    <t xml:space="preserve">Commission Implementing Decision (EU) 2021/1773 of 28 June 2021 pursuant to Directive (EU) 2016/680 of the European Parliament and of the Council on the adequate protection of personal data by the United Kingdom (notified under document C(2021) 4801)</t>
  </si>
  <si>
    <t xml:space="preserve">https://eur-lex.europa.eu/legal-content/EN/TXT/?uri=CELEX:32021D1773</t>
  </si>
  <si>
    <t xml:space="preserve">32025D1225</t>
  </si>
  <si>
    <t xml:space="preserve">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</si>
  <si>
    <t xml:space="preserve">https://eur-lex.europa.eu/legal-content/EN/TXT/?uri=CELEX:32025D1225</t>
  </si>
  <si>
    <t xml:space="preserve">32025D2571</t>
  </si>
  <si>
    <t xml:space="preserve">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</si>
  <si>
    <t xml:space="preserve">https://eur-lex.europa.eu/legal-content/EN/TXT/?uri=CELEX:32025D2571</t>
  </si>
  <si>
    <t xml:space="preserve">32015D0296</t>
  </si>
  <si>
    <t xml:space="preserve">2015-02-24</t>
  </si>
  <si>
    <t xml:space="preserve">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</si>
  <si>
    <t xml:space="preserve">https://eur-lex.europa.eu/legal-content/EN/TXT/?uri=CELEX:32015D0296</t>
  </si>
  <si>
    <t xml:space="preserve">32015R0806</t>
  </si>
  <si>
    <t xml:space="preserve">2015-05-22</t>
  </si>
  <si>
    <t xml:space="preserve">Commission Implementing Regulation (EU) 2015/806 of 22 May 2015 laying down specifications relating to the form of the EU trust mark for qualified trust services (Text with EEA relevance)</t>
  </si>
  <si>
    <t xml:space="preserve">https://eur-lex.europa.eu/legal-content/EN/TXT/?uri=CELEX:32015R0806</t>
  </si>
  <si>
    <t xml:space="preserve">32015D1505</t>
  </si>
  <si>
    <t xml:space="preserve">2015-09-08</t>
  </si>
  <si>
    <t xml:space="preserve">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</si>
  <si>
    <t xml:space="preserve">https://eur-lex.europa.eu/legal-content/EN/TXT/?uri=CELEX:32015D1505</t>
  </si>
  <si>
    <t xml:space="preserve">32015D1506</t>
  </si>
  <si>
    <t xml:space="preserve">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</si>
  <si>
    <t xml:space="preserve">https://eur-lex.europa.eu/legal-content/EN/TXT/?uri=CELEX:32015D1506</t>
  </si>
  <si>
    <t xml:space="preserve">32015R1501</t>
  </si>
  <si>
    <t xml:space="preserve">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</si>
  <si>
    <t xml:space="preserve">https://eur-lex.europa.eu/legal-content/EN/TXT/?uri=CELEX:32015R1501</t>
  </si>
  <si>
    <t xml:space="preserve">32015R1502</t>
  </si>
  <si>
    <t xml:space="preserve">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</si>
  <si>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https://eur-lex.europa.eu/legal-content/EN/TXT/?uri=CELEX:32015R1502</t>
  </si>
  <si>
    <t xml:space="preserve">32015D1984</t>
  </si>
  <si>
    <t xml:space="preserve">2015-11-03</t>
  </si>
  <si>
    <t xml:space="preserve">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</si>
  <si>
    <t xml:space="preserve">https://eur-lex.europa.eu/legal-content/EN/TXT/?uri=CELEX:32015D1984</t>
  </si>
  <si>
    <t xml:space="preserve">32016D0650</t>
  </si>
  <si>
    <t xml:space="preserve">2016-04-25</t>
  </si>
  <si>
    <t xml:space="preserve">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</si>
  <si>
    <t xml:space="preserve">https://eur-lex.europa.eu/legal-content/EN/TXT/?uri=CELEX:32016D0650</t>
  </si>
  <si>
    <t xml:space="preserve">32022R0960</t>
  </si>
  <si>
    <t xml:space="preserve">2022-06-20</t>
  </si>
  <si>
    <t xml:space="preserve">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</si>
  <si>
    <t xml:space="preserve">https://eur-lex.europa.eu/legal-content/EN/TXT/?uri=CELEX:32022R0960</t>
  </si>
  <si>
    <t xml:space="preserve">32024R2977</t>
  </si>
  <si>
    <t xml:space="preserve">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</si>
  <si>
    <t xml:space="preserve">https://eur-lex.europa.eu/legal-content/EN/TXT/?uri=CELEX:32024R2977</t>
  </si>
  <si>
    <t xml:space="preserve">32024R2979</t>
  </si>
  <si>
    <t xml:space="preserve">Commission Implementing Regulation (EU) 2024/2979 of 28 November 2024 laying down rules for the application of Regulation (EU) No 910/2014 of the European Parliament and of the Council as regards the integrity and core functionalities of European Digital Identity Wallets</t>
  </si>
  <si>
    <t xml:space="preserve">https://eur-lex.europa.eu/legal-content/EN/TXT/?uri=CELEX:32024R2979</t>
  </si>
  <si>
    <t xml:space="preserve">32024R2980</t>
  </si>
  <si>
    <t xml:space="preserve">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</si>
  <si>
    <t xml:space="preserve">https://eur-lex.europa.eu/legal-content/EN/TXT/?uri=CELEX:32024R2980</t>
  </si>
  <si>
    <t xml:space="preserve">32024R2981</t>
  </si>
  <si>
    <t xml:space="preserve">Commission Implementing Regulation (EU) 2024/2981 of 28 November 2024 laying down rules for the application of Regulation (EU) No 910/2014 of the European Parliament and the Council as regards the certification of European Digital Identity Wallets</t>
  </si>
  <si>
    <t xml:space="preserve">https://eur-lex.europa.eu/legal-content/EN/TXT/?uri=CELEX:32024R2981</t>
  </si>
  <si>
    <t xml:space="preserve">32024R2982</t>
  </si>
  <si>
    <t xml:space="preserve">Commission Implementing Regulation (EU) 2024/2982 of 28 November 2024 laying down rules for the application of Regulation (EU) No 910/2014 of the European Parliament and of the Council as regards protocols and interfaces to be supported by the European Digital Identity Framework</t>
  </si>
  <si>
    <t xml:space="preserve">https://eur-lex.europa.eu/legal-content/EN/TXT/?uri=CELEX:32024R2982</t>
  </si>
  <si>
    <t xml:space="preserve">32025R0846</t>
  </si>
  <si>
    <t xml:space="preserve">2025-05-06</t>
  </si>
  <si>
    <t xml:space="preserve">Commission Implementing Regulation (EU) 2025/846 of 6 May 2025 laying down rules for the application of Regulation (EU) No 910/2014 of the European Parliament and of the Council as regards cross-border identity matching of natural persons</t>
  </si>
  <si>
    <t xml:space="preserve">https://eur-lex.europa.eu/legal-content/EN/TXT/?uri=CELEX:32025R0846</t>
  </si>
  <si>
    <t xml:space="preserve">32025R0847</t>
  </si>
  <si>
    <t xml:space="preserve">Commission Implementing Regulation (EU) 2025/847 of 6 May 2025 laying down rules for the application of Regulation (EU) No 910/2014 of the European Parliament and of the Council as regards reactions to security breaches of European Digital Identity Wallets</t>
  </si>
  <si>
    <t xml:space="preserve">https://eur-lex.europa.eu/legal-content/EN/TXT/?uri=CELEX:32025R0847</t>
  </si>
  <si>
    <t xml:space="preserve">32025R0848</t>
  </si>
  <si>
    <t xml:space="preserve">Commission Implementing Regulation (EU) 2025/848 of 6 May 2025 laying down rules for the application of Regulation (EU) No 910/2014 of the European Parliament and of the Council as regards the registration of wallet-relying parties</t>
  </si>
  <si>
    <t xml:space="preserve">https://eur-lex.europa.eu/legal-content/EN/TXT/?uri=CELEX:32025R0848</t>
  </si>
  <si>
    <t xml:space="preserve">32025R0849</t>
  </si>
  <si>
    <t xml:space="preserve">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</si>
  <si>
    <t xml:space="preserve">https://eur-lex.europa.eu/legal-content/EN/TXT/?uri=CELEX:32025R0849</t>
  </si>
  <si>
    <t xml:space="preserve">32025R1566</t>
  </si>
  <si>
    <t xml:space="preserve">2025-07-29</t>
  </si>
  <si>
    <t xml:space="preserve">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</si>
  <si>
    <t xml:space="preserve">https://eur-lex.europa.eu/legal-content/EN/TXT/?uri=CELEX:32025R1566</t>
  </si>
  <si>
    <t xml:space="preserve">32025R1567</t>
  </si>
  <si>
    <t xml:space="preserve">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</si>
  <si>
    <t xml:space="preserve">https://eur-lex.europa.eu/legal-content/EN/TXT/?uri=CELEX:32025R1567</t>
  </si>
  <si>
    <t xml:space="preserve">32025R1568</t>
  </si>
  <si>
    <t xml:space="preserve">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</si>
  <si>
    <t xml:space="preserve">https://eur-lex.europa.eu/legal-content/EN/TXT/?uri=CELEX:32025R1568</t>
  </si>
  <si>
    <t xml:space="preserve">32025R1569</t>
  </si>
  <si>
    <t xml:space="preserve">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</si>
  <si>
    <t xml:space="preserve">https://eur-lex.europa.eu/legal-content/EN/TXT/?uri=CELEX:32025R1569</t>
  </si>
  <si>
    <t xml:space="preserve">32025R1570</t>
  </si>
  <si>
    <t xml:space="preserve">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</si>
  <si>
    <t xml:space="preserve">https://eur-lex.europa.eu/legal-content/EN/TXT/?uri=CELEX:32025R1570</t>
  </si>
  <si>
    <t xml:space="preserve">32025R1571</t>
  </si>
  <si>
    <t xml:space="preserve">Commission Implementing Regulation (EU) 2025/1571 of 29 July 2025 laying down rules for the application of Regulation (EU) No 910/2014 of the European Parliament and of the Council as regards the formats and procedures for annual reports by supervisory bodies</t>
  </si>
  <si>
    <t xml:space="preserve">https://eur-lex.europa.eu/legal-content/EN/TXT/?uri=CELEX:32025R1571</t>
  </si>
  <si>
    <t xml:space="preserve">32025R1572</t>
  </si>
  <si>
    <t xml:space="preserve">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</si>
  <si>
    <t xml:space="preserve">https://eur-lex.europa.eu/legal-content/EN/TXT/?uri=CELEX:32025R1572</t>
  </si>
  <si>
    <t xml:space="preserve">32025R1929</t>
  </si>
  <si>
    <t xml:space="preserve">2025-09-29</t>
  </si>
  <si>
    <t xml:space="preserve">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</si>
  <si>
    <t xml:space="preserve">https://eur-lex.europa.eu/legal-content/EN/TXT/?uri=CELEX:32025R1929</t>
  </si>
  <si>
    <t xml:space="preserve">32025R1942</t>
  </si>
  <si>
    <t xml:space="preserve">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</si>
  <si>
    <t xml:space="preserve">https://eur-lex.europa.eu/legal-content/EN/TXT/?uri=CELEX:32025R1942</t>
  </si>
  <si>
    <t xml:space="preserve">32025R1943</t>
  </si>
  <si>
    <t xml:space="preserve">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</si>
  <si>
    <t xml:space="preserve">https://eur-lex.europa.eu/legal-content/EN/TXT/?uri=CELEX:32025R1943</t>
  </si>
  <si>
    <t xml:space="preserve">32025R1944</t>
  </si>
  <si>
    <t xml:space="preserve">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</si>
  <si>
    <t xml:space="preserve">https://eur-lex.europa.eu/legal-content/EN/TXT/?uri=CELEX:32025R1944</t>
  </si>
  <si>
    <t xml:space="preserve">32025R1945</t>
  </si>
  <si>
    <t xml:space="preserve">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</si>
  <si>
    <t xml:space="preserve">https://eur-lex.europa.eu/legal-content/EN/TXT/?uri=CELEX:32025R1945</t>
  </si>
  <si>
    <t xml:space="preserve">32025R1946</t>
  </si>
  <si>
    <t xml:space="preserve">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</si>
  <si>
    <t xml:space="preserve">https://eur-lex.europa.eu/legal-content/EN/TXT/?uri=CELEX:32025R1946</t>
  </si>
  <si>
    <t xml:space="preserve">32025D2164</t>
  </si>
  <si>
    <t xml:space="preserve">2025-10-27</t>
  </si>
  <si>
    <t xml:space="preserve">Commission Implementing Decision (EU) 2025/2164 of 27 October 2025 amending Implementing Decision (EU) 2015/1505 as regards the version of the standard on which the common template for the trusted lists is based</t>
  </si>
  <si>
    <t xml:space="preserve">https://eur-lex.europa.eu/legal-content/EN/TXT/?uri=CELEX:32025D2164</t>
  </si>
  <si>
    <t xml:space="preserve">32025R2160</t>
  </si>
  <si>
    <t xml:space="preserve">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</si>
  <si>
    <t xml:space="preserve">https://eur-lex.europa.eu/legal-content/EN/TXT/?uri=CELEX:32025R2160</t>
  </si>
  <si>
    <t xml:space="preserve">32025R2162</t>
  </si>
  <si>
    <t xml:space="preserve">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</si>
  <si>
    <t xml:space="preserve">https://eur-lex.europa.eu/legal-content/EN/TXT/?uri=CELEX:32025R2162</t>
  </si>
  <si>
    <t xml:space="preserve">32025R2527</t>
  </si>
  <si>
    <t xml:space="preserve">Commission Implementing Regulation (EU) 2025/2527 of 16 December 2025 laying down rules for the application of Regulation (EU) No 910/2014 of the European Parliament and of the Council as regards reference standards for qualified certificates for website authentication</t>
  </si>
  <si>
    <t xml:space="preserve">https://eur-lex.europa.eu/legal-content/EN/TXT/?uri=CELEX:32025R2527</t>
  </si>
  <si>
    <t xml:space="preserve">32025R2530</t>
  </si>
  <si>
    <t xml:space="preserve">Commission Implementing Regulation (EU) 2025/2530 of 16 December 2025 laying down rules for the application of Regulation (EU) No 910/2014 of the European Parliament and of the Council as regards requirements for qualified trust service providers providing qualified trust services</t>
  </si>
  <si>
    <t xml:space="preserve">https://eur-lex.europa.eu/legal-content/EN/TXT/?uri=CELEX:32025R2530</t>
  </si>
  <si>
    <t xml:space="preserve">32025R2531</t>
  </si>
  <si>
    <t xml:space="preserve">Commission Implementing Regulation (EU) 2025/2531 of 16 December 2025 laying down rules for the application of Regulation (EU) No 910/2014 of the European Parliament and of the Council as regards reference standards and specifications for qualified electronic ledgers</t>
  </si>
  <si>
    <t xml:space="preserve">https://eur-lex.europa.eu/legal-content/EN/TXT/?uri=CELEX:32025R2531</t>
  </si>
  <si>
    <t xml:space="preserve">32025R2532</t>
  </si>
  <si>
    <t xml:space="preserve">Commission Implementing Regulation (EU) 2025/2532 of 16 December 2025 laying down rules for the application of Regulation (EU) No 910/2014 of the European Parliament and of the Council as regards reference standards and specifications for qualified electronic archiving services</t>
  </si>
  <si>
    <t xml:space="preserve">https://eur-lex.europa.eu/legal-content/EN/TXT/?uri=CELEX:32025R2532</t>
  </si>
  <si>
    <t xml:space="preserve">32026R0248</t>
  </si>
  <si>
    <t xml:space="preserve">2026-02-02</t>
  </si>
  <si>
    <t xml:space="preserve">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</si>
  <si>
    <t xml:space="preserve">https://eur-lex.europa.eu/legal-content/EN/TXT/?uri=CELEX:32026R0248</t>
  </si>
  <si>
    <t xml:space="preserve">32026R0798</t>
  </si>
  <si>
    <t xml:space="preserve">2026-04-07</t>
  </si>
  <si>
    <t xml:space="preserve">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</si>
  <si>
    <t xml:space="preserve">https://eur-lex.europa.eu/legal-content/EN/TXT/?uri=CELEX:32026R0798</t>
  </si>
  <si>
    <t xml:space="preserve">32026R1730</t>
  </si>
  <si>
    <t xml:space="preserve">2026-07-15</t>
  </si>
  <si>
    <t xml:space="preserve">Commission Implementing Regulation (EU) 2026/1730 of 15 July 2026 amending Implementing Regulation (EU) 2025/848 as regards applicable standards and specifications</t>
  </si>
  <si>
    <t xml:space="preserve">https://eur-lex.europa.eu/legal-content/EN/TXT/?uri=CELEX:32026R1730</t>
  </si>
  <si>
    <t xml:space="preserve">32026R1731</t>
  </si>
  <si>
    <t xml:space="preserve">Commission Implementing Regulation (EU) 2026/1731 of 15 July 2026 amending Implementing Regulations (EU) 2024/2977, (EU) 2024/2979, (EU) 2024/2980 and (EU) 2024/2982 as regards applicable standards and specifications</t>
  </si>
  <si>
    <t xml:space="preserve">https://eur-lex.europa.eu/legal-content/EN/TXT/?uri=CELEX:32026R1731</t>
  </si>
  <si>
    <t xml:space="preserve">32026R1735</t>
  </si>
  <si>
    <t xml:space="preserve">Commission Implementing Regulation (EU) 2026/1735 of 15 July 2026 amending Implementing Regulation (EU) 2025/1569 as regards applicable standards and specifications</t>
  </si>
  <si>
    <t xml:space="preserve">https://eur-lex.europa.eu/legal-content/EN/TXT/?uri=CELEX:32026R1735</t>
  </si>
  <si>
    <t xml:space="preserve">32017R2055</t>
  </si>
  <si>
    <t xml:space="preserve">2017-06-23</t>
  </si>
  <si>
    <t xml:space="preserve">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</si>
  <si>
    <t xml:space="preserve">https://eur-lex.europa.eu/legal-content/EN/TXT/?uri=CELEX:32017R2055</t>
  </si>
  <si>
    <t xml:space="preserve">32018R0389</t>
  </si>
  <si>
    <t xml:space="preserve">2017-11-27</t>
  </si>
  <si>
    <t xml:space="preserve">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</si>
  <si>
    <t xml:space="preserve">https://eur-lex.europa.eu/legal-content/EN/TXT/?uri=CELEX:32018R0389</t>
  </si>
  <si>
    <t xml:space="preserve">32019R0410</t>
  </si>
  <si>
    <t xml:space="preserve">2018-11-29</t>
  </si>
  <si>
    <t xml:space="preserve">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</si>
  <si>
    <t xml:space="preserve">https://eur-lex.europa.eu/legal-content/EN/TXT/?uri=CELEX:32019R0410</t>
  </si>
  <si>
    <t xml:space="preserve">32019R0411</t>
  </si>
  <si>
    <t xml:space="preserve">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</si>
  <si>
    <t xml:space="preserve">https://eur-lex.europa.eu/legal-content/EN/TXT/?uri=CELEX:32019R0411</t>
  </si>
  <si>
    <t xml:space="preserve">32020R1423</t>
  </si>
  <si>
    <t xml:space="preserve">2019-03-14</t>
  </si>
  <si>
    <t xml:space="preserve">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</si>
  <si>
    <t xml:space="preserve">https://eur-lex.europa.eu/legal-content/EN/TXT/?uri=CELEX:32020R1423</t>
  </si>
  <si>
    <t xml:space="preserve">32021R1722</t>
  </si>
  <si>
    <t xml:space="preserve">2021-07-18</t>
  </si>
  <si>
    <t xml:space="preserve">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</si>
  <si>
    <t xml:space="preserve">https://eur-lex.europa.eu/legal-content/EN/TXT/?uri=CELEX:32021R1722</t>
  </si>
  <si>
    <t xml:space="preserve">32022R2360</t>
  </si>
  <si>
    <t xml:space="preserve">2022-08-03</t>
  </si>
  <si>
    <t xml:space="preserve">Commission Delegated Regulation (EU) 2022/2360 of 3 August 2022 amending the regulatory technical standards laid down in Delegated Regulation (EU) 2018/389 as regards the 90-day exemption for account access (Text with EEA relevance)</t>
  </si>
  <si>
    <t xml:space="preserve">https://eur-lex.europa.eu/legal-content/EN/TXT/?uri=CELEX:32022R2360</t>
  </si>
  <si>
    <t xml:space="preserve">32023R1650</t>
  </si>
  <si>
    <t xml:space="preserve">2023-08-15</t>
  </si>
  <si>
    <t xml:space="preserve">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</si>
  <si>
    <t xml:space="preserve">https://eur-lex.europa.eu/legal-content/EN/TXT/?uri=CELEX:32023R1650</t>
  </si>
  <si>
    <t xml:space="preserve">32025R0212</t>
  </si>
  <si>
    <t xml:space="preserve">2024-09-13</t>
  </si>
  <si>
    <t xml:space="preserve">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</si>
  <si>
    <t xml:space="preserve">https://eur-lex.europa.eu/legal-content/EN/TXT/?uri=CELEX:32025R0212</t>
  </si>
  <si>
    <t xml:space="preserve">32025R2592</t>
  </si>
  <si>
    <t xml:space="preserve">2025-12-17</t>
  </si>
  <si>
    <t xml:space="preserve">Commission Implementing Regulation (EU) 2025/2592 of 17 December 2025 for the application of Regulation (EU) 2015/2120 of the European Parliament and of the Council as regards fair use, based on typical usage patterns, and anti-fraud measures for intra-EU communications</t>
  </si>
  <si>
    <t xml:space="preserve">https://eur-lex.europa.eu/legal-content/EN/TXT/?uri=CELEX:32025R2592</t>
  </si>
  <si>
    <t xml:space="preserve">32020R2244</t>
  </si>
  <si>
    <t xml:space="preserve">2020-12-17</t>
  </si>
  <si>
    <t xml:space="preserve">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</si>
  <si>
    <t xml:space="preserve">https://eur-lex.europa.eu/legal-content/EN/TXT/?uri=CELEX:32020R2244</t>
  </si>
  <si>
    <t xml:space="preserve">32021R1042</t>
  </si>
  <si>
    <t xml:space="preserve">2021-06-18</t>
  </si>
  <si>
    <t xml:space="preserve">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</si>
  <si>
    <t xml:space="preserve">https://eur-lex.europa.eu/legal-content/EN/TXT/?uri=CELEX:32021R1042</t>
  </si>
  <si>
    <t xml:space="preserve">32019D2213</t>
  </si>
  <si>
    <t xml:space="preserve">2019-12-20</t>
  </si>
  <si>
    <t xml:space="preserve">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</si>
  <si>
    <t xml:space="preserve">https://eur-lex.europa.eu/legal-content/EN/TXT/?uri=CELEX:32019D2213</t>
  </si>
  <si>
    <t xml:space="preserve">32019R2243</t>
  </si>
  <si>
    <t xml:space="preserve">2019-12-17</t>
  </si>
  <si>
    <t xml:space="preserve">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</si>
  <si>
    <t xml:space="preserve">https://eur-lex.europa.eu/legal-content/EN/TXT/?uri=CELEX:32019R2243</t>
  </si>
  <si>
    <t xml:space="preserve">32020R0911</t>
  </si>
  <si>
    <t xml:space="preserve">2020-06-30</t>
  </si>
  <si>
    <t xml:space="preserve">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</si>
  <si>
    <t xml:space="preserve">https://eur-lex.europa.eu/legal-content/EN/TXT/?uri=CELEX:32020R0911</t>
  </si>
  <si>
    <t xml:space="preserve">32020R1070</t>
  </si>
  <si>
    <t xml:space="preserve">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</si>
  <si>
    <t xml:space="preserve">https://eur-lex.europa.eu/legal-content/EN/TXT/?uri=CELEX:32020R1070</t>
  </si>
  <si>
    <t xml:space="preserve">32020H2245</t>
  </si>
  <si>
    <t xml:space="preserve">RECO</t>
  </si>
  <si>
    <t xml:space="preserve">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</si>
  <si>
    <t xml:space="preserve">https://eur-lex.europa.eu/legal-content/EN/TXT/?uri=CELEX:32020H2245</t>
  </si>
  <si>
    <t xml:space="preserve">32021R0654</t>
  </si>
  <si>
    <t xml:space="preserve">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</si>
  <si>
    <t xml:space="preserve">https://eur-lex.europa.eu/legal-content/EN/TXT/?uri=CELEX:32021R0654</t>
  </si>
  <si>
    <t xml:space="preserve">32021H0554</t>
  </si>
  <si>
    <t xml:space="preserve">2021-03-30</t>
  </si>
  <si>
    <t xml:space="preserve">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</si>
  <si>
    <t xml:space="preserve">https://eur-lex.europa.eu/legal-content/EN/TXT/?uri=CELEX:32021H0554</t>
  </si>
  <si>
    <t xml:space="preserve">32023D0468</t>
  </si>
  <si>
    <t xml:space="preserve">2022-11-25</t>
  </si>
  <si>
    <t xml:space="preserve">Commission Implementing Decision (EU) 2023/468 of 25 November 2022 amending Decision 2007/116/EC as regards the introduction of an additional reserved number beginning with 116 (notified under document C(2022) 8407)</t>
  </si>
  <si>
    <t xml:space="preserve">https://eur-lex.europa.eu/legal-content/EN/TXT/?uri=CELEX:32023D0468</t>
  </si>
  <si>
    <t xml:space="preserve">32023R0444</t>
  </si>
  <si>
    <t xml:space="preserve">2022-12-16</t>
  </si>
  <si>
    <t xml:space="preserve">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</si>
  <si>
    <t xml:space="preserve">https://eur-lex.europa.eu/legal-content/EN/TXT/?uri=CELEX:32023R0444</t>
  </si>
  <si>
    <t xml:space="preserve">32024R2000</t>
  </si>
  <si>
    <t xml:space="preserve">2024-07-24</t>
  </si>
  <si>
    <t xml:space="preserve">Commission Implementing Regulation (EU) 2024/2000 of 24 July 2024 amending Implementing Regulation (EU) 2020/1070 to rationalise reporting on its application and to enable the usage of active antenna systems</t>
  </si>
  <si>
    <t xml:space="preserve">https://eur-lex.europa.eu/legal-content/EN/TXT/?uri=CELEX:32024R2000</t>
  </si>
  <si>
    <t xml:space="preserve">52021DC0288</t>
  </si>
  <si>
    <t xml:space="preserve">COMMUNICATION FROM THE COMMISSION TO THE EUROPEAN PARLIAMENT AND THE COUNCIL Guidance on Article 17 of Directive 2019/790 on Copyright in the Digital Single Market</t>
  </si>
  <si>
    <t xml:space="preserve">https://eur-lex.europa.eu/legal-content/EN/TXT/?uri=CELEX:52021DC0288</t>
  </si>
  <si>
    <t xml:space="preserve">52019XC0731(01)</t>
  </si>
  <si>
    <t xml:space="preserve">Commission notice — Guidelines for the implementation of the single digital gateway Regulation — 2019-2020 work programme</t>
  </si>
  <si>
    <t xml:space="preserve">https://eur-lex.europa.eu/legal-content/EN/TXT/?uri=CELEX:52019XC0731(01)</t>
  </si>
  <si>
    <t xml:space="preserve">32020R1121</t>
  </si>
  <si>
    <t xml:space="preserve">2020-07-29</t>
  </si>
  <si>
    <t xml:space="preserve">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</si>
  <si>
    <t xml:space="preserve">https://eur-lex.europa.eu/legal-content/EN/TXT/?uri=CELEX:32020R1121</t>
  </si>
  <si>
    <t xml:space="preserve">52021XC0301(02)</t>
  </si>
  <si>
    <t xml:space="preserve">2021-03-01</t>
  </si>
  <si>
    <t xml:space="preserve">Commission Notice Guidelines for the implementation of the single digital gateway Regulation 2021-2022 work programme (Text with EEA relevance) 2021/C 71/02</t>
  </si>
  <si>
    <t xml:space="preserve">https://eur-lex.europa.eu/legal-content/EN/TXT/?uri=CELEX:52021XC0301(02)</t>
  </si>
  <si>
    <t xml:space="preserve">32022R1463</t>
  </si>
  <si>
    <t xml:space="preserve">2022-08-05</t>
  </si>
  <si>
    <t xml:space="preserve">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</si>
  <si>
    <t xml:space="preserve">https://eur-lex.europa.eu/legal-content/EN/TXT/?uri=CELEX:32022R1463</t>
  </si>
  <si>
    <t xml:space="preserve">52023XC0515(02)</t>
  </si>
  <si>
    <t xml:space="preserve">Commission Notice Guidelines for the implementation of the single digital gateway Regulation 2023-2024 work programme 2023/C 172/02</t>
  </si>
  <si>
    <t xml:space="preserve">https://eur-lex.europa.eu/legal-content/EN/TXT/?uri=CELEX:52023XC0515(02)</t>
  </si>
  <si>
    <t xml:space="preserve">52025XC05013</t>
  </si>
  <si>
    <t xml:space="preserve">2025-09-16</t>
  </si>
  <si>
    <t xml:space="preserve">COMMISSION NOTICE – Guidelines for the implementation of the Single Digital Gateway Regulation 2025-2026 work programme</t>
  </si>
  <si>
    <t xml:space="preserve">https://eur-lex.europa.eu/legal-content/EN/TXT/?uri=CELEX:52025XC05013</t>
  </si>
  <si>
    <t xml:space="preserve">32024R0482</t>
  </si>
  <si>
    <t xml:space="preserve">2024-01-31</t>
  </si>
  <si>
    <t xml:space="preserve">Commission Implementing Regulation (EU) 2024/482 of 31 January 2024 laying down rules for the application of Regulation (EU) 2019/881 of the European Parliament and of the Council as regards the adoption of the European Common Criteria-based cybersecurity certification scheme (EUCC)</t>
  </si>
  <si>
    <t xml:space="preserve">https://eur-lex.europa.eu/legal-content/EN/TXT/?uri=CELEX:32024R0482</t>
  </si>
  <si>
    <t xml:space="preserve">32024R3143</t>
  </si>
  <si>
    <t xml:space="preserve">2024-12-18</t>
  </si>
  <si>
    <t xml:space="preserve">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</si>
  <si>
    <t xml:space="preserve">https://eur-lex.europa.eu/legal-content/EN/TXT/?uri=CELEX:32024R3143</t>
  </si>
  <si>
    <t xml:space="preserve">32024R3144</t>
  </si>
  <si>
    <t xml:space="preserve">Commission Implementing Regulation (EU) 2024/3144 of 18 December 2024 amending Implementing Regulation (EU) 2024/482 as regards applicable international standards and correcting that Implementing Regulation</t>
  </si>
  <si>
    <t xml:space="preserve">https://eur-lex.europa.eu/legal-content/EN/TXT/?uri=CELEX:32024R3144</t>
  </si>
  <si>
    <t xml:space="preserve">32025R2462</t>
  </si>
  <si>
    <t xml:space="preserve">Commission Implementing Regulation (EU) 2025/2462 of 8 December 2025 amending Implementing Regulation (EU) 2024/482 as regards definitions, ICT product series certification, assurance continuity and state-of-the-art documents</t>
  </si>
  <si>
    <t xml:space="preserve">https://eur-lex.europa.eu/legal-content/EN/TXT/?uri=CELEX:32025R2462</t>
  </si>
  <si>
    <t xml:space="preserve">32025R2540</t>
  </si>
  <si>
    <t xml:space="preserve">2025-12-09</t>
  </si>
  <si>
    <t xml:space="preserve">Commission Implementing Regulation (EU) 2025/2540 of 9 December 2025 laying down rules for the application of Regulation (EU) 2019/881 of the European Parliament and of the Council as regards the establishment of the plan for peer review</t>
  </si>
  <si>
    <t xml:space="preserve">https://eur-lex.europa.eu/legal-content/EN/TXT/?uri=CELEX:32025R2540</t>
  </si>
  <si>
    <t xml:space="preserve">52019DC0250</t>
  </si>
  <si>
    <t xml:space="preserve">2019-05-29</t>
  </si>
  <si>
    <t xml:space="preserve">COMMUNICATION FROM THE COMMISSION TO THE EUROPEAN PARLIAMENT AND THE COUNCIL Guidance on the Regulation on a framework for the free flow of non-personal data in the European Union</t>
  </si>
  <si>
    <t xml:space="preserve">https://eur-lex.europa.eu/legal-content/EN/TXT/?uri=CELEX:52019DC0250</t>
  </si>
  <si>
    <t xml:space="preserve">52020XC0326(03)</t>
  </si>
  <si>
    <t xml:space="preserve">2020-03-26</t>
  </si>
  <si>
    <t xml:space="preserve">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</si>
  <si>
    <t xml:space="preserve">https://eur-lex.europa.eu/legal-content/EN/TXT/?uri=CELEX:52020XC0326(03)</t>
  </si>
  <si>
    <t xml:space="preserve">32020R1298</t>
  </si>
  <si>
    <t xml:space="preserve">Commission Delegated Regulation (EU) 2020/1298 of 13 July 2020 amending the Annex to Regulation (EU) 2019/452 of the European Parliament and of the Council establishing a framework for the screening of foreign direct investments into the Union</t>
  </si>
  <si>
    <t xml:space="preserve">https://eur-lex.europa.eu/legal-content/EN/TXT/?uri=CELEX:32020R1298</t>
  </si>
  <si>
    <t xml:space="preserve">32021R2126</t>
  </si>
  <si>
    <t xml:space="preserve">Commission Delegated Regulation (EU) 2021/2126 of 29 September 2021 amending the Annex to Regulation (EU) 2019/452 of the European Parliament and of the Council establishing a framework for the screening of foreign direct investments into the Union</t>
  </si>
  <si>
    <t xml:space="preserve">https://eur-lex.europa.eu/legal-content/EN/TXT/?uri=CELEX:32021R2126</t>
  </si>
  <si>
    <t xml:space="preserve">52021XC0323(01)</t>
  </si>
  <si>
    <t xml:space="preserve">2021-03-23</t>
  </si>
  <si>
    <t xml:space="preserve">Commission Notice Guidelines for economic operators and market surveillance authorities on the practical implementation of Article 4 of Regulation (EU) 2019/1020 on market surveillance and compliance of products (Text with EEA relevance) 2021/C 100/01</t>
  </si>
  <si>
    <t xml:space="preserve">https://eur-lex.europa.eu/legal-content/EN/TXT/?uri=CELEX:52021XC0323(01)</t>
  </si>
  <si>
    <t xml:space="preserve">32021R1121</t>
  </si>
  <si>
    <t xml:space="preserve">2021-07-08</t>
  </si>
  <si>
    <t xml:space="preserve">Commission Implementing Regulation (EU) 2021/1121 of 8 July 2021 specifying the details of the statistical data to be submitted by the Member States as regards controls on products entering the Union market with regard to product safety and compliance (Text with EEA relevance)</t>
  </si>
  <si>
    <t xml:space="preserve">https://eur-lex.europa.eu/legal-content/EN/TXT/?uri=CELEX:32021R1121</t>
  </si>
  <si>
    <t xml:space="preserve">32021R2248</t>
  </si>
  <si>
    <t xml:space="preserve">2021-12-16</t>
  </si>
  <si>
    <t xml:space="preserve">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</si>
  <si>
    <t xml:space="preserve">https://eur-lex.europa.eu/legal-content/EN/TXT/?uri=CELEX:32021R2248</t>
  </si>
  <si>
    <t xml:space="preserve">32022R1267</t>
  </si>
  <si>
    <t xml:space="preserve">2022-07-20</t>
  </si>
  <si>
    <t xml:space="preserve">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</si>
  <si>
    <t xml:space="preserve">https://eur-lex.europa.eu/legal-content/EN/TXT/?uri=CELEX:32022R1267</t>
  </si>
  <si>
    <t xml:space="preserve">32023D0733</t>
  </si>
  <si>
    <t xml:space="preserve">2023-04-03</t>
  </si>
  <si>
    <t xml:space="preserve">Commission Implementing Decision (EU) 2023/733 of 3 April 2023 designating Union testing facilities for radio equipment and toys in accordance with Regulation (EU) 2019/1020 of the European Parliament and of the Council</t>
  </si>
  <si>
    <t xml:space="preserve">https://eur-lex.europa.eu/legal-content/EN/TXT/?uri=CELEX:32023D0733</t>
  </si>
  <si>
    <t xml:space="preserve">32023R2712</t>
  </si>
  <si>
    <t xml:space="preserve">2023-12-05</t>
  </si>
  <si>
    <t xml:space="preserve">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</si>
  <si>
    <t xml:space="preserve">https://eur-lex.europa.eu/legal-content/EN/TXT/?uri=CELEX:32023R2712</t>
  </si>
  <si>
    <t xml:space="preserve">32024D1456</t>
  </si>
  <si>
    <t xml:space="preserve">Commission Implementing Decision (EU) 2024/1456 of 27 May 2024 designating a Union testing facility for eco-design and energy labelling in accordance with Regulation (EU) 2019/1020 of the European Parliament and of the Council</t>
  </si>
  <si>
    <t xml:space="preserve">https://eur-lex.europa.eu/legal-content/EN/TXT/?uri=CELEX:32024D1456</t>
  </si>
  <si>
    <t xml:space="preserve">32024R2216</t>
  </si>
  <si>
    <t xml:space="preserve">2024-09-06</t>
  </si>
  <si>
    <t xml:space="preserve">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</si>
  <si>
    <t xml:space="preserve">https://eur-lex.europa.eu/legal-content/EN/TXT/?uri=CELEX:32024R2216</t>
  </si>
  <si>
    <t xml:space="preserve">32025D0526</t>
  </si>
  <si>
    <t xml:space="preserve">2025-03-21</t>
  </si>
  <si>
    <t xml:space="preserve">Commission Implementing Decision (EU) 2025/526 of 21 March 2025 designating a Union testing facility for electromagnetic compatibility in accordance with Regulation (EU) 2019/1020 of the European Parliament and of the Council</t>
  </si>
  <si>
    <t xml:space="preserve">https://eur-lex.europa.eu/legal-content/EN/TXT/?uri=CELEX:32025D0526</t>
  </si>
  <si>
    <t xml:space="preserve">32026D1481</t>
  </si>
  <si>
    <t xml:space="preserve">2026-07-02</t>
  </si>
  <si>
    <t xml:space="preserve">Commission Implementing Decision (EU) 2026/1481 of 2 July 2026 designating a Union testing facility for textiles in accordance with Regulation (EU) 2019/1020 of the European Parliament and of the Council</t>
  </si>
  <si>
    <t xml:space="preserve">https://eur-lex.europa.eu/legal-content/EN/TXT/?uri=CELEX:32026D1481</t>
  </si>
  <si>
    <t xml:space="preserve">32025R1550</t>
  </si>
  <si>
    <t xml:space="preserve">2025-07-28</t>
  </si>
  <si>
    <t xml:space="preserve">Commission Implementing Regulation (EU) 2025/1550 of 28 July 2025 establishing the technical specifications and other requirements for the decentralised IT system, referred to in Regulation (EU) 2023/1543 of the European Parliament and of the Council</t>
  </si>
  <si>
    <t xml:space="preserve">https://eur-lex.europa.eu/legal-content/EN/TXT/?uri=CELEX:32025R1550</t>
  </si>
  <si>
    <t xml:space="preserve">32023R0138</t>
  </si>
  <si>
    <t xml:space="preserve">2022-12-21</t>
  </si>
  <si>
    <t xml:space="preserve">Commission Implementing Regulation (EU) 2023/138 of 21 December 2022 laying down a list of specific high-value datasets and the arrangements for their publication and re-use (Text with EEA relevance)</t>
  </si>
  <si>
    <t xml:space="preserve">https://eur-lex.europa.eu/legal-content/EN/TXT/?uri=CELEX:32023R0138</t>
  </si>
  <si>
    <t xml:space="preserve">52020XC1208(01)</t>
  </si>
  <si>
    <t xml:space="preserve">2020-12-08</t>
  </si>
  <si>
    <t xml:space="preserve">Commission Notice Guidelines on ranking transparency pursuant to Regulation (EU) 2019/1150 of the European Parliament and of the Council 2020/C 424/01</t>
  </si>
  <si>
    <t xml:space="preserve">https://eur-lex.europa.eu/legal-content/EN/TXT/?uri=CELEX:52020XC1208(01)</t>
  </si>
  <si>
    <t xml:space="preserve">32023D1534</t>
  </si>
  <si>
    <t xml:space="preserve">2023-07-24</t>
  </si>
  <si>
    <t xml:space="preserve">Commission Implementing Decision (EU) 2023/1534 of 24 July 2023 selecting the entities forming the initial network of European Digital Innovation Hubs in accordance with Regulation (EU) 2021/694 of the European Parliament and of the Council (Text with EEA relevance)</t>
  </si>
  <si>
    <t xml:space="preserve">https://eur-lex.europa.eu/legal-content/EN/TXT/?uri=CELEX:32023D1534</t>
  </si>
  <si>
    <t xml:space="preserve">32021D0626</t>
  </si>
  <si>
    <t xml:space="preserve">2021-04-14</t>
  </si>
  <si>
    <t xml:space="preserve">Commission Implementing Decision (EU) 2021/626 of 14 April 2021 establishing the InvestEU Portal and setting out its technical specifications</t>
  </si>
  <si>
    <t xml:space="preserve">https://eur-lex.europa.eu/legal-content/EN/TXT/?uri=CELEX:32021D0626</t>
  </si>
  <si>
    <t xml:space="preserve">32021R1078</t>
  </si>
  <si>
    <t xml:space="preserve">Commission Delegated Regulation (EU) 2021/1078 of 14 April 2021 supplementing Regulation (EU) 2021/523 of the European Parliament and of the Council by setting out the investment guidelines for the InvestEU Fund</t>
  </si>
  <si>
    <t xml:space="preserve">https://eur-lex.europa.eu/legal-content/EN/TXT/?uri=CELEX:32021R1078</t>
  </si>
  <si>
    <t xml:space="preserve">32021R1702</t>
  </si>
  <si>
    <t xml:space="preserve">2021-07-12</t>
  </si>
  <si>
    <t xml:space="preserve">Commission Delegated Regulation (EU) 2021/1702 of 12 July 2021 supplementing Regulation (EU) 2021/523 of the European Parliament and of the Council by setting out additional elements and detailed rules for the InvestEU Scoreboard</t>
  </si>
  <si>
    <t xml:space="preserve">https://eur-lex.europa.eu/legal-content/EN/TXT/?uri=CELEX:32021R1702</t>
  </si>
  <si>
    <t xml:space="preserve">52021XC0713(02)</t>
  </si>
  <si>
    <t xml:space="preserve">Commission Notice – Technical guidance on sustainability proofing for the InvestEU Fund</t>
  </si>
  <si>
    <t xml:space="preserve">https://eur-lex.europa.eu/legal-content/EN/TXT/?uri=CELEX:52021XC0713(02)</t>
  </si>
  <si>
    <t xml:space="preserve">52021XC0916(03)</t>
  </si>
  <si>
    <t xml:space="preserve">2021-09-16</t>
  </si>
  <si>
    <t xml:space="preserve">Commission Notice — Technical guidance on the climate proofing of infrastructure in the period 2021-2027</t>
  </si>
  <si>
    <t xml:space="preserve">https://eur-lex.europa.eu/legal-content/EN/TXT/?uri=CELEX:52021XC0916(03)</t>
  </si>
  <si>
    <t xml:space="preserve">32022D1980</t>
  </si>
  <si>
    <t xml:space="preserve">Commission Implementing Decision (EU) 2022/1980 of 19 October 2022 amending Implementing Decision (EU) 2021/626 establishing the InvestEU Portal and setting out its technical specifications (Text with EEA relevance)</t>
  </si>
  <si>
    <t xml:space="preserve">https://eur-lex.europa.eu/legal-content/EN/TXT/?uri=CELEX:32022D1980</t>
  </si>
  <si>
    <t xml:space="preserve">32025R1774</t>
  </si>
  <si>
    <t xml:space="preserve">2025-08-28</t>
  </si>
  <si>
    <t xml:space="preserve">Commission Delegated Regulation (EU) 2025/1774 of 28 August 2025 amending Delegated Regulation (EU) 2021/1078 as regards strategic investments in the field of defence set out in the investment guidelines for the InvestEU Fund</t>
  </si>
  <si>
    <t xml:space="preserve">https://eur-lex.europa.eu/legal-content/EN/TXT/?uri=CELEX:32025R1774</t>
  </si>
  <si>
    <t xml:space="preserve">32021R1328</t>
  </si>
  <si>
    <t xml:space="preserve">2021-08-10</t>
  </si>
  <si>
    <t xml:space="preserve">Commission Implementing Regulation (EU) 2021/1328 of 10 August 2021 specifying the infrastructure requirements applicable to certain categories of dual-use infrastructure actions pursuant to Regulation (EU) 2021/1153 of the European Parliament and of the Council</t>
  </si>
  <si>
    <t xml:space="preserve">https://eur-lex.europa.eu/legal-content/EN/TXT/?uri=CELEX:32021R1328</t>
  </si>
  <si>
    <t xml:space="preserve">32022R0342</t>
  </si>
  <si>
    <t xml:space="preserve">2021-12-21</t>
  </si>
  <si>
    <t xml:space="preserve">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</si>
  <si>
    <t xml:space="preserve">https://eur-lex.europa.eu/legal-content/EN/TXT/?uri=CELEX:32022R0342</t>
  </si>
  <si>
    <t xml:space="preserve">32022R2202</t>
  </si>
  <si>
    <t xml:space="preserve">2022-08-29</t>
  </si>
  <si>
    <t xml:space="preserve">Commission Delegated Regulation (EU) 2022/2202 of 29 August 2022 supplementing Regulation (EU) 2021/1153 of the European Parliament and of the Council by establishing a list of selected cross-border projects in the field of renewable energy (Text with EEA relevance)</t>
  </si>
  <si>
    <t xml:space="preserve">https://eur-lex.europa.eu/legal-content/EN/TXT/?uri=CELEX:32022R2202</t>
  </si>
  <si>
    <t xml:space="preserve">32023R2639</t>
  </si>
  <si>
    <t xml:space="preserve">2023-09-19</t>
  </si>
  <si>
    <t xml:space="preserve">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</si>
  <si>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https://eur-lex.europa.eu/legal-content/EN/TXT/?uri=CELEX:32023R2639</t>
  </si>
  <si>
    <t xml:space="preserve">32024R2613</t>
  </si>
  <si>
    <t xml:space="preserve">Commission Delegated Regulation (EU) 2024/2613 of 24 July 2024 amending Delegated Regulation (EU) 2022/2202 supplementing Regulation (EU) 2021/1153 of the European Parliament and of the Council by establishing a list of selected cross-border projects in the field of renewable energy</t>
  </si>
  <si>
    <t xml:space="preserve">https://eur-lex.europa.eu/legal-content/EN/TXT/?uri=CELEX:32024R2613</t>
  </si>
  <si>
    <t xml:space="preserve">32025R2514</t>
  </si>
  <si>
    <t xml:space="preserve">Commission Delegated Regulation (EU) 2025/2514 of 29 July 2025 amending Delegated Regulation (EU) 2022/2202 by updating the list of selected cross-border projects in the field of renewable energy</t>
  </si>
  <si>
    <t xml:space="preserve">https://eur-lex.europa.eu/legal-content/EN/TXT/?uri=CELEX:32025R2514</t>
  </si>
  <si>
    <t xml:space="preserve">32026R1470</t>
  </si>
  <si>
    <t xml:space="preserve">Commission Delegated Regulation (EU) 2026/1470 of 2 July 2026 amending Delegated Regulation (EU) 2022/2202 by updating the list of selected cross-border projects in the field of renewable energy</t>
  </si>
  <si>
    <t xml:space="preserve">https://eur-lex.europa.eu/legal-content/EN/TXT/?uri=CELEX:32026R1470</t>
  </si>
  <si>
    <t xml:space="preserve">32023R2445</t>
  </si>
  <si>
    <t xml:space="preserve">Commission Delegated Regulation (EU) 2023/2445 of 28 July 2023 supplementing Regulation (EU) 2021/690 of the European Parliament and of the Council as regards the establishment of a monitoring and evaluation framework for the Single Market Programme</t>
  </si>
  <si>
    <t xml:space="preserve">https://eur-lex.europa.eu/legal-content/EN/TXT/?uri=CELEX:32023R2445</t>
  </si>
  <si>
    <t xml:space="preserve">52021XC0218(01)</t>
  </si>
  <si>
    <t xml:space="preserve">Commission Notice Technical guidance on the application of ‘do no significant harm’ under the Recovery and Resilience Facility Regulation 2021/C 58/01</t>
  </si>
  <si>
    <t xml:space="preserve">https://eur-lex.europa.eu/legal-content/EN/TXT/?uri=CELEX:52021XC0218(01)</t>
  </si>
  <si>
    <t xml:space="preserve">32021D1095</t>
  </si>
  <si>
    <t xml:space="preserve">2021-07-02</t>
  </si>
  <si>
    <t xml:space="preserve">Commission Implementing Decision (EU) 2021/1095 of 2 July 2021 establishing the methodology for allocating costs related to borrowing and debt management operations under NextGenerationEU</t>
  </si>
  <si>
    <t xml:space="preserve">https://eur-lex.europa.eu/legal-content/EN/TXT/?uri=CELEX:32021D1095</t>
  </si>
  <si>
    <t xml:space="preserve">32021R2105</t>
  </si>
  <si>
    <t xml:space="preserve">Commission Delegated Regulation (EU) 2021/2105 of 28 September 2021 supplementing Regulation (EU) 2021/241 of the European Parliament and of the Council establishing the Recovery and Resilience Facility by defining a methodology for reporting social expenditure</t>
  </si>
  <si>
    <t xml:space="preserve">https://eur-lex.europa.eu/legal-content/EN/TXT/?uri=CELEX:32021R2105</t>
  </si>
  <si>
    <t xml:space="preserve">32021R2106</t>
  </si>
  <si>
    <t xml:space="preserve">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</si>
  <si>
    <t xml:space="preserve">https://eur-lex.europa.eu/legal-content/EN/TXT/?uri=CELEX:32021R2106</t>
  </si>
  <si>
    <t xml:space="preserve">52023XC00111</t>
  </si>
  <si>
    <t xml:space="preserve">2023-10-11</t>
  </si>
  <si>
    <t xml:space="preserve">Commission Notice – Technical guidance on the application of do no significant harm under the Recovery and Resilience Facility Regulation</t>
  </si>
  <si>
    <t xml:space="preserve">https://eur-lex.europa.eu/legal-content/EN/TXT/?uri=CELEX:52023XC00111</t>
  </si>
  <si>
    <t xml:space="preserve">52026XC02614</t>
  </si>
  <si>
    <t xml:space="preserve">2026-05-04</t>
  </si>
  <si>
    <t xml:space="preserve">COMMISSION NOTICE – Guidelines for Member States on operational aspects related to the final phase and closure of the Recovery and Resilience Facility</t>
  </si>
  <si>
    <t xml:space="preserve">https://eur-lex.europa.eu/legal-content/EN/TXT/?uri=CELEX:52026XC02614</t>
  </si>
  <si>
    <t xml:space="preserve">32024R2916</t>
  </si>
  <si>
    <t xml:space="preserve">2024-11-25</t>
  </si>
  <si>
    <t xml:space="preserve">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</si>
  <si>
    <t xml:space="preserve">https://eur-lex.europa.eu/legal-content/EN/TXT/?uri=CELEX:32024R2916</t>
  </si>
  <si>
    <t xml:space="preserve">32024R1503</t>
  </si>
  <si>
    <t xml:space="preserve">2024-02-22</t>
  </si>
  <si>
    <t xml:space="preserve">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</si>
  <si>
    <t xml:space="preserve">https://eur-lex.europa.eu/legal-content/EN/TXT/?uri=CELEX:32024R1503</t>
  </si>
  <si>
    <t xml:space="preserve">32024R1504</t>
  </si>
  <si>
    <t xml:space="preserve">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</si>
  <si>
    <t xml:space="preserve">https://eur-lex.europa.eu/legal-content/EN/TXT/?uri=CELEX:32024R1504</t>
  </si>
  <si>
    <t xml:space="preserve">32024R1506</t>
  </si>
  <si>
    <t xml:space="preserve">Commission Delegated Regulation (EU) 2024/1506 of 22 February 2024 supplementing Regulation (EU) 2023/1114 of the European Parliament and of the Council by specifying certain criteria for classifying asset-referenced tokens and e-money tokens as significant</t>
  </si>
  <si>
    <t xml:space="preserve">https://eur-lex.europa.eu/legal-content/EN/TXT/?uri=CELEX:32024R1506</t>
  </si>
  <si>
    <t xml:space="preserve">32024R1507</t>
  </si>
  <si>
    <t xml:space="preserve">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</si>
  <si>
    <t xml:space="preserve">https://eur-lex.europa.eu/legal-content/EN/TXT/?uri=CELEX:32024R1507</t>
  </si>
  <si>
    <t xml:space="preserve">32024R2494</t>
  </si>
  <si>
    <t xml:space="preserve">2024-09-24</t>
  </si>
  <si>
    <t xml:space="preserve">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</si>
  <si>
    <t xml:space="preserve">https://eur-lex.europa.eu/legal-content/EN/TXT/?uri=CELEX:32024R2494</t>
  </si>
  <si>
    <t xml:space="preserve">32024R2545</t>
  </si>
  <si>
    <t xml:space="preserve">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</si>
  <si>
    <t xml:space="preserve">https://eur-lex.europa.eu/legal-content/EN/TXT/?uri=CELEX:32024R2545</t>
  </si>
  <si>
    <t xml:space="preserve">32025R0292</t>
  </si>
  <si>
    <t xml:space="preserve">2024-09-26</t>
  </si>
  <si>
    <t xml:space="preserve">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</si>
  <si>
    <t xml:space="preserve">https://eur-lex.europa.eu/legal-content/EN/TXT/?uri=CELEX:32025R0292</t>
  </si>
  <si>
    <t xml:space="preserve">32025R0293</t>
  </si>
  <si>
    <t xml:space="preserve">2024-09-30</t>
  </si>
  <si>
    <t xml:space="preserve">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</si>
  <si>
    <t xml:space="preserve">https://eur-lex.europa.eu/legal-content/EN/TXT/?uri=CELEX:32025R0293</t>
  </si>
  <si>
    <t xml:space="preserve">32025R0294</t>
  </si>
  <si>
    <t xml:space="preserve">2024-10-01</t>
  </si>
  <si>
    <t xml:space="preserve">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</si>
  <si>
    <t xml:space="preserve">https://eur-lex.europa.eu/legal-content/EN/TXT/?uri=CELEX:32025R0294</t>
  </si>
  <si>
    <t xml:space="preserve">32025R0300</t>
  </si>
  <si>
    <t xml:space="preserve">2024-10-10</t>
  </si>
  <si>
    <t xml:space="preserve">Commission Delegated Regulation (EU) 2025/300 of 10 October 2024 supplementing Regulation (EU) 2023/1114 of the European Parliament and of the Council with regard to regulatory technical standards on information to be exchanged between competent authorities</t>
  </si>
  <si>
    <t xml:space="preserve">https://eur-lex.europa.eu/legal-content/EN/TXT/?uri=CELEX:32025R0300</t>
  </si>
  <si>
    <t xml:space="preserve">32025R0296</t>
  </si>
  <si>
    <t xml:space="preserve">Commission Delegated Regulation (EU) 2025/296 of 31 October 2024 supplementing Regulation (EU) 2023/1114 of the European Parliament and of the Council with regard to regulatory technical standards specifying the procedure for the approval of a crypto-asset white paper</t>
  </si>
  <si>
    <t xml:space="preserve">https://eur-lex.europa.eu/legal-content/EN/TXT/?uri=CELEX:32025R0296</t>
  </si>
  <si>
    <t xml:space="preserve">32025R0297</t>
  </si>
  <si>
    <t xml:space="preserve">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</si>
  <si>
    <t xml:space="preserve">https://eur-lex.europa.eu/legal-content/EN/TXT/?uri=CELEX:32025R0297</t>
  </si>
  <si>
    <t xml:space="preserve">32025R0298</t>
  </si>
  <si>
    <t xml:space="preserve">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</si>
  <si>
    <t xml:space="preserve">https://eur-lex.europa.eu/legal-content/EN/TXT/?uri=CELEX:32025R0298</t>
  </si>
  <si>
    <t xml:space="preserve">32025R0299</t>
  </si>
  <si>
    <t xml:space="preserve">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</si>
  <si>
    <t xml:space="preserve">https://eur-lex.europa.eu/legal-content/EN/TXT/?uri=CELEX:32025R0299</t>
  </si>
  <si>
    <t xml:space="preserve">32025R0303</t>
  </si>
  <si>
    <t xml:space="preserve">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</si>
  <si>
    <t xml:space="preserve">https://eur-lex.europa.eu/legal-content/EN/TXT/?uri=CELEX:32025R0303</t>
  </si>
  <si>
    <t xml:space="preserve">32025R0304</t>
  </si>
  <si>
    <t xml:space="preserve">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</si>
  <si>
    <t xml:space="preserve">https://eur-lex.europa.eu/legal-content/EN/TXT/?uri=CELEX:32025R0304</t>
  </si>
  <si>
    <t xml:space="preserve">32025R0305</t>
  </si>
  <si>
    <t xml:space="preserve">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</si>
  <si>
    <t xml:space="preserve">https://eur-lex.europa.eu/legal-content/EN/TXT/?uri=CELEX:32025R0305</t>
  </si>
  <si>
    <t xml:space="preserve">32025R0306</t>
  </si>
  <si>
    <t xml:space="preserve">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</si>
  <si>
    <t xml:space="preserve">https://eur-lex.europa.eu/legal-content/EN/TXT/?uri=CELEX:32025R0306</t>
  </si>
  <si>
    <t xml:space="preserve">32024R2861</t>
  </si>
  <si>
    <t xml:space="preserve">2024-11-12</t>
  </si>
  <si>
    <t xml:space="preserve">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</si>
  <si>
    <t xml:space="preserve">https://eur-lex.europa.eu/legal-content/EN/TXT/?uri=CELEX:32024R2861</t>
  </si>
  <si>
    <t xml:space="preserve">32024R2902</t>
  </si>
  <si>
    <t xml:space="preserve">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</si>
  <si>
    <t xml:space="preserve">https://eur-lex.europa.eu/legal-content/EN/TXT/?uri=CELEX:32024R2902</t>
  </si>
  <si>
    <t xml:space="preserve">32025R0417</t>
  </si>
  <si>
    <t xml:space="preserve">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</si>
  <si>
    <t xml:space="preserve">https://eur-lex.europa.eu/legal-content/EN/TXT/?uri=CELEX:32025R0417</t>
  </si>
  <si>
    <t xml:space="preserve">32024R2984</t>
  </si>
  <si>
    <t xml:space="preserve">2024-11-29</t>
  </si>
  <si>
    <t xml:space="preserve">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</si>
  <si>
    <t xml:space="preserve">https://eur-lex.europa.eu/legal-content/EN/TXT/?uri=CELEX:32024R2984</t>
  </si>
  <si>
    <t xml:space="preserve">32025R0416</t>
  </si>
  <si>
    <t xml:space="preserve">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</si>
  <si>
    <t xml:space="preserve">https://eur-lex.europa.eu/legal-content/EN/TXT/?uri=CELEX:32025R0416</t>
  </si>
  <si>
    <t xml:space="preserve">32025R0415</t>
  </si>
  <si>
    <t xml:space="preserve">2024-12-13</t>
  </si>
  <si>
    <t xml:space="preserve">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</si>
  <si>
    <t xml:space="preserve">https://eur-lex.europa.eu/legal-content/EN/TXT/?uri=CELEX:32025R0415</t>
  </si>
  <si>
    <t xml:space="preserve">32025R0418</t>
  </si>
  <si>
    <t xml:space="preserve">2024-12-16</t>
  </si>
  <si>
    <t xml:space="preserve">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</si>
  <si>
    <t xml:space="preserve">https://eur-lex.europa.eu/legal-content/EN/TXT/?uri=CELEX:32025R0418</t>
  </si>
  <si>
    <t xml:space="preserve">32025R0419</t>
  </si>
  <si>
    <t xml:space="preserve">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</si>
  <si>
    <t xml:space="preserve">https://eur-lex.europa.eu/legal-content/EN/TXT/?uri=CELEX:32025R0419</t>
  </si>
  <si>
    <t xml:space="preserve">32025R0421</t>
  </si>
  <si>
    <t xml:space="preserve">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</si>
  <si>
    <t xml:space="preserve">https://eur-lex.europa.eu/legal-content/EN/TXT/?uri=CELEX:32025R0421</t>
  </si>
  <si>
    <t xml:space="preserve">32025R0422</t>
  </si>
  <si>
    <t xml:space="preserve">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</si>
  <si>
    <t xml:space="preserve">https://eur-lex.europa.eu/legal-content/EN/TXT/?uri=CELEX:32025R0422</t>
  </si>
  <si>
    <t xml:space="preserve">32025R0413</t>
  </si>
  <si>
    <t xml:space="preserve">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</si>
  <si>
    <t xml:space="preserve">https://eur-lex.europa.eu/legal-content/EN/TXT/?uri=CELEX:32025R0413</t>
  </si>
  <si>
    <t xml:space="preserve">32025R0414</t>
  </si>
  <si>
    <t xml:space="preserve">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</si>
  <si>
    <t xml:space="preserve">https://eur-lex.europa.eu/legal-content/EN/TXT/?uri=CELEX:32025R0414</t>
  </si>
  <si>
    <t xml:space="preserve">32025R1140</t>
  </si>
  <si>
    <t xml:space="preserve">2025-02-27</t>
  </si>
  <si>
    <t xml:space="preserve">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</si>
  <si>
    <t xml:space="preserve">https://eur-lex.europa.eu/legal-content/EN/TXT/?uri=CELEX:32025R1140</t>
  </si>
  <si>
    <t xml:space="preserve">32025R1141</t>
  </si>
  <si>
    <t xml:space="preserve">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</si>
  <si>
    <t xml:space="preserve">https://eur-lex.europa.eu/legal-content/EN/TXT/?uri=CELEX:32025R1141</t>
  </si>
  <si>
    <t xml:space="preserve">32025R1142</t>
  </si>
  <si>
    <t xml:space="preserve">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</si>
  <si>
    <t xml:space="preserve">https://eur-lex.europa.eu/legal-content/EN/TXT/?uri=CELEX:32025R1142</t>
  </si>
  <si>
    <t xml:space="preserve">32025R0885</t>
  </si>
  <si>
    <t xml:space="preserve">2025-04-29</t>
  </si>
  <si>
    <t xml:space="preserve">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</si>
  <si>
    <t xml:space="preserve">https://eur-lex.europa.eu/legal-content/EN/TXT/?uri=CELEX:32025R0885</t>
  </si>
  <si>
    <t xml:space="preserve">32025R1125</t>
  </si>
  <si>
    <t xml:space="preserve">2025-06-05</t>
  </si>
  <si>
    <t xml:space="preserve">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</si>
  <si>
    <t xml:space="preserve">https://eur-lex.europa.eu/legal-content/EN/TXT/?uri=CELEX:32025R1125</t>
  </si>
  <si>
    <t xml:space="preserve">32025R1126</t>
  </si>
  <si>
    <t xml:space="preserve">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</si>
  <si>
    <t xml:space="preserve">https://eur-lex.europa.eu/legal-content/EN/TXT/?uri=CELEX:32025R1126</t>
  </si>
  <si>
    <t xml:space="preserve">32025R1264</t>
  </si>
  <si>
    <t xml:space="preserve">2025-06-27</t>
  </si>
  <si>
    <t xml:space="preserve">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</si>
  <si>
    <t xml:space="preserve">https://eur-lex.europa.eu/legal-content/EN/TXT/?uri=CELEX:32025R1264</t>
  </si>
  <si>
    <t xml:space="preserve">32024R1502</t>
  </si>
  <si>
    <t xml:space="preserve">Commission Delegated Regulation (EU) 2024/1502 of 22 February 2024 supplementing Regulation (EU) 2022/2554 of the European Parliament and of the Council by specifying the criteria for the designation of ICT third-party service providers as critical for financial entities</t>
  </si>
  <si>
    <t xml:space="preserve">https://eur-lex.europa.eu/legal-content/EN/TXT/?uri=CELEX:32024R1502</t>
  </si>
  <si>
    <t xml:space="preserve">32024R1505</t>
  </si>
  <si>
    <t xml:space="preserve">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</si>
  <si>
    <t xml:space="preserve">https://eur-lex.europa.eu/legal-content/EN/TXT/?uri=CELEX:32024R1505</t>
  </si>
  <si>
    <t xml:space="preserve">32024R1772</t>
  </si>
  <si>
    <t xml:space="preserve">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</si>
  <si>
    <t xml:space="preserve">https://eur-lex.europa.eu/legal-content/EN/TXT/?uri=CELEX:32024R1772</t>
  </si>
  <si>
    <t xml:space="preserve">32024R1773</t>
  </si>
  <si>
    <t xml:space="preserve">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</si>
  <si>
    <t xml:space="preserve">https://eur-lex.europa.eu/legal-content/EN/TXT/?uri=CELEX:32024R1773</t>
  </si>
  <si>
    <t xml:space="preserve">32024R1774</t>
  </si>
  <si>
    <t xml:space="preserve">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</si>
  <si>
    <t xml:space="preserve">https://eur-lex.europa.eu/legal-content/EN/TXT/?uri=CELEX:32024R1774</t>
  </si>
  <si>
    <t xml:space="preserve">32025R0301</t>
  </si>
  <si>
    <t xml:space="preserve">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</si>
  <si>
    <t xml:space="preserve">https://eur-lex.europa.eu/legal-content/EN/TXT/?uri=CELEX:32025R0301</t>
  </si>
  <si>
    <t xml:space="preserve">32025R0302</t>
  </si>
  <si>
    <t xml:space="preserve">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</si>
  <si>
    <t xml:space="preserve">https://eur-lex.europa.eu/legal-content/EN/TXT/?uri=CELEX:32025R0302</t>
  </si>
  <si>
    <t xml:space="preserve">32025R0295</t>
  </si>
  <si>
    <t xml:space="preserve">2024-10-24</t>
  </si>
  <si>
    <t xml:space="preserve">Commission Delegated Regulation (EU) 2025/295 of 24 October 2024 supplementing Regulation (EU) 2022/2554 of the European Parliament and of the Council with regard to regulatory technical standards on harmonisation of conditions enabling the conduct of the oversight activities</t>
  </si>
  <si>
    <t xml:space="preserve">https://eur-lex.europa.eu/legal-content/EN/TXT/?uri=CELEX:32025R0295</t>
  </si>
  <si>
    <t xml:space="preserve">32024R2956</t>
  </si>
  <si>
    <t xml:space="preserve">Commission Implementing Regulation (EU) 2024/2956 of 29 November 2024 laying down implementing technical standards for the application of Regulation (EU) 2022/2554 of the European Parliament and of the Council with regard to standard templates for the register of information</t>
  </si>
  <si>
    <t xml:space="preserve">https://eur-lex.europa.eu/legal-content/EN/TXT/?uri=CELEX:32024R2956</t>
  </si>
  <si>
    <t xml:space="preserve">32025R0420</t>
  </si>
  <si>
    <t xml:space="preserve">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</si>
  <si>
    <t xml:space="preserve">https://eur-lex.europa.eu/legal-content/EN/TXT/?uri=CELEX:32025R0420</t>
  </si>
  <si>
    <t xml:space="preserve">32025R1190</t>
  </si>
  <si>
    <t xml:space="preserve">2025-02-13</t>
  </si>
  <si>
    <t xml:space="preserve">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</si>
  <si>
    <t xml:space="preserve">https://eur-lex.europa.eu/legal-content/EN/TXT/?uri=CELEX:32025R1190</t>
  </si>
  <si>
    <t xml:space="preserve">32025R0532</t>
  </si>
  <si>
    <t xml:space="preserve">2025-03-24</t>
  </si>
  <si>
    <t xml:space="preserve">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</si>
  <si>
    <t xml:space="preserve">https://eur-lex.europa.eu/legal-content/EN/TXT/?uri=CELEX:32025R0532</t>
  </si>
  <si>
    <t xml:space="preserve">32023R1622</t>
  </si>
  <si>
    <t xml:space="preserve">2023-08-09</t>
  </si>
  <si>
    <t xml:space="preserve">Commission Implementing Regulation (EU) 2023/1622 of 9 August 2023 on the design of common logos to identify data intermediation services providers and data altruism organisations recognised in the Union</t>
  </si>
  <si>
    <t xml:space="preserve">https://eur-lex.europa.eu/legal-content/EN/TXT/?uri=CELEX:32023R1622</t>
  </si>
  <si>
    <t xml:space="preserve">32023R0814</t>
  </si>
  <si>
    <t xml:space="preserve">2023-04-14</t>
  </si>
  <si>
    <t xml:space="preserve">Commission Implementing Regulation (EU) 2023/814 of 14 April 2023 on detailed arrangements for the conduct of certain proceedings by the Commission pursuant to Regulation (EU) 2022/1925 of the European Parliament and of the Council (Text with EEA relevance)</t>
  </si>
  <si>
    <t xml:space="preserve">https://eur-lex.europa.eu/legal-content/EN/TXT/?uri=CELEX:32023R0814</t>
  </si>
  <si>
    <t xml:space="preserve">32023R1127</t>
  </si>
  <si>
    <t xml:space="preserve">2023-03-02</t>
  </si>
  <si>
    <t xml:space="preserve">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</si>
  <si>
    <t xml:space="preserve">https://eur-lex.europa.eu/legal-content/EN/TXT/?uri=CELEX:32023R1127</t>
  </si>
  <si>
    <t xml:space="preserve">32023R1201</t>
  </si>
  <si>
    <t xml:space="preserve">2023-06-21</t>
  </si>
  <si>
    <t xml:space="preserve">Commission Implementing Regulation (EU) 2023/1201 of 21 June 2023 on detailed arrangements for the conduct of certain proceedings by the Commission pursuant to Regulation (EU) 2022/2065 of the European Parliament and of the Council (‘Digital Services Act’)</t>
  </si>
  <si>
    <t xml:space="preserve">https://eur-lex.europa.eu/legal-content/EN/TXT/?uri=CELEX:32023R1201</t>
  </si>
  <si>
    <t xml:space="preserve">32024R0436</t>
  </si>
  <si>
    <t xml:space="preserve">2023-10-20</t>
  </si>
  <si>
    <t xml:space="preserve">Commission Delegated Regulation (EU) 2024/436 of 20 October 2023 supplementing Regulation (EU) 2022/2065 of the European Parliament and of the Council, by laying down rules on the performance of audits for very large online platforms and very large online search engines</t>
  </si>
  <si>
    <t xml:space="preserve">https://eur-lex.europa.eu/legal-content/EN/TXT/?uri=CELEX:32024R0436</t>
  </si>
  <si>
    <t xml:space="preserve">32024R0607</t>
  </si>
  <si>
    <t xml:space="preserve">2024-02-15</t>
  </si>
  <si>
    <t xml:space="preserve">Commission Implementing Regulation (EU) 2024/607 of 15 February 2024 on the practical and operational arrangements for the functioning of the information sharing system pursuant to Regulation (EU) 2022/2065 of the European Parliament and of the Council (Digital Services Act)</t>
  </si>
  <si>
    <t xml:space="preserve">https://eur-lex.europa.eu/legal-content/EN/TXT/?uri=CELEX:32024R0607</t>
  </si>
  <si>
    <t xml:space="preserve">52024XC03014</t>
  </si>
  <si>
    <t xml:space="preserve">2024-04-26</t>
  </si>
  <si>
    <t xml:space="preserve">Communication from the Commission – Commission Guidelines for providers of Very Large Online Platforms and Very Large Online Search Engines on the mitigation of systemic risks for electoral processes pursuant to Article 35(3) of Regulation (EU) 2022/2065</t>
  </si>
  <si>
    <t xml:space="preserve">https://eur-lex.europa.eu/legal-content/EN/TXT/?uri=CELEX:52024XC03014</t>
  </si>
  <si>
    <t xml:space="preserve">32024R2835</t>
  </si>
  <si>
    <t xml:space="preserve">2024-11-04</t>
  </si>
  <si>
    <t xml:space="preserve">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</si>
  <si>
    <t xml:space="preserve">https://eur-lex.europa.eu/legal-content/EN/TXT/?uri=CELEX:32024R2835</t>
  </si>
  <si>
    <t xml:space="preserve">32025R2050</t>
  </si>
  <si>
    <t xml:space="preserve">2025-07-01</t>
  </si>
  <si>
    <t xml:space="preserve">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</si>
  <si>
    <t xml:space="preserve">https://eur-lex.europa.eu/legal-content/EN/TXT/?uri=CELEX:32025R2050</t>
  </si>
  <si>
    <t xml:space="preserve">52025XC05519</t>
  </si>
  <si>
    <t xml:space="preserve">2025-10-10</t>
  </si>
  <si>
    <t xml:space="preserve">Communication from the Commission – Guidelines on measures to ensure a high level of privacy, safety and security for minors online, pursuant to Article 28(4) of Regulation (EU) 2022/2065</t>
  </si>
  <si>
    <t xml:space="preserve">https://eur-lex.europa.eu/legal-content/EN/TXT/?uri=CELEX:52025XC05519</t>
  </si>
  <si>
    <t xml:space="preserve">52023XC0914(01)</t>
  </si>
  <si>
    <t xml:space="preserve">GUIDELINE</t>
  </si>
  <si>
    <t xml:space="preserve">2023-09-14</t>
  </si>
  <si>
    <t xml:space="preserve">Communication from the Commission Commission Guidelines on the application of Article 3(4) of Directive (EU) 2022/2555 (NIS 2 Directive) 2023/C 324/02</t>
  </si>
  <si>
    <t xml:space="preserve">https://eur-lex.europa.eu/legal-content/EN/TXT/?uri=CELEX:52023XC0914(01)</t>
  </si>
  <si>
    <t xml:space="preserve">52023XC0918(01)</t>
  </si>
  <si>
    <t xml:space="preserve">Communication from the Commission Commission Guidelines on the application of Article 4 (1) and (2) of Directive (EU) 2022/2555 (NIS 2 Directive) 2023/C 328/02</t>
  </si>
  <si>
    <t xml:space="preserve">https://eur-lex.europa.eu/legal-content/EN/TXT/?uri=CELEX:52023XC0918(01)</t>
  </si>
  <si>
    <t xml:space="preserve">32024H1101</t>
  </si>
  <si>
    <t xml:space="preserve">Commission Recommendation (EU) 2024/1101 of 11 April 2024 on a Coordinated Implementation Roadmap for the transition to Post-Quantum Cryptography</t>
  </si>
  <si>
    <t xml:space="preserve">https://eur-lex.europa.eu/legal-content/EN/TXT/?uri=CELEX:32024H1101</t>
  </si>
  <si>
    <t xml:space="preserve">32024R2690</t>
  </si>
  <si>
    <t xml:space="preserve">2024-10-17</t>
  </si>
  <si>
    <t xml:space="preserve">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</si>
  <si>
    <t xml:space="preserve">https://eur-lex.europa.eu/legal-content/EN/TXT/?uri=CELEX:32024R2690</t>
  </si>
  <si>
    <t xml:space="preserve">32025R0454</t>
  </si>
  <si>
    <t xml:space="preserve">2025-03-07</t>
  </si>
  <si>
    <t xml:space="preserve">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</si>
  <si>
    <t xml:space="preserve">https://eur-lex.europa.eu/legal-content/EN/TXT/?uri=CELEX:32025R0454</t>
  </si>
  <si>
    <t xml:space="preserve">32026R1755</t>
  </si>
  <si>
    <t xml:space="preserve">2026-07-20</t>
  </si>
  <si>
    <t xml:space="preserve">Commission Implementing Regulation (EU) 2026/1755 of 20 July 2026 on detailed arrangements for the conduct of certain proceedings by the Commission pursuant to Regulation (EU) 2024/1689 of the European Parliament and of the Council</t>
  </si>
  <si>
    <t xml:space="preserve">https://eur-lex.europa.eu/legal-content/EN/TXT/?uri=CELEX:32026R1755</t>
  </si>
  <si>
    <t xml:space="preserve">32024R1922</t>
  </si>
  <si>
    <t xml:space="preserve">Commission Implementing Regulation (EU) 2024/1922 of 12 July 2024 setting out the template for the collection by the Member States of the data and the information referred to in Article 6(5), points (a) to (d), of Regulation (EU) 2023/1230 of the European Parliament and of the Council</t>
  </si>
  <si>
    <t xml:space="preserve">https://eur-lex.europa.eu/legal-content/EN/TXT/?uri=CELEX:32024R1922</t>
  </si>
  <si>
    <t xml:space="preserve">52024XC06142</t>
  </si>
  <si>
    <t xml:space="preserve">2024-10-14</t>
  </si>
  <si>
    <t xml:space="preserve">Commission Notice – Guidance to the Member States for the collection of the data and the information referred to in Article 6 (5), points (a) to (d), of Regulation (EU) 2023/1230 of the European Parliament and the Council</t>
  </si>
  <si>
    <t xml:space="preserve">https://eur-lex.europa.eu/legal-content/EN/TXT/?uri=CELEX:52024XC06142</t>
  </si>
  <si>
    <t xml:space="preserve">32023R1441</t>
  </si>
  <si>
    <t xml:space="preserve">Commission Implementing Regulation (EU) 2023/1441 of 10 July 2023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</si>
  <si>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https://eur-lex.europa.eu/legal-content/EN/TXT/?uri=CELEX:32023R1441</t>
  </si>
  <si>
    <t xml:space="preserve">32023R2414</t>
  </si>
  <si>
    <t xml:space="preserve">2023-10-25</t>
  </si>
  <si>
    <t xml:space="preserve">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</si>
  <si>
    <t xml:space="preserve">https://eur-lex.europa.eu/legal-content/EN/TXT/?uri=CELEX:32023R2414</t>
  </si>
  <si>
    <t xml:space="preserve">52026XC00224</t>
  </si>
  <si>
    <t xml:space="preserve">2026-01-13</t>
  </si>
  <si>
    <t xml:space="preserve">Communication from the Commission – Guidelines on the application of certain provisions of Regulation (EU) 2022/2560 of the European Parliament and of the Council on foreign subsidies distorting the internal market</t>
  </si>
  <si>
    <t xml:space="preserve">https://eur-lex.europa.eu/legal-content/EN/TXT/?uri=CELEX:52026XC00224</t>
  </si>
  <si>
    <t xml:space="preserve">32024R1435</t>
  </si>
  <si>
    <t xml:space="preserve">Commission Implementing Regulation (EU) 2024/1435 of 24 May 2024 laying down rules for the application of Regulation (EU) 2023/988 of the European Parliament and of the Council as regards establishing the template for a recall notice</t>
  </si>
  <si>
    <t xml:space="preserve">https://eur-lex.europa.eu/legal-content/EN/TXT/?uri=CELEX:32024R1435</t>
  </si>
  <si>
    <t xml:space="preserve">32024R1459</t>
  </si>
  <si>
    <t xml:space="preserve">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</si>
  <si>
    <t xml:space="preserve">https://eur-lex.europa.eu/legal-content/EN/TXT/?uri=CELEX:32024R1459</t>
  </si>
  <si>
    <t xml:space="preserve">32024R1740</t>
  </si>
  <si>
    <t xml:space="preserve">2024-06-21</t>
  </si>
  <si>
    <t xml:space="preserve">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</si>
  <si>
    <t xml:space="preserve">https://eur-lex.europa.eu/legal-content/EN/TXT/?uri=CELEX:32024R1740</t>
  </si>
  <si>
    <t xml:space="preserve">32024R3173</t>
  </si>
  <si>
    <t xml:space="preserve">2024-08-27</t>
  </si>
  <si>
    <t xml:space="preserve">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</si>
  <si>
    <t xml:space="preserve">https://eur-lex.europa.eu/legal-content/EN/TXT/?uri=CELEX:32024R3173</t>
  </si>
  <si>
    <t xml:space="preserve">32024R2639</t>
  </si>
  <si>
    <t xml:space="preserve">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</si>
  <si>
    <t xml:space="preserve">https://eur-lex.europa.eu/legal-content/EN/TXT/?uri=CELEX:32024R2639</t>
  </si>
  <si>
    <t xml:space="preserve">32024R2958</t>
  </si>
  <si>
    <t xml:space="preserve">Commission Implementing Regulation (EU) 2024/2958 of 29 November 2024 determining the output indicators relevant for Regulation (EU) 2023/988 of the European Parliament and of the Council on general product safety</t>
  </si>
  <si>
    <t xml:space="preserve">https://eur-lex.europa.eu/legal-content/EN/TXT/?uri=CELEX:32024R2958</t>
  </si>
  <si>
    <t xml:space="preserve">52025XC06233</t>
  </si>
  <si>
    <t xml:space="preserve">2025-11-21</t>
  </si>
  <si>
    <t xml:space="preserve">Commission notice – Guidelines on the application of the EU general product safety legislative framework by businesses</t>
  </si>
  <si>
    <t xml:space="preserve">https://eur-lex.europa.eu/legal-content/EN/TXT/?uri=CELEX:52025XC06233</t>
  </si>
  <si>
    <t xml:space="preserve">52025XC06238</t>
  </si>
  <si>
    <t xml:space="preserve">Commission Notice – Guidelines for the practical implementation of the Safety Business Gateway under Article 27(2) of Regulation (EU) 2023/988</t>
  </si>
  <si>
    <t xml:space="preserve">https://eur-lex.europa.eu/legal-content/EN/TXT/?uri=CELEX:52025XC06238</t>
  </si>
  <si>
    <t xml:space="preserve">52022XC0630(01)</t>
  </si>
  <si>
    <t xml:space="preserve">2022-06-30</t>
  </si>
  <si>
    <t xml:space="preserve">Communication from the Commission COMMISSION NOTICE Guidelines on vertical restraints 2022/C 248/01</t>
  </si>
  <si>
    <t xml:space="preserve">https://eur-lex.europa.eu/legal-content/EN/TXT/?uri=CELEX:52022XC0630(01)</t>
  </si>
  <si>
    <t xml:space="preserve">32023D1353</t>
  </si>
  <si>
    <t xml:space="preserve">2023-06-30</t>
  </si>
  <si>
    <t xml:space="preserve">Commission Implementing Decision (EU) 2023/1353 of 30 June 2023 setting out key performance indicators to measure the progress towards the digital targets established by Article 4(1) of Decision (EU) 2022/2481 of the European Parliament and of the Council</t>
  </si>
  <si>
    <t xml:space="preserve">https://eur-lex.europa.eu/legal-content/EN/TXT/?uri=CELEX:32023D1353</t>
  </si>
  <si>
    <t xml:space="preserve">52023XC0630(01)</t>
  </si>
  <si>
    <t xml:space="preserve">Communication from the Commission Guidance to the Member States on the preparation of the national Digital Decade strategic roadmaps 2023/C 230/04</t>
  </si>
  <si>
    <t xml:space="preserve">https://eur-lex.europa.eu/legal-content/EN/TXT/?uri=CELEX:52023XC0630(01)</t>
  </si>
  <si>
    <t xml:space="preserve">32024D0458</t>
  </si>
  <si>
    <t xml:space="preserve">2024-02-01</t>
  </si>
  <si>
    <t xml:space="preserve">Commission Implementing Decision (EU) 2024/458 of 1 February 2024 on setting up the European Digital Infrastructure Consortium for the Alliance for Language Technologies (ALT-EDIC)</t>
  </si>
  <si>
    <t xml:space="preserve">https://eur-lex.europa.eu/legal-content/EN/TXT/?uri=CELEX:32024D0458</t>
  </si>
  <si>
    <t xml:space="preserve">32024D0459</t>
  </si>
  <si>
    <t xml:space="preserve">Commission Implementing Decision (EU) 2024/459 of 1 February 2024 on setting up the European Digital Infrastructure Consortium for Networked Local Digital Twins towards the CitiVERSE (LDT CitiVERSE EDIC)</t>
  </si>
  <si>
    <t xml:space="preserve">https://eur-lex.europa.eu/legal-content/EN/TXT/?uri=CELEX:32024D0459</t>
  </si>
  <si>
    <t xml:space="preserve">32024D1432</t>
  </si>
  <si>
    <t xml:space="preserve">2024-05-21</t>
  </si>
  <si>
    <t xml:space="preserve">Commission Implementing Decision (EU) 2024/1432 of 21 May 2024 setting up the European Digital Infrastructure Consortium for European Blockchain Partnership and European Blockchain Service Infrastructure (EUROPEUM-EDIC)</t>
  </si>
  <si>
    <t xml:space="preserve">https://eur-lex.europa.eu/legal-content/EN/TXT/?uri=CELEX:32024D1432</t>
  </si>
  <si>
    <t xml:space="preserve">32025D2170</t>
  </si>
  <si>
    <t xml:space="preserve">2025-10-29</t>
  </si>
  <si>
    <t xml:space="preserve">Commission Implementing Decision (EU) 2025/2170 of 29 October 2025 setting up the European Digital Infrastructure Consortium for Digital Commons (DC-EDIC)</t>
  </si>
  <si>
    <t xml:space="preserve">https://eur-lex.europa.eu/legal-content/EN/TXT/?uri=CELEX:32025D2170</t>
  </si>
  <si>
    <t xml:space="preserve">32025D2414</t>
  </si>
  <si>
    <t xml:space="preserve">Commission Implementing Decision (EU) 2025/2414 of 2 December 2025 setting up the European Digital Infrastructure Consortium for Innovative Massive Public Administration interConnected Transformation Services (IMPACTS-EDIC)</t>
  </si>
  <si>
    <t xml:space="preserve">https://eur-lex.europa.eu/legal-content/EN/TXT/?uri=CELEX:32025D2414</t>
  </si>
  <si>
    <t xml:space="preserve">32026D1416</t>
  </si>
  <si>
    <t xml:space="preserve">2026-06-30</t>
  </si>
  <si>
    <t xml:space="preserve">Commission Implementing Decision (EU) 2026/1416 of 30 June 2026 setting up the European Digital Infrastructure Consortium for Cybersecurity Skills Coalition (CSC-EDIC)</t>
  </si>
  <si>
    <t xml:space="preserve">https://eur-lex.europa.eu/legal-content/EN/TXT/?uri=CELEX:32026D1416</t>
  </si>
  <si>
    <t xml:space="preserve">32026D1978</t>
  </si>
  <si>
    <t xml:space="preserve">2026-09-08</t>
  </si>
  <si>
    <t xml:space="preserve">Commission Implementing Decision (EU) 2026/1978 of 8 September 2026 setting up the European Digital Infrastructure Consortium for Agri-Food (EDIC for Agri-Food)</t>
  </si>
  <si>
    <t xml:space="preserve">https://eur-lex.europa.eu/legal-content/EN/TXT/?uri=CELEX:32026D1978</t>
  </si>
  <si>
    <t xml:space="preserve">32025R1410</t>
  </si>
  <si>
    <t xml:space="preserve">2025-07-09</t>
  </si>
  <si>
    <t xml:space="preserve">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</si>
  <si>
    <t xml:space="preserve">https://eur-lex.europa.eu/legal-content/EN/TXT/?uri=CELEX:32025R1410</t>
  </si>
  <si>
    <t xml:space="preserve">52025XC05514</t>
  </si>
  <si>
    <t xml:space="preserve">Communication from the Commission – Guidelines to support the implementation of Regulation (EU) 2024/900 on the transparency and targeting of political advertising</t>
  </si>
  <si>
    <t xml:space="preserve">https://eur-lex.europa.eu/legal-content/EN/TXT/?uri=CELEX:52025XC05514</t>
  </si>
  <si>
    <t xml:space="preserve">32026R0818</t>
  </si>
  <si>
    <t xml:space="preserve">2026-04-09</t>
  </si>
  <si>
    <t xml:space="preserve">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</si>
  <si>
    <t xml:space="preserve">https://eur-lex.europa.eu/legal-content/EN/TXT/?uri=CELEX:32026R0818</t>
  </si>
  <si>
    <t xml:space="preserve">32026R0101</t>
  </si>
  <si>
    <t xml:space="preserve">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</si>
  <si>
    <t xml:space="preserve">https://eur-lex.europa.eu/legal-content/EN/TXT/?uri=CELEX:32026R0101</t>
  </si>
  <si>
    <t xml:space="preserve">32026R0102</t>
  </si>
  <si>
    <t xml:space="preserve">Commission Implementing Regulation (EU) 2026/102 of 15 January 2026 on setting out the technical specifications for the European electronic access point, as referenced in Regulation (EU) 2023/2844 of the European Parliament and of the Council</t>
  </si>
  <si>
    <t xml:space="preserve">https://eur-lex.europa.eu/legal-content/EN/TXT/?uri=CELEX:32026R0102</t>
  </si>
  <si>
    <t xml:space="preserve">52024XC04911</t>
  </si>
  <si>
    <t xml:space="preserve">2024-08-20</t>
  </si>
  <si>
    <t xml:space="preserve">Communication from the Commission on the Guidance on the application for an undertaking to obtain the status of integrated production facility and open EU foundry pursuant to Article 15 of the Chips Act Regulation (EU) 2023/1781</t>
  </si>
  <si>
    <t xml:space="preserve">https://eur-lex.europa.eu/legal-content/EN/TXT/?uri=CELEX:52024XC04911</t>
  </si>
  <si>
    <t xml:space="preserve">32023D1053</t>
  </si>
  <si>
    <t xml:space="preserve">2023-05-30</t>
  </si>
  <si>
    <t xml:space="preserve">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</si>
  <si>
    <t xml:space="preserve">https://eur-lex.europa.eu/legal-content/EN/TXT/?uri=CELEX:32023D1053</t>
  </si>
  <si>
    <t xml:space="preserve">32024D1067</t>
  </si>
  <si>
    <t xml:space="preserve">2024-04-12</t>
  </si>
  <si>
    <t xml:space="preserve">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</si>
  <si>
    <t xml:space="preserve">https://eur-lex.europa.eu/legal-content/EN/TXT/?uri=CELEX:32024D1067</t>
  </si>
  <si>
    <t xml:space="preserve">52025XC05026</t>
  </si>
  <si>
    <t xml:space="preserve">2025-09-15</t>
  </si>
  <si>
    <t xml:space="preserve">Communication from the Commission – Guidance on vehicle data, accompanying Regulation (EU) 2023/2854 of the European Parliament and of the Council (Data Act)</t>
  </si>
  <si>
    <t xml:space="preserve">https://eur-lex.europa.eu/legal-content/EN/TXT/?uri=CELEX:52025XC05026</t>
  </si>
  <si>
    <t xml:space="preserve">32026R0002</t>
  </si>
  <si>
    <t xml:space="preserve">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</si>
  <si>
    <t xml:space="preserve">https://eur-lex.europa.eu/legal-content/EN/TXT/?uri=CELEX:32026R0002</t>
  </si>
  <si>
    <t xml:space="preserve">32026R0296</t>
  </si>
  <si>
    <t xml:space="preserve">Commission Delegated Regulation (EU) 2026/296 of 9 February 2026 supplementing Regulation (EU) 2024/1781 of the European Parliament and of the Council by setting out derogations from the prohibition of destruction of unsold consumer products</t>
  </si>
  <si>
    <t xml:space="preserve">https://eur-lex.europa.eu/legal-content/EN/TXT/?uri=CELEX:32026R0296</t>
  </si>
  <si>
    <t xml:space="preserve">32026R1778</t>
  </si>
  <si>
    <t xml:space="preserve">2026-07-16</t>
  </si>
  <si>
    <t xml:space="preserve">Commission Implementing Regulation (EU) 2026/1778 of 16 July 2026 laying down the implementation arrangements for the digital product passport registry set up under Regulation (EU) 2024/1781 of the European Parliament and of the Council</t>
  </si>
  <si>
    <t xml:space="preserve">https://eur-lex.europa.eu/legal-content/EN/TXT/?uri=CELEX:32026R1778</t>
  </si>
  <si>
    <t xml:space="preserve">32026R0771</t>
  </si>
  <si>
    <t xml:space="preserve">Commission Implementing Regulation (EU) 2026/771 of 7 April 2026 laying down the necessary measures for the establishment and operation of the European Health Data Space Board</t>
  </si>
  <si>
    <t xml:space="preserve">https://eur-lex.europa.eu/legal-content/EN/TXT/?uri=CELEX:32026R0771</t>
  </si>
  <si>
    <t xml:space="preserve">32026R2083</t>
  </si>
  <si>
    <t xml:space="preserve">2026-09-18</t>
  </si>
  <si>
    <t xml:space="preserve">Commission Implementing Regulation (EU) 2026/2083 of 18 September 2026 on MyHealth@EU</t>
  </si>
  <si>
    <t xml:space="preserve">https://eur-lex.europa.eu/legal-content/EN/TXT/?uri=CELEX:32026R2083</t>
  </si>
  <si>
    <t xml:space="preserve">32026R2098</t>
  </si>
  <si>
    <t xml:space="preserve">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</si>
  <si>
    <t xml:space="preserve">https://eur-lex.europa.eu/legal-content/EN/TXT/?uri=CELEX:32026R2098</t>
  </si>
  <si>
    <t xml:space="preserve">32026R2099</t>
  </si>
  <si>
    <t xml:space="preserve">2026-09-21</t>
  </si>
  <si>
    <t xml:space="preserve">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</si>
  <si>
    <t xml:space="preserve">https://eur-lex.europa.eu/legal-content/EN/TXT/?uri=CELEX:32026R2099</t>
  </si>
  <si>
    <t xml:space="preserve">32025R1535</t>
  </si>
  <si>
    <t xml:space="preserve">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</si>
  <si>
    <t xml:space="preserve">https://eur-lex.europa.eu/legal-content/EN/TXT/?uri=CELEX:32025R1535</t>
  </si>
  <si>
    <t xml:space="preserve">32025R2392</t>
  </si>
  <si>
    <t xml:space="preserve">2025-11-28</t>
  </si>
  <si>
    <t xml:space="preserve">Commission Implementing Regulation (EU) 2025/2392 of 28 November 2025 on the technical description of the categories of important and critical products with digital elements pursuant to Regulation (EU) 2024/2847 of the European Parliament and of the Council</t>
  </si>
  <si>
    <t xml:space="preserve">https://eur-lex.europa.eu/legal-content/EN/TXT/?uri=CELEX:32025R2392</t>
  </si>
  <si>
    <t xml:space="preserve">32026R0881</t>
  </si>
  <si>
    <t xml:space="preserve">2025-12-11</t>
  </si>
  <si>
    <t xml:space="preserve">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</si>
  <si>
    <t xml:space="preserve">https://eur-lex.europa.eu/legal-content/EN/TXT/?uri=CELEX:32026R0881</t>
  </si>
  <si>
    <t xml:space="preserve">52026XC00901</t>
  </si>
  <si>
    <t xml:space="preserve">2026-02-11</t>
  </si>
  <si>
    <t xml:space="preserve">Communication from the Commission – Commission guidelines on the implementation of the declaration functionality for media service providers pursuant to Article 18 (1) of Regulation (EU) 2024/1083 (European Media Freedom Act)</t>
  </si>
  <si>
    <t xml:space="preserve">https://eur-lex.europa.eu/legal-content/EN/TXT/?uri=CELEX:52026XC00901</t>
  </si>
  <si>
    <t xml:space="preserve">32025R1420</t>
  </si>
  <si>
    <t xml:space="preserve">2025-07-17</t>
  </si>
  <si>
    <t xml:space="preserve">Commission Implementing Regulation (EU) 2025/1420 of 17 July 2025 laying down rules for the application of Regulation (EU) 2024/903 of the European Parliament and of the Council, as regards the establishment and the operation of the interoperability regulatory sandboxes</t>
  </si>
  <si>
    <t xml:space="preserve">https://eur-lex.europa.eu/legal-content/EN/TXT/?uri=CELEX:32025R1420</t>
  </si>
  <si>
    <t xml:space="preserve">32025R2194</t>
  </si>
  <si>
    <t xml:space="preserve">2025-10-28</t>
  </si>
  <si>
    <t xml:space="preserve">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</si>
  <si>
    <t xml:space="preserve">https://eur-lex.europa.eu/legal-content/EN/TXT/?uri=CELEX:32025R2194</t>
  </si>
  <si>
    <t xml:space="preserve">32026R1116</t>
  </si>
  <si>
    <t xml:space="preserve">2026-05-26</t>
  </si>
  <si>
    <t xml:space="preserve">Commission Implementing Regulation (EU) 2026/1116 of 26 May 2026 listing the products, components and waste streams considered as having a relevant critical raw materials recovery potential under Regulation (EU) 2024/1252</t>
  </si>
  <si>
    <t xml:space="preserve">https://eur-lex.europa.eu/legal-content/EN/TXT/?uri=CELEX:32026R1116</t>
  </si>
  <si>
    <t xml:space="preserve">32025R1477</t>
  </si>
  <si>
    <t xml:space="preserve">2025-05-21</t>
  </si>
  <si>
    <t xml:space="preserve">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</si>
  <si>
    <t xml:space="preserve">https://eur-lex.europa.eu/legal-content/EN/TXT/?uri=CELEX:32025R1477</t>
  </si>
  <si>
    <t xml:space="preserve">32025D1100</t>
  </si>
  <si>
    <t xml:space="preserve">Commission Implementing Decision (EU) 2025/1100 of 23 May 2025 adopting guidelines for the implementation of certain selection criteria for net-zero strategic projects laid down in Article 13 of Regulation (EU) 2024/1735 of the European Parliament and of the Council</t>
  </si>
  <si>
    <t xml:space="preserve">https://eur-lex.europa.eu/legal-content/EN/TXT/?uri=CELEX:32025D1100</t>
  </si>
  <si>
    <t xml:space="preserve">32025R1176</t>
  </si>
  <si>
    <t xml:space="preserve">Commission Implementing Regulation (EU) 2025/1176 of 23 May 2025 specifying the pre-qualification and award criteria for auctions for the deployment of energy from renewable sources</t>
  </si>
  <si>
    <t xml:space="preserve">https://eur-lex.europa.eu/legal-content/EN/TXT/?uri=CELEX:32025R1176</t>
  </si>
  <si>
    <t xml:space="preserve">32025R1178</t>
  </si>
  <si>
    <t xml:space="preserve">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</si>
  <si>
    <t xml:space="preserve">https://eur-lex.europa.eu/legal-content/EN/TXT/?uri=CELEX:32025R1178</t>
  </si>
  <si>
    <t xml:space="preserve">32025R1463</t>
  </si>
  <si>
    <t xml:space="preserve">Commission Delegated Regulation (EU) 2025/1463 of 23 May 2025 amending Regulation (EU) 2024/1735 of the European Parliament and of the Council as regards the identification of sub-categories within net-zero technologies and the list of specific components used for those technologies</t>
  </si>
  <si>
    <t xml:space="preserve">https://eur-lex.europa.eu/legal-content/EN/TXT/?uri=CELEX:32025R1463</t>
  </si>
  <si>
    <t xml:space="preserve">52026XC00123</t>
  </si>
  <si>
    <t xml:space="preserve">2026-01-07</t>
  </si>
  <si>
    <t xml:space="preserve">Communication from the Commission – Guidance on the implementation of Article 28 of Regulation (EU) 2024/1735 establishing a framework of measures for strengthening Europe’s net-zero technology manufacturing ecosystem and amending Regulation (EU) 2018/1724 (NZIA)</t>
  </si>
  <si>
    <t xml:space="preserve">https://eur-lex.europa.eu/legal-content/EN/TXT/?uri=CELEX:52026XC00123</t>
  </si>
  <si>
    <t xml:space="preserve">32026R0718</t>
  </si>
  <si>
    <t xml:space="preserve">2026-03-20</t>
  </si>
  <si>
    <t xml:space="preserve">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</si>
  <si>
    <t xml:space="preserve">https://eur-lex.europa.eu/legal-content/EN/TXT/?uri=CELEX:32026R0718</t>
  </si>
  <si>
    <t xml:space="preserve">52026XC04113</t>
  </si>
  <si>
    <t xml:space="preserve">2026-07-29</t>
  </si>
  <si>
    <t xml:space="preserve">Communication from the Commission – Guidance on Article 26 of Regulation (EU) 2024/1735 on establishing a framework of measures for strengthening Europe’s net-zero zero technology manufacturing ecosystem and amending Regulation (EU) 2018/1724</t>
  </si>
  <si>
    <t xml:space="preserve">https://eur-lex.europa.eu/legal-content/EN/TXT/?uri=CELEX:52026XC04113</t>
  </si>
  <si>
    <t xml:space="preserve">52026XC04623</t>
  </si>
  <si>
    <t xml:space="preserve">2026-08-31</t>
  </si>
  <si>
    <t xml:space="preserve">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</si>
  <si>
    <t xml:space="preserve">https://eur-lex.europa.eu/legal-content/EN/TXT/?uri=CELEX:52026XC04623</t>
  </si>
  <si>
    <t xml:space="preserve">32026L0074</t>
  </si>
  <si>
    <t xml:space="preserve">DIR_DEL</t>
  </si>
  <si>
    <t xml:space="preserve">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</si>
  <si>
    <t xml:space="preserve">https://eur-lex.europa.eu/legal-content/EN/TXT/?uri=CELEX:32026L0074</t>
  </si>
  <si>
    <t xml:space="preserve">32026D1354</t>
  </si>
  <si>
    <t xml:space="preserve">2026-06-15</t>
  </si>
  <si>
    <t xml:space="preserve">Council Implementing Decision (EU) 2026/1354 of 15 June 2026 authorising the provision of support from the EU Cybersecurity Reserve to Ukraine</t>
  </si>
  <si>
    <t xml:space="preserve">https://eur-lex.europa.eu/legal-content/EN/TXT/?uri=CELEX:32026D1354</t>
  </si>
  <si>
    <t xml:space="preserve">32026D1725</t>
  </si>
  <si>
    <t xml:space="preserve">Council Implementing Decision (EU) 2026/1725 of 10 July 2026 authorising the provision of support from the EU Cybersecurity Reserve to the Republic of Moldova (Text with EEA relevance)</t>
  </si>
  <si>
    <t xml:space="preserve">https://eur-lex.europa.eu/legal-content/EN/TXT/?uri=CELEX:32026D1725</t>
  </si>
  <si>
    <t xml:space="preserve">52024XC03209</t>
  </si>
  <si>
    <t xml:space="preserve">2024-05-13</t>
  </si>
  <si>
    <t xml:space="preserve">Communication from the Commission – Guidance Note concerning certain provisions of Regulation (EU) 2024/795 establishing the Strategic Technologies for Europe Platform (STEP)</t>
  </si>
  <si>
    <t xml:space="preserve">https://eur-lex.europa.eu/legal-content/EN/TXT/?uri=CELEX:52024XC03209</t>
  </si>
  <si>
    <t xml:space="preserve">52025XC06798</t>
  </si>
  <si>
    <t xml:space="preserve">2025-12-23</t>
  </si>
  <si>
    <t xml:space="preserve">Communication from the Commission – Second Guidance Note on the Strategic Technologies for Europe Platform (STEP) clarifying elements of Regulation (EU) 2024/795 and Commission Communication C/2024/3209</t>
  </si>
  <si>
    <t xml:space="preserve">https://eur-lex.europa.eu/legal-content/EN/TXT/?uri=CELEX:52025XC06798</t>
  </si>
  <si>
    <t xml:space="preserve">32014D0188</t>
  </si>
  <si>
    <t xml:space="preserve">2014-04-03</t>
  </si>
  <si>
    <t xml:space="preserve">(2014/188/EU): Commission Implementing Decision of 3 April 2014 on the identification of ICT technical specifications eligible for referencing in public procurement (notified under document C(2014) 2120)</t>
  </si>
  <si>
    <t xml:space="preserve">https://eur-lex.europa.eu/legal-content/EN/TXT/?uri=CELEX:32014D0188</t>
  </si>
  <si>
    <t xml:space="preserve">32014D0714</t>
  </si>
  <si>
    <t xml:space="preserve">2014-10-13</t>
  </si>
  <si>
    <t xml:space="preserve">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</si>
  <si>
    <t xml:space="preserve">https://eur-lex.europa.eu/legal-content/EN/TXT/?uri=CELEX:32014D0714</t>
  </si>
  <si>
    <t xml:space="preserve">32014D0771</t>
  </si>
  <si>
    <t xml:space="preserve">2014-10-31</t>
  </si>
  <si>
    <t xml:space="preserve">2014/771/EU: Commission Implementing Decision of 31 October 2014 on the identification of Universal Business Language version 2.1 for referencing in public procurement  Text with EEA relevance</t>
  </si>
  <si>
    <t xml:space="preserve">https://eur-lex.europa.eu/legal-content/EN/TXT/?uri=CELEX:32014D0771</t>
  </si>
  <si>
    <t xml:space="preserve">32015D1143</t>
  </si>
  <si>
    <t xml:space="preserve">2015-07-13</t>
  </si>
  <si>
    <t xml:space="preserve">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</si>
  <si>
    <t xml:space="preserve">https://eur-lex.europa.eu/legal-content/EN/TXT/?uri=CELEX:32015D1143</t>
  </si>
  <si>
    <t xml:space="preserve">32015D1194</t>
  </si>
  <si>
    <t xml:space="preserve">2015-07-20</t>
  </si>
  <si>
    <t xml:space="preserve">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</si>
  <si>
    <t xml:space="preserve">https://eur-lex.europa.eu/legal-content/EN/TXT/?uri=CELEX:32015D1194</t>
  </si>
  <si>
    <t xml:space="preserve">32015D2181</t>
  </si>
  <si>
    <t xml:space="preserve">2015-11-24</t>
  </si>
  <si>
    <t xml:space="preserve">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</si>
  <si>
    <t xml:space="preserve">https://eur-lex.europa.eu/legal-content/EN/TXT/?uri=CELEX:32015D2181</t>
  </si>
  <si>
    <t xml:space="preserve">32016D0120</t>
  </si>
  <si>
    <t xml:space="preserve">2016-01-28</t>
  </si>
  <si>
    <t xml:space="preserve">Commission Implementing Decision (EU) 2016/120 of 28 January 2016 on the identification of the extensible Business Reporting Language 2.1 for referencing in public procurement (Text with EEA relevance)</t>
  </si>
  <si>
    <t xml:space="preserve">https://eur-lex.europa.eu/legal-content/EN/TXT/?uri=CELEX:32016D0120</t>
  </si>
  <si>
    <t xml:space="preserve">32016D0209</t>
  </si>
  <si>
    <t xml:space="preserve">2016-02-12</t>
  </si>
  <si>
    <t xml:space="preserve">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</si>
  <si>
    <t xml:space="preserve">https://eur-lex.europa.eu/legal-content/EN/TXT/?uri=CELEX:32016D0209</t>
  </si>
  <si>
    <t xml:space="preserve">32016D1765</t>
  </si>
  <si>
    <t xml:space="preserve">2016-10-03</t>
  </si>
  <si>
    <t xml:space="preserve">Commission Implementing Decision (EU) 2016/1765 of 3 October 2016 on the identification of ICT Technical Specifications for referencing in public procurement (Text with EEA relevance)</t>
  </si>
  <si>
    <t xml:space="preserve">https://eur-lex.europa.eu/legal-content/EN/TXT/?uri=CELEX:32016D1765</t>
  </si>
  <si>
    <t xml:space="preserve">32017D0168</t>
  </si>
  <si>
    <t xml:space="preserve">2017-01-31</t>
  </si>
  <si>
    <t xml:space="preserve">Commission Implementing Decision (EU) 2017/168 of 31 January 2017 on the identification of ‘Internet Engineering Task Force’ Technical Specifications for referencing in public procurement (Text with EEA relevance. )</t>
  </si>
  <si>
    <t xml:space="preserve">https://eur-lex.europa.eu/legal-content/EN/TXT/?uri=CELEX:32017D0168</t>
  </si>
  <si>
    <t xml:space="preserve">32017D1357</t>
  </si>
  <si>
    <t xml:space="preserve">2017-07-19</t>
  </si>
  <si>
    <t xml:space="preserve">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</si>
  <si>
    <t xml:space="preserve">https://eur-lex.europa.eu/legal-content/EN/TXT/?uri=CELEX:32017D1357</t>
  </si>
  <si>
    <t xml:space="preserve">32017D1358</t>
  </si>
  <si>
    <t xml:space="preserve">Commission Implementing Decision (EU) 2017/1358 of 20 July 2017 on the identification of ICT Technical Specifications for referencing in public procurement (Text with EEA relevance. )</t>
  </si>
  <si>
    <t xml:space="preserve">https://eur-lex.europa.eu/legal-content/EN/TXT/?uri=CELEX:32017D1358</t>
  </si>
  <si>
    <t xml:space="preserve">32017D2288</t>
  </si>
  <si>
    <t xml:space="preserve">2017-12-11</t>
  </si>
  <si>
    <t xml:space="preserve">Commission Implementing Decision (EU) 2017/2288 of 11 December 2017 on the identification of ICT Technical Specifications for referencing in public procurement (Text with EEA relevance. )</t>
  </si>
  <si>
    <t xml:space="preserve">https://eur-lex.europa.eu/legal-content/EN/TXT/?uri=CELEX:32017D2288</t>
  </si>
  <si>
    <t xml:space="preserve">32018D2048</t>
  </si>
  <si>
    <t xml:space="preserve">Commission Implementing Decision (EU) 2018/2048 of 20 December 2018 on the harmonised standard for websites and mobile applications drafted in support of Directive (EU) 2016/2102 of the European Parliament and of the Council</t>
  </si>
  <si>
    <t xml:space="preserve">https://eur-lex.europa.eu/legal-content/EN/TXT/?uri=CELEX:32018D2048</t>
  </si>
  <si>
    <t xml:space="preserve">32019D0436</t>
  </si>
  <si>
    <t xml:space="preserve">2019-03-18</t>
  </si>
  <si>
    <t xml:space="preserve">Commission Implementing Decision (EU) 2019/436 of 18 March 2019 on the harmonised standards for machinery drafted in support of Directive 2006/42/EC of the European Parliament and of the Council</t>
  </si>
  <si>
    <t xml:space="preserve">https://eur-lex.europa.eu/legal-content/EN/TXT/?uri=CELEX:32019D0436</t>
  </si>
  <si>
    <t xml:space="preserve">32019D0919</t>
  </si>
  <si>
    <t xml:space="preserve">2019-06-04</t>
  </si>
  <si>
    <t xml:space="preserve">Commission Implementing Decision (EU) 2019/919 of 4 June 2019 on the harmonised standards for recreational craft and personal watercraft drafted in support of Directive 2013/53/EU of the European Parliament and of the Council</t>
  </si>
  <si>
    <t xml:space="preserve">https://eur-lex.europa.eu/legal-content/EN/TXT/?uri=CELEX:32019D0919</t>
  </si>
  <si>
    <t xml:space="preserve">32019D1202</t>
  </si>
  <si>
    <t xml:space="preserve">2019-07-12</t>
  </si>
  <si>
    <t xml:space="preserve">Commission Implementing Decision (EU) 2019/1202 of 12 July 2019 on the harmonised standards for equipment and protective systems intended for use in potentially explosive atmospheres drafted in support of Directive 2014/34/EU of the European Parliament and of the Council</t>
  </si>
  <si>
    <t xml:space="preserve">https://eur-lex.europa.eu/legal-content/EN/TXT/?uri=CELEX:32019D1202</t>
  </si>
  <si>
    <t xml:space="preserve">32019D1217</t>
  </si>
  <si>
    <t xml:space="preserve">2019-07-17</t>
  </si>
  <si>
    <t xml:space="preserve">Commission Implementing Decision (EU) 2019/1217 of 17 July 2019 on the harmonised standards for personal flotation devices — lifejackets drafted in support of Council Directive 89/686/EEC (Text with EEA relevance.)</t>
  </si>
  <si>
    <t xml:space="preserve">https://eur-lex.europa.eu/legal-content/EN/TXT/?uri=CELEX:32019D1217</t>
  </si>
  <si>
    <t xml:space="preserve">32019D1254</t>
  </si>
  <si>
    <t xml:space="preserve">2019-07-22</t>
  </si>
  <si>
    <t xml:space="preserve">Commission Implementing Decision (EU) 2019/1254 of 22 July 2019 on harmonised standards on the safety of toys drafted in support of Directive 2009/48/EC of the European Parliament and of the Council</t>
  </si>
  <si>
    <t xml:space="preserve">https://eur-lex.europa.eu/legal-content/EN/TXT/?uri=CELEX:32019D1254</t>
  </si>
  <si>
    <t xml:space="preserve">32019D1326</t>
  </si>
  <si>
    <t xml:space="preserve">2019-08-05</t>
  </si>
  <si>
    <t xml:space="preserve">Commission Implementing Decision (EU) 2019/1326 of 5 August 2019 on the harmonised standards for electromagnetic compatibility drafted in support of Directive 2014/30/EU of the European Parliament and of the Council</t>
  </si>
  <si>
    <t xml:space="preserve">https://eur-lex.europa.eu/legal-content/EN/TXT/?uri=CELEX:32019D1326</t>
  </si>
  <si>
    <t xml:space="preserve">32019D1616</t>
  </si>
  <si>
    <t xml:space="preserve">Commission Implementing Decision (EU) 2019/1616 of 27 September 2019 on the harmonised standards for pressure equipment drafted in support of Directive 2014/68/EU of the European Parliament and of the Council</t>
  </si>
  <si>
    <t xml:space="preserve">https://eur-lex.europa.eu/legal-content/EN/TXT/?uri=CELEX:32019D1616</t>
  </si>
  <si>
    <t xml:space="preserve">32019D1680</t>
  </si>
  <si>
    <t xml:space="preserve">2019-10-07</t>
  </si>
  <si>
    <t xml:space="preserve">Commission Implementing Decision (EU) 2019/1680 of 7 October 2019 correcting the Czech language version of Implementing Decision (EU) 2019/436 on the harmonised standards for machinery drafted in support of Directive 2006/42/EC of the European Parliament and of the Council</t>
  </si>
  <si>
    <t xml:space="preserve">https://eur-lex.europa.eu/legal-content/EN/TXT/?uri=CELEX:32019D1680</t>
  </si>
  <si>
    <t xml:space="preserve">32019D1728</t>
  </si>
  <si>
    <t xml:space="preserve">2019-10-15</t>
  </si>
  <si>
    <t xml:space="preserve">Commission Implementing Decision (EU) 2019/1728 of 15 October 2019 on harmonised standards for toys drafted in support of Directive 2009/48/EC of the European Parliament and of the Council</t>
  </si>
  <si>
    <t xml:space="preserve">https://eur-lex.europa.eu/legal-content/EN/TXT/?uri=CELEX:32019D1728</t>
  </si>
  <si>
    <t xml:space="preserve">32019D1729</t>
  </si>
  <si>
    <t xml:space="preserve">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</si>
  <si>
    <t xml:space="preserve">https://eur-lex.europa.eu/legal-content/EN/TXT/?uri=CELEX:32019D1729</t>
  </si>
  <si>
    <t xml:space="preserve">32019D1863</t>
  </si>
  <si>
    <t xml:space="preserve">2019-11-06</t>
  </si>
  <si>
    <t xml:space="preserve">Commission Implementing Decision (EU) 2019/1863 of 6 November 2019 amending and correcting Implementing Decision (EU) 2019/436 as regards the withdrawal of references of harmonised standards for machinery from the Official Journal of the European Union (Text with EEA relevance)</t>
  </si>
  <si>
    <t xml:space="preserve">https://eur-lex.europa.eu/legal-content/EN/TXT/?uri=CELEX:32019D1863</t>
  </si>
  <si>
    <t xml:space="preserve">32019D1923</t>
  </si>
  <si>
    <t xml:space="preserve">Commission Implementing Decision (EU) 2019/1923 of 18 November 2019 on the harmonised standards for cableway installations drafted in support of Regulation (EU) 2016/424 of the European Parliament and of the Council</t>
  </si>
  <si>
    <t xml:space="preserve">https://eur-lex.europa.eu/legal-content/EN/TXT/?uri=CELEX:32019D1923</t>
  </si>
  <si>
    <t xml:space="preserve">32019D1956</t>
  </si>
  <si>
    <t xml:space="preserve">2019-11-26</t>
  </si>
  <si>
    <t xml:space="preserve">Commission Implementing Decision (EU) 2019/1956 of 26 November 2019 on the harmonised standards for electrical equipment designed for use within certain voltage limits and drafted in support of Directive 2014/35/EU of the European Parliament and of the Council</t>
  </si>
  <si>
    <t xml:space="preserve">https://eur-lex.europa.eu/legal-content/EN/TXT/?uri=CELEX:32019D1956</t>
  </si>
  <si>
    <t xml:space="preserve">32020D0050</t>
  </si>
  <si>
    <t xml:space="preserve">2020-01-21</t>
  </si>
  <si>
    <t xml:space="preserve">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</si>
  <si>
    <t xml:space="preserve">https://eur-lex.europa.eu/legal-content/EN/TXT/?uri=CELEX:32020D0050</t>
  </si>
  <si>
    <t xml:space="preserve">32020D0167</t>
  </si>
  <si>
    <t xml:space="preserve">2020-02-05</t>
  </si>
  <si>
    <t xml:space="preserve">Commission Implementing Decision (EU) 2020/167 of 5 February 2020 on the harmonised standards for radio equipment drafted in support of Directive 2014/53/EU of the European Parliament and of the Council</t>
  </si>
  <si>
    <t xml:space="preserve">https://eur-lex.europa.eu/legal-content/EN/TXT/?uri=CELEX:32020D0167</t>
  </si>
  <si>
    <t xml:space="preserve">32020D0260</t>
  </si>
  <si>
    <t xml:space="preserve">2020-02-25</t>
  </si>
  <si>
    <t xml:space="preserve">Commission Implementing Decision (EU) 2020/260 of 25 February 2020 amending Implementing Decision (EU) 2019/1202 as regards explosion prevention and protection</t>
  </si>
  <si>
    <t xml:space="preserve">https://eur-lex.europa.eu/legal-content/EN/TXT/?uri=CELEX:32020D0260</t>
  </si>
  <si>
    <t xml:space="preserve">32020D0437</t>
  </si>
  <si>
    <t xml:space="preserve">2020-03-24</t>
  </si>
  <si>
    <t xml:space="preserve">Commission Implementing Decision (EU) 2020/437 of 24 March 2020 on the harmonised standards for medical devices drafted in support of Council Directive 93/42/EEC</t>
  </si>
  <si>
    <t xml:space="preserve">https://eur-lex.europa.eu/legal-content/EN/TXT/?uri=CELEX:32020D0437</t>
  </si>
  <si>
    <t xml:space="preserve">32020D0438</t>
  </si>
  <si>
    <t xml:space="preserve">Commission Implementing Decision (EU) 2020/438 of 24 March 2020 on the harmonised standards for active implantable medical devices drafted in support of Council Directive 90/385/EEC</t>
  </si>
  <si>
    <t xml:space="preserve">https://eur-lex.europa.eu/legal-content/EN/TXT/?uri=CELEX:32020D0438</t>
  </si>
  <si>
    <t xml:space="preserve">32020D0439</t>
  </si>
  <si>
    <t xml:space="preserve">Commission Implementing Decision (EU) 2020/439 of 24 March 2020 on the harmonised standards for in vitro diagnostic medical devices drafted in support of Directive 98/79/EC of the European Parliament and of the Council</t>
  </si>
  <si>
    <t xml:space="preserve">https://eur-lex.europa.eu/legal-content/EN/TXT/?uri=CELEX:32020D0439</t>
  </si>
  <si>
    <t xml:space="preserve">32020D0453</t>
  </si>
  <si>
    <t xml:space="preserve">2020-03-27</t>
  </si>
  <si>
    <t xml:space="preserve">Commission Implementing Decision (EU) 2020/453 of 27 March 2020 on the harmonised standards for railway products drafted in support of Directive 2008/57/EC of the European Parliament and of the Council on the interoperability of the rail system within the Community</t>
  </si>
  <si>
    <t xml:space="preserve">https://eur-lex.europa.eu/legal-content/EN/TXT/?uri=CELEX:32020D0453</t>
  </si>
  <si>
    <t xml:space="preserve">32020D0480</t>
  </si>
  <si>
    <t xml:space="preserve">2020-04-01</t>
  </si>
  <si>
    <t xml:space="preserve">Commission Implementing Decision (EU) 2020/480 of 1 April 2020 amending Implementing Decision (EU) 2019/436 on harmonised standards for machinery drafted in support of Directive 2006/42/EC of the European Parliament and of the Council</t>
  </si>
  <si>
    <t xml:space="preserve">https://eur-lex.europa.eu/legal-content/EN/TXT/?uri=CELEX:32020D0480</t>
  </si>
  <si>
    <t xml:space="preserve">32020D0542</t>
  </si>
  <si>
    <t xml:space="preserve">2020-04-16</t>
  </si>
  <si>
    <t xml:space="preserve">Commission Implementing Decision (EU) 2020/542 of 16 April 2020 amending Implementing Decision (EU) 2019/1616 as regards safety devices for protection against excessive pressure, welded steel tubes for pressure purposes, unfired pressure vessels and metallic industrial piping</t>
  </si>
  <si>
    <t xml:space="preserve">https://eur-lex.europa.eu/legal-content/EN/TXT/?uri=CELEX:32020D0542</t>
  </si>
  <si>
    <t xml:space="preserve">32020D0553</t>
  </si>
  <si>
    <t xml:space="preserve">2020-04-21</t>
  </si>
  <si>
    <t xml:space="preserve">Commission Implementing Decision (EU) 2020/553 of 21 April 2020 amending Implementing Decision (EU) 2020/167 as regards harmonised standards for certain international mobile telecommunications cellular networks equipment</t>
  </si>
  <si>
    <t xml:space="preserve">https://eur-lex.europa.eu/legal-content/EN/TXT/?uri=CELEX:32020D0553</t>
  </si>
  <si>
    <t xml:space="preserve">32020D0659</t>
  </si>
  <si>
    <t xml:space="preserve">2020-05-15</t>
  </si>
  <si>
    <t xml:space="preserve">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</si>
  <si>
    <t xml:space="preserve">https://eur-lex.europa.eu/legal-content/EN/TXT/?uri=CELEX:32020D0659</t>
  </si>
  <si>
    <t xml:space="preserve">32020D0660</t>
  </si>
  <si>
    <t xml:space="preserve">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</si>
  <si>
    <t xml:space="preserve">https://eur-lex.europa.eu/legal-content/EN/TXT/?uri=CELEX:32020D0660</t>
  </si>
  <si>
    <t xml:space="preserve">32020D0668</t>
  </si>
  <si>
    <t xml:space="preserve">2020-05-18</t>
  </si>
  <si>
    <t xml:space="preserve">Commission Implementing Decision (EU) 2020/668 of 18 May 2020 on the harmonised standards for personal protective equipment drafted in support of Regulation (EU) 2016/425 of the European Parliament and of the Council</t>
  </si>
  <si>
    <t xml:space="preserve">https://eur-lex.europa.eu/legal-content/EN/TXT/?uri=CELEX:32020D0668</t>
  </si>
  <si>
    <t xml:space="preserve">32020D1146</t>
  </si>
  <si>
    <t xml:space="preserve">2020-07-31</t>
  </si>
  <si>
    <t xml:space="preserve">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</si>
  <si>
    <t xml:space="preserve">https://eur-lex.europa.eu/legal-content/EN/TXT/?uri=CELEX:32020D1146</t>
  </si>
  <si>
    <t xml:space="preserve">32020D1562</t>
  </si>
  <si>
    <t xml:space="preserve">2020-10-26</t>
  </si>
  <si>
    <t xml:space="preserve">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</si>
  <si>
    <t xml:space="preserve">https://eur-lex.europa.eu/legal-content/EN/TXT/?uri=CELEX:32020D1562</t>
  </si>
  <si>
    <t xml:space="preserve">32020D1630</t>
  </si>
  <si>
    <t xml:space="preserve">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</si>
  <si>
    <t xml:space="preserve">https://eur-lex.europa.eu/legal-content/EN/TXT/?uri=CELEX:32020D1630</t>
  </si>
  <si>
    <t xml:space="preserve">32020D1779</t>
  </si>
  <si>
    <t xml:space="preserve">2020-11-27</t>
  </si>
  <si>
    <t xml:space="preserve">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</si>
  <si>
    <t xml:space="preserve">https://eur-lex.europa.eu/legal-content/EN/TXT/?uri=CELEX:32020D1779</t>
  </si>
  <si>
    <t xml:space="preserve">32020D1835</t>
  </si>
  <si>
    <t xml:space="preserve">2020-12-03</t>
  </si>
  <si>
    <t xml:space="preserve">Commission Implementing Decision (EU) 2020/1835 of 3 December 2020 on the harmonised standards for accreditation and conformity assessment (Text with EEA relevance)</t>
  </si>
  <si>
    <t xml:space="preserve">https://eur-lex.europa.eu/legal-content/EN/TXT/?uri=CELEX:32020D1835</t>
  </si>
  <si>
    <t xml:space="preserve">32021D0076</t>
  </si>
  <si>
    <t xml:space="preserve">2021-01-26</t>
  </si>
  <si>
    <t xml:space="preserve">Commission Implementing Decision (EU) 2021/76 of 26 January 2021 on harmonised standards for lifts and safety components for lifts drafted in support of Directive 2014/33/EU of the European Parliament and of the Council (Text with EEA relevance)</t>
  </si>
  <si>
    <t xml:space="preserve">https://eur-lex.europa.eu/legal-content/EN/TXT/?uri=CELEX:32021D0076</t>
  </si>
  <si>
    <t xml:space="preserve">32021D0117</t>
  </si>
  <si>
    <t xml:space="preserve">2021-02-01</t>
  </si>
  <si>
    <t xml:space="preserve">Commission Implementing Decision (EU) 2021/117 of 1 February 2021 amending Implementing Decision (EU) 2019/919 as regards harmonised standards for small craft, regarding ventilation of petrol engine and/or petrol tank compartments and electric fans</t>
  </si>
  <si>
    <t xml:space="preserve">https://eur-lex.europa.eu/legal-content/EN/TXT/?uri=CELEX:32021D0117</t>
  </si>
  <si>
    <t xml:space="preserve">32021D0157</t>
  </si>
  <si>
    <t xml:space="preserve">2021-02-09</t>
  </si>
  <si>
    <t xml:space="preserve">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</si>
  <si>
    <t xml:space="preserve">https://eur-lex.europa.eu/legal-content/EN/TXT/?uri=CELEX:32021D0157</t>
  </si>
  <si>
    <t xml:space="preserve">32021D0377</t>
  </si>
  <si>
    <t xml:space="preserve">2021-03-02</t>
  </si>
  <si>
    <t xml:space="preserve">Commission Implementing Decision (EU) 2021/377 of 2 March 2021 amending Implementing Decision (EU) 2019/436 on harmonised standards for machinery drafted in support of Directive 2006/42/EC of the European Parliament and of the Council (Text with EEA relevance)</t>
  </si>
  <si>
    <t xml:space="preserve">https://eur-lex.europa.eu/legal-content/EN/TXT/?uri=CELEX:32021D0377</t>
  </si>
  <si>
    <t xml:space="preserve">32021D0395</t>
  </si>
  <si>
    <t xml:space="preserve">2021-03-04</t>
  </si>
  <si>
    <t xml:space="preserve">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</si>
  <si>
    <t xml:space="preserve">https://eur-lex.europa.eu/legal-content/EN/TXT/?uri=CELEX:32021D0395</t>
  </si>
  <si>
    <t xml:space="preserve">32021D0455</t>
  </si>
  <si>
    <t xml:space="preserve">2021-03-15</t>
  </si>
  <si>
    <t xml:space="preserve">Commission Implementing Decision (EU) 2021/455 of 15 March 2021 amending Implementing Decision (EU) 2019/1326 as regards harmonised standards for electromagnetic compatibility of control circuit devices and switching elements, and multimedia equipment</t>
  </si>
  <si>
    <t xml:space="preserve">https://eur-lex.europa.eu/legal-content/EN/TXT/?uri=CELEX:32021D0455</t>
  </si>
  <si>
    <t xml:space="preserve">32021D0609</t>
  </si>
  <si>
    <t xml:space="preserve">Commission Implementing Decision (EU) 2021/609 of 14 April 2021 amending Implementing Decision (EU) 2020/439 as regards harmonised standards on packaging for terminally sterilised medical devices and sterilisation of health care products</t>
  </si>
  <si>
    <t xml:space="preserve">https://eur-lex.europa.eu/legal-content/EN/TXT/?uri=CELEX:32021D0609</t>
  </si>
  <si>
    <t xml:space="preserve">32021D0610</t>
  </si>
  <si>
    <t xml:space="preserve">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</si>
  <si>
    <t xml:space="preserve">https://eur-lex.europa.eu/legal-content/EN/TXT/?uri=CELEX:32021D0610</t>
  </si>
  <si>
    <t xml:space="preserve">32021D0611</t>
  </si>
  <si>
    <t xml:space="preserve">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</si>
  <si>
    <t xml:space="preserve">https://eur-lex.europa.eu/legal-content/EN/TXT/?uri=CELEX:32021D0611</t>
  </si>
  <si>
    <t xml:space="preserve">32021D0845</t>
  </si>
  <si>
    <t xml:space="preserve">2021-05-26</t>
  </si>
  <si>
    <t xml:space="preserve">Commission Implementing Decision (EU) 2021/845 of 26 May 2021 amending Implementing Decision (EU) 2019/1202 as regards determination of the spontaneous ignition behaviour of dust accumulations</t>
  </si>
  <si>
    <t xml:space="preserve">https://eur-lex.europa.eu/legal-content/EN/TXT/?uri=CELEX:32021D0845</t>
  </si>
  <si>
    <t xml:space="preserve">32021D0867</t>
  </si>
  <si>
    <t xml:space="preserve">2021-05-28</t>
  </si>
  <si>
    <t xml:space="preserve">Commission Implementing Decision (EU) 2021/867 of 28 May 2021 on harmonised standards for toys drafted in support of Directive 2009/48/EC of the European Parliament and of the Council</t>
  </si>
  <si>
    <t xml:space="preserve">https://eur-lex.europa.eu/legal-content/EN/TXT/?uri=CELEX:32021D0867</t>
  </si>
  <si>
    <t xml:space="preserve">32021D0913</t>
  </si>
  <si>
    <t xml:space="preserve">Commission Implementing Decision (EU) 2021/913 of 3 June 2021 on the harmonised standards for household dishwashers drafted in support of Regulation (EU) 2019/2022 and Delegated Regulation (EU) 2019/2017</t>
  </si>
  <si>
    <t xml:space="preserve">https://eur-lex.europa.eu/legal-content/EN/TXT/?uri=CELEX:32021D0913</t>
  </si>
  <si>
    <t xml:space="preserve">32021D0936</t>
  </si>
  <si>
    <t xml:space="preserve">Commission Implementing Decision (EU) 2021/936 of 3 June 2021 on the harmonised standards for household washing machines and household washer-dryers drafted in support of Regulation (EU) 2019/2023 and Delegated Regulation (EU) 2019/2014</t>
  </si>
  <si>
    <t xml:space="preserve">https://eur-lex.europa.eu/legal-content/EN/TXT/?uri=CELEX:32021D0936</t>
  </si>
  <si>
    <t xml:space="preserve">32021D1015</t>
  </si>
  <si>
    <t xml:space="preserve">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</si>
  <si>
    <t xml:space="preserve">https://eur-lex.europa.eu/legal-content/EN/TXT/?uri=CELEX:32021D1015</t>
  </si>
  <si>
    <t xml:space="preserve">32021D1182</t>
  </si>
  <si>
    <t xml:space="preserve">2021-07-16</t>
  </si>
  <si>
    <t xml:space="preserve">Commission Implementing Decision (EU) 2021/1182 of 16 July 2021 on the harmonised standards for medical devices drafted in support of Regulation (EU) 2017/745 of the European Parliament and of the Council</t>
  </si>
  <si>
    <t xml:space="preserve">https://eur-lex.europa.eu/legal-content/EN/TXT/?uri=CELEX:32021D1182</t>
  </si>
  <si>
    <t xml:space="preserve">32021D1201</t>
  </si>
  <si>
    <t xml:space="preserve">Commission Implementing Decision (EU) 2021/1201 of 16 July 2021 amending Implementing Decision (EU) 2020/668 as regards harmonised standards on hearing protectors</t>
  </si>
  <si>
    <t xml:space="preserve">https://eur-lex.europa.eu/legal-content/EN/TXT/?uri=CELEX:32021D1201</t>
  </si>
  <si>
    <t xml:space="preserve">32021D1195</t>
  </si>
  <si>
    <t xml:space="preserve">Commission Implementing Decision (EU) 2021/1195 of 19 July 2021 on the harmonised standards for in vitro diagnostic medical devices drafted in support of Regulation (EU) 2017/746 of the European Parliament and of the Council</t>
  </si>
  <si>
    <t xml:space="preserve">https://eur-lex.europa.eu/legal-content/EN/TXT/?uri=CELEX:32021D1195</t>
  </si>
  <si>
    <t xml:space="preserve">32021D1196</t>
  </si>
  <si>
    <t xml:space="preserve">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</si>
  <si>
    <t xml:space="preserve">https://eur-lex.europa.eu/legal-content/EN/TXT/?uri=CELEX:32021D1196</t>
  </si>
  <si>
    <t xml:space="preserve">32021D1220</t>
  </si>
  <si>
    <t xml:space="preserve">2021-07-26</t>
  </si>
  <si>
    <t xml:space="preserve">Commission Implementing Decision (EU) 2021/1220 of 26 July 2021 amending Implementing Decision (EU) 2021/76 as regards harmonised standards on safety rules for the construction and installation of firefighters lifts and behaviour of lifts in the event of fire (Text with EEA relevance)</t>
  </si>
  <si>
    <t xml:space="preserve">https://eur-lex.europa.eu/legal-content/EN/TXT/?uri=CELEX:32021D1220</t>
  </si>
  <si>
    <t xml:space="preserve">32021D1339</t>
  </si>
  <si>
    <t xml:space="preserve">2021-08-11</t>
  </si>
  <si>
    <t xml:space="preserve">Commission Implementing Decision (EU) 2021/1339 of 11 August 2021 amending Implementing Decision (EU) 2018/2048 as regards the harmonised standard for websites and mobile applications (Text with EEA relevance)</t>
  </si>
  <si>
    <t xml:space="preserve">https://eur-lex.europa.eu/legal-content/EN/TXT/?uri=CELEX:32021D1339</t>
  </si>
  <si>
    <t xml:space="preserve">32021D1402</t>
  </si>
  <si>
    <t xml:space="preserve">2021-08-25</t>
  </si>
  <si>
    <t xml:space="preserve">Commission Implementing Decision (EU) 2021/1402 of 25 August 2021 on harmonised standards for gas meters and other measuring instruments drafted in support of Directive 2014/32/EU of the European Parliament and of the Council (Text with EEA relevance)</t>
  </si>
  <si>
    <t xml:space="preserve">https://eur-lex.europa.eu/legal-content/EN/TXT/?uri=CELEX:32021D1402</t>
  </si>
  <si>
    <t xml:space="preserve">32021D1403</t>
  </si>
  <si>
    <t xml:space="preserve">Commission Implementing Decision (EU) 2021/1403 of 25 August 2021 amending Implementing Decision (EU) 2019/1202 as regards harmonised standards for light offshore cranes</t>
  </si>
  <si>
    <t xml:space="preserve">https://eur-lex.europa.eu/legal-content/EN/TXT/?uri=CELEX:32021D1403</t>
  </si>
  <si>
    <t xml:space="preserve">32021D1407</t>
  </si>
  <si>
    <t xml:space="preserve">2021-08-26</t>
  </si>
  <si>
    <t xml:space="preserve">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</si>
  <si>
    <t xml:space="preserve">https://eur-lex.europa.eu/legal-content/EN/TXT/?uri=CELEX:32021D1407</t>
  </si>
  <si>
    <t xml:space="preserve">32021D1801</t>
  </si>
  <si>
    <t xml:space="preserve">2021-10-11</t>
  </si>
  <si>
    <t xml:space="preserve">Commission Implementing Decision (EU) 2021/1801 of 11 October 2021 amending Implementing Decision (EU) 2019/1616 as regards harmonised standards for metallic industrial piping, bolting of flanges and their joints and stainless steel steam boilers</t>
  </si>
  <si>
    <t xml:space="preserve">https://eur-lex.europa.eu/legal-content/EN/TXT/?uri=CELEX:32021D1801</t>
  </si>
  <si>
    <t xml:space="preserve">32021D1813</t>
  </si>
  <si>
    <t xml:space="preserve">2021-10-14</t>
  </si>
  <si>
    <t xml:space="preserve">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</si>
  <si>
    <t xml:space="preserve">https://eur-lex.europa.eu/legal-content/EN/TXT/?uri=CELEX:32021D1813</t>
  </si>
  <si>
    <t xml:space="preserve">32021D1827</t>
  </si>
  <si>
    <t xml:space="preserve">2021-10-18</t>
  </si>
  <si>
    <t xml:space="preserve">Commission Implementing Decision (EU) 2021/1827 of 18 October 2021 on standards for postal services and the improvement of quality of service in support of Directive 97/67/EC of the European Parliament and of the Council (Text with EEA relevance)</t>
  </si>
  <si>
    <t xml:space="preserve">https://eur-lex.europa.eu/legal-content/EN/TXT/?uri=CELEX:32021D1827</t>
  </si>
  <si>
    <t xml:space="preserve">32021D1992</t>
  </si>
  <si>
    <t xml:space="preserve">Commission Implementing Decision (EU) 2021/1992 of 15 November 2021 on harmonised standards for toys drafted in support of Directive 2009/48/EC of the European Parliament and of the Council</t>
  </si>
  <si>
    <t xml:space="preserve">https://eur-lex.europa.eu/legal-content/EN/TXT/?uri=CELEX:32021D1992</t>
  </si>
  <si>
    <t xml:space="preserve">32021D2173</t>
  </si>
  <si>
    <t xml:space="preserve">2021-12-08</t>
  </si>
  <si>
    <t xml:space="preserve">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</si>
  <si>
    <t xml:space="preserve">https://eur-lex.europa.eu/legal-content/EN/TXT/?uri=CELEX:32021D2173</t>
  </si>
  <si>
    <t xml:space="preserve">32021D2272</t>
  </si>
  <si>
    <t xml:space="preserve">2021-12-20</t>
  </si>
  <si>
    <t xml:space="preserve">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</si>
  <si>
    <t xml:space="preserve">https://eur-lex.europa.eu/legal-content/EN/TXT/?uri=CELEX:32021D2272</t>
  </si>
  <si>
    <t xml:space="preserve">32021D2273</t>
  </si>
  <si>
    <t xml:space="preserve">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</si>
  <si>
    <t xml:space="preserve">https://eur-lex.europa.eu/legal-content/EN/TXT/?uri=CELEX:32021D2273</t>
  </si>
  <si>
    <t xml:space="preserve">32022D0006</t>
  </si>
  <si>
    <t xml:space="preserve">2022-01-04</t>
  </si>
  <si>
    <t xml:space="preserve">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</si>
  <si>
    <t xml:space="preserve">https://eur-lex.europa.eu/legal-content/EN/TXT/?uri=CELEX:32022D0006</t>
  </si>
  <si>
    <t xml:space="preserve">32022D0015</t>
  </si>
  <si>
    <t xml:space="preserve">2022-01-06</t>
  </si>
  <si>
    <t xml:space="preserve">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</si>
  <si>
    <t xml:space="preserve">https://eur-lex.europa.eu/legal-content/EN/TXT/?uri=CELEX:32022D0015</t>
  </si>
  <si>
    <t xml:space="preserve">32022D0404</t>
  </si>
  <si>
    <t xml:space="preserve">2022-03-03</t>
  </si>
  <si>
    <t xml:space="preserve">Commission Implementing Decision (EU) 2022/404 of 3 March 2022 amending Implementing Decision (EU) 2019/919 as regards harmonised standards for steering gear – cable over pulley systems (Text with EEA relevance)</t>
  </si>
  <si>
    <t xml:space="preserve">https://eur-lex.europa.eu/legal-content/EN/TXT/?uri=CELEX:32022D0404</t>
  </si>
  <si>
    <t xml:space="preserve">32022D0405</t>
  </si>
  <si>
    <t xml:space="preserve">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</si>
  <si>
    <t xml:space="preserve">https://eur-lex.europa.eu/legal-content/EN/TXT/?uri=CELEX:32022D0405</t>
  </si>
  <si>
    <t xml:space="preserve">32022D0406</t>
  </si>
  <si>
    <t xml:space="preserve">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</si>
  <si>
    <t xml:space="preserve">https://eur-lex.europa.eu/legal-content/EN/TXT/?uri=CELEX:32022D0406</t>
  </si>
  <si>
    <t xml:space="preserve">32022D0498</t>
  </si>
  <si>
    <t xml:space="preserve">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</si>
  <si>
    <t xml:space="preserve">https://eur-lex.europa.eu/legal-content/EN/TXT/?uri=CELEX:32022D0498</t>
  </si>
  <si>
    <t xml:space="preserve">32022D0621</t>
  </si>
  <si>
    <t xml:space="preserve">2022-04-07</t>
  </si>
  <si>
    <t xml:space="preserve">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</si>
  <si>
    <t xml:space="preserve">https://eur-lex.europa.eu/legal-content/EN/TXT/?uri=CELEX:32022D0621</t>
  </si>
  <si>
    <t xml:space="preserve">32022D0622</t>
  </si>
  <si>
    <t xml:space="preserve">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</si>
  <si>
    <t xml:space="preserve">https://eur-lex.europa.eu/legal-content/EN/TXT/?uri=CELEX:32022D0622</t>
  </si>
  <si>
    <t xml:space="preserve">32022D0713</t>
  </si>
  <si>
    <t xml:space="preserve">2022-05-04</t>
  </si>
  <si>
    <t xml:space="preserve">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</si>
  <si>
    <t xml:space="preserve">https://eur-lex.europa.eu/legal-content/EN/TXT/?uri=CELEX:32022D0713</t>
  </si>
  <si>
    <t xml:space="preserve">32022D0729</t>
  </si>
  <si>
    <t xml:space="preserve">Commission Implementing Decision (EU) 2022/729 of 11 May 2022 amending Implementing Decision (EU) 2021/1195 as regards harmonised standards for quality management systems and for application of risk management to medical devices</t>
  </si>
  <si>
    <t xml:space="preserve">https://eur-lex.europa.eu/legal-content/EN/TXT/?uri=CELEX:32022D0729</t>
  </si>
  <si>
    <t xml:space="preserve">32022D0757</t>
  </si>
  <si>
    <t xml:space="preserve">Commission Implementing Decision (EU) 2022/757 of 11 May 2022 amending Implementing Decision (EU) 2021/1182 as regards harmonised standards for quality management systems, sterilisation and application of risk management to medical devices</t>
  </si>
  <si>
    <t xml:space="preserve">https://eur-lex.europa.eu/legal-content/EN/TXT/?uri=CELEX:32022D0757</t>
  </si>
  <si>
    <t xml:space="preserve">32022D0784</t>
  </si>
  <si>
    <t xml:space="preserve">2022-05-17</t>
  </si>
  <si>
    <t xml:space="preserve">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</si>
  <si>
    <t xml:space="preserve">https://eur-lex.europa.eu/legal-content/EN/TXT/?uri=CELEX:32022D0784</t>
  </si>
  <si>
    <t xml:space="preserve">32022D0910</t>
  </si>
  <si>
    <t xml:space="preserve">2022-06-09</t>
  </si>
  <si>
    <t xml:space="preserve">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</si>
  <si>
    <t xml:space="preserve">https://eur-lex.europa.eu/legal-content/EN/TXT/?uri=CELEX:32022D0910</t>
  </si>
  <si>
    <t xml:space="preserve">32022D1029</t>
  </si>
  <si>
    <t xml:space="preserve">2022-06-28</t>
  </si>
  <si>
    <t xml:space="preserve">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</si>
  <si>
    <t xml:space="preserve">https://eur-lex.europa.eu/legal-content/EN/TXT/?uri=CELEX:32022D1029</t>
  </si>
  <si>
    <t xml:space="preserve">32022D1199</t>
  </si>
  <si>
    <t xml:space="preserve">2022-07-11</t>
  </si>
  <si>
    <t xml:space="preserve">Commission Implementing Decision (EU) 2022/1199 of 11 July 2022 amending Implementing Decision (EU) 2021/76 as regards harmonised standards for lifts with inclined travel path and correcting that Decision as regards harmonised standards for steel wire ropes (Text with EEA relevance)</t>
  </si>
  <si>
    <t xml:space="preserve">https://eur-lex.europa.eu/legal-content/EN/TXT/?uri=CELEX:32022D1199</t>
  </si>
  <si>
    <t xml:space="preserve">32022D1668</t>
  </si>
  <si>
    <t xml:space="preserve">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</si>
  <si>
    <t xml:space="preserve">https://eur-lex.europa.eu/legal-content/EN/TXT/?uri=CELEX:32022D1668</t>
  </si>
  <si>
    <t xml:space="preserve">32022D1844</t>
  </si>
  <si>
    <t xml:space="preserve">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</si>
  <si>
    <t xml:space="preserve">https://eur-lex.europa.eu/legal-content/EN/TXT/?uri=CELEX:32022D1844</t>
  </si>
  <si>
    <t xml:space="preserve">32022D1914</t>
  </si>
  <si>
    <t xml:space="preserve">2022-10-06</t>
  </si>
  <si>
    <t xml:space="preserve">Commission Implementing Decision (EU) 2022/1914 of 6 October 2022 amending Implementing Decision (EU) 2020/668 as regards harmonised standards on personal flotation devices – buoyancy aids, lifejackets and accessories (Text with EEA relevance)</t>
  </si>
  <si>
    <t xml:space="preserve">https://eur-lex.europa.eu/legal-content/EN/TXT/?uri=CELEX:32022D1914</t>
  </si>
  <si>
    <t xml:space="preserve">32022D1954</t>
  </si>
  <si>
    <t xml:space="preserve">Commission Implementing Decision (EU) 2022/1954 of 12 October 2022 on harmonised standards for recreational craft and personal watercraft drafted in support of Directive 2013/53/EU of the European Parliament and of the Council (Text with EEA relevance)</t>
  </si>
  <si>
    <t xml:space="preserve">https://eur-lex.europa.eu/legal-content/EN/TXT/?uri=CELEX:32022D1954</t>
  </si>
  <si>
    <t xml:space="preserve">32022D2191</t>
  </si>
  <si>
    <t xml:space="preserve">2022-11-08</t>
  </si>
  <si>
    <t xml:space="preserve">Commission Implementing Decision (EU) 2022/2191 of 8 November 2022 on the harmonised standards for radio equipment drafted in support of Directive 2014/53/EU of the European Parliament and of the Council (Text with EEA relevance)</t>
  </si>
  <si>
    <t xml:space="preserve">https://eur-lex.europa.eu/legal-content/EN/TXT/?uri=CELEX:32022D2191</t>
  </si>
  <si>
    <t xml:space="preserve">32022D2414</t>
  </si>
  <si>
    <t xml:space="preserve">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</si>
  <si>
    <t xml:space="preserve">https://eur-lex.europa.eu/legal-content/EN/TXT/?uri=CELEX:32022D2414</t>
  </si>
  <si>
    <t xml:space="preserve">32023D0098</t>
  </si>
  <si>
    <t xml:space="preserve">2023-01-09</t>
  </si>
  <si>
    <t xml:space="preserve">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</si>
  <si>
    <t xml:space="preserve">https://eur-lex.europa.eu/legal-content/EN/TXT/?uri=CELEX:32023D0098</t>
  </si>
  <si>
    <t xml:space="preserve">32023D0600</t>
  </si>
  <si>
    <t xml:space="preserve">2023-03-13</t>
  </si>
  <si>
    <t xml:space="preserve">Commission Implementing Decision (EU) 2023/600 of 13 March 2023 amending Implementing Decision (EU) 2019/1956 as regards harmonised standards for room heaters, aquarium luminaires, circuit-breakers and tumble dryers (Text with EEA relevance)</t>
  </si>
  <si>
    <t xml:space="preserve">https://eur-lex.europa.eu/legal-content/EN/TXT/?uri=CELEX:32023D0600</t>
  </si>
  <si>
    <t xml:space="preserve">32023D0601</t>
  </si>
  <si>
    <t xml:space="preserve">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</si>
  <si>
    <t xml:space="preserve">https://eur-lex.europa.eu/legal-content/EN/TXT/?uri=CELEX:32023D0601</t>
  </si>
  <si>
    <t xml:space="preserve">32023D0740</t>
  </si>
  <si>
    <t xml:space="preserve">2023-04-04</t>
  </si>
  <si>
    <t xml:space="preserve">Commission Implementing Decision (EU) 2023/740 of 4 April 2023 on harmonised standards for toys drafted in support of Directive 2009/48/EC of the European Parliament and of the Council</t>
  </si>
  <si>
    <t xml:space="preserve">https://eur-lex.europa.eu/legal-content/EN/TXT/?uri=CELEX:32023D0740</t>
  </si>
  <si>
    <t xml:space="preserve">32023D0941</t>
  </si>
  <si>
    <t xml:space="preserve">2023-05-02</t>
  </si>
  <si>
    <t xml:space="preserve">Commission Implementing Decision (EU) 2023/941 of 2 May 2023 on harmonised standards for personal protective equipment drafted in support of Regulation (EU) 2016/425 of the European Parliament and of the Council (Text with EEA relevance)</t>
  </si>
  <si>
    <t xml:space="preserve">https://eur-lex.europa.eu/legal-content/EN/TXT/?uri=CELEX:32023D0941</t>
  </si>
  <si>
    <t xml:space="preserve">32023D1060</t>
  </si>
  <si>
    <t xml:space="preserve">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</si>
  <si>
    <t xml:space="preserve">https://eur-lex.europa.eu/legal-content/EN/TXT/?uri=CELEX:32023D1060</t>
  </si>
  <si>
    <t xml:space="preserve">32023D1410</t>
  </si>
  <si>
    <t xml:space="preserve">Commission Implementing Decision (EU) 2023/1410 of 4 July 2023 amending Implementing Decision (EU) 2021/1182 as regards harmonised standards for sterilization of health care products and biological evaluation of medical devices</t>
  </si>
  <si>
    <t xml:space="preserve">https://eur-lex.europa.eu/legal-content/EN/TXT/?uri=CELEX:32023D1410</t>
  </si>
  <si>
    <t xml:space="preserve">32023D1411</t>
  </si>
  <si>
    <t xml:space="preserve">Commission Implementing Decision (EU) 2023/1411 of 4 July 2023 amending Implementing Decision (EU) 2021/1195 as regards a harmonised standard for sterilization of health care products</t>
  </si>
  <si>
    <t xml:space="preserve">https://eur-lex.europa.eu/legal-content/EN/TXT/?uri=CELEX:32023D1411</t>
  </si>
  <si>
    <t xml:space="preserve">32023D1586</t>
  </si>
  <si>
    <t xml:space="preserve">2023-07-26</t>
  </si>
  <si>
    <t xml:space="preserve">Commission Implementing Decision (EU) 2023/1586 of 26 July 2023 on harmonised standards for machinery drafted in support of Directive 2006/42/EC of the European Parliament and of the Council</t>
  </si>
  <si>
    <t xml:space="preserve">https://eur-lex.europa.eu/legal-content/EN/TXT/?uri=CELEX:32023D1586</t>
  </si>
  <si>
    <t xml:space="preserve">32023D1587</t>
  </si>
  <si>
    <t xml:space="preserve">2023-08-01</t>
  </si>
  <si>
    <t xml:space="preserve">Commission Implementing Decision (EU) 2023/1587 of 1 August 2023 amending Implementing Decision (EU) 2022/1668 as regards harmonised standards on performance requirements and test methods for electrical equipment for the detection and measurement of oxygen (Text with EEA relevance)</t>
  </si>
  <si>
    <t xml:space="preserve">https://eur-lex.europa.eu/legal-content/EN/TXT/?uri=CELEX:32023D1587</t>
  </si>
  <si>
    <t xml:space="preserve">32023D1646</t>
  </si>
  <si>
    <t xml:space="preserve">Commission Implementing Decision (EU) 2023/1646 of 17 August 2023 amending Implementing Decision (EU) 2021/76 as regards harmonised standards on safety rules for the construction and installation of lifts (Text with EEA relevance)</t>
  </si>
  <si>
    <t xml:space="preserve">https://eur-lex.europa.eu/legal-content/EN/TXT/?uri=CELEX:32023D1646</t>
  </si>
  <si>
    <t xml:space="preserve">32023D1759</t>
  </si>
  <si>
    <t xml:space="preserve">2023-09-11</t>
  </si>
  <si>
    <t xml:space="preserve">Commission Implementing Decision (EU) 2023/1759 of 11 September 2023 on the harmonised standards for household dishwashers drafted in support of Regulation (EU) 2019/2022 and Delegated Regulation (EU) 2019/2017</t>
  </si>
  <si>
    <t xml:space="preserve">https://eur-lex.europa.eu/legal-content/EN/TXT/?uri=CELEX:32023D1759</t>
  </si>
  <si>
    <t xml:space="preserve">32023D2392</t>
  </si>
  <si>
    <t xml:space="preserve">2023-10-03</t>
  </si>
  <si>
    <t xml:space="preserve">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</si>
  <si>
    <t xml:space="preserve">https://eur-lex.europa.eu/legal-content/EN/TXT/?uri=CELEX:32023D2392</t>
  </si>
  <si>
    <t xml:space="preserve">32023D2584</t>
  </si>
  <si>
    <t xml:space="preserve">2023-11-15</t>
  </si>
  <si>
    <t xml:space="preserve">Commission Implementing Decision (EU) 2023/2584 of 15 November 2023 on harmonised standards for the interoperability of the rail systems drafted in support of Directive (EU) 2016/797 of the European Parliament and of the Council</t>
  </si>
  <si>
    <t xml:space="preserve">https://eur-lex.europa.eu/legal-content/EN/TXT/?uri=CELEX:32023D2584</t>
  </si>
  <si>
    <t xml:space="preserve">32023D2669</t>
  </si>
  <si>
    <t xml:space="preserve">2023-11-27</t>
  </si>
  <si>
    <t xml:space="preserve">Commission Implementing Decision (EU) 2023/2669 of 27 November 2023 amending Implementing Decision (EU) 2022/2191 as regards harmonised standards for wireless communication devices used next to the ear or in close proximity to the human body</t>
  </si>
  <si>
    <t xml:space="preserve">https://eur-lex.europa.eu/legal-content/EN/TXT/?uri=CELEX:32023D2669</t>
  </si>
  <si>
    <t xml:space="preserve">32023D2723</t>
  </si>
  <si>
    <t xml:space="preserve">2023-12-06</t>
  </si>
  <si>
    <t xml:space="preserve">Commission Implementing Decision (EU) 2023/2723 of 6 December 2023 on harmonised standards for electrical equipment drafted in support of Directive 2014/35/EU of the European Parliament and of the Council</t>
  </si>
  <si>
    <t xml:space="preserve">https://eur-lex.europa.eu/legal-content/EN/TXT/?uri=CELEX:32023D2723</t>
  </si>
  <si>
    <t xml:space="preserve">32023D2752</t>
  </si>
  <si>
    <t xml:space="preserve">2023-12-07</t>
  </si>
  <si>
    <t xml:space="preserve">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</si>
  <si>
    <t xml:space="preserve">https://eur-lex.europa.eu/legal-content/EN/TXT/?uri=CELEX:32023D2752</t>
  </si>
  <si>
    <t xml:space="preserve">32024D0201</t>
  </si>
  <si>
    <t xml:space="preserve">2024-01-10</t>
  </si>
  <si>
    <t xml:space="preserve">Commission Implementing Decision (EU) 2024/201 of 10 January 2024 amending Implementing Decision (EU) 2022/1954 as regards harmonised standards for remote mechanical steering systems, permanently installed fuel systems and remote hydraulic steering systems</t>
  </si>
  <si>
    <t xml:space="preserve">https://eur-lex.europa.eu/legal-content/EN/TXT/?uri=CELEX:32024D0201</t>
  </si>
  <si>
    <t xml:space="preserve">32024D0224</t>
  </si>
  <si>
    <t xml:space="preserve">Commission Implementing Decision (EU) 2024/224 of 10 January 2024 on the harmonised standards for appliances burning gaseous fuels drafted in support of Regulation (EU) 2016/426 of the European Parliament and of the Council</t>
  </si>
  <si>
    <t xml:space="preserve">https://eur-lex.europa.eu/legal-content/EN/TXT/?uri=CELEX:32024D0224</t>
  </si>
  <si>
    <t xml:space="preserve">32024D0354</t>
  </si>
  <si>
    <t xml:space="preserve">Commission Implementing Decision (EU) 2024/354 of 19 January 2024 on harmonised standards for cableway installations drafted in support of Regulation (EU) 2016/424 of the European Parliament and the Council</t>
  </si>
  <si>
    <t xml:space="preserve">https://eur-lex.europa.eu/legal-content/EN/TXT/?uri=CELEX:32024D0354</t>
  </si>
  <si>
    <t xml:space="preserve">32024D0373</t>
  </si>
  <si>
    <t xml:space="preserve">2024-01-24</t>
  </si>
  <si>
    <t xml:space="preserve">Commission Implementing Decision (EU) 2024/373 of 24 January 2024 on the harmonised standards for inspection of pesticide application equipment in use drafted in support of Directive 2009/128/EC of the European Parliament and of the Council</t>
  </si>
  <si>
    <t xml:space="preserve">https://eur-lex.europa.eu/legal-content/EN/TXT/?uri=CELEX:32024D0373</t>
  </si>
  <si>
    <t xml:space="preserve">32024D0564</t>
  </si>
  <si>
    <t xml:space="preserve">2024-02-14</t>
  </si>
  <si>
    <t xml:space="preserve">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</si>
  <si>
    <t xml:space="preserve">https://eur-lex.europa.eu/legal-content/EN/TXT/?uri=CELEX:32024D0564</t>
  </si>
  <si>
    <t xml:space="preserve">32024D0581</t>
  </si>
  <si>
    <t xml:space="preserve">2024-02-16</t>
  </si>
  <si>
    <t xml:space="preserve">Commission Implementing Decision (EU) 2024/581 of 16 February 2024 on the harmonised standard for accreditation of medical laboratories drafted in support of Regulation (EC) No 765/2008 of the European Parliament and of the Council</t>
  </si>
  <si>
    <t xml:space="preserve">https://eur-lex.europa.eu/legal-content/EN/TXT/?uri=CELEX:32024D0581</t>
  </si>
  <si>
    <t xml:space="preserve">32024D0815</t>
  </si>
  <si>
    <t xml:space="preserve">2024-03-06</t>
  </si>
  <si>
    <t xml:space="preserve">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</si>
  <si>
    <t xml:space="preserve">https://eur-lex.europa.eu/legal-content/EN/TXT/?uri=CELEX:32024D0815</t>
  </si>
  <si>
    <t xml:space="preserve">32024D0817</t>
  </si>
  <si>
    <t xml:space="preserve">Commission Implementing Decision (EU) 2024/817 of 6 March 2024 amending Implementing Decision (EU) 2021/1195 as regards harmonised standards for sterilisation of health care products and packaging for terminally sterilised medical devices</t>
  </si>
  <si>
    <t xml:space="preserve">https://eur-lex.europa.eu/legal-content/EN/TXT/?uri=CELEX:32024D0817</t>
  </si>
  <si>
    <t xml:space="preserve">32024D1198</t>
  </si>
  <si>
    <t xml:space="preserve">2024-04-19</t>
  </si>
  <si>
    <t xml:space="preserve">Commission Implementing Decision (EU) 2024/1198 of 19 April 2024 amending Implementing Decision (EU) 2023/2723 as regards harmonised standards for boxes and enclosures for electrical accessories, conduit systems buried underground and low-voltage switchgear and controlgear</t>
  </si>
  <si>
    <t xml:space="preserve">https://eur-lex.europa.eu/legal-content/EN/TXT/?uri=CELEX:32024D1198</t>
  </si>
  <si>
    <t xml:space="preserve">32024D1197</t>
  </si>
  <si>
    <t xml:space="preserve">2024-04-23</t>
  </si>
  <si>
    <t xml:space="preserve">Commission Implementing Decision (EU) 2024/1197 of 23 April 2024 amending Implementing Decision (EU) 2022/1954 as regards harmonised standards for electrical systems – alternating and direct current installations, and bilge-pumping systems</t>
  </si>
  <si>
    <t xml:space="preserve">https://eur-lex.europa.eu/legal-content/EN/TXT/?uri=CELEX:32024D1197</t>
  </si>
  <si>
    <t xml:space="preserve">32024D1329</t>
  </si>
  <si>
    <t xml:space="preserve">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</si>
  <si>
    <t xml:space="preserve">https://eur-lex.europa.eu/legal-content/EN/TXT/?uri=CELEX:32024D1329</t>
  </si>
  <si>
    <t xml:space="preserve">32024D1589</t>
  </si>
  <si>
    <t xml:space="preserve">2024-06-04</t>
  </si>
  <si>
    <t xml:space="preserve">Commission Implementing Decision (EU) 2024/1589 of 4 June 2024 on the harmonised standards for condensing units for refrigeration drafted in support of Commission Regulation (EU) 2015/1095</t>
  </si>
  <si>
    <t xml:space="preserve">https://eur-lex.europa.eu/legal-content/EN/TXT/?uri=CELEX:32024D1589</t>
  </si>
  <si>
    <t xml:space="preserve">32024D2103</t>
  </si>
  <si>
    <t xml:space="preserve">Commission Implementing Decision (EU) 2024/2103 of 30 July 2024 on harmonised standard for direct remote identification for unmanned aircraft drafted in support of Delegated Regulation (EU) 2019/945</t>
  </si>
  <si>
    <t xml:space="preserve">https://eur-lex.europa.eu/legal-content/EN/TXT/?uri=CELEX:32024D2103</t>
  </si>
  <si>
    <t xml:space="preserve">32024D2387</t>
  </si>
  <si>
    <t xml:space="preserve">2024-09-09</t>
  </si>
  <si>
    <t xml:space="preserve">Commission Implementing Decision (EU) 2024/2387 of 9 September 2024 on the harmonised standards for EU fertilising products drafted in support of Regulation (EU) 2019/1009 of the European Parliament and the Council</t>
  </si>
  <si>
    <t xml:space="preserve">https://eur-lex.europa.eu/legal-content/EN/TXT/?uri=CELEX:32024D2387</t>
  </si>
  <si>
    <t xml:space="preserve">32024D2397</t>
  </si>
  <si>
    <t xml:space="preserve">2024-09-11</t>
  </si>
  <si>
    <t xml:space="preserve">Commission Implementing Decision (EU) 2024/2397 of 11 September 2024 on a harmonised standard for refrigerating appliances with a direct sales function drafted in support of Delegated Regulation (EU) 2019/2018 and Regulation (EU) 2019/2024</t>
  </si>
  <si>
    <t xml:space="preserve">https://eur-lex.europa.eu/legal-content/EN/TXT/?uri=CELEX:32024D2397</t>
  </si>
  <si>
    <t xml:space="preserve">32024D2406</t>
  </si>
  <si>
    <t xml:space="preserve">2024-09-12</t>
  </si>
  <si>
    <t xml:space="preserve">Commission Implementing Decision (EU) 2024/2406 of 12 September 2024 amending Implementing Decision (EU) 2019/1698 on European standards for certain child care articles, children’s furniture, gymnastic equipment and laser products</t>
  </si>
  <si>
    <t xml:space="preserve">https://eur-lex.europa.eu/legal-content/EN/TXT/?uri=CELEX:32024D2406</t>
  </si>
  <si>
    <t xml:space="preserve">32024D2408</t>
  </si>
  <si>
    <t xml:space="preserve">Commission Implementing Decision (EU) 2024/2408 of 13 September 2024 amending Implementing Decision (EU) 2023/1586 as regards harmonised standards for lifting tables, earth-moving machinery, cranes and power operated pedestrian doorsets</t>
  </si>
  <si>
    <t xml:space="preserve">https://eur-lex.europa.eu/legal-content/EN/TXT/?uri=CELEX:32024D2408</t>
  </si>
  <si>
    <t xml:space="preserve">32024D2599</t>
  </si>
  <si>
    <t xml:space="preserve">2024-10-04</t>
  </si>
  <si>
    <t xml:space="preserve">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</si>
  <si>
    <t xml:space="preserve">https://eur-lex.europa.eu/legal-content/EN/TXT/?uri=CELEX:32024D2599</t>
  </si>
  <si>
    <t xml:space="preserve">32024D2625</t>
  </si>
  <si>
    <t xml:space="preserve">Commission Implementing Decision (EU) 2024/2625 of 8 October 2024 amending Implementing Decision (EU) 2021/1195 as regards harmonised standards for aseptic processing of health care products and clinical performance studies using specimens from human subjects</t>
  </si>
  <si>
    <t xml:space="preserve">https://eur-lex.europa.eu/legal-content/EN/TXT/?uri=CELEX:32024D2625</t>
  </si>
  <si>
    <t xml:space="preserve">32024D2631</t>
  </si>
  <si>
    <t xml:space="preserve">Commission Implementing Decision (EU) 2024/2631 of 8 October 2024 amending Implementing Decision (EU) 2021/1182 as regards the harmonised standard for aseptic processing of health care products</t>
  </si>
  <si>
    <t xml:space="preserve">https://eur-lex.europa.eu/legal-content/EN/TXT/?uri=CELEX:32024D2631</t>
  </si>
  <si>
    <t xml:space="preserve">32024D2638</t>
  </si>
  <si>
    <t xml:space="preserve">Commission Implementing Decision (EU) 2024/2638 of 9 October 2024 on the harmonised standards drafted in support of Regulation (EU) 2016/2281 laying down ecodesign requirements for air heating products, cooling products, high temperature process chillers and fan coil units</t>
  </si>
  <si>
    <t xml:space="preserve">https://eur-lex.europa.eu/legal-content/EN/TXT/?uri=CELEX:32024D2638</t>
  </si>
  <si>
    <t xml:space="preserve">32024D2764</t>
  </si>
  <si>
    <t xml:space="preserve">2024-10-30</t>
  </si>
  <si>
    <t xml:space="preserve">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</si>
  <si>
    <t xml:space="preserve">https://eur-lex.europa.eu/legal-content/EN/TXT/?uri=CELEX:32024D2764</t>
  </si>
  <si>
    <t xml:space="preserve">32024D2909</t>
  </si>
  <si>
    <t xml:space="preserve">2024-11-22</t>
  </si>
  <si>
    <t xml:space="preserve">Commission Implementing Decision (EU) 2024/2909 of 22 November 2024 on the harmonised standards for gas boilers drafted in support of Regulation (EU) No 813/2013 and of Delegated Regulation (EU) No 811/2013</t>
  </si>
  <si>
    <t xml:space="preserve">https://eur-lex.europa.eu/legal-content/EN/TXT/?uri=CELEX:32024D2909</t>
  </si>
  <si>
    <t xml:space="preserve">32024D2944</t>
  </si>
  <si>
    <t xml:space="preserve">Commission Implementing Decision (EU) 2024/2944 of 28 November 2024 on the harmonised standards for appliances burning gaseous fuels drafted in support of Regulation (EU) 2016/426 of the European Parliament and of the Council and repealing Commission Implementing Decision (EU) 2024/224</t>
  </si>
  <si>
    <t xml:space="preserve">https://eur-lex.europa.eu/legal-content/EN/TXT/?uri=CELEX:32024D2944</t>
  </si>
  <si>
    <t xml:space="preserve">32025D0072</t>
  </si>
  <si>
    <t xml:space="preserve">Commission Implementing Decision (EU) 2025/72 of 15 January 2025 amending Implementing Decision (EU) 2021/936 as regards harmonised standards for household washing machines and household washer-dryers</t>
  </si>
  <si>
    <t xml:space="preserve">https://eur-lex.europa.eu/legal-content/EN/TXT/?uri=CELEX:32025D0072</t>
  </si>
  <si>
    <t xml:space="preserve">32025D0138</t>
  </si>
  <si>
    <t xml:space="preserve">2025-01-28</t>
  </si>
  <si>
    <t xml:space="preserve">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</si>
  <si>
    <t xml:space="preserve">https://eur-lex.europa.eu/legal-content/EN/TXT/?uri=CELEX:32025D0138</t>
  </si>
  <si>
    <t xml:space="preserve">32025D0165</t>
  </si>
  <si>
    <t xml:space="preserve">2025-01-30</t>
  </si>
  <si>
    <t xml:space="preserve">Commission Implementing Decision (EU) 2025/165 of 30 January 2025 on the harmonised standards for pressure equipment drafted in support of Directive 2014/68/EU of the European Parliament and of the Council</t>
  </si>
  <si>
    <t xml:space="preserve">https://eur-lex.europa.eu/legal-content/EN/TXT/?uri=CELEX:32025D0165</t>
  </si>
  <si>
    <t xml:space="preserve">32025D0286</t>
  </si>
  <si>
    <t xml:space="preserve">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</si>
  <si>
    <t xml:space="preserve">https://eur-lex.europa.eu/legal-content/EN/TXT/?uri=CELEX:32025D0286</t>
  </si>
  <si>
    <t xml:space="preserve">32025D0337</t>
  </si>
  <si>
    <t xml:space="preserve">2025-02-20</t>
  </si>
  <si>
    <t xml:space="preserve">Commission Implementing Decision (EU) 2025/337 of 20 February 2025 on the harmonised standards for pyrotechnic articles drafted in support of Directive 2013/29/EU of the European Parliament and of the Council</t>
  </si>
  <si>
    <t xml:space="preserve">https://eur-lex.europa.eu/legal-content/EN/TXT/?uri=CELEX:32025D0337</t>
  </si>
  <si>
    <t xml:space="preserve">32025D0375</t>
  </si>
  <si>
    <t xml:space="preserve">2025-02-26</t>
  </si>
  <si>
    <t xml:space="preserve">Commission Implementing Decision (EU) 2025/375 of 26 February 2025 amending Implementing Decision (EU) 2021/1402 as regards harmonised standards for gas meters and gas volume conversion devices drafted in support of Directive 2014/32/EU of the European Parliament and of the Council</t>
  </si>
  <si>
    <t xml:space="preserve">https://eur-lex.europa.eu/legal-content/EN/TXT/?uri=CELEX:32025D0375</t>
  </si>
  <si>
    <t xml:space="preserve">32025D0424</t>
  </si>
  <si>
    <t xml:space="preserve">2025-03-04</t>
  </si>
  <si>
    <t xml:space="preserve">Commission Implementing Decision (EU) 2025/424 of 4 March 2025 amending Implementing Decision (EU) 2023/2584 as regards an update of the referenced standards and the addition of new referenced standards</t>
  </si>
  <si>
    <t xml:space="preserve">https://eur-lex.europa.eu/legal-content/EN/TXT/?uri=CELEX:32025D0424</t>
  </si>
  <si>
    <t xml:space="preserve">32025D0533</t>
  </si>
  <si>
    <t xml:space="preserve">Commission Implementing Decision (EU) 2025/533 of 25 March 2025 on a harmonised standard for refrigerating appliances with a direct sales function drafted in support of Delegated Regulation (EU) 2019/2018 and Regulation (EU) 2019/2024</t>
  </si>
  <si>
    <t xml:space="preserve">https://eur-lex.europa.eu/legal-content/EN/TXT/?uri=CELEX:32025D0533</t>
  </si>
  <si>
    <t xml:space="preserve">32025D0597</t>
  </si>
  <si>
    <t xml:space="preserve">2025-03-28</t>
  </si>
  <si>
    <t xml:space="preserve">Commission Implementing Decision (EU) 2025/597 of 28 March 2025 amending Implementing Decision (EU) 2022/1668 as regards harmonised standard on explosion prevention and protection in underground mines - equipment and protective systems for firedamp drainage</t>
  </si>
  <si>
    <t xml:space="preserve">https://eur-lex.europa.eu/legal-content/EN/TXT/?uri=CELEX:32025D0597</t>
  </si>
  <si>
    <t xml:space="preserve">32025D0679</t>
  </si>
  <si>
    <t xml:space="preserve">2025-04-08</t>
  </si>
  <si>
    <t xml:space="preserve">Commission Implementing Decision (EU) 2025/679 of 8 April 2025 amending Implementing Decision (EU) 2021/1195 as regards harmonised standards for sterilization of medical devices</t>
  </si>
  <si>
    <t xml:space="preserve">https://eur-lex.europa.eu/legal-content/EN/TXT/?uri=CELEX:32025D0679</t>
  </si>
  <si>
    <t xml:space="preserve">32025D0681</t>
  </si>
  <si>
    <t xml:space="preserve">Commission Implementing Decision (EU) 2025/681 of 8 April 2025 amending Implementing Decision (EU) 2021/1182 as regards harmonised standards for medical gloves for single use, sterilization of medical devices and patient handling equipment used in ambulances</t>
  </si>
  <si>
    <t xml:space="preserve">https://eur-lex.europa.eu/legal-content/EN/TXT/?uri=CELEX:32025D0681</t>
  </si>
  <si>
    <t xml:space="preserve">32025D0893</t>
  </si>
  <si>
    <t xml:space="preserve">2025-05-14</t>
  </si>
  <si>
    <t xml:space="preserve">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</si>
  <si>
    <t xml:space="preserve">https://eur-lex.europa.eu/legal-content/EN/TXT/?uri=CELEX:32025D0893</t>
  </si>
  <si>
    <t xml:space="preserve">32025D0895</t>
  </si>
  <si>
    <t xml:space="preserve">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</si>
  <si>
    <t xml:space="preserve">https://eur-lex.europa.eu/legal-content/EN/TXT/?uri=CELEX:32025D0895</t>
  </si>
  <si>
    <t xml:space="preserve">32025D1457</t>
  </si>
  <si>
    <t xml:space="preserve">2025-07-16</t>
  </si>
  <si>
    <t xml:space="preserve">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</si>
  <si>
    <t xml:space="preserve">https://eur-lex.europa.eu/legal-content/EN/TXT/?uri=CELEX:32025D1457</t>
  </si>
  <si>
    <t xml:space="preserve">32025D1464</t>
  </si>
  <si>
    <t xml:space="preserve">Commission Implementing Decision (EU) 2025/1464 of 17 July 2025 on the harmonised standard EN 60335-2-14:2006 on particular requirements for kitchen machines drafted in support of Directive 2014/35/EU of the European Parliament and the Council</t>
  </si>
  <si>
    <t xml:space="preserve">https://eur-lex.europa.eu/legal-content/EN/TXT/?uri=CELEX:32025D1464</t>
  </si>
  <si>
    <t xml:space="preserve">32025D1488</t>
  </si>
  <si>
    <t xml:space="preserve">2025-07-22</t>
  </si>
  <si>
    <t xml:space="preserve">Commission Implementing Decision (EU) 2025/1488 of 22 July 2025 amending Implementing Decision (EU) 2023/2723 as regards harmonised standards for flat flexible cables and charging cables for electric vehicles</t>
  </si>
  <si>
    <t xml:space="preserve">https://eur-lex.europa.eu/legal-content/EN/TXT/?uri=CELEX:32025D1488</t>
  </si>
  <si>
    <t xml:space="preserve">32025D1740</t>
  </si>
  <si>
    <t xml:space="preserve">2025-08-13</t>
  </si>
  <si>
    <t xml:space="preserve">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</si>
  <si>
    <t xml:space="preserve">https://eur-lex.europa.eu/legal-content/EN/TXT/?uri=CELEX:32025D1740</t>
  </si>
  <si>
    <t xml:space="preserve">32025D1741</t>
  </si>
  <si>
    <t xml:space="preserve">Commission Implementing Decision (EU) 2025/1741 of 13 August 2025 amending Implementing Decision (EU) 2022/2191 as regards harmonised standards for wireless digital video links, satellite earth stations and systems, base stations and short range devices</t>
  </si>
  <si>
    <t xml:space="preserve">https://eur-lex.europa.eu/legal-content/EN/TXT/?uri=CELEX:32025D1741</t>
  </si>
  <si>
    <t xml:space="preserve">32025D1793</t>
  </si>
  <si>
    <t xml:space="preserve">2025-09-10</t>
  </si>
  <si>
    <t xml:space="preserve">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</si>
  <si>
    <t xml:space="preserve">https://eur-lex.europa.eu/legal-content/EN/TXT/?uri=CELEX:32025D1793</t>
  </si>
  <si>
    <t xml:space="preserve">32025D1810</t>
  </si>
  <si>
    <t xml:space="preserve">2025-09-11</t>
  </si>
  <si>
    <t xml:space="preserve">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</si>
  <si>
    <t xml:space="preserve">https://eur-lex.europa.eu/legal-content/EN/TXT/?uri=CELEX:32025D1810</t>
  </si>
  <si>
    <t xml:space="preserve">32025D1939</t>
  </si>
  <si>
    <t xml:space="preserve">2025-09-24</t>
  </si>
  <si>
    <t xml:space="preserve">Commission Implementing Decision (EU) 2025/1939 of 24 September 2025 amending Implementing Decision (EU) 2021/1402 as regards harmonised standards for thermal energy meters drafted in support of Directive 2014/32/EU of the European Parliament and of the Council</t>
  </si>
  <si>
    <t xml:space="preserve">https://eur-lex.europa.eu/legal-content/EN/TXT/?uri=CELEX:32025D1939</t>
  </si>
  <si>
    <t xml:space="preserve">32025D2026</t>
  </si>
  <si>
    <t xml:space="preserve">2025-10-09</t>
  </si>
  <si>
    <t xml:space="preserve">Commission Implementing Decision (EU) 2025/2026 of 9 October 2025 amending Implementing Decision (EU) 2024/2387 as regards a reference to the harmonised standard EN 17836:2024 Fertilizers – Description of the forms of the physical unit</t>
  </si>
  <si>
    <t xml:space="preserve">https://eur-lex.europa.eu/legal-content/EN/TXT/?uri=CELEX:32025D2026</t>
  </si>
  <si>
    <t xml:space="preserve">32025D2078</t>
  </si>
  <si>
    <t xml:space="preserve">2025-10-17</t>
  </si>
  <si>
    <t xml:space="preserve">Commission Implementing Decision (EU) 2025/2078 of 17 October 2025 amending Implementing Decision (EU) 2021/1182 as regards harmonised standards for surgical clothing and drapes, medical face masks and sterilizers for medical purposes</t>
  </si>
  <si>
    <t xml:space="preserve">https://eur-lex.europa.eu/legal-content/EN/TXT/?uri=CELEX:32025D2078</t>
  </si>
  <si>
    <t xml:space="preserve">32025D2383</t>
  </si>
  <si>
    <t xml:space="preserve">2025-11-25</t>
  </si>
  <si>
    <t xml:space="preserve">Commission Implementing Decision (EU) 2025/2383 of 25 November 2025 amending Implementing Decision (EU) 2021/76 as regards the harmonised standard on safety rules for the construction and installation of lifts regarding the evacuation of persons with disabilities using lifts</t>
  </si>
  <si>
    <t xml:space="preserve">https://eur-lex.europa.eu/legal-content/EN/TXT/?uri=CELEX:32025D2383</t>
  </si>
  <si>
    <t xml:space="preserve">32025D2499</t>
  </si>
  <si>
    <t xml:space="preserve">Commission Implementing Decision (EU) 2025/2499 of 9 December 2025 amending Implementing Decision (EU) 2022/2191 as regards harmonised standards for short range devices and mobile communication on board aircraft systems</t>
  </si>
  <si>
    <t xml:space="preserve">https://eur-lex.europa.eu/legal-content/EN/TXT/?uri=CELEX:32025D2499</t>
  </si>
  <si>
    <t xml:space="preserve">32025D2519</t>
  </si>
  <si>
    <t xml:space="preserve">2025-12-15</t>
  </si>
  <si>
    <t xml:space="preserve">Commission Implementing Decision (EU) 2025/2519 of 15 December 2025 amending Implementing Decision (EU) 2023/740 as regards harmonised standards for olfactory board games, cosmetic kits and gustative games and on migration of certain elements from toys</t>
  </si>
  <si>
    <t xml:space="preserve">https://eur-lex.europa.eu/legal-content/EN/TXT/?uri=CELEX:32025D2519</t>
  </si>
  <si>
    <t xml:space="preserve">32026D0079</t>
  </si>
  <si>
    <t xml:space="preserve">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</si>
  <si>
    <t xml:space="preserve">https://eur-lex.europa.eu/legal-content/EN/TXT/?uri=CELEX:32026D0079</t>
  </si>
  <si>
    <t xml:space="preserve">32026D0082</t>
  </si>
  <si>
    <t xml:space="preserve">Commission Implementing Decision (EU) 2026/82 of 13 January 2026 amending Implementing Decision (EU) 2022/1668 as regards harmonised standard on general purpose offshore cranes</t>
  </si>
  <si>
    <t xml:space="preserve">https://eur-lex.europa.eu/legal-content/EN/TXT/?uri=CELEX:32026D0082</t>
  </si>
  <si>
    <t xml:space="preserve">32026D0151</t>
  </si>
  <si>
    <t xml:space="preserve">2026-01-23</t>
  </si>
  <si>
    <t xml:space="preserve">Commission Implementing Decision (EU) 2026/151 of 23 January 2026 on the harmonised standard for blast cabinets drafted in support of Regulation (EU) 2015/1095</t>
  </si>
  <si>
    <t xml:space="preserve">https://eur-lex.europa.eu/legal-content/EN/TXT/?uri=CELEX:32026D0151</t>
  </si>
  <si>
    <t xml:space="preserve">32026D0153</t>
  </si>
  <si>
    <t xml:space="preserve">Commission Implementing Decision (EU) 2026/153 of 23 January 2026 on the harmonised standards for welding equipment drafted in support of Commission Regulation (EU) 2019/1784</t>
  </si>
  <si>
    <t xml:space="preserve">https://eur-lex.europa.eu/legal-content/EN/TXT/?uri=CELEX:32026D0153</t>
  </si>
  <si>
    <t xml:space="preserve">32026D0193</t>
  </si>
  <si>
    <t xml:space="preserve">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</si>
  <si>
    <t xml:space="preserve">https://eur-lex.europa.eu/legal-content/EN/TXT/?uri=CELEX:32026D0193</t>
  </si>
  <si>
    <t xml:space="preserve">32026D0197</t>
  </si>
  <si>
    <t xml:space="preserve">Commission Implementing Decision (EU) 2026/197 of 28 January 2026 amending Implementing Decision (EU) 2021/1195 as regards harmonised standards for sterilization of health care products and information supplied by the manufacturer (labelling)</t>
  </si>
  <si>
    <t xml:space="preserve">https://eur-lex.europa.eu/legal-content/EN/TXT/?uri=CELEX:32026D0197</t>
  </si>
  <si>
    <t xml:space="preserve">32026D0375</t>
  </si>
  <si>
    <t xml:space="preserve">2026-02-20</t>
  </si>
  <si>
    <t xml:space="preserve">Commission Implementing Decision (EU) 2026/375 of 20 February 2026 on harmonised standards drafted in support of Regulation (EC) No 765/2008 of the European Parliament and of the Council setting out the requirements for accreditation</t>
  </si>
  <si>
    <t xml:space="preserve">https://eur-lex.europa.eu/legal-content/EN/TXT/?uri=CELEX:32026D0375</t>
  </si>
  <si>
    <t xml:space="preserve">32026D0546</t>
  </si>
  <si>
    <t xml:space="preserve">2026-03-12</t>
  </si>
  <si>
    <t xml:space="preserve">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</si>
  <si>
    <t xml:space="preserve">https://eur-lex.europa.eu/legal-content/EN/TXT/?uri=CELEX:32026D0546</t>
  </si>
  <si>
    <t xml:space="preserve">32026D0550</t>
  </si>
  <si>
    <t xml:space="preserve">Commission Implementing Decision (EU) 2026/550 of 12 March 2026 amending Implementing Decision (EU) 2022/1954 as regards harmonised standards on power measurements and declarations for electric marine propulsion and on protection from falling overboard and means of reboarding</t>
  </si>
  <si>
    <t xml:space="preserve">https://eur-lex.europa.eu/legal-content/EN/TXT/?uri=CELEX:32026D0550</t>
  </si>
  <si>
    <t xml:space="preserve">32026D0760</t>
  </si>
  <si>
    <t xml:space="preserve">2026-04-01</t>
  </si>
  <si>
    <t xml:space="preserve">Commission Implementing Decision (EU) 2026/760 of 1 April 2026 amending Implementing Decision (EU) 2021/1182 as regards harmonised standards for sterilizers for medical purposes – small steam sterilizers, stainless steel steam boilers and electroacoustics – hearing aids</t>
  </si>
  <si>
    <t xml:space="preserve">https://eur-lex.europa.eu/legal-content/EN/TXT/?uri=CELEX:32026D0760</t>
  </si>
  <si>
    <t xml:space="preserve">32026D0803</t>
  </si>
  <si>
    <t xml:space="preserve">2026-04-10</t>
  </si>
  <si>
    <t xml:space="preserve">Commission Implementing Decision (EU) 2026/803 of 10 April 2026 amending Implementing Decision (EU) 2023/2584 as regards an update of the referenced standards and the addition of new referenced standards</t>
  </si>
  <si>
    <t xml:space="preserve">https://eur-lex.europa.eu/legal-content/EN/TXT/?uri=CELEX:32026D0803</t>
  </si>
  <si>
    <t xml:space="preserve">32026D0901</t>
  </si>
  <si>
    <t xml:space="preserve">2026-04-17</t>
  </si>
  <si>
    <t xml:space="preserve">Commission Implementing Decision (EU) 2026/901 of 17 April 2026 on European standards for products drafted in support of Regulation (EU) 2023/988 of the European Parliament and of the Council, and repealing Commission Implementing Decision (EU) 2019/1698</t>
  </si>
  <si>
    <t xml:space="preserve">https://eur-lex.europa.eu/legal-content/EN/TXT/?uri=CELEX:32026D0901</t>
  </si>
  <si>
    <t xml:space="preserve">32026D0989</t>
  </si>
  <si>
    <t xml:space="preserve">Commission Implementing Decision (EU) 2026/989 of 4 May 2026 amending Implementing Decision (EU) 2022/1668 as regards the harmonised standard on overfill prevention devices for static tanks for liquid fuels – Part 1: overfill prevention devices with closure device</t>
  </si>
  <si>
    <t xml:space="preserve">https://eur-lex.europa.eu/legal-content/EN/TXT/?uri=CELEX:32026D0989</t>
  </si>
  <si>
    <t xml:space="preserve">32026D1231</t>
  </si>
  <si>
    <t xml:space="preserve">2026-06-11</t>
  </si>
  <si>
    <t xml:space="preserve">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</si>
  <si>
    <t xml:space="preserve">https://eur-lex.europa.eu/legal-content/EN/TXT/?uri=CELEX:32026D1231</t>
  </si>
  <si>
    <t xml:space="preserve">32026D1279</t>
  </si>
  <si>
    <t xml:space="preserve">2026-06-12</t>
  </si>
  <si>
    <t xml:space="preserve">Commission Implementing Decision (EU) 2026/1279 of 12 June 2026 on harmonised standards for personal protective equipment drafted in support of Regulation (EU) 2016/425 of the European Parliament and of the Council and repealing Commission Implementing Decision (EU) 2023/941</t>
  </si>
  <si>
    <t xml:space="preserve">https://eur-lex.europa.eu/legal-content/EN/TXT/?uri=CELEX:32026D1279</t>
  </si>
  <si>
    <t xml:space="preserve">32026D1313</t>
  </si>
  <si>
    <t xml:space="preserve">Commission Implementing Decision (EU) 2026/1313 of 15 June 2026 amending Implementing Decision (EU) 2021/1195 as regards the harmonised standard for symbols to be used with information to be supplied by the manufacturer</t>
  </si>
  <si>
    <t xml:space="preserve">https://eur-lex.europa.eu/legal-content/EN/TXT/?uri=CELEX:32026D1313</t>
  </si>
  <si>
    <t xml:space="preserve">32026D1736</t>
  </si>
  <si>
    <t xml:space="preserve">2026-07-14</t>
  </si>
  <si>
    <t xml:space="preserve">Commission Implementing Decision (EU) 2026/1736 of 14 July 2026 on harmonised standards for digital product passports drafted in support of Regulation (EU) 2024/1781 of the European Parliament and of the Council</t>
  </si>
  <si>
    <t xml:space="preserve">https://eur-lex.europa.eu/legal-content/EN/TXT/?uri=CELEX:32026D1736</t>
  </si>
  <si>
    <t xml:space="preserve">32026D1717</t>
  </si>
  <si>
    <t xml:space="preserve">Commission Implementing Decision (EU) 2026/1717 of 20 July 2026 on the harmonised standards for gas water heaters drafted in support of Regulation (EU) No 814/2013</t>
  </si>
  <si>
    <t xml:space="preserve">https://eur-lex.europa.eu/legal-content/EN/TXT/?uri=CELEX:32026D1717</t>
  </si>
  <si>
    <t xml:space="preserve">32026D1750</t>
  </si>
  <si>
    <t xml:space="preserve">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</si>
  <si>
    <t xml:space="preserve">https://eur-lex.europa.eu/legal-content/EN/TXT/?uri=CELEX:32026D1750</t>
  </si>
  <si>
    <t xml:space="preserve">32026D1967</t>
  </si>
  <si>
    <t xml:space="preserve">2026-09-03</t>
  </si>
  <si>
    <t xml:space="preserve">Commission Implementing Decision (EU) 2026/1967 of 3 September 2026 amending Implementing Decision (EU) 2022/1668 as regards the harmonised standard on explosive atmospheres – Part 28: protection of equipment and transmission systems using optical radiation</t>
  </si>
  <si>
    <t xml:space="preserve">https://eur-lex.europa.eu/legal-content/EN/TXT/?uri=CELEX:32026D1967</t>
  </si>
  <si>
    <t xml:space="preserve">32026D1971</t>
  </si>
  <si>
    <t xml:space="preserve">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</si>
  <si>
    <t xml:space="preserve">https://eur-lex.europa.eu/legal-content/EN/TXT/?uri=CELEX:32026D1971</t>
  </si>
  <si>
    <t xml:space="preserve">32026D2003</t>
  </si>
  <si>
    <t xml:space="preserve">2026-09-04</t>
  </si>
  <si>
    <t xml:space="preserve">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</si>
  <si>
    <t xml:space="preserve">https://eur-lex.europa.eu/legal-content/EN/TXT/?uri=CELEX:32026D2003</t>
  </si>
  <si>
    <t xml:space="preserve">32026D2015</t>
  </si>
  <si>
    <t xml:space="preserve">Commission Implementing Decision (EU) 2026/2015 of 4 September 2026 amending and repealing Commission Implementing Decision (EU) 2023/1586 as regards harmonised standards for machinery drafted in support of Directive 2006/42/EC of the European Parliament and of the Council</t>
  </si>
  <si>
    <t xml:space="preserve">https://eur-lex.europa.eu/legal-content/EN/TXT/?uri=CELEX:32026D2015</t>
  </si>
  <si>
    <t xml:space="preserve">32026D2032</t>
  </si>
  <si>
    <t xml:space="preserve">2026-09-11</t>
  </si>
  <si>
    <t xml:space="preserve">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</si>
  <si>
    <t xml:space="preserve">https://eur-lex.europa.eu/legal-content/EN/TXT/?uri=CELEX:32026D2032</t>
  </si>
  <si>
    <t xml:space="preserve">32026D2048</t>
  </si>
  <si>
    <t xml:space="preserve">2026-09-14</t>
  </si>
  <si>
    <t xml:space="preserve">Commission Implementing Decision (EU) 2026/2048 of 14 September 2026 on the harmonised standard for batteries drafted in support of Regulation (EU) 2023/1542</t>
  </si>
  <si>
    <t xml:space="preserve">https://eur-lex.europa.eu/legal-content/EN/TXT/?uri=CELEX:32026D2048</t>
  </si>
  <si>
    <t xml:space="preserve">32026D2211</t>
  </si>
  <si>
    <t xml:space="preserve">2026-10-01</t>
  </si>
  <si>
    <t xml:space="preserve">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</si>
  <si>
    <t xml:space="preserve">https://eur-lex.europa.eu/legal-content/EN/TXT/?uri=CELEX:32026D2211</t>
  </si>
  <si>
    <t xml:space="preserve">32017R1354</t>
  </si>
  <si>
    <t xml:space="preserve">Commission Implementing Regulation (EU) 2017/1354 of 20 July 2017 specifying how to present the information provided for in Article 10(10) of Directive 2014/53/EU of the European Parliament and of the Council (Text with EEA relevance. )</t>
  </si>
  <si>
    <t xml:space="preserve">https://eur-lex.europa.eu/legal-content/EN/TXT/?uri=CELEX:32017R1354</t>
  </si>
  <si>
    <t xml:space="preserve">32019R0320</t>
  </si>
  <si>
    <t xml:space="preserve">2018-12-12</t>
  </si>
  <si>
    <t xml:space="preserve">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</si>
  <si>
    <t xml:space="preserve">https://eur-lex.europa.eu/legal-content/EN/TXT/?uri=CELEX:32019R0320</t>
  </si>
  <si>
    <t xml:space="preserve">32022R0030</t>
  </si>
  <si>
    <t xml:space="preserve">2021-10-29</t>
  </si>
  <si>
    <t xml:space="preserve">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</si>
  <si>
    <t xml:space="preserve">https://eur-lex.europa.eu/legal-content/EN/TXT/?uri=CELEX:32022R0030</t>
  </si>
  <si>
    <t xml:space="preserve">32023R1717</t>
  </si>
  <si>
    <t xml:space="preserve">2023-06-27</t>
  </si>
  <si>
    <t xml:space="preserve">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</si>
  <si>
    <t xml:space="preserve">https://eur-lex.europa.eu/legal-content/EN/TXT/?uri=CELEX:32023R1717</t>
  </si>
  <si>
    <t xml:space="preserve">32023R2444</t>
  </si>
  <si>
    <t xml:space="preserve">2023-07-20</t>
  </si>
  <si>
    <t xml:space="preserve">Commission Delegated Regulation (EU) 2023/2444 of 20 July 2023 amending Delegated Regulation (EU) 2022/30 as regards the date of application of the essential requirements for radio equipment and correcting that Regulation</t>
  </si>
  <si>
    <t xml:space="preserve">https://eur-lex.europa.eu/legal-content/EN/TXT/?uri=CELEX:32023R2444</t>
  </si>
  <si>
    <t xml:space="preserve">32025D1760</t>
  </si>
  <si>
    <t xml:space="preserve">2025-08-19</t>
  </si>
  <si>
    <t xml:space="preserve">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</si>
  <si>
    <t xml:space="preserve">https://eur-lex.europa.eu/legal-content/EN/TXT/?uri=CELEX:32025D1760</t>
  </si>
  <si>
    <t xml:space="preserve">32026R0339</t>
  </si>
  <si>
    <t xml:space="preserve">2026-02-16</t>
  </si>
  <si>
    <t xml:space="preserve">Commission Delegated Regulation (EU) 2026/339 of 16 February 2026 repealing Delegated Regulation (EU) 2022/30</t>
  </si>
  <si>
    <t xml:space="preserve">https://eur-lex.europa.eu/legal-content/EN/TXT/?uri=CELEX:32026R0339</t>
  </si>
  <si>
    <t xml:space="preserve">32017D1870</t>
  </si>
  <si>
    <t xml:space="preserve">2017-10-16</t>
  </si>
  <si>
    <t xml:space="preserve">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</si>
  <si>
    <t xml:space="preserve">https://eur-lex.europa.eu/legal-content/EN/TXT/?uri=CELEX:32017D1870</t>
  </si>
  <si>
    <t xml:space="preserve">32020R1083</t>
  </si>
  <si>
    <t xml:space="preserve">2020-05-14</t>
  </si>
  <si>
    <t xml:space="preserve">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</si>
  <si>
    <t xml:space="preserve">https://eur-lex.europa.eu/legal-content/EN/TXT/?uri=CELEX:32020R1083</t>
  </si>
  <si>
    <t xml:space="preserve">32020R0857</t>
  </si>
  <si>
    <t xml:space="preserve">2020-06-17</t>
  </si>
  <si>
    <t xml:space="preserve">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</si>
  <si>
    <t xml:space="preserve">https://eur-lex.europa.eu/legal-content/EN/TXT/?uri=CELEX:32020R0857</t>
  </si>
  <si>
    <t xml:space="preserve">32021D1878</t>
  </si>
  <si>
    <t xml:space="preserve">2021-10-25</t>
  </si>
  <si>
    <t xml:space="preserve">Commission Implementing Decision (EU) 2021/1878 of 25 October 2021 on the designation of the .eu top-level domain Registry (Text with EEA relevance)</t>
  </si>
  <si>
    <t xml:space="preserve">https://eur-lex.europa.eu/legal-content/EN/TXT/?uri=CELEX:32021D1878</t>
  </si>
  <si>
    <t xml:space="preserve">32022R1862</t>
  </si>
  <si>
    <t xml:space="preserve">2022-10-04</t>
  </si>
  <si>
    <t xml:space="preserve">Commission Implementing Regulation (EU) 2022/1862 of 4 October 2022 establishing the lists of reserved and blocked domain names under the .eu top-level domain in accordance with Regulation (EU) 2019/517 of the European Parliament and of the Council (Text with EEA relevance)</t>
  </si>
  <si>
    <t xml:space="preserve">https://eur-lex.europa.eu/legal-content/EN/TXT/?uri=CELEX:32022R1862</t>
  </si>
  <si>
    <t xml:space="preserve">32021R2104</t>
  </si>
  <si>
    <t xml:space="preserve">2021-08-19</t>
  </si>
  <si>
    <t xml:space="preserve">Commission Delegated Regulation (EU) 2021/2104 of 19 August 2021 laying down detailed rules on the operation of the web portal, pursuant to Article 49(6) of Regulation (EU) 2019/817 of the European Parliament and of the Council</t>
  </si>
  <si>
    <t xml:space="preserve">https://eur-lex.europa.eu/legal-content/EN/TXT/?uri=CELEX:32021R2104</t>
  </si>
  <si>
    <t xml:space="preserve">32021R2225</t>
  </si>
  <si>
    <t xml:space="preserve">2021-09-21</t>
  </si>
  <si>
    <t xml:space="preserve">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</si>
  <si>
    <t xml:space="preserve">https://eur-lex.europa.eu/legal-content/EN/TXT/?uri=CELEX:32021R2225</t>
  </si>
  <si>
    <t xml:space="preserve">32021R2223</t>
  </si>
  <si>
    <t xml:space="preserve">2021-09-30</t>
  </si>
  <si>
    <t xml:space="preserve">Commission Delegated Regulation (EU) 2021/2223 of 30 September 2021 supplementing Regulation (EU) 2019/817 of the European Parliament and of the Council with detailed rules on the operation of the central repository for reporting and statistics</t>
  </si>
  <si>
    <t xml:space="preserve">https://eur-lex.europa.eu/legal-content/EN/TXT/?uri=CELEX:32021R2223</t>
  </si>
  <si>
    <t xml:space="preserve">32023R0333</t>
  </si>
  <si>
    <t xml:space="preserve">Commission Delegated Regulation (EU) 2023/333 of 11 July 2022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</si>
  <si>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https://eur-lex.europa.eu/legal-content/EN/TXT/?uri=CELEX:32023R0333</t>
  </si>
  <si>
    <t xml:space="preserve">32023D0220</t>
  </si>
  <si>
    <t xml:space="preserve">2023-02-01</t>
  </si>
  <si>
    <t xml:space="preserve">Commission Implementing Decision (EU) 2023/220 of 1 February 2023 laying down and developing the universal message format (UMF) standard pursuant to Regulation (EU) 2019/817 of the European Parliament and of the Council</t>
  </si>
  <si>
    <t xml:space="preserve">https://eur-lex.europa.eu/legal-content/EN/TXT/?uri=CELEX:32023D0220</t>
  </si>
  <si>
    <t xml:space="preserve">32024R2106</t>
  </si>
  <si>
    <t xml:space="preserve">2024-07-31</t>
  </si>
  <si>
    <t xml:space="preserve">Commission Implementing Regulation (EU) 2024/2106 of 31 July 2024 amending Implementing Decision C(2021) 5052 laying down technical details for European search portal user profiles, pursuant to Article 8(2) of Regulation (EU) 2019/817 of the European Parliament and of the Council</t>
  </si>
  <si>
    <t xml:space="preserve">https://eur-lex.europa.eu/legal-content/EN/TXT/?uri=CELEX:32024R2106</t>
  </si>
  <si>
    <t xml:space="preserve">32025D0875</t>
  </si>
  <si>
    <t xml:space="preserve">2025-05-13</t>
  </si>
  <si>
    <t xml:space="preserve">Commission Implementing Decision (EU) 2025/875 of 13 May 2025 determining the date on which operations of the shared Biometric Matching Service start pursuant to Regulations (EU) 2019/817 and (EU) 2019/818 of the European Parliament and of the Council</t>
  </si>
  <si>
    <t xml:space="preserve">https://eur-lex.europa.eu/legal-content/EN/TXT/?uri=CELEX:32025D0875</t>
  </si>
  <si>
    <t xml:space="preserve">32026R0327</t>
  </si>
  <si>
    <t xml:space="preserve">2025-12-03</t>
  </si>
  <si>
    <t xml:space="preserve">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</si>
  <si>
    <t xml:space="preserve">https://eur-lex.europa.eu/legal-content/EN/TXT/?uri=CELEX:32026R0327</t>
  </si>
  <si>
    <t xml:space="preserve">32026R0049</t>
  </si>
  <si>
    <t xml:space="preserve">Commission Delegated Regulation (EU) 2026/49 of 11 December 2025 amending Delegated Regulation (EU) 2021/2223 supplementing Regulation (EU) 2019/817 of the European Parliament and of the Council with detailed rules on the operation of the central repository for reporting and statistics</t>
  </si>
  <si>
    <t xml:space="preserve">https://eur-lex.europa.eu/legal-content/EN/TXT/?uri=CELEX:32026R0049</t>
  </si>
  <si>
    <t xml:space="preserve">32026D1155</t>
  </si>
  <si>
    <t xml:space="preserve">2026-05-28</t>
  </si>
  <si>
    <t xml:space="preserve">Commission Implementing Decision (EU) 2026/1155 of 28 May 2026 determining the date from which the European search portal is to start operations pursuant to Regulations (EU) 2019/817 and (EU) 2019/818 of the European Parliament and of the Council</t>
  </si>
  <si>
    <t xml:space="preserve">https://eur-lex.europa.eu/legal-content/EN/TXT/?uri=CELEX:32026D1155</t>
  </si>
  <si>
    <t xml:space="preserve">32026D1156</t>
  </si>
  <si>
    <t xml:space="preserve">Commission Implementing Decision (EU) 2026/1156 of 28 May 2026 determining the date from which the common identity repository is to start operations pursuant to Regulations (EU) 2019/817 and (EU) 2019/818 of the European Parliament and of the Council</t>
  </si>
  <si>
    <t xml:space="preserve">https://eur-lex.europa.eu/legal-content/EN/TXT/?uri=CELEX:32026D1156</t>
  </si>
  <si>
    <t xml:space="preserve">32009L0114</t>
  </si>
  <si>
    <t xml:space="preserve">amendment</t>
  </si>
  <si>
    <t xml:space="preserve">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</si>
  <si>
    <t xml:space="preserve">https://eur-lex.europa.eu/legal-content/EN/TXT/?uri=CELEX:32009L0114</t>
  </si>
  <si>
    <t xml:space="preserve">31987L0372R(01)</t>
  </si>
  <si>
    <t xml:space="preserve">corrigendum</t>
  </si>
  <si>
    <t xml:space="preserve">1987-07-29</t>
  </si>
  <si>
    <t xml:space="preserve">https://eur-lex.europa.eu/legal-content/EN/TXT/?uri=CELEX:31987L0372R(01)</t>
  </si>
  <si>
    <t xml:space="preserve">31987L0372R(02)</t>
  </si>
  <si>
    <t xml:space="preserve">1987-09-16</t>
  </si>
  <si>
    <t xml:space="preserve">Corrigendum to Council Directive 87/372/EEC of 25 June 1987 on the frequency bands to be reserved for the coordinated introduction of public pan-European cellular digital land-based mobile communications in the Community (OJ No L 196 of 17.7.1987)</t>
  </si>
  <si>
    <t xml:space="preserve">https://eur-lex.europa.eu/legal-content/EN/TXT/?uri=CELEX:31987L0372R(02)</t>
  </si>
  <si>
    <t xml:space="preserve">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</si>
  <si>
    <t xml:space="preserve">32019L2161</t>
  </si>
  <si>
    <t xml:space="preserve">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</si>
  <si>
    <t xml:space="preserve">https://eur-lex.europa.eu/legal-content/EN/TXT/?uri=CELEX:32019L2161</t>
  </si>
  <si>
    <t xml:space="preserve">31993L0013R(01)</t>
  </si>
  <si>
    <t xml:space="preserve">2014-10-09</t>
  </si>
  <si>
    <t xml:space="preserve">https://eur-lex.europa.eu/legal-content/EN/TXT/?uri=CELEX:31993L0013R(01)</t>
  </si>
  <si>
    <t xml:space="preserve">31993L0013R(02)</t>
  </si>
  <si>
    <t xml:space="preserve">2015-06-04</t>
  </si>
  <si>
    <t xml:space="preserve">https://eur-lex.europa.eu/legal-content/EN/TXT/?uri=CELEX:31993L0013R(02)</t>
  </si>
  <si>
    <t xml:space="preserve">31993L0013R(03)</t>
  </si>
  <si>
    <t xml:space="preserve">2016-10-13</t>
  </si>
  <si>
    <t xml:space="preserve">https://eur-lex.europa.eu/legal-content/EN/TXT/?uri=CELEX:31993L0013R(03)</t>
  </si>
  <si>
    <t xml:space="preserve">31993L0013R(04)</t>
  </si>
  <si>
    <t xml:space="preserve">2016-11-10</t>
  </si>
  <si>
    <t xml:space="preserve">https://eur-lex.europa.eu/legal-content/EN/TXT/?uri=CELEX:31993L0013R(04)</t>
  </si>
  <si>
    <t xml:space="preserve">31993L0013R(05)</t>
  </si>
  <si>
    <t xml:space="preserve">2018-06-19</t>
  </si>
  <si>
    <t xml:space="preserve">https://eur-lex.europa.eu/legal-content/EN/TXT/?uri=CELEX:31993L0013R(05)</t>
  </si>
  <si>
    <t xml:space="preserve">31993L0013R(06)</t>
  </si>
  <si>
    <t xml:space="preserve">2019-08-16</t>
  </si>
  <si>
    <t xml:space="preserve">https://eur-lex.europa.eu/legal-content/EN/TXT/?uri=CELEX:31993L0013R(06)</t>
  </si>
  <si>
    <t xml:space="preserve">31993L0013R(07)</t>
  </si>
  <si>
    <t xml:space="preserve">2020-10-29</t>
  </si>
  <si>
    <t xml:space="preserve">https://eur-lex.europa.eu/legal-content/EN/TXT/?uri=CELEX:31993L0013R(07)</t>
  </si>
  <si>
    <t xml:space="preserve">31993L0013R(08)</t>
  </si>
  <si>
    <t xml:space="preserve">2023-01-19</t>
  </si>
  <si>
    <t xml:space="preserve">https://eur-lex.europa.eu/legal-content/EN/TXT/?uri=CELEX:31993L0013R(08)</t>
  </si>
  <si>
    <t xml:space="preserve">31993L0013R(09)</t>
  </si>
  <si>
    <t xml:space="preserve">2023-05-25</t>
  </si>
  <si>
    <t xml:space="preserve">https://eur-lex.europa.eu/legal-content/EN/TXT/?uri=CELEX:31993L0013R(09)</t>
  </si>
  <si>
    <t xml:space="preserve">31993L0013R(10)</t>
  </si>
  <si>
    <t xml:space="preserve">2024-01-17</t>
  </si>
  <si>
    <t xml:space="preserve">https://eur-lex.europa.eu/legal-content/EN/TXT/?uri=CELEX:31993L0013R(10)</t>
  </si>
  <si>
    <t xml:space="preserve">31993L0013R(11)</t>
  </si>
  <si>
    <t xml:space="preserve">2024-08-28</t>
  </si>
  <si>
    <t xml:space="preserve">https://eur-lex.europa.eu/legal-content/EN/TXT/?uri=CELEX:31993L0013R(11)</t>
  </si>
  <si>
    <t xml:space="preserve">31993L0013R(12)</t>
  </si>
  <si>
    <t xml:space="preserve">https://eur-lex.europa.eu/legal-content/EN/TXT/?uri=CELEX:31993L0013R(12)</t>
  </si>
  <si>
    <t xml:space="preserve">31993L0013R(13)</t>
  </si>
  <si>
    <t xml:space="preserve">2026-09-23</t>
  </si>
  <si>
    <t xml:space="preserve">https://eur-lex.europa.eu/legal-content/EN/TXT/?uri=CELEX:31993L0013R(13)</t>
  </si>
  <si>
    <t xml:space="preserve">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</si>
  <si>
    <t xml:space="preserve">31993L0083R(01)</t>
  </si>
  <si>
    <t xml:space="preserve">2012-03-17</t>
  </si>
  <si>
    <t xml:space="preserve">https://eur-lex.europa.eu/legal-content/EN/TXT/?uri=CELEX:31993L0083R(01)</t>
  </si>
  <si>
    <t xml:space="preserve">Directive (EU) 2019/790 of the European Parliament and of the Council of 17 April 2019 on copyright and related rights in the Digital Single Market and amending Directives 96/9/EC and 2001/29/EC (Text with EEA relevance.)</t>
  </si>
  <si>
    <t xml:space="preserve">31996L0009R(01)</t>
  </si>
  <si>
    <t xml:space="preserve">2021-02-11</t>
  </si>
  <si>
    <t xml:space="preserve">https://eur-lex.europa.eu/legal-content/EN/TXT/?uri=CELEX:31996L0009R(01)</t>
  </si>
  <si>
    <t xml:space="preserve">32006R1891</t>
  </si>
  <si>
    <t xml:space="preserve">Council Regulation (EC) No 1891/2006 of 18 December 2006 amending Regulations (EC) No 6/2002 and (EC) No 40/94 to give effect to the accession of the European Community to the Geneva Act of the Hague Agreement concerning the international registration of industrial designs</t>
  </si>
  <si>
    <t xml:space="preserve">https://eur-lex.europa.eu/legal-content/EN/TXT/?uri=CELEX:32006R1891</t>
  </si>
  <si>
    <t xml:space="preserve">32024R2822</t>
  </si>
  <si>
    <t xml:space="preserve">Regulation (EU) 2024/2822 of the European Parliament and of the Council of 23 October 2024 amending Council Regulation (EC) No 6/2002 on Community designs and repealing Commission Regulation (EC) No 2246/2002 (Text with EEA relevance)</t>
  </si>
  <si>
    <t xml:space="preserve">https://eur-lex.europa.eu/legal-content/EN/TXT/?uri=CELEX:32024R2822</t>
  </si>
  <si>
    <t xml:space="preserve">32002R0006R(01)</t>
  </si>
  <si>
    <t xml:space="preserve">2002-07-09</t>
  </si>
  <si>
    <t xml:space="preserve">https://eur-lex.europa.eu/legal-content/EN/TXT/?uri=CELEX:32002R0006R(01)</t>
  </si>
  <si>
    <t xml:space="preserve">32002R0006R(02)</t>
  </si>
  <si>
    <t xml:space="preserve">2013-12-31</t>
  </si>
  <si>
    <t xml:space="preserve">https://eur-lex.europa.eu/legal-content/EN/TXT/?uri=CELEX:32002R0006R(02)</t>
  </si>
  <si>
    <t xml:space="preserve">32002R0006R(03)</t>
  </si>
  <si>
    <t xml:space="preserve">2015-01-13</t>
  </si>
  <si>
    <t xml:space="preserve">https://eur-lex.europa.eu/legal-content/EN/TXT/?uri=CELEX:32002R0006R(03)</t>
  </si>
  <si>
    <t xml:space="preserve">32002R0006R(04)</t>
  </si>
  <si>
    <t xml:space="preserve">2016-12-02</t>
  </si>
  <si>
    <t xml:space="preserve">https://eur-lex.europa.eu/legal-content/EN/TXT/?uri=CELEX:32002R0006R(04)</t>
  </si>
  <si>
    <t xml:space="preserve">32002R0006R(05)</t>
  </si>
  <si>
    <t xml:space="preserve">2017-03-01</t>
  </si>
  <si>
    <t xml:space="preserve">https://eur-lex.europa.eu/legal-content/EN/TXT/?uri=CELEX:32002R0006R(05)</t>
  </si>
  <si>
    <t xml:space="preserve">32002R0006R(06)</t>
  </si>
  <si>
    <t xml:space="preserve">2018-03-15</t>
  </si>
  <si>
    <t xml:space="preserve">https://eur-lex.europa.eu/legal-content/EN/TXT/?uri=CELEX:32002R0006R(06)</t>
  </si>
  <si>
    <t xml:space="preserve">32002R0006R(07)</t>
  </si>
  <si>
    <t xml:space="preserve">https://eur-lex.europa.eu/legal-content/EN/TXT/?uri=CELEX:32002R0006R(07)</t>
  </si>
  <si>
    <t xml:space="preserve">32002R0006R(08)</t>
  </si>
  <si>
    <t xml:space="preserve">2020-08-13</t>
  </si>
  <si>
    <t xml:space="preserve">https://eur-lex.europa.eu/legal-content/EN/TXT/?uri=CELEX:32002R0006R(08)</t>
  </si>
  <si>
    <t xml:space="preserve">32002R0006R(09)</t>
  </si>
  <si>
    <t xml:space="preserve">2020-12-10</t>
  </si>
  <si>
    <t xml:space="preserve">https://eur-lex.europa.eu/legal-content/EN/TXT/?uri=CELEX:32002R0006R(09)</t>
  </si>
  <si>
    <t xml:space="preserve">32002R0006R(10)</t>
  </si>
  <si>
    <t xml:space="preserve">2023-03-09</t>
  </si>
  <si>
    <t xml:space="preserve">https://eur-lex.europa.eu/legal-content/EN/TXT/?uri=CELEX:32002R0006R(10)</t>
  </si>
  <si>
    <t xml:space="preserve">32002R0006R(11)</t>
  </si>
  <si>
    <t xml:space="preserve">https://eur-lex.europa.eu/legal-content/EN/TXT/?uri=CELEX:32002R0006R(11)</t>
  </si>
  <si>
    <t xml:space="preserve">32002R0006R(12)</t>
  </si>
  <si>
    <t xml:space="preserve">2025-07-03</t>
  </si>
  <si>
    <t xml:space="preserve">https://eur-lex.europa.eu/legal-content/EN/TXT/?uri=CELEX:32002R0006R(12)</t>
  </si>
  <si>
    <t xml:space="preserve">32002R0006R(13)</t>
  </si>
  <si>
    <t xml:space="preserve">https://eur-lex.europa.eu/legal-content/EN/TXT/?uri=CELEX:32002R0006R(13)</t>
  </si>
  <si>
    <t xml:space="preserve">32002R0006R(15)</t>
  </si>
  <si>
    <t xml:space="preserve">2026-01-09</t>
  </si>
  <si>
    <t xml:space="preserve">https://eur-lex.europa.eu/legal-content/EN/TXT/?uri=CELEX:32002R0006R(15)</t>
  </si>
  <si>
    <t xml:space="preserve">32002R0006R(14)</t>
  </si>
  <si>
    <t xml:space="preserve">https://eur-lex.europa.eu/legal-content/EN/TXT/?uri=CELEX:32002R0006R(14)</t>
  </si>
  <si>
    <t xml:space="preserve">32002R0006R(16)</t>
  </si>
  <si>
    <t xml:space="preserve">2026-01-20</t>
  </si>
  <si>
    <t xml:space="preserve">https://eur-lex.europa.eu/legal-content/EN/TXT/?uri=CELEX:32002R0006R(16)</t>
  </si>
  <si>
    <t xml:space="preserve">32002R0006R(17)</t>
  </si>
  <si>
    <t xml:space="preserve">2026-02-04</t>
  </si>
  <si>
    <t xml:space="preserve">https://eur-lex.europa.eu/legal-content/EN/TXT/?uri=CELEX:32002R0006R(17)</t>
  </si>
  <si>
    <t xml:space="preserve">32002R0006R(18)</t>
  </si>
  <si>
    <t xml:space="preserve">https://eur-lex.europa.eu/legal-content/EN/TXT/?uri=CELEX:32002R0006R(18)</t>
  </si>
  <si>
    <t xml:space="preserve">32002R0006R(19)</t>
  </si>
  <si>
    <t xml:space="preserve">2026-02-12</t>
  </si>
  <si>
    <t xml:space="preserve">https://eur-lex.europa.eu/legal-content/EN/TXT/?uri=CELEX:32002R0006R(19)</t>
  </si>
  <si>
    <t xml:space="preserve">32002R0006R(20)</t>
  </si>
  <si>
    <t xml:space="preserve">2026-03-30</t>
  </si>
  <si>
    <t xml:space="preserve">https://eur-lex.europa.eu/legal-content/EN/TXT/?uri=CELEX:32002R0006R(20)</t>
  </si>
  <si>
    <t xml:space="preserve">31998L0006R(01)</t>
  </si>
  <si>
    <t xml:space="preserve">1998-07-04</t>
  </si>
  <si>
    <t xml:space="preserve">https://eur-lex.europa.eu/legal-content/EN/TXT/?uri=CELEX:31998L0006R(01)</t>
  </si>
  <si>
    <t xml:space="preserve">32017L1564</t>
  </si>
  <si>
    <t xml:space="preserve">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</si>
  <si>
    <t xml:space="preserve">https://eur-lex.europa.eu/legal-content/EN/TXT/?uri=CELEX:32017L1564</t>
  </si>
  <si>
    <t xml:space="preserve">32001L0029R(02)</t>
  </si>
  <si>
    <t xml:space="preserve">2002-01-10</t>
  </si>
  <si>
    <t xml:space="preserve">https://eur-lex.europa.eu/legal-content/EN/TXT/?uri=CELEX:32001L0029R(02)</t>
  </si>
  <si>
    <t xml:space="preserve">32001L0029R(01)</t>
  </si>
  <si>
    <t xml:space="preserve">Corrigendum to Directive 2001/29/EC of the European Parliament and of the Council of 22 May 2001 on the harmonisation of certain aspects of copyright and related rights in the information society (OJ L 167 of 22.6.2001)</t>
  </si>
  <si>
    <t xml:space="preserve">https://eur-lex.europa.eu/legal-content/EN/TXT/?uri=CELEX:32001L0029R(01)</t>
  </si>
  <si>
    <t xml:space="preserve">32001L0029R(03)</t>
  </si>
  <si>
    <t xml:space="preserve">2007-08-21</t>
  </si>
  <si>
    <t xml:space="preserve">https://eur-lex.europa.eu/legal-content/EN/TXT/?uri=CELEX:32001L0029R(03)</t>
  </si>
  <si>
    <t xml:space="preserve">32001L0029R(04)</t>
  </si>
  <si>
    <t xml:space="preserve">2008-11-25</t>
  </si>
  <si>
    <t xml:space="preserve">https://eur-lex.europa.eu/legal-content/EN/TXT/?uri=CELEX:32001L0029R(04)</t>
  </si>
  <si>
    <t xml:space="preserve">32001L0029R(05)</t>
  </si>
  <si>
    <t xml:space="preserve">2010-10-06</t>
  </si>
  <si>
    <t xml:space="preserve">https://eur-lex.europa.eu/legal-content/EN/TXT/?uri=CELEX:32001L0029R(05)</t>
  </si>
  <si>
    <t xml:space="preserve">32001L0029R(06)</t>
  </si>
  <si>
    <t xml:space="preserve">2012-02-04</t>
  </si>
  <si>
    <t xml:space="preserve">https://eur-lex.europa.eu/legal-content/EN/TXT/?uri=CELEX:32001L0029R(06)</t>
  </si>
  <si>
    <t xml:space="preserve">32001L0029R(07)</t>
  </si>
  <si>
    <t xml:space="preserve">2014-01-15</t>
  </si>
  <si>
    <t xml:space="preserve">https://eur-lex.europa.eu/legal-content/EN/TXT/?uri=CELEX:32001L0029R(07)</t>
  </si>
  <si>
    <t xml:space="preserve">32001L0029R(08)</t>
  </si>
  <si>
    <t xml:space="preserve">2016-06-25</t>
  </si>
  <si>
    <t xml:space="preserve">https://eur-lex.europa.eu/legal-content/EN/TXT/?uri=CELEX:32001L0029R(08)</t>
  </si>
  <si>
    <t xml:space="preserve">Regulation (EU) 2022/2065 of the European Parliament and of the Council of 19 October 2022 on a Single Market For Digital Services and amending Directive 2000/31/EC (Digital Services Act) (Text with EEA relevance)</t>
  </si>
  <si>
    <t xml:space="preserve">32000L0031R(01)</t>
  </si>
  <si>
    <t xml:space="preserve">2002-10-23</t>
  </si>
  <si>
    <t xml:space="preserve">https://eur-lex.europa.eu/legal-content/EN/TXT/?uri=CELEX:32000L0031R(01)</t>
  </si>
  <si>
    <t xml:space="preserve">32000L0031R(02)</t>
  </si>
  <si>
    <t xml:space="preserve">https://eur-lex.europa.eu/legal-content/EN/TXT/?uri=CELEX:32000L0031R(02)</t>
  </si>
  <si>
    <t xml:space="preserve">32000L0031R(03)</t>
  </si>
  <si>
    <t xml:space="preserve">2024-03-15</t>
  </si>
  <si>
    <t xml:space="preserve">https://eur-lex.europa.eu/legal-content/EN/TXT/?uri=CELEX:32000L0031R(03)</t>
  </si>
  <si>
    <t xml:space="preserve">32000L0031R(04)</t>
  </si>
  <si>
    <t xml:space="preserve">2025-11-20</t>
  </si>
  <si>
    <t xml:space="preserve">https://eur-lex.europa.eu/legal-content/EN/TXT/?uri=CELEX:32000L0031R(04)</t>
  </si>
  <si>
    <t xml:space="preserve">32006L0024</t>
  </si>
  <si>
    <t xml:space="preserve">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</si>
  <si>
    <t xml:space="preserve">https://eur-lex.europa.eu/legal-content/EN/TXT/?uri=CELEX:32006L0024</t>
  </si>
  <si>
    <t xml:space="preserve">32009L0136</t>
  </si>
  <si>
    <t xml:space="preserve">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</si>
  <si>
    <t xml:space="preserve">https://eur-lex.europa.eu/legal-content/EN/TXT/?uri=CELEX:32009L0136</t>
  </si>
  <si>
    <t xml:space="preserve">32002L0058R(01)</t>
  </si>
  <si>
    <t xml:space="preserve">2011-04-08</t>
  </si>
  <si>
    <t xml:space="preserve">https://eur-lex.europa.eu/legal-content/EN/TXT/?uri=CELEX:32002L0058R(01)</t>
  </si>
  <si>
    <t xml:space="preserve">32002L0058R(02)</t>
  </si>
  <si>
    <t xml:space="preserve">2014-10-04</t>
  </si>
  <si>
    <t xml:space="preserve">https://eur-lex.europa.eu/legal-content/EN/TXT/?uri=CELEX:32002L0058R(02)</t>
  </si>
  <si>
    <t xml:space="preserve">32002L0058R(03)</t>
  </si>
  <si>
    <t xml:space="preserve">2017-06-08</t>
  </si>
  <si>
    <t xml:space="preserve">https://eur-lex.europa.eu/legal-content/EN/TXT/?uri=CELEX:32002L0058R(03)</t>
  </si>
  <si>
    <t xml:space="preserve">32002L0058R(04)</t>
  </si>
  <si>
    <t xml:space="preserve">https://eur-lex.europa.eu/legal-content/EN/TXT/?uri=CELEX:32002L0058R(04)</t>
  </si>
  <si>
    <t xml:space="preserve">32002D0676R(01)</t>
  </si>
  <si>
    <t xml:space="preserve">2018-09-27</t>
  </si>
  <si>
    <t xml:space="preserve">https://eur-lex.europa.eu/legal-content/EN/TXT/?uri=CELEX:32002D0676R(01)</t>
  </si>
  <si>
    <t xml:space="preserve">32004R0139R(01)</t>
  </si>
  <si>
    <t xml:space="preserve">2004-12-23</t>
  </si>
  <si>
    <t xml:space="preserve">https://eur-lex.europa.eu/legal-content/EN/TXT/?uri=CELEX:32004R0139R(01)</t>
  </si>
  <si>
    <t xml:space="preserve">32004R0139R(02)</t>
  </si>
  <si>
    <t xml:space="preserve">2015-11-21</t>
  </si>
  <si>
    <t xml:space="preserve">https://eur-lex.europa.eu/legal-content/EN/TXT/?uri=CELEX:32004R0139R(02)</t>
  </si>
  <si>
    <t xml:space="preserve">32004R0139R(03)</t>
  </si>
  <si>
    <t xml:space="preserve">2017-04-22</t>
  </si>
  <si>
    <t xml:space="preserve">https://eur-lex.europa.eu/legal-content/EN/TXT/?uri=CELEX:32004R0139R(03)</t>
  </si>
  <si>
    <t xml:space="preserve">32004R0139R(04)</t>
  </si>
  <si>
    <t xml:space="preserve">2021-07-01</t>
  </si>
  <si>
    <t xml:space="preserve">https://eur-lex.europa.eu/legal-content/EN/TXT/?uri=CELEX:32004R0139R(04)</t>
  </si>
  <si>
    <t xml:space="preserve">32004R0139R(05)</t>
  </si>
  <si>
    <t xml:space="preserve">2022-03-31</t>
  </si>
  <si>
    <t xml:space="preserve">https://eur-lex.europa.eu/legal-content/EN/TXT/?uri=CELEX:32004R0139R(05)</t>
  </si>
  <si>
    <t xml:space="preserve">32004R0139R(06)</t>
  </si>
  <si>
    <t xml:space="preserve">2023-01-26</t>
  </si>
  <si>
    <t xml:space="preserve">https://eur-lex.europa.eu/legal-content/EN/TXT/?uri=CELEX:32004R0139R(06)</t>
  </si>
  <si>
    <t xml:space="preserve">32004R0139R(07)</t>
  </si>
  <si>
    <t xml:space="preserve">2023-09-28</t>
  </si>
  <si>
    <t xml:space="preserve">https://eur-lex.europa.eu/legal-content/EN/TXT/?uri=CELEX:32004R0139R(07)</t>
  </si>
  <si>
    <t xml:space="preserve">32004R0139R(08)</t>
  </si>
  <si>
    <t xml:space="preserve">2024-12-20</t>
  </si>
  <si>
    <t xml:space="preserve">https://eur-lex.europa.eu/legal-content/EN/TXT/?uri=CELEX:32004R0139R(08)</t>
  </si>
  <si>
    <t xml:space="preserve">32004L0048R(01)</t>
  </si>
  <si>
    <t xml:space="preserve">2004-06-02</t>
  </si>
  <si>
    <t xml:space="preserve">Corrigendum to Directive 2004/48/EC of the European Parliament and of the Council of 29 April 2004 on the enforcement of intellectual property rights (OJ L 157, 30.4.2004)</t>
  </si>
  <si>
    <t xml:space="preserve">https://eur-lex.europa.eu/legal-content/EN/TXT/?uri=CELEX:32004L0048R(01)</t>
  </si>
  <si>
    <t xml:space="preserve">32004L0048R(02)</t>
  </si>
  <si>
    <t xml:space="preserve">2004-11-26</t>
  </si>
  <si>
    <t xml:space="preserve">https://eur-lex.europa.eu/legal-content/EN/TXT/?uri=CELEX:32004L0048R(02)</t>
  </si>
  <si>
    <t xml:space="preserve">32004L0048R(03)</t>
  </si>
  <si>
    <t xml:space="preserve">2007-08-04</t>
  </si>
  <si>
    <t xml:space="preserve">Corrigendum to Directive 2004/48/EC of the European Parliament and of the Council of 29 April 2004 on the enforcement of intellectual property rights ( OJ L 157, 30.4.2004 . Corrected version in OJ L 195, 2.6.2004 )</t>
  </si>
  <si>
    <t xml:space="preserve">https://eur-lex.europa.eu/legal-content/EN/TXT/?uri=CELEX:32004L0048R(03)</t>
  </si>
  <si>
    <t xml:space="preserve">32004L0048R(04)</t>
  </si>
  <si>
    <t xml:space="preserve">https://eur-lex.europa.eu/legal-content/EN/TXT/?uri=CELEX:32004L0048R(04)</t>
  </si>
  <si>
    <t xml:space="preserve">32024L0825</t>
  </si>
  <si>
    <t xml:space="preserve">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</si>
  <si>
    <t xml:space="preserve">https://eur-lex.europa.eu/legal-content/EN/TXT/?uri=CELEX:32024L0825</t>
  </si>
  <si>
    <t xml:space="preserve">32005L0029R(01)</t>
  </si>
  <si>
    <t xml:space="preserve">2006-04-27</t>
  </si>
  <si>
    <t xml:space="preserve">https://eur-lex.europa.eu/legal-content/EN/TXT/?uri=CELEX:32005L0029R(01)</t>
  </si>
  <si>
    <t xml:space="preserve">32005L0029R(02)</t>
  </si>
  <si>
    <t xml:space="preserve">2009-09-25</t>
  </si>
  <si>
    <t xml:space="preserve">https://eur-lex.europa.eu/legal-content/EN/TXT/?uri=CELEX:32005L0029R(02)</t>
  </si>
  <si>
    <t xml:space="preserve">32005L0029R(03)</t>
  </si>
  <si>
    <t xml:space="preserve">https://eur-lex.europa.eu/legal-content/EN/TXT/?uri=CELEX:32005L0029R(03)</t>
  </si>
  <si>
    <t xml:space="preserve">32005L0029R(04)</t>
  </si>
  <si>
    <t xml:space="preserve">2016-12-07</t>
  </si>
  <si>
    <t xml:space="preserve">https://eur-lex.europa.eu/legal-content/EN/TXT/?uri=CELEX:32005L0029R(04)</t>
  </si>
  <si>
    <t xml:space="preserve">32006L0138</t>
  </si>
  <si>
    <t xml:space="preserve">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</si>
  <si>
    <t xml:space="preserve">https://eur-lex.europa.eu/legal-content/EN/TXT/?uri=CELEX:32006L0138</t>
  </si>
  <si>
    <t xml:space="preserve">32007L0075</t>
  </si>
  <si>
    <t xml:space="preserve">2007-12-20</t>
  </si>
  <si>
    <t xml:space="preserve">Council Directive 2007/75/EC of 20 December 2007 amending Directive 2006/112/EC with regard to certain temporary provisions concerning rates of value added tax</t>
  </si>
  <si>
    <t xml:space="preserve">https://eur-lex.europa.eu/legal-content/EN/TXT/?uri=CELEX:32007L0075</t>
  </si>
  <si>
    <t xml:space="preserve">32008L0008</t>
  </si>
  <si>
    <t xml:space="preserve">2008-02-12</t>
  </si>
  <si>
    <t xml:space="preserve">Council Directive 2008/8/EC of 12 February 2008 amending Directive 2006/112/EC as regards the place of supply of services</t>
  </si>
  <si>
    <t xml:space="preserve">https://eur-lex.europa.eu/legal-content/EN/TXT/?uri=CELEX:32008L0008</t>
  </si>
  <si>
    <t xml:space="preserve">32008L0117</t>
  </si>
  <si>
    <t xml:space="preserve">2008-12-16</t>
  </si>
  <si>
    <t xml:space="preserve">Council Directive 2008/117/EC of 16 December 2008 amending Directive 2006/112/EC on the common system of value added tax to combat tax evasion connected with intra-Community transactions</t>
  </si>
  <si>
    <t xml:space="preserve">https://eur-lex.europa.eu/legal-content/EN/TXT/?uri=CELEX:32008L0117</t>
  </si>
  <si>
    <t xml:space="preserve">32009L0047</t>
  </si>
  <si>
    <t xml:space="preserve">2009-05-05</t>
  </si>
  <si>
    <t xml:space="preserve">Council Directive 2009/47/EC of 5 May 2009 amending Directive 2006/112/EC as regards reduced rates of value added tax</t>
  </si>
  <si>
    <t xml:space="preserve">https://eur-lex.europa.eu/legal-content/EN/TXT/?uri=CELEX:32009L0047</t>
  </si>
  <si>
    <t xml:space="preserve">32009L0069</t>
  </si>
  <si>
    <t xml:space="preserve">2009-06-25</t>
  </si>
  <si>
    <t xml:space="preserve">Council Directive 2009/69/EC of 25 June 2009 amending Directive 2006/112/EC on the common system of value added tax as regards tax evasion linked to imports</t>
  </si>
  <si>
    <t xml:space="preserve">https://eur-lex.europa.eu/legal-content/EN/TXT/?uri=CELEX:32009L0069</t>
  </si>
  <si>
    <t xml:space="preserve">32009L0162</t>
  </si>
  <si>
    <t xml:space="preserve">Council Directive 2009/162/EU of 22 December 2009 amending various provisions of Directive 2006/112/EC on the common system of value added tax</t>
  </si>
  <si>
    <t xml:space="preserve">https://eur-lex.europa.eu/legal-content/EN/TXT/?uri=CELEX:32009L0162</t>
  </si>
  <si>
    <t xml:space="preserve">32010L0023</t>
  </si>
  <si>
    <t xml:space="preserve">2010-03-16</t>
  </si>
  <si>
    <t xml:space="preserve">Council Directive 2010/23/EU of 16 March 2010 amending Directive 2006/112/EC on the common system of value added tax, as regards an optional and temporary application of the reverse charge mechanism in relation to supplies of certain services susceptible to fraud</t>
  </si>
  <si>
    <t xml:space="preserve">https://eur-lex.europa.eu/legal-content/EN/TXT/?uri=CELEX:32010L0023</t>
  </si>
  <si>
    <t xml:space="preserve">32010L0045</t>
  </si>
  <si>
    <t xml:space="preserve">2010-07-13</t>
  </si>
  <si>
    <t xml:space="preserve">Council Directive 2010/45/EU of 13 July 2010 amending Directive 2006/112/EC on the common system of value added tax as regards the rules on invoicing</t>
  </si>
  <si>
    <t xml:space="preserve">https://eur-lex.europa.eu/legal-content/EN/TXT/?uri=CELEX:32010L0045</t>
  </si>
  <si>
    <t xml:space="preserve">32010L0088</t>
  </si>
  <si>
    <t xml:space="preserve">2010-12-07</t>
  </si>
  <si>
    <t xml:space="preserve">Council Directive 2010/88/EU of 7 December 2010 amending Directive 2006/112/EC on the common system of value added tax, with regard to the duration of the obligation to respect a minimum standard rate</t>
  </si>
  <si>
    <t xml:space="preserve">https://eur-lex.europa.eu/legal-content/EN/TXT/?uri=CELEX:32010L0088</t>
  </si>
  <si>
    <t xml:space="preserve">32013L0042</t>
  </si>
  <si>
    <t xml:space="preserve">2013-07-22</t>
  </si>
  <si>
    <t xml:space="preserve">Council Directive 2013/42/EU of 22 July 2013 amending Directive 2006/112/EC on the common system of value added tax, as regards a Quick Reaction Mechanism against VAT fraud</t>
  </si>
  <si>
    <t xml:space="preserve">https://eur-lex.europa.eu/legal-content/EN/TXT/?uri=CELEX:32013L0042</t>
  </si>
  <si>
    <t xml:space="preserve">32013L0043</t>
  </si>
  <si>
    <t xml:space="preserve">Council Directive 2013/43/EU of 22 July 2013 amending Directive 2006/112/EC on the common system of value added tax, as regards an optional and temporary application of the reverse charge mechanism in relation to supplies of certain goods and services susceptible to fraud</t>
  </si>
  <si>
    <t xml:space="preserve">https://eur-lex.europa.eu/legal-content/EN/TXT/?uri=CELEX:32013L0043</t>
  </si>
  <si>
    <t xml:space="preserve">32013L0061</t>
  </si>
  <si>
    <t xml:space="preserve">Council Directive 2013/61/EU of 17 December 2013 amending Directives 2006/112/EC and 2008/118/EC as regards the French outermost regions and Mayotte in particular</t>
  </si>
  <si>
    <t xml:space="preserve">https://eur-lex.europa.eu/legal-content/EN/TXT/?uri=CELEX:32013L0061</t>
  </si>
  <si>
    <t xml:space="preserve">32016L0856</t>
  </si>
  <si>
    <t xml:space="preserve">Council Directive (EU) 2016/856 of 25 May 2016 amending Directive 2006/112/EC on the common system of value added tax, as regards the duration of the obligation to respect a minimum standard rate</t>
  </si>
  <si>
    <t xml:space="preserve">https://eur-lex.europa.eu/legal-content/EN/TXT/?uri=CELEX:32016L0856</t>
  </si>
  <si>
    <t xml:space="preserve">32016L1065</t>
  </si>
  <si>
    <t xml:space="preserve">2016-06-27</t>
  </si>
  <si>
    <t xml:space="preserve">Council Directive (EU) 2016/1065 of 27 June 2016 amending Directive 2006/112/EC as regards the treatment of vouchers</t>
  </si>
  <si>
    <t xml:space="preserve">https://eur-lex.europa.eu/legal-content/EN/TXT/?uri=CELEX:32016L1065</t>
  </si>
  <si>
    <t xml:space="preserve">32017L2455</t>
  </si>
  <si>
    <t xml:space="preserve">Council Directive (EU) 2017/2455 of 5 December 2017 amending Directive 2006/112/EC and Directive 2009/132/EC as regards certain value added tax obligations for supplies of services and distance sales of goods</t>
  </si>
  <si>
    <t xml:space="preserve">https://eur-lex.europa.eu/legal-content/EN/TXT/?uri=CELEX:32017L2455</t>
  </si>
  <si>
    <t xml:space="preserve">32018L0912</t>
  </si>
  <si>
    <t xml:space="preserve">Council Directive (EU) 2018/912 of 22 June 2018 amending Directive 2006/112/EC on the common system of value added tax as regards the obligation to respect a minimum standard rate</t>
  </si>
  <si>
    <t xml:space="preserve">https://eur-lex.europa.eu/legal-content/EN/TXT/?uri=CELEX:32018L0912</t>
  </si>
  <si>
    <t xml:space="preserve">32018L1695</t>
  </si>
  <si>
    <t xml:space="preserve">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</si>
  <si>
    <t xml:space="preserve">https://eur-lex.europa.eu/legal-content/EN/TXT/?uri=CELEX:32018L1695</t>
  </si>
  <si>
    <t xml:space="preserve">32018L1713</t>
  </si>
  <si>
    <t xml:space="preserve">Council Directive (EU) 2018/1713 of 6 November 2018 amending Directive 2006/112/EC as regards rates of value added tax applied to books, newspapers and periodicals</t>
  </si>
  <si>
    <t xml:space="preserve">https://eur-lex.europa.eu/legal-content/EN/TXT/?uri=CELEX:32018L1713</t>
  </si>
  <si>
    <t xml:space="preserve">32018L1910</t>
  </si>
  <si>
    <t xml:space="preserve">Council Directive (EU) 2018/1910 of 4 December 2018 amending Directive 2006/112/EC as regards the harmonisation and simplification of certain rules in the value added tax system for the taxation of trade between Member States</t>
  </si>
  <si>
    <t xml:space="preserve">https://eur-lex.europa.eu/legal-content/EN/TXT/?uri=CELEX:32018L1910</t>
  </si>
  <si>
    <t xml:space="preserve">32018L2057</t>
  </si>
  <si>
    <t xml:space="preserve">Council Directive (EU) 2018/2057 of 20 December 2018 amending Directive 2006/112/EC on the common system of value added tax as regards the temporary application of a generalised reverse charge mechanism in relation to supplies of goods and services above a certain threshold</t>
  </si>
  <si>
    <t xml:space="preserve">https://eur-lex.europa.eu/legal-content/EN/TXT/?uri=CELEX:32018L2057</t>
  </si>
  <si>
    <t xml:space="preserve">32019L0475</t>
  </si>
  <si>
    <t xml:space="preserve">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</si>
  <si>
    <t xml:space="preserve">https://eur-lex.europa.eu/legal-content/EN/TXT/?uri=CELEX:32019L0475</t>
  </si>
  <si>
    <t xml:space="preserve">32019L1995</t>
  </si>
  <si>
    <t xml:space="preserve">Council Directive (EU) 2019/1995 of 21 November 2019 amending Directive 2006/112/EC as regards provisions relating to distance sales of goods and certain domestic supplies of goods</t>
  </si>
  <si>
    <t xml:space="preserve">https://eur-lex.europa.eu/legal-content/EN/TXT/?uri=CELEX:32019L1995</t>
  </si>
  <si>
    <t xml:space="preserve">32019L2235</t>
  </si>
  <si>
    <t xml:space="preserve">Council Directive (EU) 2019/2235 of 16 December 2019 amending Directive 2006/112/EC on the common system of value added tax and Directive 2008/118/EC concerning the general arrangements for excise duty as regards defence efforts within the Union framework</t>
  </si>
  <si>
    <t xml:space="preserve">https://eur-lex.europa.eu/legal-content/EN/TXT/?uri=CELEX:32019L2235</t>
  </si>
  <si>
    <t xml:space="preserve">32020L0284</t>
  </si>
  <si>
    <t xml:space="preserve">2020-02-18</t>
  </si>
  <si>
    <t xml:space="preserve">Council Directive (EU) 2020/284 of 18 February 2020 amending Directive 2006/112/EC as regards introducing certain requirements for payment service providers</t>
  </si>
  <si>
    <t xml:space="preserve">https://eur-lex.europa.eu/legal-content/EN/TXT/?uri=CELEX:32020L0284</t>
  </si>
  <si>
    <t xml:space="preserve">32020L0285</t>
  </si>
  <si>
    <t xml:space="preserve">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</si>
  <si>
    <t xml:space="preserve">https://eur-lex.europa.eu/legal-content/EN/TXT/?uri=CELEX:32020L0285</t>
  </si>
  <si>
    <t xml:space="preserve">32020L1756</t>
  </si>
  <si>
    <t xml:space="preserve">2020-11-20</t>
  </si>
  <si>
    <t xml:space="preserve">Council Directive (EU) 2020/1756 of 20 November 2020 amending Directive 2006/112/EC on the common system of value added tax as regards the identification of taxable persons in Northern Ireland</t>
  </si>
  <si>
    <t xml:space="preserve">https://eur-lex.europa.eu/legal-content/EN/TXT/?uri=CELEX:32020L1756</t>
  </si>
  <si>
    <t xml:space="preserve">32020L2020</t>
  </si>
  <si>
    <t xml:space="preserve">2020-12-07</t>
  </si>
  <si>
    <t xml:space="preserve">Council Directive (EU) 2020/2020 of 7 December 2020 amending Directive 2006/112/EC as regards temporary measures in relation to value added tax applicable to COVID-19 vaccines and in vitro diagnostic medical devices in response to the COVID-19 pandemic</t>
  </si>
  <si>
    <t xml:space="preserve">https://eur-lex.europa.eu/legal-content/EN/TXT/?uri=CELEX:32020L2020</t>
  </si>
  <si>
    <t xml:space="preserve">32021L1159</t>
  </si>
  <si>
    <t xml:space="preserve">Council Directive (EU) 2021/1159 of 13 July 2021 amending Directive 2006/112/EC as regards temporary exemptions on importations and on certain supplies, in response to the COVID-19 pandemic</t>
  </si>
  <si>
    <t xml:space="preserve">https://eur-lex.europa.eu/legal-content/EN/TXT/?uri=CELEX:32021L1159</t>
  </si>
  <si>
    <t xml:space="preserve">32022L0542</t>
  </si>
  <si>
    <t xml:space="preserve">Council Directive (EU) 2022/542 of 5 April 2022 amending Directives 2006/112/EC and (EU) 2020/285 as regards rates of value added tax</t>
  </si>
  <si>
    <t xml:space="preserve">https://eur-lex.europa.eu/legal-content/EN/TXT/?uri=CELEX:32022L0542</t>
  </si>
  <si>
    <t xml:space="preserve">32022L0890</t>
  </si>
  <si>
    <t xml:space="preserve">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</si>
  <si>
    <t xml:space="preserve">https://eur-lex.europa.eu/legal-content/EN/TXT/?uri=CELEX:32022L0890</t>
  </si>
  <si>
    <t xml:space="preserve">32025L0425</t>
  </si>
  <si>
    <t xml:space="preserve">Council Directive (EU) 2025/425 of 18 February 2025 amending Directive 2006/112/EC as regards the electronic value added tax exemption certificate</t>
  </si>
  <si>
    <t xml:space="preserve">https://eur-lex.europa.eu/legal-content/EN/TXT/?uri=CELEX:32025L0425</t>
  </si>
  <si>
    <t xml:space="preserve">Council Directive (EU) 2025/516 of 11 March 2025 amending Directive 2006/112/EC as regards VAT rules for the digital age</t>
  </si>
  <si>
    <t xml:space="preserve">32025L1539</t>
  </si>
  <si>
    <t xml:space="preserve">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</si>
  <si>
    <t xml:space="preserve">https://eur-lex.europa.eu/legal-content/EN/TXT/?uri=CELEX:32025L1539</t>
  </si>
  <si>
    <t xml:space="preserve">32006L0112R(06)</t>
  </si>
  <si>
    <t xml:space="preserve">https://eur-lex.europa.eu/legal-content/EN/TXT/?uri=CELEX:32006L0112R(06)</t>
  </si>
  <si>
    <t xml:space="preserve">32006L0112R(02)</t>
  </si>
  <si>
    <t xml:space="preserve">https://eur-lex.europa.eu/legal-content/EN/TXT/?uri=CELEX:32006L0112R(02)</t>
  </si>
  <si>
    <t xml:space="preserve">32006L0112R(03)</t>
  </si>
  <si>
    <t xml:space="preserve">https://eur-lex.europa.eu/legal-content/EN/TXT/?uri=CELEX:32006L0112R(03)</t>
  </si>
  <si>
    <t xml:space="preserve">32006L0112R(04)</t>
  </si>
  <si>
    <t xml:space="preserve">https://eur-lex.europa.eu/legal-content/EN/TXT/?uri=CELEX:32006L0112R(04)</t>
  </si>
  <si>
    <t xml:space="preserve">32006L0112R(05)</t>
  </si>
  <si>
    <t xml:space="preserve">https://eur-lex.europa.eu/legal-content/EN/TXT/?uri=CELEX:32006L0112R(05)</t>
  </si>
  <si>
    <t xml:space="preserve">32006L0112R(01)</t>
  </si>
  <si>
    <t xml:space="preserve">Corrigendum to Council Directive 2006/112/EC of 28 November 2006 on the common system of value added tax ( OJ L 347, 11.12.2006 )</t>
  </si>
  <si>
    <t xml:space="preserve">https://eur-lex.europa.eu/legal-content/EN/TXT/?uri=CELEX:32006L0112R(01)</t>
  </si>
  <si>
    <t xml:space="preserve">32006L0112R(07)</t>
  </si>
  <si>
    <t xml:space="preserve">2009-03-12</t>
  </si>
  <si>
    <t xml:space="preserve">https://eur-lex.europa.eu/legal-content/EN/TXT/?uri=CELEX:32006L0112R(07)</t>
  </si>
  <si>
    <t xml:space="preserve">32006L0112R(08)</t>
  </si>
  <si>
    <t xml:space="preserve">2011-03-19</t>
  </si>
  <si>
    <t xml:space="preserve">https://eur-lex.europa.eu/legal-content/EN/TXT/?uri=CELEX:32006L0112R(08)</t>
  </si>
  <si>
    <t xml:space="preserve">32006L0112R(09)</t>
  </si>
  <si>
    <t xml:space="preserve">https://eur-lex.europa.eu/legal-content/EN/TXT/?uri=CELEX:32006L0112R(09)</t>
  </si>
  <si>
    <t xml:space="preserve">32006L0112R(11)</t>
  </si>
  <si>
    <t xml:space="preserve">2012-09-14</t>
  </si>
  <si>
    <t xml:space="preserve">https://eur-lex.europa.eu/legal-content/EN/TXT/?uri=CELEX:32006L0112R(11)</t>
  </si>
  <si>
    <t xml:space="preserve">32006L0112R(10)</t>
  </si>
  <si>
    <t xml:space="preserve">Corrigendum to Council Directive 2006/112/EC of 28 November 2006 on the common system of value added tax ( OJ L 347, 11.12.2006 )</t>
  </si>
  <si>
    <t xml:space="preserve">https://eur-lex.europa.eu/legal-content/EN/TXT/?uri=CELEX:32006L0112R(10)</t>
  </si>
  <si>
    <t xml:space="preserve">32006L0112R(12)</t>
  </si>
  <si>
    <t xml:space="preserve">https://eur-lex.europa.eu/legal-content/EN/TXT/?uri=CELEX:32006L0112R(12)</t>
  </si>
  <si>
    <t xml:space="preserve">32006L0112R(13)</t>
  </si>
  <si>
    <t xml:space="preserve">2017-12-16</t>
  </si>
  <si>
    <t xml:space="preserve">https://eur-lex.europa.eu/legal-content/EN/TXT/?uri=CELEX:32006L0112R(13)</t>
  </si>
  <si>
    <t xml:space="preserve">32006L0112R(15)</t>
  </si>
  <si>
    <t xml:space="preserve">2018-09-19</t>
  </si>
  <si>
    <t xml:space="preserve">https://eur-lex.europa.eu/legal-content/EN/TXT/?uri=CELEX:32006L0112R(15)</t>
  </si>
  <si>
    <t xml:space="preserve">32006L0112R(14)</t>
  </si>
  <si>
    <t xml:space="preserve">https://eur-lex.europa.eu/legal-content/EN/TXT/?uri=CELEX:32006L0112R(14)</t>
  </si>
  <si>
    <t xml:space="preserve">32006L0112R(16)</t>
  </si>
  <si>
    <t xml:space="preserve">2019-01-10</t>
  </si>
  <si>
    <t xml:space="preserve">https://eur-lex.europa.eu/legal-content/EN/TXT/?uri=CELEX:32006L0112R(16)</t>
  </si>
  <si>
    <t xml:space="preserve">32006L0112R(17)</t>
  </si>
  <si>
    <t xml:space="preserve">https://eur-lex.europa.eu/legal-content/EN/TXT/?uri=CELEX:32006L0112R(17)</t>
  </si>
  <si>
    <t xml:space="preserve">32006L0112R(18)</t>
  </si>
  <si>
    <t xml:space="preserve">2021-08-12</t>
  </si>
  <si>
    <t xml:space="preserve">https://eur-lex.europa.eu/legal-content/EN/TXT/?uri=CELEX:32006L0112R(18)</t>
  </si>
  <si>
    <t xml:space="preserve">32006L0112R(19)</t>
  </si>
  <si>
    <t xml:space="preserve">https://eur-lex.europa.eu/legal-content/EN/TXT/?uri=CELEX:32006L0112R(19)</t>
  </si>
  <si>
    <t xml:space="preserve">32006L0112R(20)</t>
  </si>
  <si>
    <t xml:space="preserve">2023-05-17</t>
  </si>
  <si>
    <t xml:space="preserve">https://eur-lex.europa.eu/legal-content/EN/TXT/?uri=CELEX:32006L0112R(20)</t>
  </si>
  <si>
    <t xml:space="preserve">32006L0112R(21)</t>
  </si>
  <si>
    <t xml:space="preserve">2025-02-05</t>
  </si>
  <si>
    <t xml:space="preserve">https://eur-lex.europa.eu/legal-content/EN/TXT/?uri=CELEX:32006L0112R(21)</t>
  </si>
  <si>
    <t xml:space="preserve">32006L0112R(22)</t>
  </si>
  <si>
    <t xml:space="preserve">https://eur-lex.europa.eu/legal-content/EN/TXT/?uri=CELEX:32006L0112R(22)</t>
  </si>
  <si>
    <t xml:space="preserve">32006L0112R(23)</t>
  </si>
  <si>
    <t xml:space="preserve">2026-07-01</t>
  </si>
  <si>
    <t xml:space="preserve">https://eur-lex.europa.eu/legal-content/EN/TXT/?uri=CELEX:32006L0112R(23)</t>
  </si>
  <si>
    <t xml:space="preserve">32018L1808</t>
  </si>
  <si>
    <t xml:space="preserve">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</si>
  <si>
    <t xml:space="preserve">https://eur-lex.europa.eu/legal-content/EN/TXT/?uri=CELEX:32018L1808</t>
  </si>
  <si>
    <t xml:space="preserve">Regulation (EU) 2024/1083 of the European Parliament and of the Council of 11 April 2024 establishing a common framework for media services in the internal market and amending Directive 2010/13/EU (European Media Freedom Act) (Text with EEA relevance)</t>
  </si>
  <si>
    <t xml:space="preserve">32010L0013R(01)</t>
  </si>
  <si>
    <t xml:space="preserve">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</si>
  <si>
    <t xml:space="preserve">https://eur-lex.europa.eu/legal-content/EN/TXT/?uri=CELEX:32010L0013R(01)</t>
  </si>
  <si>
    <t xml:space="preserve">32010L0013R(02)</t>
  </si>
  <si>
    <t xml:space="preserve">2014-12-04</t>
  </si>
  <si>
    <t xml:space="preserve">https://eur-lex.europa.eu/legal-content/EN/TXT/?uri=CELEX:32010L0013R(02)</t>
  </si>
  <si>
    <t xml:space="preserve">32010L0013R(03)</t>
  </si>
  <si>
    <t xml:space="preserve">2018-09-21</t>
  </si>
  <si>
    <t xml:space="preserve">https://eur-lex.europa.eu/legal-content/EN/TXT/?uri=CELEX:32010L0013R(03)</t>
  </si>
  <si>
    <t xml:space="preserve">32015R0759</t>
  </si>
  <si>
    <t xml:space="preserve">Regulation (EU) 2015/759 of the European Parliament and of the Council of 29 April 2015 amending Regulation (EC) No 223/2009 on European statistics (Text with relevance for the EEA and Switzerland)</t>
  </si>
  <si>
    <t xml:space="preserve">https://eur-lex.europa.eu/legal-content/EN/TXT/?uri=CELEX:32015R0759</t>
  </si>
  <si>
    <t xml:space="preserve">32024R3018</t>
  </si>
  <si>
    <t xml:space="preserve">Regulation (EU) 2024/3018 of the European Parliament and of the Council of 27 November 2024 amending Regulation (EC) No 223/2009 on European statistics (Text with EEA relevance)</t>
  </si>
  <si>
    <t xml:space="preserve">https://eur-lex.europa.eu/legal-content/EN/TXT/?uri=CELEX:32024R3018</t>
  </si>
  <si>
    <t xml:space="preserve">32009R0223R(01)</t>
  </si>
  <si>
    <t xml:space="preserve">https://eur-lex.europa.eu/legal-content/EN/TXT/?uri=CELEX:32009R0223R(01)</t>
  </si>
  <si>
    <t xml:space="preserve">32009R0223R(02)</t>
  </si>
  <si>
    <t xml:space="preserve">2022-07-07</t>
  </si>
  <si>
    <t xml:space="preserve">https://eur-lex.europa.eu/legal-content/EN/TXT/?uri=CELEX:32009R0223R(02)</t>
  </si>
  <si>
    <t xml:space="preserve">32009L0048R(01)</t>
  </si>
  <si>
    <t xml:space="preserve">Corrigendum to Directive 2009/48/EC of the European Parliament and of the Council of 18 June 2009 on the safety of toys ( OJ L 170, 30.6.2009 )</t>
  </si>
  <si>
    <t xml:space="preserve">https://eur-lex.europa.eu/legal-content/EN/TXT/?uri=CELEX:32009L0048R(01)</t>
  </si>
  <si>
    <t xml:space="preserve">32009L0048R(02)</t>
  </si>
  <si>
    <t xml:space="preserve">2019-10-03</t>
  </si>
  <si>
    <t xml:space="preserve">https://eur-lex.europa.eu/legal-content/EN/TXT/?uri=CELEX:32009L0048R(02)</t>
  </si>
  <si>
    <t xml:space="preserve">32009L0048R(03)</t>
  </si>
  <si>
    <t xml:space="preserve">2021-02-04</t>
  </si>
  <si>
    <t xml:space="preserve">https://eur-lex.europa.eu/legal-content/EN/TXT/?uri=CELEX:32009L0048R(03)</t>
  </si>
  <si>
    <t xml:space="preserve">32009L0048R(04)</t>
  </si>
  <si>
    <t xml:space="preserve">https://eur-lex.europa.eu/legal-content/EN/TXT/?uri=CELEX:32009L0048R(04)</t>
  </si>
  <si>
    <t xml:space="preserve">32009L0048R(05)</t>
  </si>
  <si>
    <t xml:space="preserve">https://eur-lex.europa.eu/legal-content/EN/TXT/?uri=CELEX:32009L0048R(05)</t>
  </si>
  <si>
    <t xml:space="preserve">32015L2302</t>
  </si>
  <si>
    <t xml:space="preserve">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</si>
  <si>
    <t xml:space="preserve">https://eur-lex.europa.eu/legal-content/EN/TXT/?uri=CELEX:32015L2302</t>
  </si>
  <si>
    <t xml:space="preserve">32023L2673</t>
  </si>
  <si>
    <t xml:space="preserve">2023-11-22</t>
  </si>
  <si>
    <t xml:space="preserve">Directive (EU) 2023/2673 of the European Parliament and of the Council of 22 November 2023 amending Directive 2011/83/EU as regards financial services contracts concluded at a distance and repealing Directive 2002/65/EC (Text with EEA relevance)</t>
  </si>
  <si>
    <t xml:space="preserve">https://eur-lex.europa.eu/legal-content/EN/TXT/?uri=CELEX:32023L2673</t>
  </si>
  <si>
    <t xml:space="preserve">32011L0083R(01)</t>
  </si>
  <si>
    <t xml:space="preserve">2014-11-08</t>
  </si>
  <si>
    <t xml:space="preserve">https://eur-lex.europa.eu/legal-content/EN/TXT/?uri=CELEX:32011L0083R(01)</t>
  </si>
  <si>
    <t xml:space="preserve">32011L0083R(02)</t>
  </si>
  <si>
    <t xml:space="preserve">2016-11-30</t>
  </si>
  <si>
    <t xml:space="preserve">https://eur-lex.europa.eu/legal-content/EN/TXT/?uri=CELEX:32011L0083R(02)</t>
  </si>
  <si>
    <t xml:space="preserve">32011L0083R(03)</t>
  </si>
  <si>
    <t xml:space="preserve">2018-05-23</t>
  </si>
  <si>
    <t xml:space="preserve">https://eur-lex.europa.eu/legal-content/EN/TXT/?uri=CELEX:32011L0083R(03)</t>
  </si>
  <si>
    <t xml:space="preserve">32011L0083R(04)</t>
  </si>
  <si>
    <t xml:space="preserve">2019-10-24</t>
  </si>
  <si>
    <t xml:space="preserve">https://eur-lex.europa.eu/legal-content/EN/TXT/?uri=CELEX:32011L0083R(04)</t>
  </si>
  <si>
    <t xml:space="preserve">32011L0083R(05)</t>
  </si>
  <si>
    <t xml:space="preserve">2024-02-09</t>
  </si>
  <si>
    <t xml:space="preserve">https://eur-lex.europa.eu/legal-content/EN/TXT/?uri=CELEX:32011L0083R(05)</t>
  </si>
  <si>
    <t xml:space="preserve">32011L0083R(06)</t>
  </si>
  <si>
    <t xml:space="preserve">https://eur-lex.europa.eu/legal-content/EN/TXT/?uri=CELEX:32011L0083R(06)</t>
  </si>
  <si>
    <t xml:space="preserve">32014L0107</t>
  </si>
  <si>
    <t xml:space="preserve">Council Directive 2014/107/EU of 9 December 2014 amending Directive 2011/16/EU as regards mandatory automatic exchange of information in the field of taxation</t>
  </si>
  <si>
    <t xml:space="preserve">https://eur-lex.europa.eu/legal-content/EN/TXT/?uri=CELEX:32014L0107</t>
  </si>
  <si>
    <t xml:space="preserve">32015L2376</t>
  </si>
  <si>
    <t xml:space="preserve">2015-12-08</t>
  </si>
  <si>
    <t xml:space="preserve">Council Directive (EU) 2015/2376 of 8 December 2015 amending Directive 2011/16/EU as regards mandatory automatic exchange of information in the field of taxation</t>
  </si>
  <si>
    <t xml:space="preserve">https://eur-lex.europa.eu/legal-content/EN/TXT/?uri=CELEX:32015L2376</t>
  </si>
  <si>
    <t xml:space="preserve">32016L0881</t>
  </si>
  <si>
    <t xml:space="preserve">Council Directive (EU) 2016/881 of 25 May 2016 amending Directive 2011/16/EU as regards mandatory automatic exchange of information in the field of taxation</t>
  </si>
  <si>
    <t xml:space="preserve">https://eur-lex.europa.eu/legal-content/EN/TXT/?uri=CELEX:32016L0881</t>
  </si>
  <si>
    <t xml:space="preserve">32016L2258</t>
  </si>
  <si>
    <t xml:space="preserve">Council Directive (EU) 2016/2258 of 6 December 2016 amending Directive 2011/16/EU as regards access to anti-money-laundering information by tax authorities</t>
  </si>
  <si>
    <t xml:space="preserve">https://eur-lex.europa.eu/legal-content/EN/TXT/?uri=CELEX:32016L2258</t>
  </si>
  <si>
    <t xml:space="preserve">32018L0822</t>
  </si>
  <si>
    <t xml:space="preserve">Council Directive (EU) 2018/822 of 25 May 2018 amending Directive 2011/16/EU as regards mandatory automatic exchange of information in the field of taxation in relation to reportable cross-border arrangements</t>
  </si>
  <si>
    <t xml:space="preserve">https://eur-lex.europa.eu/legal-content/EN/TXT/?uri=CELEX:32018L0822</t>
  </si>
  <si>
    <t xml:space="preserve">32020L0876</t>
  </si>
  <si>
    <t xml:space="preserve">Council Directive (EU) 2020/876 of 24 June 2020 amending Directive 2011/16/EU to address the urgent need to defer certain time limits for the filing and exchange of information in the field of taxation because of the COVID-19 pandemic</t>
  </si>
  <si>
    <t xml:space="preserve">https://eur-lex.europa.eu/legal-content/EN/TXT/?uri=CELEX:32020L0876</t>
  </si>
  <si>
    <t xml:space="preserve">32021L0514</t>
  </si>
  <si>
    <t xml:space="preserve">Council Directive (EU) 2021/514 of 22 March 2021 amending Directive 2011/16/EU on administrative cooperation in the field of taxation</t>
  </si>
  <si>
    <t xml:space="preserve">https://eur-lex.europa.eu/legal-content/EN/TXT/?uri=CELEX:32021L0514</t>
  </si>
  <si>
    <t xml:space="preserve">32023L2226</t>
  </si>
  <si>
    <t xml:space="preserve">2023-10-17</t>
  </si>
  <si>
    <t xml:space="preserve">Council Directive (EU) 2023/2226 of 17 October 2023 amending Directive 2011/16/EU on administrative cooperation in the field of taxation</t>
  </si>
  <si>
    <t xml:space="preserve">https://eur-lex.europa.eu/legal-content/EN/TXT/?uri=CELEX:32023L2226</t>
  </si>
  <si>
    <t xml:space="preserve">32025L0872</t>
  </si>
  <si>
    <t xml:space="preserve">Council Directive (EU) 2025/872 of 14 April 2025 amending Directive 2011/16/EU on administrative cooperation in the field of taxation</t>
  </si>
  <si>
    <t xml:space="preserve">https://eur-lex.europa.eu/legal-content/EN/TXT/?uri=CELEX:32025L0872</t>
  </si>
  <si>
    <t xml:space="preserve">32011L0016R(01)</t>
  </si>
  <si>
    <t xml:space="preserve">2012-02-23</t>
  </si>
  <si>
    <t xml:space="preserve">https://eur-lex.europa.eu/legal-content/EN/TXT/?uri=CELEX:32011L0016R(01)</t>
  </si>
  <si>
    <t xml:space="preserve">32011L0016R(02)</t>
  </si>
  <si>
    <t xml:space="preserve">2013-06-14</t>
  </si>
  <si>
    <t xml:space="preserve">https://eur-lex.europa.eu/legal-content/EN/TXT/?uri=CELEX:32011L0016R(02)</t>
  </si>
  <si>
    <t xml:space="preserve">32011L0016R(03)</t>
  </si>
  <si>
    <t xml:space="preserve">https://eur-lex.europa.eu/legal-content/EN/TXT/?uri=CELEX:32011L0016R(03)</t>
  </si>
  <si>
    <t xml:space="preserve">32011L0016R(04)</t>
  </si>
  <si>
    <t xml:space="preserve">2020-08-21</t>
  </si>
  <si>
    <t xml:space="preserve">https://eur-lex.europa.eu/legal-content/EN/TXT/?uri=CELEX:32011L0016R(04)</t>
  </si>
  <si>
    <t xml:space="preserve">32011L0016R(05)</t>
  </si>
  <si>
    <t xml:space="preserve">2020-11-05</t>
  </si>
  <si>
    <t xml:space="preserve">https://eur-lex.europa.eu/legal-content/EN/TXT/?uri=CELEX:32011L0016R(05)</t>
  </si>
  <si>
    <t xml:space="preserve">32016R0679R(01)</t>
  </si>
  <si>
    <t xml:space="preserve">2016-11-22</t>
  </si>
  <si>
    <t xml:space="preserve">https://eur-lex.europa.eu/legal-content/EN/TXT/?uri=CELEX:32016R0679R(01)</t>
  </si>
  <si>
    <t xml:space="preserve">32016R0679R(02)</t>
  </si>
  <si>
    <t xml:space="preserve">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</si>
  <si>
    <t xml:space="preserve">https://eur-lex.europa.eu/legal-content/EN/TXT/?uri=CELEX:32016R0679R(02)</t>
  </si>
  <si>
    <t xml:space="preserve">32016R0679R(03)</t>
  </si>
  <si>
    <t xml:space="preserve">https://eur-lex.europa.eu/legal-content/EN/TXT/?uri=CELEX:32016R0679R(03)</t>
  </si>
  <si>
    <t xml:space="preserve">32016L0680R(01)</t>
  </si>
  <si>
    <t xml:space="preserve">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</si>
  <si>
    <t xml:space="preserve">https://eur-lex.europa.eu/legal-content/EN/TXT/?uri=CELEX:32016L0680R(01)</t>
  </si>
  <si>
    <t xml:space="preserve">32016L0680R(02)</t>
  </si>
  <si>
    <t xml:space="preserve">2019-08-20</t>
  </si>
  <si>
    <t xml:space="preserve">https://eur-lex.europa.eu/legal-content/EN/TXT/?uri=CELEX:32016L0680R(02)</t>
  </si>
  <si>
    <t xml:space="preserve">32016L0680R(03)</t>
  </si>
  <si>
    <t xml:space="preserve">https://eur-lex.europa.eu/legal-content/EN/TXT/?uri=CELEX:32016L0680R(03)</t>
  </si>
  <si>
    <t xml:space="preserve">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</si>
  <si>
    <t xml:space="preserve">32024R1183</t>
  </si>
  <si>
    <t xml:space="preserve">Regulation (EU) 2024/1183 of the European Parliament and of the Council of 11 April 2024 amending Regulation (EU) No 910/2014 as regards establishing the European Digital Identity Framework</t>
  </si>
  <si>
    <t xml:space="preserve">https://eur-lex.europa.eu/legal-content/EN/TXT/?uri=CELEX:32024R1183</t>
  </si>
  <si>
    <t xml:space="preserve">32014R0910R(01)</t>
  </si>
  <si>
    <t xml:space="preserve">2014-11-12</t>
  </si>
  <si>
    <t xml:space="preserve">https://eur-lex.europa.eu/legal-content/EN/TXT/?uri=CELEX:32014R0910R(01)</t>
  </si>
  <si>
    <t xml:space="preserve">32014R0910R(02)</t>
  </si>
  <si>
    <t xml:space="preserve">2015-01-29</t>
  </si>
  <si>
    <t xml:space="preserve">https://eur-lex.europa.eu/legal-content/EN/TXT/?uri=CELEX:32014R0910R(02)</t>
  </si>
  <si>
    <t xml:space="preserve">32014R0910R(03)</t>
  </si>
  <si>
    <t xml:space="preserve">2015-02-20</t>
  </si>
  <si>
    <t xml:space="preserve">https://eur-lex.europa.eu/legal-content/EN/TXT/?uri=CELEX:32014R0910R(03)</t>
  </si>
  <si>
    <t xml:space="preserve">32014R0910R(04)</t>
  </si>
  <si>
    <t xml:space="preserve">2015-04-28</t>
  </si>
  <si>
    <t xml:space="preserve">https://eur-lex.europa.eu/legal-content/EN/TXT/?uri=CELEX:32014R0910R(04)</t>
  </si>
  <si>
    <t xml:space="preserve">32014R0910R(05)</t>
  </si>
  <si>
    <t xml:space="preserve">2016-06-14</t>
  </si>
  <si>
    <t xml:space="preserve">https://eur-lex.europa.eu/legal-content/EN/TXT/?uri=CELEX:32014R0910R(05)</t>
  </si>
  <si>
    <t xml:space="preserve">32014R0910R(06)</t>
  </si>
  <si>
    <t xml:space="preserve">2016-10-07</t>
  </si>
  <si>
    <t xml:space="preserve">https://eur-lex.europa.eu/legal-content/EN/TXT/?uri=CELEX:32014R0910R(06)</t>
  </si>
  <si>
    <t xml:space="preserve">32014R0910R(07)</t>
  </si>
  <si>
    <t xml:space="preserve">2016-11-01</t>
  </si>
  <si>
    <t xml:space="preserve">https://eur-lex.europa.eu/legal-content/EN/TXT/?uri=CELEX:32014R0910R(07)</t>
  </si>
  <si>
    <t xml:space="preserve">32014R0910R(08)</t>
  </si>
  <si>
    <t xml:space="preserve">2017-04-20</t>
  </si>
  <si>
    <t xml:space="preserve">https://eur-lex.europa.eu/legal-content/EN/TXT/?uri=CELEX:32014R0910R(08)</t>
  </si>
  <si>
    <t xml:space="preserve">32014R0910R(09)</t>
  </si>
  <si>
    <t xml:space="preserve">2018-04-30</t>
  </si>
  <si>
    <t xml:space="preserve">https://eur-lex.europa.eu/legal-content/EN/TXT/?uri=CELEX:32014R0910R(09)</t>
  </si>
  <si>
    <t xml:space="preserve">32014R0910R(10)</t>
  </si>
  <si>
    <t xml:space="preserve">2024-03-14</t>
  </si>
  <si>
    <t xml:space="preserve">https://eur-lex.europa.eu/legal-content/EN/TXT/?uri=CELEX:32014R0910R(10)</t>
  </si>
  <si>
    <t xml:space="preserve">32014R0910R(11)</t>
  </si>
  <si>
    <t xml:space="preserve">2025-08-04</t>
  </si>
  <si>
    <t xml:space="preserve">https://eur-lex.europa.eu/legal-content/EN/TXT/?uri=CELEX:32014R0910R(11)</t>
  </si>
  <si>
    <t xml:space="preserve">32014R0910R(12)</t>
  </si>
  <si>
    <t xml:space="preserve">2026-01-29</t>
  </si>
  <si>
    <t xml:space="preserve">https://eur-lex.europa.eu/legal-content/EN/TXT/?uri=CELEX:32014R0910R(12)</t>
  </si>
  <si>
    <t xml:space="preserve">32022L2556</t>
  </si>
  <si>
    <t xml:space="preserve">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</si>
  <si>
    <t xml:space="preserve">https://eur-lex.europa.eu/legal-content/EN/TXT/?uri=CELEX:32022L2556</t>
  </si>
  <si>
    <t xml:space="preserve">32024R0886</t>
  </si>
  <si>
    <t xml:space="preserve">Regulation (EU) 2024/886 of the European Parliament and of the Council of 13 March 2024 amending Regulations (EU) No 260/2012 and (EU) 2021/1230 and Directives 98/26/EC and (EU) 2015/2366 as regards instant credit transfers in euro (Text with EEA relevance)</t>
  </si>
  <si>
    <t xml:space="preserve">https://eur-lex.europa.eu/legal-content/EN/TXT/?uri=CELEX:32024R0886</t>
  </si>
  <si>
    <t xml:space="preserve">32015L2366R(01)</t>
  </si>
  <si>
    <t xml:space="preserve">2016-06-10</t>
  </si>
  <si>
    <t xml:space="preserve">https://eur-lex.europa.eu/legal-content/EN/TXT/?uri=CELEX:32015L2366R(01)</t>
  </si>
  <si>
    <t xml:space="preserve">32015L2366R(02)</t>
  </si>
  <si>
    <t xml:space="preserve">2016-06-28</t>
  </si>
  <si>
    <t xml:space="preserve">https://eur-lex.europa.eu/legal-content/EN/TXT/?uri=CELEX:32015L2366R(02)</t>
  </si>
  <si>
    <t xml:space="preserve">32015L2366R(03)</t>
  </si>
  <si>
    <t xml:space="preserve">2017-01-25</t>
  </si>
  <si>
    <t xml:space="preserve">https://eur-lex.europa.eu/legal-content/EN/TXT/?uri=CELEX:32015L2366R(03)</t>
  </si>
  <si>
    <t xml:space="preserve">32015L2366R(04)</t>
  </si>
  <si>
    <t xml:space="preserve">2018-01-10</t>
  </si>
  <si>
    <t xml:space="preserve">https://eur-lex.europa.eu/legal-content/EN/TXT/?uri=CELEX:32015L2366R(04)</t>
  </si>
  <si>
    <t xml:space="preserve">32015L2366R(05)</t>
  </si>
  <si>
    <t xml:space="preserve">2018-04-23</t>
  </si>
  <si>
    <t xml:space="preserve">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</si>
  <si>
    <t xml:space="preserve">https://eur-lex.europa.eu/legal-content/EN/TXT/?uri=CELEX:32015L2366R(05)</t>
  </si>
  <si>
    <t xml:space="preserve">32015L2366R(06)</t>
  </si>
  <si>
    <t xml:space="preserve">https://eur-lex.europa.eu/legal-content/EN/TXT/?uri=CELEX:32015L2366R(06)</t>
  </si>
  <si>
    <t xml:space="preserve">32015L2366R(07)</t>
  </si>
  <si>
    <t xml:space="preserve">2020-06-16</t>
  </si>
  <si>
    <t xml:space="preserve">https://eur-lex.europa.eu/legal-content/EN/TXT/?uri=CELEX:32015L2366R(07)</t>
  </si>
  <si>
    <t xml:space="preserve">32015L2366R(08)</t>
  </si>
  <si>
    <t xml:space="preserve">2026-06-18</t>
  </si>
  <si>
    <t xml:space="preserve">https://eur-lex.europa.eu/legal-content/EN/TXT/?uri=CELEX:32015L2366R(08)</t>
  </si>
  <si>
    <t xml:space="preserve">32018R1971</t>
  </si>
  <si>
    <t xml:space="preserve">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</si>
  <si>
    <t xml:space="preserve">https://eur-lex.europa.eu/legal-content/EN/TXT/?uri=CELEX:32018R1971</t>
  </si>
  <si>
    <t xml:space="preserve">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</si>
  <si>
    <t xml:space="preserve">32015R2120R(01)</t>
  </si>
  <si>
    <t xml:space="preserve">2016-02-03</t>
  </si>
  <si>
    <t xml:space="preserve">https://eur-lex.europa.eu/legal-content/EN/TXT/?uri=CELEX:32015R2120R(01)</t>
  </si>
  <si>
    <t xml:space="preserve">32015R2120R(02)</t>
  </si>
  <si>
    <t xml:space="preserve">https://eur-lex.europa.eu/legal-content/EN/TXT/?uri=CELEX:32015R2120R(02)</t>
  </si>
  <si>
    <t xml:space="preserve">32015R2120R(03)</t>
  </si>
  <si>
    <t xml:space="preserve">https://eur-lex.europa.eu/legal-content/EN/TXT/?uri=CELEX:32015R2120R(03)</t>
  </si>
  <si>
    <t xml:space="preserve">32014R0316R(01)</t>
  </si>
  <si>
    <t xml:space="preserve">2014-11-14</t>
  </si>
  <si>
    <t xml:space="preserve">https://eur-lex.europa.eu/legal-content/EN/TXT/?uri=CELEX:32014R0316R(01)</t>
  </si>
  <si>
    <t xml:space="preserve">32014R0316R(02)</t>
  </si>
  <si>
    <t xml:space="preserve">2015-08-21</t>
  </si>
  <si>
    <t xml:space="preserve">https://eur-lex.europa.eu/legal-content/EN/TXT/?uri=CELEX:32014R0316R(02)</t>
  </si>
  <si>
    <t xml:space="preserve">32016L0943R(01)</t>
  </si>
  <si>
    <t xml:space="preserve">https://eur-lex.europa.eu/legal-content/EN/TXT/?uri=CELEX:32016L0943R(01)</t>
  </si>
  <si>
    <t xml:space="preserve">32019L0770R(01)</t>
  </si>
  <si>
    <t xml:space="preserve">https://eur-lex.europa.eu/legal-content/EN/TXT/?uri=CELEX:32019L0770R(01)</t>
  </si>
  <si>
    <t xml:space="preserve">32019L0770R(02)</t>
  </si>
  <si>
    <t xml:space="preserve">2020-03-16</t>
  </si>
  <si>
    <t xml:space="preserve">https://eur-lex.europa.eu/legal-content/EN/TXT/?uri=CELEX:32019L0770R(02)</t>
  </si>
  <si>
    <t xml:space="preserve">32019L0770R(03)</t>
  </si>
  <si>
    <t xml:space="preserve">2022-05-05</t>
  </si>
  <si>
    <t xml:space="preserve">https://eur-lex.europa.eu/legal-content/EN/TXT/?uri=CELEX:32019L0770R(03)</t>
  </si>
  <si>
    <t xml:space="preserve">32019L0770R(04)</t>
  </si>
  <si>
    <t xml:space="preserve">2026-05-27</t>
  </si>
  <si>
    <t xml:space="preserve">https://eur-lex.europa.eu/legal-content/EN/TXT/?uri=CELEX:32019L0770R(04)</t>
  </si>
  <si>
    <t xml:space="preserve">Directive (EU) 2024/1799 of the European Parliament and of the Council of 13 June 2024 on common rules promoting the repair of goods and amending Regulation (EU) 2017/2394 and Directives (EU) 2019/771 and (EU) 2020/1828 (Text with EEA relevance)</t>
  </si>
  <si>
    <t xml:space="preserve">32019L0771R(01)</t>
  </si>
  <si>
    <t xml:space="preserve">https://eur-lex.europa.eu/legal-content/EN/TXT/?uri=CELEX:32019L0771R(01)</t>
  </si>
  <si>
    <t xml:space="preserve">32019L0771R(02)</t>
  </si>
  <si>
    <t xml:space="preserve">2020-03-20</t>
  </si>
  <si>
    <t xml:space="preserve">https://eur-lex.europa.eu/legal-content/EN/TXT/?uri=CELEX:32019L0771R(02)</t>
  </si>
  <si>
    <t xml:space="preserve">32019L0771R(03)</t>
  </si>
  <si>
    <t xml:space="preserve">https://eur-lex.europa.eu/legal-content/EN/TXT/?uri=CELEX:32019L0771R(03)</t>
  </si>
  <si>
    <t xml:space="preserve">32019L1023</t>
  </si>
  <si>
    <t xml:space="preserve">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</si>
  <si>
    <t xml:space="preserve">https://eur-lex.europa.eu/legal-content/EN/TXT/?uri=CELEX:32019L1023</t>
  </si>
  <si>
    <t xml:space="preserve">32019L1151</t>
  </si>
  <si>
    <t xml:space="preserve">Directive (EU) 2019/1151 of the European Parliament and of the Council of 20 June 2019 amending Directive (EU) 2017/1132 as regards the use of digital tools and processes in company law (Text with EEA relevance)</t>
  </si>
  <si>
    <t xml:space="preserve">https://eur-lex.europa.eu/legal-content/EN/TXT/?uri=CELEX:32019L1151</t>
  </si>
  <si>
    <t xml:space="preserve">32019L2121</t>
  </si>
  <si>
    <t xml:space="preserve">Directive (EU) 2019/2121 of the European Parliament and of the Council of 27 November 2019 amending Directive (EU) 2017/1132 as regards cross-border conversions, mergers and divisions (Text with EEA relevance)</t>
  </si>
  <si>
    <t xml:space="preserve">https://eur-lex.europa.eu/legal-content/EN/TXT/?uri=CELEX:32019L2121</t>
  </si>
  <si>
    <t xml:space="preserve">32021R0023</t>
  </si>
  <si>
    <t xml:space="preserve">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</si>
  <si>
    <t xml:space="preserve">https://eur-lex.europa.eu/legal-content/EN/TXT/?uri=CELEX:32021R0023</t>
  </si>
  <si>
    <t xml:space="preserve">32025L0001</t>
  </si>
  <si>
    <t xml:space="preserve">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</si>
  <si>
    <t xml:space="preserve">https://eur-lex.europa.eu/legal-content/EN/TXT/?uri=CELEX:32025L0001</t>
  </si>
  <si>
    <t xml:space="preserve">32025L0025</t>
  </si>
  <si>
    <t xml:space="preserve">Directive (EU) 2025/25 of the European Parliament and of the Council of 19 December 2024 amending Directives 2009/102/EC and (EU) 2017/1132 as regards further expanding and upgrading the use of digital tools and processes in company law (Text with EEA relevance)</t>
  </si>
  <si>
    <t xml:space="preserve">https://eur-lex.europa.eu/legal-content/EN/TXT/?uri=CELEX:32025L0025</t>
  </si>
  <si>
    <t xml:space="preserve">32017L1132R(01)</t>
  </si>
  <si>
    <t xml:space="preserve">2018-06-18</t>
  </si>
  <si>
    <t xml:space="preserve">https://eur-lex.europa.eu/legal-content/EN/TXT/?uri=CELEX:32017L1132R(01)</t>
  </si>
  <si>
    <t xml:space="preserve">32017L1132R(02)</t>
  </si>
  <si>
    <t xml:space="preserve">https://eur-lex.europa.eu/legal-content/EN/TXT/?uri=CELEX:32017L1132R(02)</t>
  </si>
  <si>
    <t xml:space="preserve">32017L1132R(03)</t>
  </si>
  <si>
    <t xml:space="preserve">2020-01-09</t>
  </si>
  <si>
    <t xml:space="preserve">https://eur-lex.europa.eu/legal-content/EN/TXT/?uri=CELEX:32017L1132R(03)</t>
  </si>
  <si>
    <t xml:space="preserve">32018R0302R(01)</t>
  </si>
  <si>
    <t xml:space="preserve">2018-03-08</t>
  </si>
  <si>
    <t xml:space="preserve">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</si>
  <si>
    <t xml:space="preserve">https://eur-lex.europa.eu/legal-content/EN/TXT/?uri=CELEX:32018R0302R(01)</t>
  </si>
  <si>
    <t xml:space="preserve">32018R0302R(02)</t>
  </si>
  <si>
    <t xml:space="preserve">2018-03-27</t>
  </si>
  <si>
    <t xml:space="preserve">https://eur-lex.europa.eu/legal-content/EN/TXT/?uri=CELEX:32018R0302R(02)</t>
  </si>
  <si>
    <t xml:space="preserve">32018R0302R(03)</t>
  </si>
  <si>
    <t xml:space="preserve">2019-01-07</t>
  </si>
  <si>
    <t xml:space="preserve">https://eur-lex.europa.eu/legal-content/EN/TXT/?uri=CELEX:32018R0302R(03)</t>
  </si>
  <si>
    <t xml:space="preserve">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</si>
  <si>
    <t xml:space="preserve">Directive (EU) 2019/771 of the European Parliament and of the Council of 20 May 2019 on certain aspects concerning contracts for the sale of goods, amending Regulation (EU) 2017/2394 and Directive 2009/22/EC, and repealing Directive 1999/44/EC (Text with EEA relevance.)</t>
  </si>
  <si>
    <t xml:space="preserve">Directive (EU) 2019/770 of the European Parliament and of the Council of 20 May 2019 on certain aspects concerning contracts for the supply of digital content and digital services (Text with EEA relevance.)</t>
  </si>
  <si>
    <t xml:space="preserve">Regulation (EU) 2023/2854 of the European Parliament and of the Council of 13 December 2023 on harmonised rules on fair access to and use of data and amending Regulation (EU) 2017/2394 and Directive (EU) 2020/1828 (Data Act) (Text with EEA relevance)</t>
  </si>
  <si>
    <t xml:space="preserve">32024R3228</t>
  </si>
  <si>
    <t xml:space="preserve">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</si>
  <si>
    <t xml:space="preserve">https://eur-lex.europa.eu/legal-content/EN/TXT/?uri=CELEX:32024R3228</t>
  </si>
  <si>
    <t xml:space="preserve">32018L1972R(01)</t>
  </si>
  <si>
    <t xml:space="preserve">2019-12-27</t>
  </si>
  <si>
    <t xml:space="preserve">Corrigendum to Directive (EU) 2018/1972 of the European Parliament and of the Council of 11 December 2018 establishing the European Electronic Communications Code (OJ L 321, 17.12.2018)</t>
  </si>
  <si>
    <t xml:space="preserve">https://eur-lex.europa.eu/legal-content/EN/TXT/?uri=CELEX:32018L1972R(01)</t>
  </si>
  <si>
    <t xml:space="preserve">32018L1972R(02)</t>
  </si>
  <si>
    <t xml:space="preserve">https://eur-lex.europa.eu/legal-content/EN/TXT/?uri=CELEX:32018L1972R(02)</t>
  </si>
  <si>
    <t xml:space="preserve">32018L1972R(03)</t>
  </si>
  <si>
    <t xml:space="preserve">2020-06-19</t>
  </si>
  <si>
    <t xml:space="preserve">https://eur-lex.europa.eu/legal-content/EN/TXT/?uri=CELEX:32018L1972R(03)</t>
  </si>
  <si>
    <t xml:space="preserve">32018L1972R(04)</t>
  </si>
  <si>
    <t xml:space="preserve">2020-08-14</t>
  </si>
  <si>
    <t xml:space="preserve">https://eur-lex.europa.eu/legal-content/EN/TXT/?uri=CELEX:32018L1972R(04)</t>
  </si>
  <si>
    <t xml:space="preserve">32018L1972R(05)</t>
  </si>
  <si>
    <t xml:space="preserve">Corrigendum to Directive (EU) 2018/1972 of the European Parliament and of the Council of 11 December 2018 establishing the European Electronic Communications Code (Official Journal of the European Union L 321 of 17 December 2018)</t>
  </si>
  <si>
    <t xml:space="preserve">https://eur-lex.europa.eu/legal-content/EN/TXT/?uri=CELEX:32018L1972R(05)</t>
  </si>
  <si>
    <t xml:space="preserve">32018L1972R(06)</t>
  </si>
  <si>
    <t xml:space="preserve">2025-03-17</t>
  </si>
  <si>
    <t xml:space="preserve">https://eur-lex.europa.eu/legal-content/EN/TXT/?uri=CELEX:32018L1972R(06)</t>
  </si>
  <si>
    <t xml:space="preserve">32018L1972R(07)</t>
  </si>
  <si>
    <t xml:space="preserve">2026-03-02</t>
  </si>
  <si>
    <t xml:space="preserve">https://eur-lex.europa.eu/legal-content/EN/TXT/?uri=CELEX:32018L1972R(07)</t>
  </si>
  <si>
    <t xml:space="preserve">32019L0790R(01)</t>
  </si>
  <si>
    <t xml:space="preserve">https://eur-lex.europa.eu/legal-content/EN/TXT/?uri=CELEX:32019L0790R(01)</t>
  </si>
  <si>
    <t xml:space="preserve">32019L0790R(02)</t>
  </si>
  <si>
    <t xml:space="preserve">2019-10-10</t>
  </si>
  <si>
    <t xml:space="preserve">https://eur-lex.europa.eu/legal-content/EN/TXT/?uri=CELEX:32019L0790R(02)</t>
  </si>
  <si>
    <t xml:space="preserve">32019L0790R(03)</t>
  </si>
  <si>
    <t xml:space="preserve">https://eur-lex.europa.eu/legal-content/EN/TXT/?uri=CELEX:32019L0790R(03)</t>
  </si>
  <si>
    <t xml:space="preserve">32019L0789R(01)</t>
  </si>
  <si>
    <t xml:space="preserve">2019-11-15</t>
  </si>
  <si>
    <t xml:space="preserve">https://eur-lex.europa.eu/legal-content/EN/TXT/?uri=CELEX:32019L0789R(01)</t>
  </si>
  <si>
    <t xml:space="preserve">32018R1725R(01)</t>
  </si>
  <si>
    <t xml:space="preserve">2019-11-11</t>
  </si>
  <si>
    <t xml:space="preserve">https://eur-lex.europa.eu/legal-content/EN/TXT/?uri=CELEX:32018R1725R(01)</t>
  </si>
  <si>
    <t xml:space="preserve">32018R1725R(02)</t>
  </si>
  <si>
    <t xml:space="preserve">2024-12-09</t>
  </si>
  <si>
    <t xml:space="preserve">https://eur-lex.europa.eu/legal-content/EN/TXT/?uri=CELEX:32018R1725R(02)</t>
  </si>
  <si>
    <t xml:space="preserve">32018R1725R(03)</t>
  </si>
  <si>
    <t xml:space="preserve">2026-04-28</t>
  </si>
  <si>
    <t xml:space="preserve">https://eur-lex.europa.eu/legal-content/EN/TXT/?uri=CELEX:32018R1725R(03)</t>
  </si>
  <si>
    <t xml:space="preserve">Regulation (EU) 2022/868 of the European Parliament and of the Council of 30 May 2022 on European data governance and amending Regulation (EU) 2018/1724 (Data Governance Act) (Text with EEA relevance)</t>
  </si>
  <si>
    <t xml:space="preserve">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</si>
  <si>
    <t xml:space="preserve">Regulation (EU) 2024/1028 of the European Parliament and of the Council of 11 April 2024 on data collection and sharing relating to short-term accommodation rental services and amending Regulation (EU) 2018/1724 (Text with EEA relevance)</t>
  </si>
  <si>
    <t xml:space="preserve">Regulation (EU) 2024/1735 of the European Parliament and of the Council of 13 June 2024 on establishing a framework of measures for strengthening Europe’s net-zero technology manufacturing ecosystem and amending Regulation (EU) 2018/1724 (Text with EEA relevance)</t>
  </si>
  <si>
    <t xml:space="preserve">32025L2205</t>
  </si>
  <si>
    <t xml:space="preserve">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</si>
  <si>
    <t xml:space="preserve">https://eur-lex.europa.eu/legal-content/EN/TXT/?uri=CELEX:32025L2205</t>
  </si>
  <si>
    <t xml:space="preserve">32018R1724R(01)</t>
  </si>
  <si>
    <t xml:space="preserve">2019-02-22</t>
  </si>
  <si>
    <t xml:space="preserve">https://eur-lex.europa.eu/legal-content/EN/TXT/?uri=CELEX:32018R1724R(01)</t>
  </si>
  <si>
    <t xml:space="preserve">32018R1724R(02)</t>
  </si>
  <si>
    <t xml:space="preserve">https://eur-lex.europa.eu/legal-content/EN/TXT/?uri=CELEX:32018R1724R(02)</t>
  </si>
  <si>
    <t xml:space="preserve">32025R0037</t>
  </si>
  <si>
    <t xml:space="preserve">Regulation (EU) 2025/37 of the European Parliament and of the Council of 19 December 2024 amending Regulation (EU) 2019/881 as regards managed security services (Text with EEA relevance)</t>
  </si>
  <si>
    <t xml:space="preserve">https://eur-lex.europa.eu/legal-content/EN/TXT/?uri=CELEX:32025R0037</t>
  </si>
  <si>
    <t xml:space="preserve">32019R0881R(01)</t>
  </si>
  <si>
    <t xml:space="preserve">2019-07-04</t>
  </si>
  <si>
    <t xml:space="preserve">https://eur-lex.europa.eu/legal-content/EN/TXT/?uri=CELEX:32019R0881R(01)</t>
  </si>
  <si>
    <t xml:space="preserve">32019R0881R(02)</t>
  </si>
  <si>
    <t xml:space="preserve">2021-04-15</t>
  </si>
  <si>
    <t xml:space="preserve">https://eur-lex.europa.eu/legal-content/EN/TXT/?uri=CELEX:32019R0881R(02)</t>
  </si>
  <si>
    <t xml:space="preserve">32019R0881R(03)</t>
  </si>
  <si>
    <t xml:space="preserve">2024-01-12</t>
  </si>
  <si>
    <t xml:space="preserve">https://eur-lex.europa.eu/legal-content/EN/TXT/?uri=CELEX:32019R0881R(03)</t>
  </si>
  <si>
    <t xml:space="preserve">32019R0881R(04)</t>
  </si>
  <si>
    <t xml:space="preserve">https://eur-lex.europa.eu/legal-content/EN/TXT/?uri=CELEX:32019R0881R(04)</t>
  </si>
  <si>
    <t xml:space="preserve">32019R0881R(05)</t>
  </si>
  <si>
    <t xml:space="preserve">2024-12-03</t>
  </si>
  <si>
    <t xml:space="preserve">https://eur-lex.europa.eu/legal-content/EN/TXT/?uri=CELEX:32019R0881R(05)</t>
  </si>
  <si>
    <t xml:space="preserve">32019R0881R(06)</t>
  </si>
  <si>
    <t xml:space="preserve">2024-12-06</t>
  </si>
  <si>
    <t xml:space="preserve">https://eur-lex.europa.eu/legal-content/EN/TXT/?uri=CELEX:32019R0881R(06)</t>
  </si>
  <si>
    <t xml:space="preserve">32019R0881R(07)</t>
  </si>
  <si>
    <t xml:space="preserve">2026-03-11</t>
  </si>
  <si>
    <t xml:space="preserve">https://eur-lex.europa.eu/legal-content/EN/TXT/?uri=CELEX:32019R0881R(07)</t>
  </si>
  <si>
    <t xml:space="preserve">32019R0452R(01)</t>
  </si>
  <si>
    <t xml:space="preserve">https://eur-lex.europa.eu/legal-content/EN/TXT/?uri=CELEX:32019R0452R(01)</t>
  </si>
  <si>
    <t xml:space="preserve">32023R1542</t>
  </si>
  <si>
    <t xml:space="preserve">Regulation (EU) 2023/1542 of the European Parliament and of the Council of 12 July 2023 concerning batteries and waste batteries, amending Directive 2008/98/EC and Regulation (EU) 2019/1020 and repealing Directive 2006/66/EC (Text with EEA relevance)</t>
  </si>
  <si>
    <t xml:space="preserve">https://eur-lex.europa.eu/legal-content/EN/TXT/?uri=CELEX:32023R1542</t>
  </si>
  <si>
    <t xml:space="preserve">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</si>
  <si>
    <t xml:space="preserve">32025R0014</t>
  </si>
  <si>
    <t xml:space="preserve">Regulation (EU) 2025/14 of the European Parliament and of the Council of 19 December 2024 on the approval and market surveillance of non-road mobile machinery circulating on public roads and amending Regulation (EU) 2019/1020 (Text with EEA relevance)</t>
  </si>
  <si>
    <t xml:space="preserve">https://eur-lex.europa.eu/legal-content/EN/TXT/?uri=CELEX:32025R0014</t>
  </si>
  <si>
    <t xml:space="preserve">32025R0040</t>
  </si>
  <si>
    <t xml:space="preserve">Regulation (EU) 2025/40 of the European Parliament and of the Council of 19 December 2024 on packaging and packaging waste, amending Regulation (EU) 2019/1020 and Directive (EU) 2019/904, and repealing Directive 94/62/EC (Text with EEA relevance)</t>
  </si>
  <si>
    <t xml:space="preserve">https://eur-lex.europa.eu/legal-content/EN/TXT/?uri=CELEX:32025R0040</t>
  </si>
  <si>
    <t xml:space="preserve">32026R1738</t>
  </si>
  <si>
    <t xml:space="preserve">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</si>
  <si>
    <t xml:space="preserve">https://eur-lex.europa.eu/legal-content/EN/TXT/?uri=CELEX:32026R1738</t>
  </si>
  <si>
    <t xml:space="preserve">32019R1020R(01)</t>
  </si>
  <si>
    <t xml:space="preserve">2020-02-10</t>
  </si>
  <si>
    <t xml:space="preserve">https://eur-lex.europa.eu/legal-content/EN/TXT/?uri=CELEX:32019R1020R(01)</t>
  </si>
  <si>
    <t xml:space="preserve">32019R1020R(02)</t>
  </si>
  <si>
    <t xml:space="preserve">2020-03-05</t>
  </si>
  <si>
    <t xml:space="preserve">https://eur-lex.europa.eu/legal-content/EN/TXT/?uri=CELEX:32019R1020R(02)</t>
  </si>
  <si>
    <t xml:space="preserve">32019R1020R(03)</t>
  </si>
  <si>
    <t xml:space="preserve">2020-07-10</t>
  </si>
  <si>
    <t xml:space="preserve">https://eur-lex.europa.eu/legal-content/EN/TXT/?uri=CELEX:32019R1020R(03)</t>
  </si>
  <si>
    <t xml:space="preserve">32019R1020R(04)</t>
  </si>
  <si>
    <t xml:space="preserve">2020-10-08</t>
  </si>
  <si>
    <t xml:space="preserve">https://eur-lex.europa.eu/legal-content/EN/TXT/?uri=CELEX:32019R1020R(04)</t>
  </si>
  <si>
    <t xml:space="preserve">32019R1020R(05)</t>
  </si>
  <si>
    <t xml:space="preserve">https://eur-lex.europa.eu/legal-content/EN/TXT/?uri=CELEX:32019R1020R(05)</t>
  </si>
  <si>
    <t xml:space="preserve">32019R1020R(06)</t>
  </si>
  <si>
    <t xml:space="preserve">https://eur-lex.europa.eu/legal-content/EN/TXT/?uri=CELEX:32019R1020R(06)</t>
  </si>
  <si>
    <t xml:space="preserve">32019R1020R(07)</t>
  </si>
  <si>
    <t xml:space="preserve">https://eur-lex.europa.eu/legal-content/EN/TXT/?uri=CELEX:32019R1020R(07)</t>
  </si>
  <si>
    <t xml:space="preserve">32019R1020R(08)</t>
  </si>
  <si>
    <t xml:space="preserve">https://eur-lex.europa.eu/legal-content/EN/TXT/?uri=CELEX:32019R1020R(08)</t>
  </si>
  <si>
    <t xml:space="preserve">32019R1020R(09)</t>
  </si>
  <si>
    <t xml:space="preserve">2022-11-17</t>
  </si>
  <si>
    <t xml:space="preserve">https://eur-lex.europa.eu/legal-content/EN/TXT/?uri=CELEX:32019R1020R(09)</t>
  </si>
  <si>
    <t xml:space="preserve">32019R1020R(10)</t>
  </si>
  <si>
    <t xml:space="preserve">https://eur-lex.europa.eu/legal-content/EN/TXT/?uri=CELEX:32019R1020R(10)</t>
  </si>
  <si>
    <t xml:space="preserve">32019R1020R(11)</t>
  </si>
  <si>
    <t xml:space="preserve">2025-01-27</t>
  </si>
  <si>
    <t xml:space="preserve">https://eur-lex.europa.eu/legal-content/EN/TXT/?uri=CELEX:32019R1020R(11)</t>
  </si>
  <si>
    <t xml:space="preserve">32019R1020R(12)</t>
  </si>
  <si>
    <t xml:space="preserve">https://eur-lex.europa.eu/legal-content/EN/TXT/?uri=CELEX:32019R1020R(12)</t>
  </si>
  <si>
    <t xml:space="preserve">32023R1543R(01)</t>
  </si>
  <si>
    <t xml:space="preserve">2025-02-06</t>
  </si>
  <si>
    <t xml:space="preserve">https://eur-lex.europa.eu/legal-content/EN/TXT/?uri=CELEX:32023R1543R(01)</t>
  </si>
  <si>
    <t xml:space="preserve">32023R1543R(02)</t>
  </si>
  <si>
    <t xml:space="preserve">2026-07-13</t>
  </si>
  <si>
    <t xml:space="preserve">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</si>
  <si>
    <t xml:space="preserve">https://eur-lex.europa.eu/legal-content/EN/TXT/?uri=CELEX:32023R1543R(02)</t>
  </si>
  <si>
    <t xml:space="preserve">32019R1150R(01)</t>
  </si>
  <si>
    <t xml:space="preserve">2020-06-26</t>
  </si>
  <si>
    <t xml:space="preserve">https://eur-lex.europa.eu/legal-content/EN/TXT/?uri=CELEX:32019R1150R(01)</t>
  </si>
  <si>
    <t xml:space="preserve">32019R1150R(02)</t>
  </si>
  <si>
    <t xml:space="preserve">https://eur-lex.europa.eu/legal-content/EN/TXT/?uri=CELEX:32019R1150R(02)</t>
  </si>
  <si>
    <t xml:space="preserve">Regulation (EU) 2023/1781 of the European Parliament and of the Council of 13 September 2023 establishing a framework of measures for strengthening Europe’s semiconductor ecosystem and amending Regulation (EU) 2021/694 (Chips Act) (Text with EEA relevance)</t>
  </si>
  <si>
    <t xml:space="preserve">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</si>
  <si>
    <t xml:space="preserve">32025R2653</t>
  </si>
  <si>
    <t xml:space="preserve">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</si>
  <si>
    <t xml:space="preserve">https://eur-lex.europa.eu/legal-content/EN/TXT/?uri=CELEX:32025R2653</t>
  </si>
  <si>
    <t xml:space="preserve">32021R0694R(01)</t>
  </si>
  <si>
    <t xml:space="preserve">2022-06-16</t>
  </si>
  <si>
    <t xml:space="preserve">https://eur-lex.europa.eu/legal-content/EN/TXT/?uri=CELEX:32021R0694R(01)</t>
  </si>
  <si>
    <t xml:space="preserve">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</si>
  <si>
    <t xml:space="preserve">32025R2088</t>
  </si>
  <si>
    <t xml:space="preserve">2025-10-08</t>
  </si>
  <si>
    <t xml:space="preserve">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</si>
  <si>
    <t xml:space="preserve">https://eur-lex.europa.eu/legal-content/EN/TXT/?uri=CELEX:32025R2088</t>
  </si>
  <si>
    <t xml:space="preserve">32025R2005</t>
  </si>
  <si>
    <t xml:space="preserve">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</si>
  <si>
    <t xml:space="preserve">https://eur-lex.europa.eu/legal-content/EN/TXT/?uri=CELEX:32025R2005</t>
  </si>
  <si>
    <t xml:space="preserve">32021R0523R(01)</t>
  </si>
  <si>
    <t xml:space="preserve">2021-11-04</t>
  </si>
  <si>
    <t xml:space="preserve">https://eur-lex.europa.eu/legal-content/EN/TXT/?uri=CELEX:32021R0523R(01)</t>
  </si>
  <si>
    <t xml:space="preserve">32021R0523R(02)</t>
  </si>
  <si>
    <t xml:space="preserve">2022-09-29</t>
  </si>
  <si>
    <t xml:space="preserve">https://eur-lex.europa.eu/legal-content/EN/TXT/?uri=CELEX:32021R0523R(02)</t>
  </si>
  <si>
    <t xml:space="preserve">32024R1679</t>
  </si>
  <si>
    <t xml:space="preserve">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</si>
  <si>
    <t xml:space="preserve">https://eur-lex.europa.eu/legal-content/EN/TXT/?uri=CELEX:32024R1679</t>
  </si>
  <si>
    <t xml:space="preserve">32021R1153R(01)</t>
  </si>
  <si>
    <t xml:space="preserve">https://eur-lex.europa.eu/legal-content/EN/TXT/?uri=CELEX:32021R1153R(01)</t>
  </si>
  <si>
    <t xml:space="preserve">32021R1153R(02)</t>
  </si>
  <si>
    <t xml:space="preserve">https://eur-lex.europa.eu/legal-content/EN/TXT/?uri=CELEX:32021R1153R(02)</t>
  </si>
  <si>
    <t xml:space="preserve">32021R0695R(01)</t>
  </si>
  <si>
    <t xml:space="preserve">https://eur-lex.europa.eu/legal-content/EN/TXT/?uri=CELEX:32021R0695R(01)</t>
  </si>
  <si>
    <t xml:space="preserve">32021R0695R(02)</t>
  </si>
  <si>
    <t xml:space="preserve">2021-09-23</t>
  </si>
  <si>
    <t xml:space="preserve">https://eur-lex.europa.eu/legal-content/EN/TXT/?uri=CELEX:32021R0695R(02)</t>
  </si>
  <si>
    <t xml:space="preserve">32021R0695R(03)</t>
  </si>
  <si>
    <t xml:space="preserve">2021-11-18</t>
  </si>
  <si>
    <t xml:space="preserve">https://eur-lex.europa.eu/legal-content/EN/TXT/?uri=CELEX:32021R0695R(03)</t>
  </si>
  <si>
    <t xml:space="preserve">32021R0695R(04)</t>
  </si>
  <si>
    <t xml:space="preserve">https://eur-lex.europa.eu/legal-content/EN/TXT/?uri=CELEX:32021R0695R(04)</t>
  </si>
  <si>
    <t xml:space="preserve">32021R0695R(05)</t>
  </si>
  <si>
    <t xml:space="preserve">2022-11-24</t>
  </si>
  <si>
    <t xml:space="preserve">https://eur-lex.europa.eu/legal-content/EN/TXT/?uri=CELEX:32021R0695R(05)</t>
  </si>
  <si>
    <t xml:space="preserve">32021R0690R(01)</t>
  </si>
  <si>
    <t xml:space="preserve">https://eur-lex.europa.eu/legal-content/EN/TXT/?uri=CELEX:32021R0690R(01)</t>
  </si>
  <si>
    <t xml:space="preserve">32021R0690R(02)</t>
  </si>
  <si>
    <t xml:space="preserve">https://eur-lex.europa.eu/legal-content/EN/TXT/?uri=CELEX:32021R0690R(02)</t>
  </si>
  <si>
    <t xml:space="preserve">32021R0690R(03)</t>
  </si>
  <si>
    <t xml:space="preserve">https://eur-lex.europa.eu/legal-content/EN/TXT/?uri=CELEX:32021R0690R(03)</t>
  </si>
  <si>
    <t xml:space="preserve">32021R0784R(01)</t>
  </si>
  <si>
    <t xml:space="preserve">2022-10-13</t>
  </si>
  <si>
    <t xml:space="preserve">https://eur-lex.europa.eu/legal-content/EN/TXT/?uri=CELEX:32021R0784R(01)</t>
  </si>
  <si>
    <t xml:space="preserve">32021R0784R(02)</t>
  </si>
  <si>
    <t xml:space="preserve">2022-12-22</t>
  </si>
  <si>
    <t xml:space="preserve">https://eur-lex.europa.eu/legal-content/EN/TXT/?uri=CELEX:32021R0784R(02)</t>
  </si>
  <si>
    <t xml:space="preserve">32021R0784R(03)</t>
  </si>
  <si>
    <t xml:space="preserve">https://eur-lex.europa.eu/legal-content/EN/TXT/?uri=CELEX:32021R0784R(03)</t>
  </si>
  <si>
    <t xml:space="preserve">32023R0435</t>
  </si>
  <si>
    <t xml:space="preserve">Regulation (EU) 2023/435 of the European Parliament and of the Council of 27 February 2023 amending Regulation (EU) 2021/241 as regards REPowerEU chapters in recovery and resilience plans and amending Regulations (EU) No 1303/2013, (EU) 2021/1060 and (EU) 2021/1755, and Directive 2003/87/EC</t>
  </si>
  <si>
    <t xml:space="preserve">https://eur-lex.europa.eu/legal-content/EN/TXT/?uri=CELEX:32023R0435</t>
  </si>
  <si>
    <t xml:space="preserve">32021R0241R(01)</t>
  </si>
  <si>
    <t xml:space="preserve">https://eur-lex.europa.eu/legal-content/EN/TXT/?uri=CELEX:32021R0241R(01)</t>
  </si>
  <si>
    <t xml:space="preserve">32021R0241R(02)</t>
  </si>
  <si>
    <t xml:space="preserve">https://eur-lex.europa.eu/legal-content/EN/TXT/?uri=CELEX:32021R0241R(02)</t>
  </si>
  <si>
    <t xml:space="preserve">32021R0241R(03)</t>
  </si>
  <si>
    <t xml:space="preserve">https://eur-lex.europa.eu/legal-content/EN/TXT/?uri=CELEX:32021R0241R(03)</t>
  </si>
  <si>
    <t xml:space="preserve">32021R0241R(04)</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</si>
  <si>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</si>
  <si>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https://eur-lex.europa.eu/legal-content/EN/TXT/?uri=CELEX:32021R0241R(04)</t>
  </si>
  <si>
    <t xml:space="preserve">32021R0241R(05)</t>
  </si>
  <si>
    <t xml:space="preserve">2022-02-03</t>
  </si>
  <si>
    <t xml:space="preserve">https://eur-lex.europa.eu/legal-content/EN/TXT/?uri=CELEX:32021R0241R(05)</t>
  </si>
  <si>
    <t xml:space="preserve">32021R0241R(06)</t>
  </si>
  <si>
    <t xml:space="preserve">https://eur-lex.europa.eu/legal-content/EN/TXT/?uri=CELEX:32021R0241R(06)</t>
  </si>
  <si>
    <t xml:space="preserve">32021R0241R(07)</t>
  </si>
  <si>
    <t xml:space="preserve">https://eur-lex.europa.eu/legal-content/EN/TXT/?uri=CELEX:32021R0241R(07)</t>
  </si>
  <si>
    <t xml:space="preserve">32021R0241R(08)</t>
  </si>
  <si>
    <t xml:space="preserve">Corrigendum to Regulation (EU) 2021/241 of the European Parliament and of the Council of 12 February 2021 establishing the Recovery and Resilience Facility (Official Journal of the European Union L 57 of 18 February 2021)</t>
  </si>
  <si>
    <t xml:space="preserve">https://eur-lex.europa.eu/legal-content/EN/TXT/?uri=CELEX:32021R0241R(08)</t>
  </si>
  <si>
    <t xml:space="preserve">32021R0241R(09)</t>
  </si>
  <si>
    <t xml:space="preserve">https://eur-lex.europa.eu/legal-content/EN/TXT/?uri=CELEX:32021R0241R(09)</t>
  </si>
  <si>
    <t xml:space="preserve">32024R1307</t>
  </si>
  <si>
    <t xml:space="preserve">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</si>
  <si>
    <t xml:space="preserve">https://eur-lex.europa.eu/legal-content/EN/TXT/?uri=CELEX:32024R1307</t>
  </si>
  <si>
    <t xml:space="preserve">32024R1732</t>
  </si>
  <si>
    <t xml:space="preserve">Council Regulation (EU) 2024/1732 of 17 June 2024 amending Regulation (EU) 2021/1173 as regards a EuroHPC initiative for start-ups in order to boost European leadership in trustworthy artificial intelligence</t>
  </si>
  <si>
    <t xml:space="preserve">https://eur-lex.europa.eu/legal-content/EN/TXT/?uri=CELEX:32024R1732</t>
  </si>
  <si>
    <t xml:space="preserve">32026R0150</t>
  </si>
  <si>
    <t xml:space="preserve">Council Regulation (EU) 2026/150 of 16 January 2026 amending Regulation (EU) 2021/1173 on establishing the European High Performance Computing Joint Undertaking</t>
  </si>
  <si>
    <t xml:space="preserve">https://eur-lex.europa.eu/legal-content/EN/TXT/?uri=CELEX:32026R0150</t>
  </si>
  <si>
    <t xml:space="preserve">32021R1173R(01)</t>
  </si>
  <si>
    <t xml:space="preserve">2023-05-04</t>
  </si>
  <si>
    <t xml:space="preserve">Corrigendum to Council Regulation (EU) 2021/1173 of 13 July 2021 on establishing the European High Performance Computing Joint Undertaking and repealing Regulation (EU) 2018/1488 (Official Journal of the European Union L 256 of 19 July 2021)</t>
  </si>
  <si>
    <t xml:space="preserve">https://eur-lex.europa.eu/legal-content/EN/TXT/?uri=CELEX:32021R1173R(01)</t>
  </si>
  <si>
    <t xml:space="preserve">32021R1173R(02)</t>
  </si>
  <si>
    <t xml:space="preserve">https://eur-lex.europa.eu/legal-content/EN/TXT/?uri=CELEX:32021R1173R(02)</t>
  </si>
  <si>
    <t xml:space="preserve">32022R0858R(01)</t>
  </si>
  <si>
    <t xml:space="preserve">2022-09-08</t>
  </si>
  <si>
    <t xml:space="preserve">https://eur-lex.europa.eu/legal-content/EN/TXT/?uri=CELEX:32022R0858R(01)</t>
  </si>
  <si>
    <t xml:space="preserve">32023R2869</t>
  </si>
  <si>
    <t xml:space="preserve">Regulation (EU) 2023/2869 of the European Parliament and of the Council of 13 December 2023 amending certain Regulations as regards the establishment and functioning of the European single access point (Text with EEA relevance)</t>
  </si>
  <si>
    <t xml:space="preserve">https://eur-lex.europa.eu/legal-content/EN/TXT/?uri=CELEX:32023R2869</t>
  </si>
  <si>
    <t xml:space="preserve">32023R1114R(01)</t>
  </si>
  <si>
    <t xml:space="preserve">2023-06-15</t>
  </si>
  <si>
    <t xml:space="preserve">https://eur-lex.europa.eu/legal-content/EN/TXT/?uri=CELEX:32023R1114R(01)</t>
  </si>
  <si>
    <t xml:space="preserve">32023R1114R(02)</t>
  </si>
  <si>
    <t xml:space="preserve">https://eur-lex.europa.eu/legal-content/EN/TXT/?uri=CELEX:32023R1114R(02)</t>
  </si>
  <si>
    <t xml:space="preserve">32023R1114R(03)</t>
  </si>
  <si>
    <t xml:space="preserve">2024-05-02</t>
  </si>
  <si>
    <t xml:space="preserve">Corrigendum to Regulation (EU) 2023/1114 of the European Parliament and of the Council of 31 May 2023 on markets in crypto-assets, and amending Regulations (EU) No 1093/2010 and (EU) No 1095/2010 and Directives 2013/36/EU and (EU) 2019/1937 (OJ L 150, 9.6.2023)</t>
  </si>
  <si>
    <t xml:space="preserve">https://eur-lex.europa.eu/legal-content/EN/TXT/?uri=CELEX:32023R1114R(03)</t>
  </si>
  <si>
    <t xml:space="preserve">32023R1114R(04)</t>
  </si>
  <si>
    <t xml:space="preserve">https://eur-lex.europa.eu/legal-content/EN/TXT/?uri=CELEX:32023R1114R(04)</t>
  </si>
  <si>
    <t xml:space="preserve">32023R1114R(05)</t>
  </si>
  <si>
    <t xml:space="preserve">https://eur-lex.europa.eu/legal-content/EN/TXT/?uri=CELEX:32023R1114R(05)</t>
  </si>
  <si>
    <t xml:space="preserve">32023R1114R(06)</t>
  </si>
  <si>
    <t xml:space="preserve">https://eur-lex.europa.eu/legal-content/EN/TXT/?uri=CELEX:32023R1114R(06)</t>
  </si>
  <si>
    <t xml:space="preserve">32022R2554R(01)</t>
  </si>
  <si>
    <t xml:space="preserve">https://eur-lex.europa.eu/legal-content/EN/TXT/?uri=CELEX:32022R2554R(01)</t>
  </si>
  <si>
    <t xml:space="preserve">32022R2554R(02)</t>
  </si>
  <si>
    <t xml:space="preserve">https://eur-lex.europa.eu/legal-content/EN/TXT/?uri=CELEX:32022R2554R(02)</t>
  </si>
  <si>
    <t xml:space="preserve">32022R2554R(03)</t>
  </si>
  <si>
    <t xml:space="preserve">2024-03-12</t>
  </si>
  <si>
    <t xml:space="preserve">https://eur-lex.europa.eu/legal-content/EN/TXT/?uri=CELEX:32022R2554R(03)</t>
  </si>
  <si>
    <t xml:space="preserve">32022R2554R(04)</t>
  </si>
  <si>
    <t xml:space="preserve">2024-10-25</t>
  </si>
  <si>
    <t xml:space="preserve">https://eur-lex.europa.eu/legal-content/EN/TXT/?uri=CELEX:32022R2554R(04)</t>
  </si>
  <si>
    <t xml:space="preserve">32022R2554R(05)</t>
  </si>
  <si>
    <t xml:space="preserve">https://eur-lex.europa.eu/legal-content/EN/TXT/?uri=CELEX:32022R2554R(05)</t>
  </si>
  <si>
    <t xml:space="preserve">32022R2554R(06)</t>
  </si>
  <si>
    <t xml:space="preserve">https://eur-lex.europa.eu/legal-content/EN/TXT/?uri=CELEX:32022R2554R(06)</t>
  </si>
  <si>
    <t xml:space="preserve">32022R2554R(07)</t>
  </si>
  <si>
    <t xml:space="preserve">2025-07-30</t>
  </si>
  <si>
    <t xml:space="preserve">https://eur-lex.europa.eu/legal-content/EN/TXT/?uri=CELEX:32022R2554R(07)</t>
  </si>
  <si>
    <t xml:space="preserve">32022R2554R(08)</t>
  </si>
  <si>
    <t xml:space="preserve">2025-10-01</t>
  </si>
  <si>
    <t xml:space="preserve">https://eur-lex.europa.eu/legal-content/EN/TXT/?uri=CELEX:32022R2554R(08)</t>
  </si>
  <si>
    <t xml:space="preserve">32022R2554R(09)</t>
  </si>
  <si>
    <t xml:space="preserve">https://eur-lex.europa.eu/legal-content/EN/TXT/?uri=CELEX:32022R2554R(09)</t>
  </si>
  <si>
    <t xml:space="preserve">32022R0868R(01)</t>
  </si>
  <si>
    <t xml:space="preserve">https://eur-lex.europa.eu/legal-content/EN/TXT/?uri=CELEX:32022R0868R(01)</t>
  </si>
  <si>
    <t xml:space="preserve">32022R0868R(02)</t>
  </si>
  <si>
    <t xml:space="preserve">https://eur-lex.europa.eu/legal-content/EN/TXT/?uri=CELEX:32022R0868R(02)</t>
  </si>
  <si>
    <t xml:space="preserve">32022R0868R(03)</t>
  </si>
  <si>
    <t xml:space="preserve">2023-11-09</t>
  </si>
  <si>
    <t xml:space="preserve">https://eur-lex.europa.eu/legal-content/EN/TXT/?uri=CELEX:32022R0868R(03)</t>
  </si>
  <si>
    <t xml:space="preserve">32022R0868R(04)</t>
  </si>
  <si>
    <t xml:space="preserve">https://eur-lex.europa.eu/legal-content/EN/TXT/?uri=CELEX:32022R0868R(04)</t>
  </si>
  <si>
    <t xml:space="preserve">32022R0868R(05)</t>
  </si>
  <si>
    <t xml:space="preserve">https://eur-lex.europa.eu/legal-content/EN/TXT/?uri=CELEX:32022R0868R(05)</t>
  </si>
  <si>
    <t xml:space="preserve">32022R0868R(06)</t>
  </si>
  <si>
    <t xml:space="preserve">https://eur-lex.europa.eu/legal-content/EN/TXT/?uri=CELEX:32022R0868R(06)</t>
  </si>
  <si>
    <t xml:space="preserve">32022R1925R(01)</t>
  </si>
  <si>
    <t xml:space="preserve">https://eur-lex.europa.eu/legal-content/EN/TXT/?uri=CELEX:32022R1925R(01)</t>
  </si>
  <si>
    <t xml:space="preserve">32022R1925R(02)</t>
  </si>
  <si>
    <t xml:space="preserve">2025-01-10</t>
  </si>
  <si>
    <t xml:space="preserve">Corrigendum to Regulation (EU) 2022/1925 of the European Parliament and of the Council of 14 September 2022 on contestable and fair markets in the digital sector and amending Directives (EU) 2019/1937 and (EU) 2020/1828 (Digital Markets Act) (OJ L 265, 12.10.2022)</t>
  </si>
  <si>
    <t xml:space="preserve">https://eur-lex.europa.eu/legal-content/EN/TXT/?uri=CELEX:32022R1925R(02)</t>
  </si>
  <si>
    <t xml:space="preserve">32022R1925R(03)</t>
  </si>
  <si>
    <t xml:space="preserve">https://eur-lex.europa.eu/legal-content/EN/TXT/?uri=CELEX:32022R1925R(03)</t>
  </si>
  <si>
    <t xml:space="preserve">32022R2065R(01)</t>
  </si>
  <si>
    <t xml:space="preserve">2022-12-01</t>
  </si>
  <si>
    <t xml:space="preserve">https://eur-lex.europa.eu/legal-content/EN/TXT/?uri=CELEX:32022R2065R(01)</t>
  </si>
  <si>
    <t xml:space="preserve">32022R2065R(02)</t>
  </si>
  <si>
    <t xml:space="preserve">2023-01-05</t>
  </si>
  <si>
    <t xml:space="preserve">https://eur-lex.europa.eu/legal-content/EN/TXT/?uri=CELEX:32022R2065R(02)</t>
  </si>
  <si>
    <t xml:space="preserve">32022R2065R(03)</t>
  </si>
  <si>
    <t xml:space="preserve">https://eur-lex.europa.eu/legal-content/EN/TXT/?uri=CELEX:32022R2065R(03)</t>
  </si>
  <si>
    <t xml:space="preserve">32022R2065R(04)</t>
  </si>
  <si>
    <t xml:space="preserve">2023-11-07</t>
  </si>
  <si>
    <t xml:space="preserve">https://eur-lex.europa.eu/legal-content/EN/TXT/?uri=CELEX:32022R2065R(04)</t>
  </si>
  <si>
    <t xml:space="preserve">32022R2065R(05)</t>
  </si>
  <si>
    <t xml:space="preserve">2024-07-04</t>
  </si>
  <si>
    <t xml:space="preserve">https://eur-lex.europa.eu/legal-content/EN/TXT/?uri=CELEX:32022R2065R(05)</t>
  </si>
  <si>
    <t xml:space="preserve">32022R2065R(06)</t>
  </si>
  <si>
    <t xml:space="preserve">https://eur-lex.europa.eu/legal-content/EN/TXT/?uri=CELEX:32022R2065R(06)</t>
  </si>
  <si>
    <t xml:space="preserve">32022R2065R(07)</t>
  </si>
  <si>
    <t xml:space="preserve">2025-11-05</t>
  </si>
  <si>
    <t xml:space="preserve">https://eur-lex.europa.eu/legal-content/EN/TXT/?uri=CELEX:32022R2065R(07)</t>
  </si>
  <si>
    <t xml:space="preserve">32022R2065R(08)</t>
  </si>
  <si>
    <t xml:space="preserve">https://eur-lex.europa.eu/legal-content/EN/TXT/?uri=CELEX:32022R2065R(08)</t>
  </si>
  <si>
    <t xml:space="preserve">32022R2065R(09)</t>
  </si>
  <si>
    <t xml:space="preserve">2026-03-16</t>
  </si>
  <si>
    <t xml:space="preserve">https://eur-lex.europa.eu/legal-content/EN/TXT/?uri=CELEX:32022R2065R(09)</t>
  </si>
  <si>
    <t xml:space="preserve">32022R2065R(10)</t>
  </si>
  <si>
    <t xml:space="preserve">2026-05-12</t>
  </si>
  <si>
    <t xml:space="preserve">https://eur-lex.europa.eu/legal-content/EN/TXT/?uri=CELEX:32022R2065R(10)</t>
  </si>
  <si>
    <t xml:space="preserve">32022L2555R(01)</t>
  </si>
  <si>
    <t xml:space="preserve">https://eur-lex.europa.eu/legal-content/EN/TXT/?uri=CELEX:32022L2555R(01)</t>
  </si>
  <si>
    <t xml:space="preserve">32022L2555R(02)</t>
  </si>
  <si>
    <t xml:space="preserve">https://eur-lex.europa.eu/legal-content/EN/TXT/?uri=CELEX:32022L2555R(02)</t>
  </si>
  <si>
    <t xml:space="preserve">32022L2555R(03)</t>
  </si>
  <si>
    <t xml:space="preserve">https://eur-lex.europa.eu/legal-content/EN/TXT/?uri=CELEX:32022L2555R(03)</t>
  </si>
  <si>
    <t xml:space="preserve">32022L2555R(04)</t>
  </si>
  <si>
    <t xml:space="preserve">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</si>
  <si>
    <t xml:space="preserve">https://eur-lex.europa.eu/legal-content/EN/TXT/?uri=CELEX:32022L2555R(04)</t>
  </si>
  <si>
    <t xml:space="preserve">32022L2555R(05)</t>
  </si>
  <si>
    <t xml:space="preserve">2024-06-12</t>
  </si>
  <si>
    <t xml:space="preserve">https://eur-lex.europa.eu/legal-content/EN/TXT/?uri=CELEX:32022L2555R(05)</t>
  </si>
  <si>
    <t xml:space="preserve">32022L2555R(06)</t>
  </si>
  <si>
    <t xml:space="preserve">https://eur-lex.europa.eu/legal-content/EN/TXT/?uri=CELEX:32022L2555R(06)</t>
  </si>
  <si>
    <t xml:space="preserve">32022L2555R(07)</t>
  </si>
  <si>
    <t xml:space="preserve">2025-04-04</t>
  </si>
  <si>
    <t xml:space="preserve">https://eur-lex.europa.eu/legal-content/EN/TXT/?uri=CELEX:32022L2555R(07)</t>
  </si>
  <si>
    <t xml:space="preserve">32022L2555R(08)</t>
  </si>
  <si>
    <t xml:space="preserve">2025-07-24</t>
  </si>
  <si>
    <t xml:space="preserve">https://eur-lex.europa.eu/legal-content/EN/TXT/?uri=CELEX:32022L2555R(08)</t>
  </si>
  <si>
    <t xml:space="preserve">32022L2555R(09)</t>
  </si>
  <si>
    <t xml:space="preserve">2025-11-06</t>
  </si>
  <si>
    <t xml:space="preserve">https://eur-lex.europa.eu/legal-content/EN/TXT/?uri=CELEX:32022L2555R(09)</t>
  </si>
  <si>
    <t xml:space="preserve">32023R1782</t>
  </si>
  <si>
    <t xml:space="preserve">Council Regulation (EU) 2023/1782 of 25 July 2023 amending Regulation (EU) 2021/2085 establishing the Joint Undertakings under Horizon Europe, as regards the Chips Joint Undertaking (Text with EEA relevance)</t>
  </si>
  <si>
    <t xml:space="preserve">https://eur-lex.europa.eu/legal-content/EN/TXT/?uri=CELEX:32023R1782</t>
  </si>
  <si>
    <t xml:space="preserve">32021R2085R(01)</t>
  </si>
  <si>
    <t xml:space="preserve">2026-10-05</t>
  </si>
  <si>
    <t xml:space="preserve">https://eur-lex.europa.eu/legal-content/EN/TXT/?uri=CELEX:32021R2085R(01)</t>
  </si>
  <si>
    <t xml:space="preserve">32022R0612R(01)</t>
  </si>
  <si>
    <t xml:space="preserve">2022-07-14</t>
  </si>
  <si>
    <t xml:space="preserve">https://eur-lex.europa.eu/legal-content/EN/TXT/?uri=CELEX:32022R0612R(01)</t>
  </si>
  <si>
    <t xml:space="preserve">32022R0612R(02)</t>
  </si>
  <si>
    <t xml:space="preserve">https://eur-lex.europa.eu/legal-content/EN/TXT/?uri=CELEX:32022R0612R(02)</t>
  </si>
  <si>
    <t xml:space="preserve">32026R1744</t>
  </si>
  <si>
    <t xml:space="preserve">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</si>
  <si>
    <t xml:space="preserve">https://eur-lex.europa.eu/legal-content/EN/TXT/?uri=CELEX:32026R1744</t>
  </si>
  <si>
    <t xml:space="preserve">32024R1689R(01)</t>
  </si>
  <si>
    <t xml:space="preserve">https://eur-lex.europa.eu/legal-content/EN/TXT/?uri=CELEX:32024R1689R(01)</t>
  </si>
  <si>
    <t xml:space="preserve">32024R1689R(02)</t>
  </si>
  <si>
    <t xml:space="preserve">https://eur-lex.europa.eu/legal-content/EN/TXT/?uri=CELEX:32024R1689R(02)</t>
  </si>
  <si>
    <t xml:space="preserve">32024R1689R(03)</t>
  </si>
  <si>
    <t xml:space="preserve">2026-03-27</t>
  </si>
  <si>
    <t xml:space="preserve">https://eur-lex.europa.eu/legal-content/EN/TXT/?uri=CELEX:32024R1689R(03)</t>
  </si>
  <si>
    <t xml:space="preserve">32024R1689R(04)</t>
  </si>
  <si>
    <t xml:space="preserve">https://eur-lex.europa.eu/legal-content/EN/TXT/?uri=CELEX:32024R1689R(04)</t>
  </si>
  <si>
    <t xml:space="preserve">32024R2748</t>
  </si>
  <si>
    <t xml:space="preserve">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</si>
  <si>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https://eur-lex.europa.eu/legal-content/EN/TXT/?uri=CELEX:32024R2748</t>
  </si>
  <si>
    <t xml:space="preserve">32023R1230R(01)</t>
  </si>
  <si>
    <t xml:space="preserve">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</si>
  <si>
    <t xml:space="preserve">https://eur-lex.europa.eu/legal-content/EN/TXT/?uri=CELEX:32023R1230R(01)</t>
  </si>
  <si>
    <t xml:space="preserve">32023R1230R(02)</t>
  </si>
  <si>
    <t xml:space="preserve">https://eur-lex.europa.eu/legal-content/EN/TXT/?uri=CELEX:32023R1230R(02)</t>
  </si>
  <si>
    <t xml:space="preserve">32023R1230R(03)</t>
  </si>
  <si>
    <t xml:space="preserve">2025-04-01</t>
  </si>
  <si>
    <t xml:space="preserve">https://eur-lex.europa.eu/legal-content/EN/TXT/?uri=CELEX:32023R1230R(03)</t>
  </si>
  <si>
    <t xml:space="preserve">32022R2560R(01)</t>
  </si>
  <si>
    <t xml:space="preserve">2023-02-02</t>
  </si>
  <si>
    <t xml:space="preserve">https://eur-lex.europa.eu/legal-content/EN/TXT/?uri=CELEX:32022R2560R(01)</t>
  </si>
  <si>
    <t xml:space="preserve">32022R2560R(02)</t>
  </si>
  <si>
    <t xml:space="preserve">2024-09-17</t>
  </si>
  <si>
    <t xml:space="preserve">Corrigendum to Regulation (EU) 2022/2560 of the European Parliament and of the Council of 14 December 2022 on foreign subsidies distorting the internal market (OJ L 330, 23.12.2022)</t>
  </si>
  <si>
    <t xml:space="preserve">https://eur-lex.europa.eu/legal-content/EN/TXT/?uri=CELEX:32022R2560R(02)</t>
  </si>
  <si>
    <t xml:space="preserve">32023R0988R(01)</t>
  </si>
  <si>
    <t xml:space="preserve">2023-12-19</t>
  </si>
  <si>
    <t xml:space="preserve">https://eur-lex.europa.eu/legal-content/EN/TXT/?uri=CELEX:32023R0988R(01)</t>
  </si>
  <si>
    <t xml:space="preserve">32023R0988R(02)</t>
  </si>
  <si>
    <t xml:space="preserve">2025-01-21</t>
  </si>
  <si>
    <t xml:space="preserve">https://eur-lex.europa.eu/legal-content/EN/TXT/?uri=CELEX:32023R0988R(02)</t>
  </si>
  <si>
    <t xml:space="preserve">32023R0988R(03)</t>
  </si>
  <si>
    <t xml:space="preserve">2025-08-20</t>
  </si>
  <si>
    <t xml:space="preserve">https://eur-lex.europa.eu/legal-content/EN/TXT/?uri=CELEX:32023R0988R(03)</t>
  </si>
  <si>
    <t xml:space="preserve">32023R0988R(04)</t>
  </si>
  <si>
    <t xml:space="preserve">2026-03-18</t>
  </si>
  <si>
    <t xml:space="preserve">https://eur-lex.europa.eu/legal-content/EN/TXT/?uri=CELEX:32023R0988R(04)</t>
  </si>
  <si>
    <t xml:space="preserve">32024R1624R(01)</t>
  </si>
  <si>
    <t xml:space="preserve">2025-03-20</t>
  </si>
  <si>
    <t xml:space="preserve">https://eur-lex.europa.eu/legal-content/EN/TXT/?uri=CELEX:32024R1624R(01)</t>
  </si>
  <si>
    <t xml:space="preserve">32024R1624R(02)</t>
  </si>
  <si>
    <t xml:space="preserve">2026-03-31</t>
  </si>
  <si>
    <t xml:space="preserve">https://eur-lex.europa.eu/legal-content/EN/TXT/?uri=CELEX:32024R1624R(02)</t>
  </si>
  <si>
    <t xml:space="preserve">32024R1624R(03)</t>
  </si>
  <si>
    <t xml:space="preserve">2026-04-16</t>
  </si>
  <si>
    <t xml:space="preserve">https://eur-lex.europa.eu/legal-content/EN/TXT/?uri=CELEX:32024R1624R(03)</t>
  </si>
  <si>
    <t xml:space="preserve">32024R1624R(04)</t>
  </si>
  <si>
    <t xml:space="preserve">2026-06-26</t>
  </si>
  <si>
    <t xml:space="preserve">https://eur-lex.europa.eu/legal-content/EN/TXT/?uri=CELEX:32024R1624R(04)</t>
  </si>
  <si>
    <t xml:space="preserve">32024R0323</t>
  </si>
  <si>
    <t xml:space="preserve">Commission Regulation (EU) 2024/323 of 19 January 2024 correcting the Czech language version of Regulation (EU) 2022/720 on the application of Article 101(3) of the Treaty on the Functioning of the European Union to categories of vertical agreements and concerted practices</t>
  </si>
  <si>
    <t xml:space="preserve">https://eur-lex.europa.eu/legal-content/EN/TXT/?uri=CELEX:32024R0323</t>
  </si>
  <si>
    <t xml:space="preserve">32022R0720R(01)</t>
  </si>
  <si>
    <t xml:space="preserve">2023-12-01</t>
  </si>
  <si>
    <t xml:space="preserve">https://eur-lex.europa.eu/legal-content/EN/TXT/?uri=CELEX:32022R0720R(01)</t>
  </si>
  <si>
    <t xml:space="preserve">32024R0900R(01)</t>
  </si>
  <si>
    <t xml:space="preserve">https://eur-lex.europa.eu/legal-content/EN/TXT/?uri=CELEX:32024R0900R(01)</t>
  </si>
  <si>
    <t xml:space="preserve">32023R2844R(01)</t>
  </si>
  <si>
    <t xml:space="preserve">2025-08-01</t>
  </si>
  <si>
    <t xml:space="preserve">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</si>
  <si>
    <t xml:space="preserve">https://eur-lex.europa.eu/legal-content/EN/TXT/?uri=CELEX:32023R2844R(01)</t>
  </si>
  <si>
    <t xml:space="preserve">32023R2844R(02)</t>
  </si>
  <si>
    <t xml:space="preserve">2026-03-26</t>
  </si>
  <si>
    <t xml:space="preserve">https://eur-lex.europa.eu/legal-content/EN/TXT/?uri=CELEX:32023R2844R(02)</t>
  </si>
  <si>
    <t xml:space="preserve">32024L2831R(01)</t>
  </si>
  <si>
    <t xml:space="preserve">2025-02-28</t>
  </si>
  <si>
    <t xml:space="preserve">Corrigendum to Directive (EU) 2024/2831 of the European Parliament and of the Council of 23 October 2024 on improving working conditions in platform work (OJ L, 2024/2831, 11.11.2024)</t>
  </si>
  <si>
    <t xml:space="preserve">https://eur-lex.europa.eu/legal-content/EN/TXT/?uri=CELEX:32024L2831R(01)</t>
  </si>
  <si>
    <t xml:space="preserve">32023R2854R(01)</t>
  </si>
  <si>
    <t xml:space="preserve">Corrigendum to Regulation (EU) 2023/2854 of the European Parliament and of the Council of 13 December 2023 on harmonised rules on fair access to and use of data and amending Regulation (EU) 2017/2394 and Directive (EU) 2020/1828 (Data Act) (OJ L, 2023/2854, 22.12.2023)</t>
  </si>
  <si>
    <t xml:space="preserve">https://eur-lex.europa.eu/legal-content/EN/TXT/?uri=CELEX:32023R2854R(01)</t>
  </si>
  <si>
    <t xml:space="preserve">32023R2854R(02)</t>
  </si>
  <si>
    <t xml:space="preserve">https://eur-lex.europa.eu/legal-content/EN/TXT/?uri=CELEX:32023R2854R(02)</t>
  </si>
  <si>
    <t xml:space="preserve">32023R2854R(03)</t>
  </si>
  <si>
    <t xml:space="preserve">2025-06-30</t>
  </si>
  <si>
    <t xml:space="preserve">https://eur-lex.europa.eu/legal-content/EN/TXT/?uri=CELEX:32023R2854R(03)</t>
  </si>
  <si>
    <t xml:space="preserve">32023R2854R(04)</t>
  </si>
  <si>
    <t xml:space="preserve">https://eur-lex.europa.eu/legal-content/EN/TXT/?uri=CELEX:32023R2854R(04)</t>
  </si>
  <si>
    <t xml:space="preserve">32023R2854R(05)</t>
  </si>
  <si>
    <t xml:space="preserve">2026-03-10</t>
  </si>
  <si>
    <t xml:space="preserve">https://eur-lex.europa.eu/legal-content/EN/TXT/?uri=CELEX:32023R2854R(05)</t>
  </si>
  <si>
    <t xml:space="preserve">32023R2854R(06)</t>
  </si>
  <si>
    <t xml:space="preserve">2026-09-24</t>
  </si>
  <si>
    <t xml:space="preserve">https://eur-lex.europa.eu/legal-content/EN/TXT/?uri=CELEX:32023R2854R(06)</t>
  </si>
  <si>
    <t xml:space="preserve">32023R2841R(01)</t>
  </si>
  <si>
    <t xml:space="preserve">2025-09-30</t>
  </si>
  <si>
    <t xml:space="preserve">https://eur-lex.europa.eu/legal-content/EN/TXT/?uri=CELEX:32023R2841R(01)</t>
  </si>
  <si>
    <t xml:space="preserve">32023R2841R(02)</t>
  </si>
  <si>
    <t xml:space="preserve">2026-07-31</t>
  </si>
  <si>
    <t xml:space="preserve">https://eur-lex.europa.eu/legal-content/EN/TXT/?uri=CELEX:32023R2841R(02)</t>
  </si>
  <si>
    <t xml:space="preserve">32024R1781R(01)</t>
  </si>
  <si>
    <t xml:space="preserve">2024-08-07</t>
  </si>
  <si>
    <t xml:space="preserve">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</si>
  <si>
    <t xml:space="preserve">https://eur-lex.europa.eu/legal-content/EN/TXT/?uri=CELEX:32024R1781R(01)</t>
  </si>
  <si>
    <t xml:space="preserve">32024R1781R(02)</t>
  </si>
  <si>
    <t xml:space="preserve">2025-04-28</t>
  </si>
  <si>
    <t xml:space="preserve">https://eur-lex.europa.eu/legal-content/EN/TXT/?uri=CELEX:32024R1781R(02)</t>
  </si>
  <si>
    <t xml:space="preserve">32024R1781R(03)</t>
  </si>
  <si>
    <t xml:space="preserve">2025-11-27</t>
  </si>
  <si>
    <t xml:space="preserve">https://eur-lex.europa.eu/legal-content/EN/TXT/?uri=CELEX:32024R1781R(03)</t>
  </si>
  <si>
    <t xml:space="preserve">32024R1781R(04)</t>
  </si>
  <si>
    <t xml:space="preserve">https://eur-lex.europa.eu/legal-content/EN/TXT/?uri=CELEX:32024R1781R(04)</t>
  </si>
  <si>
    <t xml:space="preserve">32025R0327R(01)</t>
  </si>
  <si>
    <t xml:space="preserve">2025-11-07</t>
  </si>
  <si>
    <t xml:space="preserve">https://eur-lex.europa.eu/legal-content/EN/TXT/?uri=CELEX:32025R0327R(01)</t>
  </si>
  <si>
    <t xml:space="preserve">32025R0327R(02)</t>
  </si>
  <si>
    <t xml:space="preserve">https://eur-lex.europa.eu/legal-content/EN/TXT/?uri=CELEX:32025R0327R(02)</t>
  </si>
  <si>
    <t xml:space="preserve">32025R0327R(03)</t>
  </si>
  <si>
    <t xml:space="preserve">2026-08-13</t>
  </si>
  <si>
    <t xml:space="preserve">https://eur-lex.europa.eu/legal-content/EN/TXT/?uri=CELEX:32025R0327R(03)</t>
  </si>
  <si>
    <t xml:space="preserve">Regulation (EU) 2025/327 of the European Parliament and of the Council of 11 February 2025 on the European Health Data Space and amending Directive 2011/24/EU and Regulation (EU) 2024/2847 (Text with EEA relevance)</t>
  </si>
  <si>
    <t xml:space="preserve">32024R2847R(01)</t>
  </si>
  <si>
    <t xml:space="preserve">2024-12-05</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</si>
  <si>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</si>
  <si>
    <t xml:space="preserve">https://eur-lex.europa.eu/legal-content/EN/TXT/?uri=CELEX:32024R2847R(01)</t>
  </si>
  <si>
    <t xml:space="preserve">32024R2847R(02)</t>
  </si>
  <si>
    <t xml:space="preserve">2025-07-02</t>
  </si>
  <si>
    <t xml:space="preserve">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</si>
  <si>
    <t xml:space="preserve">https://eur-lex.europa.eu/legal-content/EN/TXT/?uri=CELEX:32024R2847R(02)</t>
  </si>
  <si>
    <t xml:space="preserve">32024R2847R(03)</t>
  </si>
  <si>
    <t xml:space="preserve">2025-10-03</t>
  </si>
  <si>
    <t xml:space="preserve">https://eur-lex.europa.eu/legal-content/EN/TXT/?uri=CELEX:32024R2847R(03)</t>
  </si>
  <si>
    <t xml:space="preserve">32024R2847R(04)</t>
  </si>
  <si>
    <t xml:space="preserve">https://eur-lex.europa.eu/legal-content/EN/TXT/?uri=CELEX:32024R2847R(04)</t>
  </si>
  <si>
    <t xml:space="preserve">32024R2847R(05)</t>
  </si>
  <si>
    <t xml:space="preserve">2026-02-23</t>
  </si>
  <si>
    <t xml:space="preserve">https://eur-lex.europa.eu/legal-content/EN/TXT/?uri=CELEX:32024R2847R(05)</t>
  </si>
  <si>
    <t xml:space="preserve">32024R2847R(06)</t>
  </si>
  <si>
    <t xml:space="preserve">2026-03-25</t>
  </si>
  <si>
    <t xml:space="preserve">https://eur-lex.europa.eu/legal-content/EN/TXT/?uri=CELEX:32024R2847R(06)</t>
  </si>
  <si>
    <t xml:space="preserve">32024R2847R(07)</t>
  </si>
  <si>
    <t xml:space="preserve">2026-08-06</t>
  </si>
  <si>
    <t xml:space="preserve">https://eur-lex.europa.eu/legal-content/EN/TXT/?uri=CELEX:32024R2847R(07)</t>
  </si>
  <si>
    <t xml:space="preserve">32024R2847R(08)</t>
  </si>
  <si>
    <t xml:space="preserve">2026-10-09</t>
  </si>
  <si>
    <t xml:space="preserve">https://eur-lex.europa.eu/legal-content/EN/TXT/?uri=CELEX:32024R2847R(08)</t>
  </si>
  <si>
    <t xml:space="preserve">32024R1083R(01)</t>
  </si>
  <si>
    <t xml:space="preserve">2024-06-18</t>
  </si>
  <si>
    <t xml:space="preserve">https://eur-lex.europa.eu/legal-content/EN/TXT/?uri=CELEX:32024R1083R(01)</t>
  </si>
  <si>
    <t xml:space="preserve">32024R1083R(02)</t>
  </si>
  <si>
    <t xml:space="preserve">https://eur-lex.europa.eu/legal-content/EN/TXT/?uri=CELEX:32024R1083R(02)</t>
  </si>
  <si>
    <t xml:space="preserve">32024R1083R(03)</t>
  </si>
  <si>
    <t xml:space="preserve">https://eur-lex.europa.eu/legal-content/EN/TXT/?uri=CELEX:32024R1083R(03)</t>
  </si>
  <si>
    <t xml:space="preserve">32024R1083R(04)</t>
  </si>
  <si>
    <t xml:space="preserve">https://eur-lex.europa.eu/legal-content/EN/TXT/?uri=CELEX:32024R1083R(04)</t>
  </si>
  <si>
    <t xml:space="preserve">32024R2747R(01)</t>
  </si>
  <si>
    <t xml:space="preserve">https://eur-lex.europa.eu/legal-content/EN/TXT/?uri=CELEX:32024R2747R(01)</t>
  </si>
  <si>
    <t xml:space="preserve">32024R2747R(02)</t>
  </si>
  <si>
    <t xml:space="preserve">https://eur-lex.europa.eu/legal-content/EN/TXT/?uri=CELEX:32024R2747R(02)</t>
  </si>
  <si>
    <t xml:space="preserve">32024L2853R(01)</t>
  </si>
  <si>
    <t xml:space="preserve">2026-05-07</t>
  </si>
  <si>
    <t xml:space="preserve">Corrigendum to Directive (EU) 2024/2853 of the European Parliament and of the Council of 23 October 2024 on liability for defective products and repealing Council Directive 85/374/EEC (OJ L, 2024/2853, 18.11.2024)</t>
  </si>
  <si>
    <t xml:space="preserve">https://eur-lex.europa.eu/legal-content/EN/TXT/?uri=CELEX:32024L2853R(01)</t>
  </si>
  <si>
    <t xml:space="preserve">32024L2853R(02)</t>
  </si>
  <si>
    <t xml:space="preserve">2026-09-29</t>
  </si>
  <si>
    <t xml:space="preserve">https://eur-lex.europa.eu/legal-content/EN/TXT/?uri=CELEX:32024L2853R(02)</t>
  </si>
  <si>
    <t xml:space="preserve">32023R1066</t>
  </si>
  <si>
    <t xml:space="preserve">32023R1066R(01)</t>
  </si>
  <si>
    <t xml:space="preserve">https://eur-lex.europa.eu/legal-content/EN/TXT/?uri=CELEX:32023R1066R(01)</t>
  </si>
  <si>
    <t xml:space="preserve">32023R1067</t>
  </si>
  <si>
    <t xml:space="preserve">32023R1067R(01)</t>
  </si>
  <si>
    <t xml:space="preserve">2025-11-03</t>
  </si>
  <si>
    <t xml:space="preserve">https://eur-lex.europa.eu/legal-content/EN/TXT/?uri=CELEX:32023R1067R(01)</t>
  </si>
  <si>
    <t xml:space="preserve">32024L2823R(01)</t>
  </si>
  <si>
    <t xml:space="preserve">https://eur-lex.europa.eu/legal-content/EN/TXT/?uri=CELEX:32024L2823R(01)</t>
  </si>
  <si>
    <t xml:space="preserve">32024L2823R(02)</t>
  </si>
  <si>
    <t xml:space="preserve">2026-02-17</t>
  </si>
  <si>
    <t xml:space="preserve">https://eur-lex.europa.eu/legal-content/EN/TXT/?uri=CELEX:32024L2823R(02)</t>
  </si>
  <si>
    <t xml:space="preserve">32025L0516R(01)</t>
  </si>
  <si>
    <t xml:space="preserve">2025-10-02</t>
  </si>
  <si>
    <t xml:space="preserve">https://eur-lex.europa.eu/legal-content/EN/TXT/?uri=CELEX:32025L0516R(01)</t>
  </si>
  <si>
    <t xml:space="preserve">32024R1309R(01)</t>
  </si>
  <si>
    <t xml:space="preserve">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</si>
  <si>
    <t xml:space="preserve">https://eur-lex.europa.eu/legal-content/EN/TXT/?uri=CELEX:32024R1309R(01)</t>
  </si>
  <si>
    <t xml:space="preserve">32024R1309R(02)</t>
  </si>
  <si>
    <t xml:space="preserve">2025-01-24</t>
  </si>
  <si>
    <t xml:space="preserve">https://eur-lex.europa.eu/legal-content/EN/TXT/?uri=CELEX:32024R1309R(02)</t>
  </si>
  <si>
    <t xml:space="preserve">32024R1309R(03)</t>
  </si>
  <si>
    <t xml:space="preserve">https://eur-lex.europa.eu/legal-content/EN/TXT/?uri=CELEX:32024R1309R(03)</t>
  </si>
  <si>
    <t xml:space="preserve">32024R1252R(01)</t>
  </si>
  <si>
    <t xml:space="preserve">2024-06-03</t>
  </si>
  <si>
    <t xml:space="preserve">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</si>
  <si>
    <t xml:space="preserve">https://eur-lex.europa.eu/legal-content/EN/TXT/?uri=CELEX:32024R1252R(01)</t>
  </si>
  <si>
    <t xml:space="preserve">32024R1252R(02)</t>
  </si>
  <si>
    <t xml:space="preserve">https://eur-lex.europa.eu/legal-content/EN/TXT/?uri=CELEX:32024R1252R(02)</t>
  </si>
  <si>
    <t xml:space="preserve">32024R1252R(03)</t>
  </si>
  <si>
    <t xml:space="preserve">2025-02-14</t>
  </si>
  <si>
    <t xml:space="preserve">https://eur-lex.europa.eu/legal-content/EN/TXT/?uri=CELEX:32024R1252R(03)</t>
  </si>
  <si>
    <t xml:space="preserve">32024R1252R(04)</t>
  </si>
  <si>
    <t xml:space="preserve">2025-11-14</t>
  </si>
  <si>
    <t xml:space="preserve">https://eur-lex.europa.eu/legal-content/EN/TXT/?uri=CELEX:32024R1252R(04)</t>
  </si>
  <si>
    <t xml:space="preserve">32024R1252R(05)</t>
  </si>
  <si>
    <t xml:space="preserve">https://eur-lex.europa.eu/legal-content/EN/TXT/?uri=CELEX:32024R1252R(05)</t>
  </si>
  <si>
    <t xml:space="preserve">32024R1735R(01)</t>
  </si>
  <si>
    <t xml:space="preserve">Corrigendum to Regulation (EU) 2024/1735 of the European Parliament and of the Council of 13 June 2024 on establishing a framework of measures for strengthening Europe’s net-zero technology manufacturing ecosystem and amending Regulation (EU) 2018/1724 (OJ L, 2024/1735, 28.6.2024)</t>
  </si>
  <si>
    <t xml:space="preserve">https://eur-lex.europa.eu/legal-content/EN/TXT/?uri=CELEX:32024R1735R(01)</t>
  </si>
  <si>
    <t xml:space="preserve">32024R1735R(02)</t>
  </si>
  <si>
    <t xml:space="preserve">https://eur-lex.europa.eu/legal-content/EN/TXT/?uri=CELEX:32024R1735R(02)</t>
  </si>
  <si>
    <t xml:space="preserve">32024R1735R(03)</t>
  </si>
  <si>
    <t xml:space="preserve">2026-05-20</t>
  </si>
  <si>
    <t xml:space="preserve">https://eur-lex.europa.eu/legal-content/EN/TXT/?uri=CELEX:32024R1735R(03)</t>
  </si>
  <si>
    <t xml:space="preserve">32024R1735R(04)</t>
  </si>
  <si>
    <t xml:space="preserve">https://eur-lex.europa.eu/legal-content/EN/TXT/?uri=CELEX:32024R1735R(04)</t>
  </si>
  <si>
    <t xml:space="preserve">32024L1799R(01)</t>
  </si>
  <si>
    <t xml:space="preserve">Corrigendum to Directive (EU) 2024/1799 of the European Parliament and of the Council of 13 June 2024 on common rules promoting the repair of goods and amending Regulation (EU) 2017/2394 and Directives (EU) 2019/771 and (EU) 2020/1828 (OJ L, 2024/1799, 10.7.2024)</t>
  </si>
  <si>
    <t xml:space="preserve">https://eur-lex.europa.eu/legal-content/EN/TXT/?uri=CELEX:32024L1799R(01)</t>
  </si>
  <si>
    <t xml:space="preserve">32024L1799R(02)</t>
  </si>
  <si>
    <t xml:space="preserve">2025-10-23</t>
  </si>
  <si>
    <t xml:space="preserve">https://eur-lex.europa.eu/legal-content/EN/TXT/?uri=CELEX:32024L1799R(02)</t>
  </si>
  <si>
    <t xml:space="preserve">32024L1799R(03)</t>
  </si>
  <si>
    <t xml:space="preserve">2026-10-07</t>
  </si>
  <si>
    <t xml:space="preserve">https://eur-lex.europa.eu/legal-content/EN/TXT/?uri=CELEX:32024L1799R(03)</t>
  </si>
  <si>
    <t xml:space="preserve">32025R0038R(01)</t>
  </si>
  <si>
    <t xml:space="preserve">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</si>
  <si>
    <t xml:space="preserve">https://eur-lex.europa.eu/legal-content/EN/TXT/?uri=CELEX:32025R0038R(01)</t>
  </si>
  <si>
    <t xml:space="preserve">32025R0038R(02)</t>
  </si>
  <si>
    <t xml:space="preserve">2025-10-15</t>
  </si>
  <si>
    <t xml:space="preserve">https://eur-lex.europa.eu/legal-content/EN/TXT/?uri=CELEX:32025R0038R(02)</t>
  </si>
  <si>
    <t xml:space="preserve">32025R0038R(03)</t>
  </si>
  <si>
    <t xml:space="preserve">https://eur-lex.europa.eu/legal-content/EN/TXT/?uri=CELEX:32025R0038R(03)</t>
  </si>
  <si>
    <t xml:space="preserve">32024R0795R(01)</t>
  </si>
  <si>
    <t xml:space="preserve">https://eur-lex.europa.eu/legal-content/EN/TXT/?uri=CELEX:32024R0795R(01)</t>
  </si>
  <si>
    <t xml:space="preserve">32024R0795R(02)</t>
  </si>
  <si>
    <t xml:space="preserve">2025-11-24</t>
  </si>
  <si>
    <t xml:space="preserve">https://eur-lex.europa.eu/legal-content/EN/TXT/?uri=CELEX:32024R0795R(02)</t>
  </si>
  <si>
    <t xml:space="preserve">32025R2509R(01)</t>
  </si>
  <si>
    <t xml:space="preserve">https://eur-lex.europa.eu/legal-content/EN/TXT/?uri=CELEX:32025R2509R(01)</t>
  </si>
  <si>
    <t xml:space="preserve">32025R2509R(02)</t>
  </si>
  <si>
    <t xml:space="preserve">2026-08-11</t>
  </si>
  <si>
    <t xml:space="preserve">https://eur-lex.europa.eu/legal-content/EN/TXT/?uri=CELEX:32025R2509R(02)</t>
  </si>
  <si>
    <t xml:space="preserve">32013L0029</t>
  </si>
  <si>
    <t xml:space="preserve">Directive 2013/29/EU of the European Parliament and of the Council of 12 June 2013 on the harmonisation of the laws of the Member States relating to the making available on the market of pyrotechnic articles (recast)  Text with EEA relevance</t>
  </si>
  <si>
    <t xml:space="preserve">https://eur-lex.europa.eu/legal-content/EN/TXT/?uri=CELEX:32013L0029</t>
  </si>
  <si>
    <t xml:space="preserve">32013L0053</t>
  </si>
  <si>
    <t xml:space="preserve">2013-11-20</t>
  </si>
  <si>
    <t xml:space="preserve">Directive 2013/53/EU of the European Parliament and of the Council of 20 November 2013 on recreational craft and personal watercraft and repealing Directive 94/25/EC  Text with EEA relevance</t>
  </si>
  <si>
    <t xml:space="preserve">https://eur-lex.europa.eu/legal-content/EN/TXT/?uri=CELEX:32013L0053</t>
  </si>
  <si>
    <t xml:space="preserve">32014L0031</t>
  </si>
  <si>
    <t xml:space="preserve">Directive 2014/31/EU of the European Parliament and of the Council of 26 February 2014 on the harmonisation of the laws of the Member States relating to the making available on the market of non-automatic weighing instruments (recast)  Text with EEA relevance</t>
  </si>
  <si>
    <t xml:space="preserve">https://eur-lex.europa.eu/legal-content/EN/TXT/?uri=CELEX:32014L0031</t>
  </si>
  <si>
    <t xml:space="preserve">32014L0033</t>
  </si>
  <si>
    <t xml:space="preserve">Directive 2014/33/EU of the European Parliament and of the Council of 26 February 2014 on the harmonisation of the laws of the Member States relating to lifts and safety components for lifts (recast)  Text with EEA relevance</t>
  </si>
  <si>
    <t xml:space="preserve">https://eur-lex.europa.eu/legal-content/EN/TXT/?uri=CELEX:32014L0033</t>
  </si>
  <si>
    <t xml:space="preserve">32014L0032</t>
  </si>
  <si>
    <t xml:space="preserve">Directive 2014/32/EU of the European Parliament and of the Council of 26 February 2014 on the harmonisation of the laws of the Member States relating to the making available on the market of measuring instruments (recast)  Text with EEA relevance</t>
  </si>
  <si>
    <t xml:space="preserve">https://eur-lex.europa.eu/legal-content/EN/TXT/?uri=CELEX:32014L0032</t>
  </si>
  <si>
    <t xml:space="preserve">32014L0034</t>
  </si>
  <si>
    <t xml:space="preserve">Directive 2014/34/EU of the European Parliament and of the Council of 26 February 2014 on the harmonisation of the laws of the Member States relating to equipment and protective systems intended for use in potentially explosive atmospheres (recast)  Text with EEA relevance</t>
  </si>
  <si>
    <t xml:space="preserve">https://eur-lex.europa.eu/legal-content/EN/TXT/?uri=CELEX:32014L0034</t>
  </si>
  <si>
    <t xml:space="preserve">32014L0029</t>
  </si>
  <si>
    <t xml:space="preserve">Directive 2014/29/EU of the European Parliament and of the Council of 26 February 2014 on the harmonisation of the laws of the Member States relating to the making available on the market of simple pressure vessels (recast)  Text with EEA relevance</t>
  </si>
  <si>
    <t xml:space="preserve">https://eur-lex.europa.eu/legal-content/EN/TXT/?uri=CELEX:32014L0029</t>
  </si>
  <si>
    <t xml:space="preserve">32014L0028</t>
  </si>
  <si>
    <t xml:space="preserve">Directive 2014/28/EU of the European Parliament and of the Council of 26 February 2014 on the harmonisation of the laws of the Member States relating to the making available on the market and supervision of explosives for civil uses (recast)  Text with EEA relevance</t>
  </si>
  <si>
    <t xml:space="preserve">https://eur-lex.europa.eu/legal-content/EN/TXT/?uri=CELEX:32014L0028</t>
  </si>
  <si>
    <t xml:space="preserve">32014L0068</t>
  </si>
  <si>
    <t xml:space="preserve">2014-05-15</t>
  </si>
  <si>
    <t xml:space="preserve">Directive 2014/68/EU of the European Parliament and of the Council of 15 May 2014 on the harmonisation of the laws of the Member States relating to the making available on the market of pressure equipment (recast)  Text with EEA relevance</t>
  </si>
  <si>
    <t xml:space="preserve">https://eur-lex.europa.eu/legal-content/EN/TXT/?uri=CELEX:32014L0068</t>
  </si>
  <si>
    <t xml:space="preserve">32015L1535</t>
  </si>
  <si>
    <t xml:space="preserve">2015-09-09</t>
  </si>
  <si>
    <t xml:space="preserve">Directive (EU) 2015/1535 of the European Parliament and of the Council of 9 September 2015 laying down a procedure for the provision of information in the field of technical regulations and of rules on Information Society services (codification) (Text with EEA relevance)</t>
  </si>
  <si>
    <t xml:space="preserve">https://eur-lex.europa.eu/legal-content/EN/TXT/?uri=CELEX:32015L1535</t>
  </si>
  <si>
    <t xml:space="preserve">32022R2480</t>
  </si>
  <si>
    <t xml:space="preserve">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</si>
  <si>
    <t xml:space="preserve">https://eur-lex.europa.eu/legal-content/EN/TXT/?uri=CELEX:32022R2480</t>
  </si>
  <si>
    <t xml:space="preserve">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</si>
  <si>
    <t xml:space="preserve">32012R1025R(01)</t>
  </si>
  <si>
    <t xml:space="preserve">2025-09-19</t>
  </si>
  <si>
    <t xml:space="preserve">https://eur-lex.europa.eu/legal-content/EN/TXT/?uri=CELEX:32012R1025R(01)</t>
  </si>
  <si>
    <t xml:space="preserve">32018R1139</t>
  </si>
  <si>
    <t xml:space="preserve">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</si>
  <si>
    <t xml:space="preserve">https://eur-lex.europa.eu/legal-content/EN/TXT/?uri=CELEX:32018R1139</t>
  </si>
  <si>
    <t xml:space="preserve">32024L2749</t>
  </si>
  <si>
    <t xml:space="preserve">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</si>
  <si>
    <t xml:space="preserve">https://eur-lex.europa.eu/legal-content/EN/TXT/?uri=CELEX:32024L2749</t>
  </si>
  <si>
    <t xml:space="preserve">32014L0030R(01)</t>
  </si>
  <si>
    <t xml:space="preserve">2014-11-04</t>
  </si>
  <si>
    <t xml:space="preserve">https://eur-lex.europa.eu/legal-content/EN/TXT/?uri=CELEX:32014L0030R(01)</t>
  </si>
  <si>
    <t xml:space="preserve">32014L0030R(02)</t>
  </si>
  <si>
    <t xml:space="preserve">2015-04-01</t>
  </si>
  <si>
    <t xml:space="preserve">https://eur-lex.europa.eu/legal-content/EN/TXT/?uri=CELEX:32014L0030R(02)</t>
  </si>
  <si>
    <t xml:space="preserve">32022L2380</t>
  </si>
  <si>
    <t xml:space="preserve">Directive (EU) 2022/2380 of the European Parliament and of the Council of 23 November 2022 amending Directive 2014/53/EU on the harmonisation of the laws of the Member States relating to the making available on the market of radio equipment (Text with EEA relevance)</t>
  </si>
  <si>
    <t xml:space="preserve">https://eur-lex.europa.eu/legal-content/EN/TXT/?uri=CELEX:32022L2380</t>
  </si>
  <si>
    <t xml:space="preserve">32024L2839</t>
  </si>
  <si>
    <t xml:space="preserve">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</si>
  <si>
    <t xml:space="preserve">https://eur-lex.europa.eu/legal-content/EN/TXT/?uri=CELEX:32024L2839</t>
  </si>
  <si>
    <t xml:space="preserve">32014L0053R(01)</t>
  </si>
  <si>
    <t xml:space="preserve">2015-01-23</t>
  </si>
  <si>
    <t xml:space="preserve">https://eur-lex.europa.eu/legal-content/EN/TXT/?uri=CELEX:32014L0053R(01)</t>
  </si>
  <si>
    <t xml:space="preserve">32014L0053R(02)</t>
  </si>
  <si>
    <t xml:space="preserve">2015-03-27</t>
  </si>
  <si>
    <t xml:space="preserve">https://eur-lex.europa.eu/legal-content/EN/TXT/?uri=CELEX:32014L0053R(02)</t>
  </si>
  <si>
    <t xml:space="preserve">32014L0053R(03)</t>
  </si>
  <si>
    <t xml:space="preserve">https://eur-lex.europa.eu/legal-content/EN/TXT/?uri=CELEX:32014L0053R(03)</t>
  </si>
  <si>
    <t xml:space="preserve">32014L0055R(01)</t>
  </si>
  <si>
    <t xml:space="preserve">2014-11-26</t>
  </si>
  <si>
    <t xml:space="preserve">https://eur-lex.europa.eu/legal-content/EN/TXT/?uri=CELEX:32014L0055R(01)</t>
  </si>
  <si>
    <t xml:space="preserve">32014L0055R(02)</t>
  </si>
  <si>
    <t xml:space="preserve">2022-08-11</t>
  </si>
  <si>
    <t xml:space="preserve">https://eur-lex.europa.eu/legal-content/EN/TXT/?uri=CELEX:32014L0055R(02)</t>
  </si>
  <si>
    <t xml:space="preserve">32017R1128R(01)</t>
  </si>
  <si>
    <t xml:space="preserve">2017-07-28</t>
  </si>
  <si>
    <t xml:space="preserve">Corrigendum to Regulation (EU) 2017/1128 of the European Parliament and of the Council of 14 June 2017 on cross-border portability of online content services in the internal market (OJ L 168, 30.6.2017)</t>
  </si>
  <si>
    <t xml:space="preserve">https://eur-lex.europa.eu/legal-content/EN/TXT/?uri=CELEX:32017R1128R(01)</t>
  </si>
  <si>
    <t xml:space="preserve">32017R1128R(02)</t>
  </si>
  <si>
    <t xml:space="preserve">2018-06-25</t>
  </si>
  <si>
    <t xml:space="preserve">https://eur-lex.europa.eu/legal-content/EN/TXT/?uri=CELEX:32017R1128R(02)</t>
  </si>
  <si>
    <t xml:space="preserve">32019R0517R(01)</t>
  </si>
  <si>
    <t xml:space="preserve">https://eur-lex.europa.eu/legal-content/EN/TXT/?uri=CELEX:32019R0517R(01)</t>
  </si>
  <si>
    <t xml:space="preserve">32021R1134</t>
  </si>
  <si>
    <t xml:space="preserve">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</si>
  <si>
    <t xml:space="preserve">https://eur-lex.europa.eu/legal-content/EN/TXT/?uri=CELEX:32021R1134</t>
  </si>
  <si>
    <t xml:space="preserve">32021R1152</t>
  </si>
  <si>
    <t xml:space="preserve">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</si>
  <si>
    <t xml:space="preserve">https://eur-lex.europa.eu/legal-content/EN/TXT/?uri=CELEX:32021R1152</t>
  </si>
  <si>
    <t xml:space="preserve">32024R0982</t>
  </si>
  <si>
    <t xml:space="preserve">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</si>
  <si>
    <t xml:space="preserve">https://eur-lex.europa.eu/legal-content/EN/TXT/?uri=CELEX:32024R0982</t>
  </si>
  <si>
    <t xml:space="preserve">32024R1356</t>
  </si>
  <si>
    <t xml:space="preserve">Regulation (EU) 2024/1356 of the European Parliament and of the Council of 14 May 2024 introducing the screening of third-country nationals at the external borders and amending Regulations (EC) No 767/2008, (EU) 2017/2226, (EU) 2018/1240 and (EU) 2019/817</t>
  </si>
  <si>
    <t xml:space="preserve">https://eur-lex.europa.eu/legal-content/EN/TXT/?uri=CELEX:32024R1356</t>
  </si>
  <si>
    <t xml:space="preserve">32025R0012</t>
  </si>
  <si>
    <t xml:space="preserve">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</si>
  <si>
    <t xml:space="preserve">https://eur-lex.europa.eu/legal-content/EN/TXT/?uri=CELEX:32025R0012</t>
  </si>
  <si>
    <t xml:space="preserve">32019R0817R(01)</t>
  </si>
  <si>
    <t xml:space="preserve">2020-01-15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</si>
  <si>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</si>
  <si>
    <t xml:space="preserve">https://eur-lex.europa.eu/legal-content/EN/TXT/?uri=CELEX:32019R0817R(01)</t>
  </si>
  <si>
    <t xml:space="preserve">32019R0817R(02)</t>
  </si>
  <si>
    <t xml:space="preserve">2020-02-07</t>
  </si>
  <si>
    <t xml:space="preserve">https://eur-lex.europa.eu/legal-content/EN/TXT/?uri=CELEX:32019R0817R(02)</t>
  </si>
  <si>
    <t xml:space="preserve">32019R0817R(03)</t>
  </si>
  <si>
    <t xml:space="preserve">https://eur-lex.europa.eu/legal-content/EN/TXT/?uri=CELEX:32019R0817R(03)</t>
  </si>
  <si>
    <t xml:space="preserve">32019R0817R(04)</t>
  </si>
  <si>
    <t xml:space="preserve">https://eur-lex.europa.eu/legal-content/EN/TXT/?uri=CELEX:32019R0817R(04)</t>
  </si>
  <si>
    <t xml:space="preserve">32019R0817R(05)</t>
  </si>
  <si>
    <t xml:space="preserve">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</si>
  <si>
    <t xml:space="preserve">https://eur-lex.europa.eu/legal-content/EN/TXT/?uri=CELEX:32019R0817R(05)</t>
  </si>
  <si>
    <t xml:space="preserve">32024R1028R(01)</t>
  </si>
  <si>
    <t xml:space="preserve">2026-09-22</t>
  </si>
  <si>
    <t xml:space="preserve">Corrigendum to Regulation (EU) 2024/1028 of the European Parliament and of the Council of 11 April 2024 on data collection and sharing relating to short-term accommodation rental services and amending Regulation (EU) 2018/1724 (OJ L, 2024/1028, 29.4.2024)</t>
  </si>
  <si>
    <t xml:space="preserve">https://eur-lex.europa.eu/legal-content/EN/TXT/?uri=CELEX:32024R1028R(01)</t>
  </si>
  <si>
    <t xml:space="preserve">reference</t>
  </si>
  <si>
    <t xml:space="preserve">C(2025) 884</t>
  </si>
  <si>
    <t xml:space="preserve">Commission Guidelines on prohibited artificial intelligence practices established by Regulation (EU) 2024/1689 (AI Act)</t>
  </si>
  <si>
    <t xml:space="preserve">https://digital-strategy.ec.europa.eu/en/library/commission-publishes-guidelines-prohibited-artificial-intelligence-ai-practices-defined-ai-act</t>
  </si>
  <si>
    <t xml:space="preserve">Not linked in EUR-Lex metadata; found by web search, not linked in EUR-Lex; not measured</t>
  </si>
  <si>
    <t xml:space="preserve">C(2025) 924</t>
  </si>
  <si>
    <t xml:space="preserve">Commission Guidelines on the definition of an artificial intelligence system established by Regulation (EU) 2024/1689 (AI Act)</t>
  </si>
  <si>
    <t xml:space="preserve">https://digital-strategy.ec.europa.eu/en/library/commission-publishes-guidelines-ai-system-definition-facilitate-first-ai-acts-rules-application</t>
  </si>
  <si>
    <t xml:space="preserve">Guidelines on the scope of the obligations for providers of general-purpose AI models under the AI Act</t>
  </si>
  <si>
    <t xml:space="preserve">https://digital-strategy.ec.europa.eu/en/policies/guidelines-gpai-providers</t>
  </si>
  <si>
    <t xml:space="preserve">Reference number not verified; found by web search, not linked in EUR-Lex; not measured</t>
  </si>
  <si>
    <t xml:space="preserve">Commission guidance on the Data Governance Act</t>
  </si>
  <si>
    <t xml:space="preserve">https://digital-strategy.ec.europa.eu/en/policies/data-governance-act-explained</t>
  </si>
  <si>
    <t xml:space="preserve">Non-binding staff guidance; found by web search, not linked in EUR-Lex; not measured</t>
  </si>
  <si>
    <t xml:space="preserve">2026-03</t>
  </si>
  <si>
    <t xml:space="preserve">Commission FAQs on the Cyber Resilience Act (living document)</t>
  </si>
  <si>
    <t xml:space="preserve">https://digital-strategy.ec.europa.eu/en/policies/cra-faqs</t>
  </si>
  <si>
    <t xml:space="preserve">Date approximate (reported late March 2026); found by web search, not linked in EUR-Lex; not measured</t>
  </si>
  <si>
    <t xml:space="preserve">C(2026) 5252</t>
  </si>
  <si>
    <t xml:space="preserve">2026-07-27</t>
  </si>
  <si>
    <t xml:space="preserve">Commission guidance on the application of Regulation (EU) 2024/2847 (CRA)</t>
  </si>
  <si>
    <t xml:space="preserve">https://digital-strategy.ec.europa.eu/en/policies/cyber-resilience-act</t>
  </si>
  <si>
    <t xml:space="preserve">Reported by secondary sources; Article 26 CRA guidance; found by web search, not linked in EUR-Lex; not measured</t>
  </si>
  <si>
    <t xml:space="preserve">agency</t>
  </si>
  <si>
    <t xml:space="preserve">status</t>
  </si>
  <si>
    <t xml:space="preserve">pdf_url</t>
  </si>
  <si>
    <t xml:space="preserve">words_total</t>
  </si>
  <si>
    <t xml:space="preserve">should_count</t>
  </si>
  <si>
    <t xml:space="preserve">EDPB</t>
  </si>
  <si>
    <t xml:space="preserve">Guidelines 2/2023 on Technical Scope of Art. 5(3) of ePrivacy Directive</t>
  </si>
  <si>
    <t xml:space="preserve">2024-10-16</t>
  </si>
  <si>
    <t xml:space="preserve">final</t>
  </si>
  <si>
    <t xml:space="preserve">https://www.edpb.europa.eu/system/files/documents/2024-10/edpb_guidelines_202302_technical_scope_art_53_eprivacydirective_v2_en_0.pdf</t>
  </si>
  <si>
    <t xml:space="preserve">non-binding guidance; 'should' is its usual verb (should_count)</t>
  </si>
  <si>
    <t xml:space="preserve">Right to data portability</t>
  </si>
  <si>
    <t xml:space="preserve">https://www.edpb.europa.eu/documents/guideline/right-to-data-portability_en</t>
  </si>
  <si>
    <t xml:space="preserve">not measured: PDF on a domain not reachable from this environment; non-binding guidance; 'should' is its usual verb (should_count)</t>
  </si>
  <si>
    <t xml:space="preserve">Transparency</t>
  </si>
  <si>
    <t xml:space="preserve">https://www.edpb.europa.eu/system/files/2023-09/wp260rev01_en.pdf</t>
  </si>
  <si>
    <t xml:space="preserve">not measured: HTTP Error 404: Not Found; non-binding guidance; 'should' is its usual verb (should_count)</t>
  </si>
  <si>
    <t xml:space="preserve">Data Protection Officer</t>
  </si>
  <si>
    <t xml:space="preserve">https://www.edpb.europa.eu/documents/guideline/data-protection-officer_en</t>
  </si>
  <si>
    <t xml:space="preserve">Guidelines 2/2018 on derogations of Article 49 under Regulation 2016/679</t>
  </si>
  <si>
    <t xml:space="preserve">https://www.edpb.europa.eu/system/files/documents/files/file1/edpb_guidelines_2_2018_derogations_en.pdf</t>
  </si>
  <si>
    <t xml:space="preserve">Data Protection impact assessments High risk processing</t>
  </si>
  <si>
    <t xml:space="preserve">https://www.edpb.europa.eu/documents/guideline/data-protection-impact-assessments-high-risk-processing_en</t>
  </si>
  <si>
    <t xml:space="preserve">Automated decision-making and profiling</t>
  </si>
  <si>
    <t xml:space="preserve">https://www.edpb.europa.eu/documents/guideline/automated-decision-making-and-profiling_en</t>
  </si>
  <si>
    <t xml:space="preserve">Guidelines for identifying a controller or processor's lead supervisory authority, WP244 rev.01</t>
  </si>
  <si>
    <t xml:space="preserve">https://www.edpb.europa.eu/documents/guideline/guidelines-for-identifying-a-controller-or-processors-lead-supervisory_en</t>
  </si>
  <si>
    <t xml:space="preserve">Article 29 Working Party guidelines endorsed by the EDPB; not measured: PDF on a domain not reachable from this environment; non-binding guidance; 'should' is its usual verb (should_count)</t>
  </si>
  <si>
    <t xml:space="preserve">Guidelines on the right to data portability under Regulation 2016/679, WP242 rev.01</t>
  </si>
  <si>
    <t xml:space="preserve">https://www.edpb.europa.eu/documents/guideline/guidelines-on-the-right-to-data-portability-under-regulation-2016679-wp242_en</t>
  </si>
  <si>
    <t xml:space="preserve">Guidelines 4/2018 on the accreditation of certification bodies under Article 43 of the General Data Protection Regulation (2016/679)</t>
  </si>
  <si>
    <t xml:space="preserve">2018-12-14</t>
  </si>
  <si>
    <t xml:space="preserve">https://www.edpb.europa.eu/system/files/documents/files/file1/edpb_guidelines_201804_v3.0_accreditationcertificationbodies_annex1_en.pdf</t>
  </si>
  <si>
    <t xml:space="preserve">Guidelines 1/2018 on certification and identifying certification criteria in accordance with Articles 42 and 43 of the Regulation - version adopted after public consultation</t>
  </si>
  <si>
    <t xml:space="preserve">https://www.edpb.europa.eu/system/files/documents/files/file1/edpb_guidelines_201801_v3.0_certificationcriteria_annex2_en.pdf</t>
  </si>
  <si>
    <t xml:space="preserve">Guidelines 1/2019 on Codes of Conduct and Monitoring Bodies under Regulation 2016/679</t>
  </si>
  <si>
    <t xml:space="preserve">https://www.edpb.europa.eu/system/files/documents/files/file1/edpb_guidelines_201901_v2.0_codesofconduct_en.pdf</t>
  </si>
  <si>
    <t xml:space="preserve">Recommendation 01/2019 on the draft list of the European Data Protection Supervisor regarding the processing operations subject to the requirement of a data protection impact assessment (Article 39.4 of Regulation (EU) 2018/1725)</t>
  </si>
  <si>
    <t xml:space="preserve">https://www.edpb.europa.eu/system/files/documents/files/file1/edpb_recommendation_201901_edps_39.4_dpia_list_en.pdf</t>
  </si>
  <si>
    <t xml:space="preserve">Guidelines 2/2019 on the processing of personal data under Article 6(1)(b) GDPR in the context of the provision of online services to data subjects</t>
  </si>
  <si>
    <t xml:space="preserve">2019-10-16</t>
  </si>
  <si>
    <t xml:space="preserve">https://www.edpb.europa.eu/system/files/documents/files/file1/edpb_guidelines-art_6-1-b-adopted_after_public_consultation_en.pdf</t>
  </si>
  <si>
    <t xml:space="preserve">Guidelines 3/2018 on the territorial scope of the GDPR (Article 3) - version adopted after public consultation</t>
  </si>
  <si>
    <t xml:space="preserve">2019-11-12</t>
  </si>
  <si>
    <t xml:space="preserve">https://www.edpb.europa.eu/system/files/documents/files/file1/edpb_guidelines_3_2018_territorial_scope_after_public_consultation_en_1.pdf</t>
  </si>
  <si>
    <t xml:space="preserve">Guidelines 3/2019 on processing of personal data through video devices</t>
  </si>
  <si>
    <t xml:space="preserve">2020-01-30</t>
  </si>
  <si>
    <t xml:space="preserve">https://www.edpb.europa.eu/system/files/documents/files/file1/edpb_guidelines_201903_video_devices_en_0.pdf</t>
  </si>
  <si>
    <t xml:space="preserve">Guidelines 04/2020 on the use of location data and contact tracing tools in the context of the COVID-19 outbreak</t>
  </si>
  <si>
    <t xml:space="preserve">https://www.edpb.europa.eu/system/files/documents/files/file1/edpb_guidelines_20200420_contact_tracing_covid_with_annex_en.pdf</t>
  </si>
  <si>
    <t xml:space="preserve">Guidelines 03/2020 on the processing of data concerning health for the purpose of scientific research in the context of the COVID-19 outbreak</t>
  </si>
  <si>
    <t xml:space="preserve">https://www.edpb.europa.eu/system/files/documents/files/file1/edpb_guidelines_202003_healthdatascientificresearchcovid19_en.pdf</t>
  </si>
  <si>
    <t xml:space="preserve">Guidelines 05/2020 on consent under Regulation 2016/679</t>
  </si>
  <si>
    <t xml:space="preserve">2020-05-04</t>
  </si>
  <si>
    <t xml:space="preserve">https://www.edpb.europa.eu/system/files/documents/files/file1/edpb_guidelines_202005_consent_en.pdf</t>
  </si>
  <si>
    <t xml:space="preserve">Guidelines 5/2019 on the criteria of the Right to be Forgotten in the search engines cases under the GDPR (part 1)</t>
  </si>
  <si>
    <t xml:space="preserve">https://www.edpb.europa.eu/system/files/documents/files/file1/edpb_guidelines_201905_rtbfsearchengines_afterpublicconsultation_en.pdf</t>
  </si>
  <si>
    <t xml:space="preserve">Guidelines 4/2019 on Article 25 Data Protection by Design and by Default</t>
  </si>
  <si>
    <t xml:space="preserve">2020-10-20</t>
  </si>
  <si>
    <t xml:space="preserve">https://www.edpb.europa.eu/system/files/documents/files/file1/edpb_guidelines_201904_dataprotection_by_design_and_by_default_v2.0_en.pdf</t>
  </si>
  <si>
    <t xml:space="preserve">Recommendations 02/2020 on the European Essential Guarantees for surveillance measures</t>
  </si>
  <si>
    <t xml:space="preserve">2020-11-10</t>
  </si>
  <si>
    <t xml:space="preserve">https://www.edpb.europa.eu/system/files/documents/files/file1/edpb_recommendations_202002_europeanessentialguaranteessurveillance_en.pdf</t>
  </si>
  <si>
    <t xml:space="preserve">Guidelines 2/2020 on articles 46 (2) (a) and 46 (3) (b) of Regulation 2016/679 for transfers of personal data between EEA and non-EEA public authorities and bodies</t>
  </si>
  <si>
    <t xml:space="preserve">https://www.edpb.europa.eu/system/files/documents/files/file1/edpb_guidelines_202002_art46guidelines_internationaltransferspublicbodies_v2_en.pdf</t>
  </si>
  <si>
    <t xml:space="preserve">Guidelines 09/2020 on relevant and reasoned objection under Regulation 2016/679</t>
  </si>
  <si>
    <t xml:space="preserve">2021-03-09</t>
  </si>
  <si>
    <t xml:space="preserve">https://www.edpb.europa.eu/system/files/documents/2021-03/edpb_guidelines_202009_rro_final_en.pdf</t>
  </si>
  <si>
    <t xml:space="preserve">Guidelines 01/2020 on processing personal data in the context of connected vehicles and mobility related applications</t>
  </si>
  <si>
    <t xml:space="preserve">https://www.edpb.europa.eu/system/files/documents/2021-03/edpb_guidelines_202001_connected_vehicles_v2.0_adopted_en.pdf</t>
  </si>
  <si>
    <t xml:space="preserve">Guidelines 8/2020 on the targeting of social media users</t>
  </si>
  <si>
    <t xml:space="preserve">2021-04-13</t>
  </si>
  <si>
    <t xml:space="preserve">https://www.edpb.europa.eu/system/files/documents/2021-04/edpb_guidelines_082020_on_the_targeting_of_social_media_users_en.pdf</t>
  </si>
  <si>
    <t xml:space="preserve">Recommendations 02/2021 on the legal basis for the storage of credit card data for the sole purpose of facilitating further online transactions</t>
  </si>
  <si>
    <t xml:space="preserve">2021-05-19</t>
  </si>
  <si>
    <t xml:space="preserve">https://www.edpb.europa.eu/system/files/documents/2021-05/recommendations022021_on_storage_of_credit_card_data_en_1.pdf</t>
  </si>
  <si>
    <t xml:space="preserve">Recommendations 01/2020 on measures that supplement transfer tools to ensure compliance with the EU level of protection of personal data</t>
  </si>
  <si>
    <t xml:space="preserve">https://www.edpb.europa.eu/system/files/documents/2021-06/edpb_recommendations_202001vo.2.0_supplementarymeasurestransferstools_en.pdf</t>
  </si>
  <si>
    <t xml:space="preserve">Guidelines 02/2021 on virtual voice assistants</t>
  </si>
  <si>
    <t xml:space="preserve">https://www.edpb.europa.eu/system/files/documents/2021-07/edpb_guidelines_202102_on_vva_v2.0_adopted_en.pdf</t>
  </si>
  <si>
    <t xml:space="preserve">Guidelines 07/2020 on the concepts of controller and processor in the GDPR</t>
  </si>
  <si>
    <t xml:space="preserve">https://www.edpb.europa.eu/system/files/documents/2023-10/EDPB_guidelines_202007_controllerprocessor_final_en.pdf</t>
  </si>
  <si>
    <t xml:space="preserve">Guidelines 10/2020 on restrictions under Article 23 GDPR</t>
  </si>
  <si>
    <t xml:space="preserve">2021-10-13</t>
  </si>
  <si>
    <t xml:space="preserve">https://www.edpb.europa.eu/system/files/2026-04/edpb_guidelines202010_on_art23_adopted_after_consultation_en.pdf</t>
  </si>
  <si>
    <t xml:space="preserve">Guidelines 01/2021 on Examples regarding Personal Data Breach Notification</t>
  </si>
  <si>
    <t xml:space="preserve">2022-01-03</t>
  </si>
  <si>
    <t xml:space="preserve">https://www.edpb.europa.eu/system/files/documents/2022-01/edpb_guidelines_012021_pdbnotification_adopted_en.pdf</t>
  </si>
  <si>
    <t xml:space="preserve">Guidelines 04/2021 on Codes of Conduct as tools for transfers</t>
  </si>
  <si>
    <t xml:space="preserve">2022-02-22</t>
  </si>
  <si>
    <t xml:space="preserve">https://www.edpb.europa.eu/system/files/documents/2022-03/edpb_guidelines_codes_conduct_transfers_after_public_consultation_en_1.pdf</t>
  </si>
  <si>
    <t xml:space="preserve">Guidelines 02/2022 on the application of Article 60 GDPR</t>
  </si>
  <si>
    <t xml:space="preserve">2022-03-14</t>
  </si>
  <si>
    <t xml:space="preserve">https://www.edpb.europa.eu/system/files/documents/2022-03/guidelines_202202_on_the_application_of_article_60_gdpr_en.pdf</t>
  </si>
  <si>
    <t xml:space="preserve">Guidelines 06/2022 on the practical implementation of amicable settlements</t>
  </si>
  <si>
    <t xml:space="preserve">2022-05-12</t>
  </si>
  <si>
    <t xml:space="preserve">https://www.edpb.europa.eu/system/files/documents/2022-06/edpb_guidelines_202206_on_the_practical_implementation_of_amicable_settlements_en.pdf</t>
  </si>
  <si>
    <t xml:space="preserve">Guidelines 03/2022 on deceptive design patterns in social media platform interfaces: how to recognise and avoid them</t>
  </si>
  <si>
    <t xml:space="preserve">2023-02-24</t>
  </si>
  <si>
    <t xml:space="preserve">https://www.edpb.europa.eu/system/files/documents/2023-02/edpb_03-2022_guidelines_on_deceptive_design_patterns_in_social_media_platform_interfaces_v2_en_0.pdf</t>
  </si>
  <si>
    <t xml:space="preserve">Guidelines 05/2021 on the Interplay between the application of Article 3 and the provisions on international transfers as per Chapter V of the GDPR</t>
  </si>
  <si>
    <t xml:space="preserve">https://www.edpb.europa.eu/system/files/documents/2023-02/edpb_guidelines_05-2021_interplay_between_the_application_of_art3-chapter_v_of_the_gdpr_v2_en_0.pdf</t>
  </si>
  <si>
    <t xml:space="preserve">Guidelines 07/2022 on certification as a tool for transfers</t>
  </si>
  <si>
    <t xml:space="preserve">https://www.edpb.europa.eu/system/files/documents/2023-02/edpb_guidelines_07-2022_on_certification_as_a_tool_for_transfers_v2_en_0.pdf</t>
  </si>
  <si>
    <t xml:space="preserve">Guidelines 9/2022 on personal data breach notification under GDPR</t>
  </si>
  <si>
    <t xml:space="preserve">https://www.edpb.europa.eu/system/files/documents/2023-04/edpb_guidelines_202209_personal_data_breach_notification_v2.0_en.pdf</t>
  </si>
  <si>
    <t xml:space="preserve">Guidelines 01/2022 on data subject rights - Right of access</t>
  </si>
  <si>
    <t xml:space="preserve">2023-04-17</t>
  </si>
  <si>
    <t xml:space="preserve">https://www.edpb.europa.eu/system/files/documents/2023-04/edpb_guidelines_202201_data_subject_rights_access_v2_en.pdf</t>
  </si>
  <si>
    <t xml:space="preserve">Guidelines 8/2022 on identifying a controller or processor’s lead supervisory authority</t>
  </si>
  <si>
    <t xml:space="preserve">https://www.edpb.europa.eu/system/files/documents/2023-04/edpb_guidelines_202208_identifying_lsa_targeted_update_v2_en.pdf</t>
  </si>
  <si>
    <t xml:space="preserve">Guidelines 05/2022 on the use of facial recognition technology in the area of law enforcement</t>
  </si>
  <si>
    <t xml:space="preserve">https://www.edpb.europa.eu/system/files/documents/2023-05/edpb_guidelines_202304_frtlawenforcement_v2_en.pdf</t>
  </si>
  <si>
    <t xml:space="preserve">Guidelines 03/2021 on the application of Article 65(1)(a) GDPR</t>
  </si>
  <si>
    <t xml:space="preserve">2023-05-24</t>
  </si>
  <si>
    <t xml:space="preserve">https://www.edpb.europa.eu/system/files/documents/2023-06/edpb_guidelines_202103_article65-1-a_v2_en.pdf</t>
  </si>
  <si>
    <t xml:space="preserve">Guidelines 04/2022 on the calculation of administrative fines under the GDPR</t>
  </si>
  <si>
    <t xml:space="preserve">https://www.edpb.europa.eu/system/files/documents/2023-06/edpb_guidelines_042022_calculationofadministrativefines_en.pdf</t>
  </si>
  <si>
    <t xml:space="preserve">Recommendations 1/2022 on the Application for Approval and on the elements and principles to be found in Controller Binding Corporate Rules (Art. 47 GDPR)</t>
  </si>
  <si>
    <t xml:space="preserve">https://www.edpb.europa.eu/system/files/documents/2023-06/edpb_recommendations_20221_bcr-c_v2_en.pdf</t>
  </si>
  <si>
    <t xml:space="preserve">Recommendations 1/2025 on the 2027 WADA World Anti-Doping Code</t>
  </si>
  <si>
    <t xml:space="preserve">https://www.edpb.europa.eu/system/files/documents/2025-02/edpb_recommendations_202501_wada_2027_world_anti-doping_code_en.pdf</t>
  </si>
  <si>
    <t xml:space="preserve">Guidelines 02/2024 on Article 48 GDPR</t>
  </si>
  <si>
    <t xml:space="preserve">https://www.edpb.europa.eu/system/files/documents/2025-06/edpb_guidelines_202402_article48_v2_en.pdf</t>
  </si>
  <si>
    <t xml:space="preserve">Guidelines 02/2025 on processing of personal data through blockchain technologies</t>
  </si>
  <si>
    <t xml:space="preserve">2026-07-07</t>
  </si>
  <si>
    <t xml:space="preserve">https://www.edpb.europa.eu/system/files/2026-07/edpb_guidelines_202502_blockchain_v2_en.pdf</t>
  </si>
  <si>
    <t xml:space="preserve">Recommendations 01/2021 on the adequacy referential under the Law Enforcement Directive</t>
  </si>
  <si>
    <t xml:space="preserve">2021-02-02</t>
  </si>
  <si>
    <t xml:space="preserve">https://www.edpb.europa.eu/system/files/documents/files/file1/recommendations012021onart.36led.pdf_en.pdf</t>
  </si>
  <si>
    <t xml:space="preserve">Guidelines 01/2023 on Article 37 Law Enforcement Directive</t>
  </si>
  <si>
    <t xml:space="preserve">https://www.edpb.europa.eu/system/files/documents/2024-06/edpb-guidelines-202301_art_37_led_final_0_en.pdf</t>
  </si>
  <si>
    <t xml:space="preserve">EBA</t>
  </si>
  <si>
    <t xml:space="preserve">Guidelines on authorisation and registration under PSD2 (EBA/GL/2017/09)</t>
  </si>
  <si>
    <t xml:space="preserve">https://www.eba.europa.eu/sites/default/files/documents/10180/1904583/f0e94433-f59b-4c24-9cec-2d6a2277b62c/Final%20Guidelines%20on%20Authorisations%20of%20Payment%20Institutions%20%28EBA-GL-2017-09%29.pdf</t>
  </si>
  <si>
    <t xml:space="preserve">measured on the final report (includes rationale and consultation feedback); non-binding guidance; 'should' is its usual verb (should_count)</t>
  </si>
  <si>
    <t xml:space="preserve">Guidelines on the criteria on how to stipulate the minimum monetary amount of the PII under PSD2 (EBA/GL/2017/08)</t>
  </si>
  <si>
    <t xml:space="preserve">https://www.eba.europa.eu/documents/10180/1901998/6411f24d-e430-4e05-ab03-1393a3f865cb/Final%20Guidelines%20on%20PII%20under%20PSD2%20(EBA-GL-2017-08).pdf</t>
  </si>
  <si>
    <t xml:space="preserve">Guidelines on the conditions to benefit from an exemption from the contingency mechanism (EBA/GL/2018/07)</t>
  </si>
  <si>
    <t xml:space="preserve">https://www.eba.europa.eu/sites/default/files/documents/10180/2250578/4e3b9449-ecf9-4756-8006-cbbe74db6d03/Final%20Report%20on%20Guidelines%20on%20the%20exemption%20to%20the%20fall%20back.pdf</t>
  </si>
  <si>
    <t xml:space="preserve">Final revised Guidelines on major incident reporting under PSD2.pdf</t>
  </si>
  <si>
    <t xml:space="preserve">10 June 2021</t>
  </si>
  <si>
    <t xml:space="preserve">https://www.eba.europa.eu/sites/default/files/document_library/Publications/Guidelines/2021/Guidelines%20on%20major%20incident%20reporting%20under%20PSD2%20EBA-GL-2021-03/1014562/Final%20revised%20Guidelines%20on%20major%20incident%20reporting%20under%20PSD2.pdf</t>
  </si>
  <si>
    <t xml:space="preserve">Final report on amending Guidelines on ICT risk and security management</t>
  </si>
  <si>
    <t xml:space="preserve">11 February 2025</t>
  </si>
  <si>
    <t xml:space="preserve">https://www.eba.europa.eu/sites/default/files/2025-02/23684f95-f669-4852-94a0-dac6c2ae67ad/Final%20report%20on%20amending%20GLs%20on%20ICT%20risk%20and%20security.pdf</t>
  </si>
  <si>
    <t xml:space="preserve">EBA GL 2017 17-CT - (updated) - GLs on security measures for operational and security risks of payment services.pdf</t>
  </si>
  <si>
    <t xml:space="preserve">14 January 2020</t>
  </si>
  <si>
    <t xml:space="preserve">https://www.eba.europa.eu/sites/default/files/document_library//EBA%20GL%202017%2017-CT%20-%20%28updated%29%20-%20GLs%20on%20security%20measures%20for%20operational%20and%20security%20risks%20of%20payment%20services.pdf</t>
  </si>
  <si>
    <t xml:space="preserve">Final report on Guidelines on fraud reporting under Article 96(6) PSD2 (EBA-GL-2018-05)</t>
  </si>
  <si>
    <t xml:space="preserve">18 July 2018</t>
  </si>
  <si>
    <t xml:space="preserve">https://www.eba.europa.eu/sites/default/files/documents/10180/2281937/5653b876-90c9-476f-9f44-507f5f3e0a1e/Final%20report%20on%20Guidelines%20on%20fraud%20reporting%20under%20Article%2096%286%29%20PSD2%20%28EBA-GL-2018-05%29.pdf</t>
  </si>
  <si>
    <t xml:space="preserve">Consolidated version of EBA ameding Guidelines on ICT and security risk management</t>
  </si>
  <si>
    <t xml:space="preserve">19 May 2026</t>
  </si>
  <si>
    <t xml:space="preserve">https://www.eba.europa.eu/sites/default/files/2026-05/c8fb6168-0aef-42f6-8da9-114a8baf21b9/Consolidated%20version%20of%20EBA%20ameding%20Guidelines%20on%20ICT%20and%20security%20risk%20management.pdf</t>
  </si>
  <si>
    <t xml:space="preserve">Guidelines amending Guidelines on equivalence of confidentiality regimes</t>
  </si>
  <si>
    <t xml:space="preserve">22 December 2025</t>
  </si>
  <si>
    <t xml:space="preserve">https://www.eba.europa.eu/sites/default/files/2025-12/28a8651c-3e1f-4e38-88aa-959185dd1043/Guidelines%20amending%20Guidelines%20on%20equivalence%20of%20confidentiality%20regimes.pdf</t>
  </si>
  <si>
    <t xml:space="preserve">Final report on draft Guidelines on the limited network exclusion under PSD2.pdf</t>
  </si>
  <si>
    <t xml:space="preserve">24 February 2022</t>
  </si>
  <si>
    <t xml:space="preserve">https://www.eba.europa.eu/sites/default/files/document_library/Publications/Guidelines/2022/EBA-GL-2022-02%20GL%20on%20limited%20network%20exclusions/1027516/Final%20report%20on%20draft%20Guidelines%20on%20the%20limited%20network%20exclusion%20under%20PSD2.pdf</t>
  </si>
  <si>
    <t xml:space="preserve">Guidelines on equivalence of confidentiality regimes.pdf</t>
  </si>
  <si>
    <t xml:space="preserve">3 May 2022</t>
  </si>
  <si>
    <t xml:space="preserve">https://www.eba.europa.eu/sites/default/files/document_library/Publications/Guidelines/2022/Guidelines%20on%20the%20equivalence%20of%20confidentiality%20regimes/1032151/Guidelines%20on%20equivalence%20of%20confidentiality%20regimes.pdf</t>
  </si>
  <si>
    <t xml:space="preserve">Guidelines 06/2020 on the interplay of the Second Payment Services Directive and the GDPR</t>
  </si>
  <si>
    <t xml:space="preserve">https://www.edpb.europa.eu/system/files/documents/files/file1/edpb_guidelines_202006_psd2_afterpublicconsultation_en.pdf</t>
  </si>
  <si>
    <t xml:space="preserve">also relates to 32016R0679; non-binding guidance; 'should' is its usual verb (should_count)</t>
  </si>
  <si>
    <t xml:space="preserve">ESMA</t>
  </si>
  <si>
    <t xml:space="preserve">Guidelines on standard forms, formats and templates to apply for permission to operate a DLT market infrastructure</t>
  </si>
  <si>
    <t xml:space="preserve">2023-03-08</t>
  </si>
  <si>
    <t xml:space="preserve">https://www.esma.europa.eu/sites/default/files/library/ESMA70-460-213_DLTR_GLs_on_application_standard_forms_formats_templates.pdf</t>
  </si>
  <si>
    <t xml:space="preserve">ESAs Guidelines on templates for explanations and opinions, and the standardised test for the classification of crypto-assets</t>
  </si>
  <si>
    <t xml:space="preserve">10 December 2024</t>
  </si>
  <si>
    <t xml:space="preserve">https://www.eba.europa.eu/sites/default/files/2024-12/f4d876e5-5351-4314-b45f-ac3cd702f95b/Joint%20ESA%20Final%20Report%20on%20Art%2097%20Guidelines%20MiCAR.pdf</t>
  </si>
  <si>
    <t xml:space="preserve">Final report on Guidelines on reporting on ARTs and EMTs</t>
  </si>
  <si>
    <t xml:space="preserve">18 December 2024</t>
  </si>
  <si>
    <t xml:space="preserve">https://www.eba.europa.eu/sites/default/files/2024-12/907cde4b-7d25-4f41-b1ef-bb0a469f00ac/Final%20report%20on%20Guidelines%20on%20reporting%20on%20ARTs%20and%20EMTs.pdf</t>
  </si>
  <si>
    <t xml:space="preserve">Final Report on Guidelines on liquidity stress testing under MiCAR</t>
  </si>
  <si>
    <t xml:space="preserve">19 June 2024</t>
  </si>
  <si>
    <t xml:space="preserve">https://www.eba.europa.eu/sites/default/files/2024-06/2bd7add3-35b1-40d7-9c45-67c8cccbe97a/Final%20report%20on%20Guidelines%20on%20liquidity%20stress%20testing%20under%20MiCAR.pdf</t>
  </si>
  <si>
    <t xml:space="preserve">Joint EBA and ESMA Guidelines on suitability of management body and qualifying holdings under MiCAR</t>
  </si>
  <si>
    <t xml:space="preserve">27 June 2024</t>
  </si>
  <si>
    <t xml:space="preserve">https://www.eba.europa.eu/sites/default/files/2024-06/2a0668ab-5d70-495a-a723-f6568fe8c830/Joint%20GL%20suitability%20members%20management%20body%20and%20QH%20%28MiCAR%29.pdf</t>
  </si>
  <si>
    <t xml:space="preserve">Amending Guidelines for the identification of global systemically important institutions.pdf</t>
  </si>
  <si>
    <t xml:space="preserve">29 September 2022</t>
  </si>
  <si>
    <t xml:space="preserve">https://www.eba.europa.eu/sites/default/files/document_library/Publications/Guidelines/2022/EBA-GL-2022-12%20Amending%20Guidelines%20on%20the%20specification%20and%20disclosure%20of%20systemic%20importance%20indicators/1039906/Amending%20Guidelines%20on%20the%20specification%20and%20disclosure%20of%20systemic%20importance%20indicators.pdf</t>
  </si>
  <si>
    <t xml:space="preserve">Final report on Guidelines on the minimum content of the governance arrangements for issuers of asset-referenced tokens</t>
  </si>
  <si>
    <t xml:space="preserve">6 June 2024</t>
  </si>
  <si>
    <t xml:space="preserve">https://www.eba.europa.eu/sites/default/files/2024-06/611ef3d4-4d67-467f-bf0d-4c2b1dd0ef5e/Final%20report%20on%20draft%20Guidelines%20on%20internal%20governance%20of%20issuers%20of%20ARTs.pdf</t>
  </si>
  <si>
    <t xml:space="preserve">Final report on Guidelines on redemption plans under MiCAR</t>
  </si>
  <si>
    <t xml:space="preserve">9 October 2024</t>
  </si>
  <si>
    <t xml:space="preserve">https://www.eba.europa.eu/sites/default/files/2024-10/f8fda168-4d97-4549-9cfe-46d1d1a27636/Final%20report%20on%20Guidelines%20on%20redemption%20plans%20under%20MiCAR.pdf</t>
  </si>
  <si>
    <t xml:space="preserve">Guidelines on the conditions and criteria for the qualification of crypto-assets as financial instruments (final report)</t>
  </si>
  <si>
    <t xml:space="preserve">https://www.esma.europa.eu/sites/default/files/2024-12/ESMA75453128700-1323_Final_Report_Guidelines_on_the_conditions_and_criteria_for_the_qualification_of_CAs_as_FIs.pdf</t>
  </si>
  <si>
    <t xml:space="preserve">Guidelines on transfer services for crypto-assets under MiCA</t>
  </si>
  <si>
    <t xml:space="preserve">https://www.esma.europa.eu/sites/default/files/2025-02/ESMA35-1872330276-2032_Guidelines_on_transfer_services_for_crypto-assets_under_MiCA.pdf</t>
  </si>
  <si>
    <t xml:space="preserve">Guidelines on reverse solicitation under MiCA</t>
  </si>
  <si>
    <t xml:space="preserve">https://www.esma.europa.eu/sites/default/files/2025-02/ESMA35-1872330276-2030_Guidelines_on_reverse_solicitation_under_MiCA.pdf</t>
  </si>
  <si>
    <t xml:space="preserve">Guidelines on maintenance of systems and security access protocols under MiCA</t>
  </si>
  <si>
    <t xml:space="preserve">https://www.esma.europa.eu/sites/default/files/2025-02/ESMA75-223375936-6132_Guidelines_on_maintenance_of_systems_and_security_access_protocols_under_MiCA.pdf</t>
  </si>
  <si>
    <t xml:space="preserve">Guidelines on certain aspects of the suitability requirements and format of the periodic statement for portfolio management activities under MiCA</t>
  </si>
  <si>
    <t xml:space="preserve">https://www.esma.europa.eu/sites/default/files/2025-03/ESMA35-1872330276-2031_Guidelines_on_suitability_and_periodic_statement_MiCA.pdf</t>
  </si>
  <si>
    <t xml:space="preserve">Guidelines on supervisory practices to prevent and detect market abuse under MiCA</t>
  </si>
  <si>
    <t xml:space="preserve">https://www.esma.europa.eu/sites/default/files/2025-07/ESMA75-453128700-1039_Guidelines_on_supervisory_practices_to_prevent_and_detect_market_abuse__MiCA_.pdf</t>
  </si>
  <si>
    <t xml:space="preserve">Guidelines for the criteria on the assessment of knowledge and competence under the Markets in Crypto Assets Regulation (MiCA)</t>
  </si>
  <si>
    <t xml:space="preserve">https://www.esma.europa.eu/sites/default/files/2026-01/ESMA35-24871704-2922_Guidelines_for_the_criteria_on_the_assessment_of_knowledge_and_competence_under_MiCA.pdf</t>
  </si>
  <si>
    <t xml:space="preserve">Joint Guidelines on the estimation of aggregated costs/losses caused by major ICT-related incidents</t>
  </si>
  <si>
    <t xml:space="preserve">17 July 2024</t>
  </si>
  <si>
    <t xml:space="preserve">https://www.eba.europa.eu/sites/default/files/2024-07/48958acb-1c6d-40f0-9784-961713759972/JC%202024-34%20-%20Final%20report%20GL%20on%20costs%20and%20losses.pdf</t>
  </si>
  <si>
    <t xml:space="preserve">Joint Guidelines on oversight cooperation</t>
  </si>
  <si>
    <t xml:space="preserve">https://www.eba.europa.eu/sites/default/files/2024-07/e0701aa1-d1a5-4996-8b30-5a933d15058e/JC%202024-36%20-%20Final%20report%20on%20GL%20on%20oversight%20cooperation.pdf</t>
  </si>
  <si>
    <t xml:space="preserve">joint guidelines, also published by ESMA; measured on the final report (includes rationale and consultation feedback); non-binding guidance; 'should' is its usual verb (should_count)</t>
  </si>
  <si>
    <t xml:space="preserve">Guidelines 3/2025 on the interplay between the DSA and the GDPR</t>
  </si>
  <si>
    <t xml:space="preserve">2026-09-17</t>
  </si>
  <si>
    <t xml:space="preserve">https://www.edpb.europa.eu/system/files/2026-09/edpb_guidelines_202503_interplay-dsa-gdpr_v2_en.pdf</t>
  </si>
  <si>
    <t xml:space="preserve">benchmark</t>
  </si>
  <si>
    <t xml:space="preserve">variant</t>
  </si>
  <si>
    <t xml:space="preserve">words</t>
  </si>
  <si>
    <t xml:space="preserve">obligation</t>
  </si>
  <si>
    <t xml:space="preserve">prohibition</t>
  </si>
  <si>
    <t xml:space="preserve">explicit_requirement</t>
  </si>
  <si>
    <t xml:space="preserve">restrictions_per_1000_words</t>
  </si>
  <si>
    <t xml:space="preserve">private_parties</t>
  </si>
  <si>
    <t xml:space="preserve">US_States</t>
  </si>
  <si>
    <t xml:space="preserve">federal_government_regulators</t>
  </si>
  <si>
    <t xml:space="preserve">unclear</t>
  </si>
  <si>
    <t xml:space="preserve">validation_precision</t>
  </si>
  <si>
    <t xml:space="preserve">precision_adjusted_restrictions</t>
  </si>
  <si>
    <t xml:space="preserve">SOX</t>
  </si>
  <si>
    <t xml:space="preserve">all text</t>
  </si>
  <si>
    <t xml:space="preserve">Public Law 107-204 (116 Stat. 745), 30 July 2002; PDF from govinfo.gov supplied by the user. Hand-coded by Claude. US-specific exclusions (remain in effect, be available, be treated as, be fined/imprisoned, as it shall determine, term lengths, saving/preemption) were added after the 50-item tuning sample; the 40-item sample is fresh.</t>
  </si>
  <si>
    <t xml:space="preserve">excluding inserted text</t>
  </si>
  <si>
    <t xml:space="preserve">Excludes text inserted into other statutes (in quotation marks), mirroring how quoted amending text is skipped for EU acts</t>
  </si>
  <si>
    <t xml:space="preserve">EU comparison (105 adopted acts, original texts)</t>
  </si>
  <si>
    <t xml:space="preserve">mean per act</t>
  </si>
  <si>
    <t xml:space="preserve">Words = articles + annexes (no recitals), comparable to a US statute's text</t>
  </si>
  <si>
    <t xml:space="preserve">type</t>
  </si>
  <si>
    <t xml:space="preserve">objective</t>
  </si>
  <si>
    <t xml:space="preserve">indicator / promised impact</t>
  </si>
  <si>
    <t xml:space="preserve">target or baseline</t>
  </si>
  <si>
    <t xml:space="preserve">evidence found</t>
  </si>
  <si>
    <t xml:space="preserve">status_group</t>
  </si>
  <si>
    <t xml:space="preserve">sources</t>
  </si>
  <si>
    <t xml:space="preserve">The 1987 proposal predates financial statements with indicators; no monitoring indicators or review clause were set</t>
  </si>
  <si>
    <t xml:space="preserve">objective (recitals)</t>
  </si>
  <si>
    <t xml:space="preserve">Coordinated pan-European digital mobile service</t>
  </si>
  <si>
    <t xml:space="preserve">Reserve 890-915/935-960 MHz for a single pan-European digital system (GSM) so terminals and networks work across borders</t>
  </si>
  <si>
    <t xml:space="preserve">GSM became the dominant world standard; cross-country econometric work finds the analogue-to-digital switch (with more spectrum) had a major effect on EU mobile diffusion, but a single mandated digital standard had no significant extra effect on diffusion compared with competing standards elsewhere.</t>
  </si>
  <si>
    <t xml:space="preserve">mixed evidence</t>
  </si>
  <si>
    <t xml:space="preserve">Gruber &amp; Verboven 2001a, 2001b</t>
  </si>
  <si>
    <t xml:space="preserve">expected impact (2009 amendment)</t>
  </si>
  <si>
    <t xml:space="preserve">Spectrum flexibility</t>
  </si>
  <si>
    <t xml:space="preserve">Opening the 900 MHz band to UMTS and later technologies (Directive 2009/114/EC)</t>
  </si>
  <si>
    <t xml:space="preserve">Industry capital savings up to EUR 1.6bn (Commission estimate)</t>
  </si>
  <si>
    <t xml:space="preserve">Not evaluated ex post; the figure is a Commission forecast reported in the trade press.</t>
  </si>
  <si>
    <t xml:space="preserve">not measured</t>
  </si>
  <si>
    <t xml:space="preserve">telecoms.com 2009</t>
  </si>
  <si>
    <t xml:space="preserve">The 1990 proposal has no indicators section; Article 9 required a Commission report five years after transposition</t>
  </si>
  <si>
    <t xml:space="preserve">Consumer protection</t>
  </si>
  <si>
    <t xml:space="preserve">Unfair standard terms not binding on consumers; plain, intelligible drafting</t>
  </si>
  <si>
    <t xml:space="preserve">2000 report: injunction actions in mobile, cable/satellite TV, car rental and timeshare mostly led traders to change terms, but traders rarely gave consumers terms in advance. 2017 fitness check: largely fit for purpose. 2024 fitness check: limited effectiveness online; legal analysis finds many big online service terms likely unfair.</t>
  </si>
  <si>
    <t xml:space="preserve">reported as activity</t>
  </si>
  <si>
    <t xml:space="preserve">COM(2000) 248; SWD(2017) 209; SWD(2024) 230; Loos &amp; Luzak 2016</t>
  </si>
  <si>
    <t xml:space="preserve">Single market</t>
  </si>
  <si>
    <t xml:space="preserve">Common minimum rules to encourage cross-border purchases</t>
  </si>
  <si>
    <t xml:space="preserve">No measurement of cross-border effects attributable to the Directive found.</t>
  </si>
  <si>
    <t xml:space="preserve">cost (evaluation)</t>
  </si>
  <si>
    <t xml:space="preserve">Compliance costs</t>
  </si>
  <si>
    <t xml:space="preserve">Proportionate costs for traders</t>
  </si>
  <si>
    <t xml:space="preserve">2024 fitness check: combined compliance costs of UCPD, CRD and UCTD about EUR 511-737m a year; only 10-18% of traders report high costs.</t>
  </si>
  <si>
    <t xml:space="preserve">measured</t>
  </si>
  <si>
    <t xml:space="preserve">SWD(2024) 230</t>
  </si>
  <si>
    <t xml:space="preserve">The 1991 proposal has no indicators section; the Directive required a Commission report on its application</t>
  </si>
  <si>
    <t xml:space="preserve">Cross-border broadcasting</t>
  </si>
  <si>
    <t xml:space="preserve">Country-of-origin rule for satellite broadcasts to ease rights clearance and cross-border reception</t>
  </si>
  <si>
    <t xml:space="preserve">2002 report: correctly transposed, but rightholders still license territorially (encryption), so practice is not in line with the country-of-origin principle. 2016 evaluation: mechanisms helped clear rights for satellite broadcasts, but are technology-specific and do not reach online transmission.</t>
  </si>
  <si>
    <t xml:space="preserve">COM(2002) 430; SWD(2016) 308</t>
  </si>
  <si>
    <t xml:space="preserve">Cable retransmission</t>
  </si>
  <si>
    <t xml:space="preserve">Mandatory collective management to clear retransmission rights</t>
  </si>
  <si>
    <t xml:space="preserve">Reported as contributing to cross-border retransmission; some rightholders say they lose income; long mediation disputes.</t>
  </si>
  <si>
    <t xml:space="preserve">COM(2002) 430</t>
  </si>
  <si>
    <t xml:space="preserve">baseline (2016 IA)</t>
  </si>
  <si>
    <t xml:space="preserve">Online availability</t>
  </si>
  <si>
    <t xml:space="preserve">Cross-border availability of broadcasters' online services</t>
  </si>
  <si>
    <t xml:space="preserve">82% of public and 62% of commercial broadcasters geo-block at least one online service (sector inquiry)</t>
  </si>
  <si>
    <t xml:space="preserve">Led to Directive (EU) 2019/789; its review was due June 2025 (not found).</t>
  </si>
  <si>
    <t xml:space="preserve">SWD(2016) 301</t>
  </si>
  <si>
    <t xml:space="preserve">The 1992 proposal (COM(92) 24) predates impact assessments and set no indicators. Article 16(3) required periodic Commission reviews of whether the sui generis right led to abuse of a dominant position or other interference with free competition</t>
  </si>
  <si>
    <t xml:space="preserve">objective (proposal / recitals)</t>
  </si>
  <si>
    <t xml:space="preserve">Stimulate investment in and production of databases in Europe</t>
  </si>
  <si>
    <t xml:space="preserve">Growth in EU database production and competitiveness vs the US</t>
  </si>
  <si>
    <t xml:space="preserve">Measured and negative/flat: the 2005 evaluation found EU-based entries in the Gale Directory of Databases back at pre-Directive levels by 2004 (3,095 vs 3,092 in 1998, after a 4,085 peak in 2001) and the EU/US production ratio worsening from about 1:2 (1996) to 1:3 (2004). The 2018 evaluation again found 'no proven impact on the overall production of databases in Europe, nor on the competitiveness of the EU database industry'.</t>
  </si>
  <si>
    <t xml:space="preserve">DG MARKT 2005; SWD(2018) 146/147</t>
  </si>
  <si>
    <t xml:space="preserve">Harmonise national protection regimes</t>
  </si>
  <si>
    <t xml:space="preserve">Reduced fragmentation of database protection</t>
  </si>
  <si>
    <t xml:space="preserve">Commission's 2018 evaluation judges harmonisation effective, helped by CJEU case law; based on qualitative assessment and stakeholder input.</t>
  </si>
  <si>
    <t xml:space="preserve">SWD(2018) 146/147</t>
  </si>
  <si>
    <t xml:space="preserve">objective (Art. 16(3))</t>
  </si>
  <si>
    <t xml:space="preserve">Balance between makers and users; no significant interference with competition</t>
  </si>
  <si>
    <t xml:space="preserve">2018 evaluation found costs and benefits 'moderate', benefits 'seem to be higher', no significant regulatory burdens; after the 2004 CJEU rulings the right does not cover by-product data, limiting effects on the data economy. Not quantified.</t>
  </si>
  <si>
    <t xml:space="preserve">partially measured</t>
  </si>
  <si>
    <t xml:space="preserve">SWD(2018) 146/147; Technopolis/JIIP 2018</t>
  </si>
  <si>
    <t xml:space="preserve">The 1995 proposal has no indicators section; the Directive required a Commission report on its application, particularly by small retailers</t>
  </si>
  <si>
    <t xml:space="preserve">Price transparency</t>
  </si>
  <si>
    <t xml:space="preserve">Selling price and unit price shown for all products to ease comparison</t>
  </si>
  <si>
    <t xml:space="preserve">2006 communication: transposed in all Member States without major problems, but exemptions diverge widely. 2017 fitness check: rules largely fit for purpose.</t>
  </si>
  <si>
    <t xml:space="preserve">COM(2006) 325; SWD(2017) 209</t>
  </si>
  <si>
    <t xml:space="preserve">objective (2019 amendment, Art. 6a)</t>
  </si>
  <si>
    <t xml:space="preserve">Genuine price reductions</t>
  </si>
  <si>
    <t xml:space="preserve">Announced reductions must show the lowest price of the previous 30 days</t>
  </si>
  <si>
    <t xml:space="preserve">Nov 2022 CPC sweep: 23% of 16,000 price-reduction announcements on 176 websites breached Art. 6a, on at least 43% of sites; Swedish 2023 check: 70% of firms with reductions infringed.</t>
  </si>
  <si>
    <t xml:space="preserve">COM(2024) 258</t>
  </si>
  <si>
    <t xml:space="preserve">The 1998 proposal predates impact assessments and financial-statement indicators; no quantified targets were set. Art. 21 required a report every two years (only the 2003 report was issued); a full evaluation was annexed to the 2020 DSA impact assessment</t>
  </si>
  <si>
    <t xml:space="preserve">objective (proposal)</t>
  </si>
  <si>
    <t xml:space="preserve">Internal market for information society services</t>
  </si>
  <si>
    <t xml:space="preserve">Free cross-border provision of online services under the country-of-origin principle</t>
  </si>
  <si>
    <t xml:space="preserve">2020 evaluation: the Directive 'enabled growth and accessibility of digital services cross-border' but there is clear evidence of legal fragmentation, national laws with extraterritorial effect and little use of the cooperation mechanism. No quantitative ex-post estimate of its effect on cross-border trade.</t>
  </si>
  <si>
    <t xml:space="preserve">SWD(2020) 348 Annex 5</t>
  </si>
  <si>
    <t xml:space="preserve">Legal certainty for intermediaries (liability safe harbours)</t>
  </si>
  <si>
    <t xml:space="preserve">Conditional liability exemptions for mere conduit, caching and hosting; no general monitoring obligation</t>
  </si>
  <si>
    <t xml:space="preserve">2020 evaluation: liability regime remains the 'key regulatory pillar' but conflicting national court interpretations create significant uncertainty; incentives favour removal over protecting legal content. No causal study of the EU safe harbours' effect on investment or innovation; the main quantitative estimate (Oxera 2015) is a Google-funded simulation.</t>
  </si>
  <si>
    <t xml:space="preserve">SWD(2020) 348; Oxera 2015; Erickson &amp; Kretschmer 2020</t>
  </si>
  <si>
    <t xml:space="preserve">Consumer trust (information, commercial communications, e-contracts)</t>
  </si>
  <si>
    <t xml:space="preserve">Transparency and consumer-facing provisions build trust</t>
  </si>
  <si>
    <t xml:space="preserve">2020 evaluation: these provisions are still relevant and largely complied with, but not measured with outcome data.</t>
  </si>
  <si>
    <t xml:space="preserve">SWD(2020) 348</t>
  </si>
  <si>
    <t xml:space="preserve">The 1997 proposal (COM(97) 628) predates the Commission's impact assessment and financial-statement indicator system; it set no measurable targets. Monitoring relied on the Article 12 review clause</t>
  </si>
  <si>
    <t xml:space="preserve">Harmonisation of rights and exceptions</t>
  </si>
  <si>
    <t xml:space="preserve">Reduce legal fragmentation across Member States so that online content services can operate cross-border</t>
  </si>
  <si>
    <t xml:space="preserve">Commission-commissioned study (IViR 2007) found the harmonising effect of the optional list of exceptions 'very modest at best', producing a 'mosaic' of national rules; the Commission's own 2007 review confirmed very diverse national provisions. The 2016 copyright impact assessment again cited legal uncertainty over exceptions (teaching, text and data mining, preservation) as a major problem, leading to new mandatory exceptions in Directive 2019/790.</t>
  </si>
  <si>
    <t xml:space="preserve">IViR 2007; SEC(2007) 1556; SWD(2016) 301</t>
  </si>
  <si>
    <t xml:space="preserve">Growth and innovation in online content services</t>
  </si>
  <si>
    <t xml:space="preserve">Foster investment in creativity and new online business models</t>
  </si>
  <si>
    <t xml:space="preserve">Never measured quantitatively. The IViR evaluation concluded the Directive had 'at best only partly achieved' its goal of promoting growth and innovation in online content services. No causal study isolates the Directive's effect on creative output or investment.</t>
  </si>
  <si>
    <t xml:space="preserve">IViR 2007</t>
  </si>
  <si>
    <t xml:space="preserve">Technological protection measures (DRM)</t>
  </si>
  <si>
    <t xml:space="preserve">Legal protection of DRM to support new digital distribution models while safeguarding exceptions (Art. 6(4))</t>
  </si>
  <si>
    <t xml:space="preserve">IViR found the DRM rules created 'confusion, legal uncertainty and disharmonisation'; Member States chose widely different mechanisms to safeguard exceptions. Independent evidence from the music industry (Zhang 2018) shows that dropping DRM raised digital sales by about 10%, suggesting DRM did not support sales as assumed.</t>
  </si>
  <si>
    <t xml:space="preserve">IViR 2007; SEC(2007) 1556; Zhang 2018</t>
  </si>
  <si>
    <t xml:space="preserve">expected impact (implicit)</t>
  </si>
  <si>
    <t xml:space="preserve">Research and innovation uses</t>
  </si>
  <si>
    <t xml:space="preserve">Exceptions allow scientific research uses without hampering innovation</t>
  </si>
  <si>
    <t xml:space="preserve">Cross-country bibliometric evidence links copyright regimes that require rightholder consent for data mining (as in most EU states under the InfoSoc list) to a markedly smaller share of data-mining research output (Handke et al. 2015).</t>
  </si>
  <si>
    <t xml:space="preserve">Handke, Guibault &amp; Vallbe 2015</t>
  </si>
  <si>
    <t xml:space="preserve">The 2000 proposal has no indicators section; Article 9 required annual Commission reports on spectrum developments</t>
  </si>
  <si>
    <t xml:space="preserve">Harmonised spectrum availability</t>
  </si>
  <si>
    <t xml:space="preserve">Technical harmonisation decisions via the Radio Spectrum Committee</t>
  </si>
  <si>
    <t xml:space="preserve">14 harmonisation decisions for wireless broadband 2007-2015; 990 MHz harmonised by 2014 and up to 1,268 MHz by 2015, more than other world regions; all measures put to the committee received a positive opinion.</t>
  </si>
  <si>
    <t xml:space="preserve">COM(2014) 228; SWD(2016) 313</t>
  </si>
  <si>
    <t xml:space="preserve">target (RSPP 2012, built on the RSD)</t>
  </si>
  <si>
    <t xml:space="preserve">Wireless broadband spectrum</t>
  </si>
  <si>
    <t xml:space="preserve">At least 1,200 MHz for wireless broadband by 2015</t>
  </si>
  <si>
    <t xml:space="preserve">1,200 MHz</t>
  </si>
  <si>
    <t xml:space="preserve">Harmonised: about 1,268 MHz; but Member States had on average assigned only 708 MHz in 2015 (+77% since 2010).</t>
  </si>
  <si>
    <t xml:space="preserve">SWD(2016) 313</t>
  </si>
  <si>
    <t xml:space="preserve">outcome (2026 IA)</t>
  </si>
  <si>
    <t xml:space="preserve">Timely assignment</t>
  </si>
  <si>
    <t xml:space="preserve">Coordinated availability of harmonised bands across Member States</t>
  </si>
  <si>
    <t xml:space="preserve">5G pioneer bands deadline 31 Dec 2020</t>
  </si>
  <si>
    <t xml:space="preserve">Assignment of 5G pioneer bands spanned over a decade; about half of Member States missed the 2020 deadline; Commission links late assignment to slower 5G coverage.</t>
  </si>
  <si>
    <t xml:space="preserve">SWD(2026) 13</t>
  </si>
  <si>
    <t xml:space="preserve">2000 proposal (COM(2000) 385) predates standard indicators sections; no quantified objectives or indicators were set</t>
  </si>
  <si>
    <t xml:space="preserve">expected impact (evaluation criteria)</t>
  </si>
  <si>
    <t xml:space="preserve">Confidentiality of communications / user control (cookie rule)</t>
  </si>
  <si>
    <t xml:space="preserve">Effectiveness of consent rules</t>
  </si>
  <si>
    <t xml:space="preserve">Commission REFIT evaluation (2017): cookie rule 'not fully effective' - users accept tracking without understanding it, some cookies set without consent; rule also over-inclusive for non-privacy-intrusive cookies.</t>
  </si>
  <si>
    <t xml:space="preserve">measured (qualitative) - not achieved</t>
  </si>
  <si>
    <t xml:space="preserve">SWD(2017) 5/6</t>
  </si>
  <si>
    <t xml:space="preserve">Efficiency</t>
  </si>
  <si>
    <t xml:space="preserve">Supporting study estimates about EUR 658 per business; Commission notes robust cost data largely do not exist.</t>
  </si>
  <si>
    <t xml:space="preserve">SWD(2017) 6</t>
  </si>
  <si>
    <t xml:space="preserve">The 1993 proposal has no indicators section</t>
  </si>
  <si>
    <t xml:space="preserve">Simple, affordable EU-wide design protection</t>
  </si>
  <si>
    <t xml:space="preserve">Unitary registered and unregistered Community design administered by EUIPO</t>
  </si>
  <si>
    <t xml:space="preserve">Steady growth in filings (nearly 1.5m registered Community designs 2003-2019); 2020 evaluation: registration cheaper, simpler and faster than national routes, but system underused and partly outdated for digital designs.</t>
  </si>
  <si>
    <t xml:space="preserve">SWD(2020) 264; EUIPO design focus report 2010-2019 (via search)</t>
  </si>
  <si>
    <t xml:space="preserve">Single market for products embodying designs</t>
  </si>
  <si>
    <t xml:space="preserve">Undistorted competition</t>
  </si>
  <si>
    <t xml:space="preserve">Broadly achieved except spare parts: 12 Member States liberalised, others keep manufacturers' monopoly; market fragmented.</t>
  </si>
  <si>
    <t xml:space="preserve">SWD(2020) 264; SWD(2022) 368</t>
  </si>
  <si>
    <t xml:space="preserve">expected impact (2022 IA)</t>
  </si>
  <si>
    <t xml:space="preserve">Spare parts liberalisation and fee cuts</t>
  </si>
  <si>
    <t xml:space="preserve">Consumer savings from opening must-match spare parts market; fee savings</t>
  </si>
  <si>
    <t xml:space="preserve">EUR 340-544m consumer savings after 10 years; EUR 6m/yr fee savings</t>
  </si>
  <si>
    <t xml:space="preserve">Reform adopted 2024; not yet evaluated.</t>
  </si>
  <si>
    <t xml:space="preserve">SWD(2022) 368</t>
  </si>
  <si>
    <t xml:space="preserve">The 2003 proposal has no indicators section; Article 18 required a Commission report three years after transposition</t>
  </si>
  <si>
    <t xml:space="preserve">Effective civil enforcement of IP rights</t>
  </si>
  <si>
    <t xml:space="preserve">Harmonised measures: evidence, right of information, injunctions, damages, legal costs</t>
  </si>
  <si>
    <t xml:space="preserve">2010 report: 'substantial and positive effect'. 2017 evaluation: improved enforcement conceptually, but econometric models found no statistically measurable effect on litigation indicators; application diverges across courts.</t>
  </si>
  <si>
    <t xml:space="preserve">COM(2010) 779; SWD(2017) 431</t>
  </si>
  <si>
    <t xml:space="preserve">outcome</t>
  </si>
  <si>
    <t xml:space="preserve">Reduce infringement (piracy, counterfeiting)</t>
  </si>
  <si>
    <t xml:space="preserve">Sweden's 2009 implementation cut internet traffic 18% and raised music sales (physical +27%, digital +48%) over six months, with no effect on films; effects faded later. Commission notes counterfeiting still rising EU-wide.</t>
  </si>
  <si>
    <t xml:space="preserve">Adermon &amp; Liang 2014; SWD(2017) 431</t>
  </si>
  <si>
    <t xml:space="preserve">No undue burden</t>
  </si>
  <si>
    <t xml:space="preserve">Evaluation study found no incremental direct costs from the Directive; average firm spends about EUR 115,000 a year on IP enforcement overall.</t>
  </si>
  <si>
    <t xml:space="preserve">SWD(2017) 431</t>
  </si>
  <si>
    <t xml:space="preserve">COM(2002) 711</t>
  </si>
  <si>
    <t xml:space="preserve">The recast proposal (COM(2002) 711, following Green Paper COM(2001) 745) predates the financial-statement indicator system and set no quantified targets. Article 1(4)-(5) required a Commission report on thresholds and referrals (delivered as COM(2009) 281)</t>
  </si>
  <si>
    <t xml:space="preserve">Prevent concentrations that significantly impede effective competition (SIEC test)</t>
  </si>
  <si>
    <t xml:space="preserve">Avoided price increases / reversal of market-power gains</t>
  </si>
  <si>
    <t xml:space="preserve">Mixed. DG Competition estimates EU enforcement saved customers EUR 12-21bn a year (2012-2025), about 60% from merger control, but this is an ex-ante calculation that assumes decisions were correct. Independent event-study evidence (Duso et al. 2011) finds only prohibitions fully reverse anticipated market-power rents; remedies only partly. Cross-country evidence (Genakos et al. 2018) shows 4-to-3 mobile mergers raised prices ~16%, and concentration in EU antitrust markets has risen since 1995 (Affeldt et al. 2021).</t>
  </si>
  <si>
    <t xml:space="preserve">Verouden et al. 2026; Duso et al. 2011; Genakos et al. 2018; Affeldt et al. 2021</t>
  </si>
  <si>
    <t xml:space="preserve">One-stop shop and efficient case allocation via referrals</t>
  </si>
  <si>
    <t xml:space="preserve">2021 evaluation: referral mechanisms 'generally served their objectives well', avoiding many parallel national reviews; 2009 report found thresholds and referrals broadly effective.</t>
  </si>
  <si>
    <t xml:space="preserve">SWD(2021) 66/67; COM(2009) 281</t>
  </si>
  <si>
    <t xml:space="preserve">objective (2013 simplification)</t>
  </si>
  <si>
    <t xml:space="preserve">Reduce administrative burden</t>
  </si>
  <si>
    <t xml:space="preserve">Share of cases under simplified procedure; burden on parties</t>
  </si>
  <si>
    <t xml:space="preserve">2021 evaluation found the 2013 simplification package increased use of the simplified procedure and reduced burden, without quantified savings in the executive summary.</t>
  </si>
  <si>
    <t xml:space="preserve">SWD(2021) 66/67</t>
  </si>
  <si>
    <t xml:space="preserve">Jurisdiction captures all significant concentrations</t>
  </si>
  <si>
    <t xml:space="preserve">Below-threshold acquisitions of innovative/nascent firms ('killer acquisitions')</t>
  </si>
  <si>
    <t xml:space="preserve">2021 evaluation found some cross-border deals involving low-turnover innovative firms escaped review; the Commission's response (accepting Article 22 referrals of deals below national thresholds) was annulled by the Court of Justice in Illumina/Grail (3 Sept 2024). Academic evidence on killer acquisitions is US-based (pharma: 5.3-7.4% of acquisitions).</t>
  </si>
  <si>
    <t xml:space="preserve">SWD(2021) 66/67; CJEU C-611/22 P; Cunningham et al. 2021</t>
  </si>
  <si>
    <t xml:space="preserve">The 2003 UCPD proposal predates the legislative financial statement indicator sections; it set no monitoring indicators. The extended impact assessment framed success as more cross-border marketing and shopping and greater consumer confidence</t>
  </si>
  <si>
    <t xml:space="preserve">expected impact (impact assessment)</t>
  </si>
  <si>
    <t xml:space="preserve">Internal market / consumer confidence</t>
  </si>
  <si>
    <t xml:space="preserve">More consumers buying cross-border and more firms marketing cross-border by replacing fragmented national fairness rules</t>
  </si>
  <si>
    <t xml:space="preserve">Baseline: 13% of consumers made a cross-border purchase in the previous 12 months (Eurobarometer 2002)</t>
  </si>
  <si>
    <t xml:space="preserve">One causal study (difference-in-differences on Eurobarometer data 2006-2014) links UCPD transposition to higher consumer trust and more cross-border purchases, but only in countries that had low protection before. Descriptively, 19.1% of EU individuals bought online from sellers in other EU countries in the last 3 months of 2023 (vs 48.2% from national sellers; Eurostat isoc_ec_ibos) - not comparable with the 2002 baseline and not attributable to the UCPD alone. Commission 2013 report: 52% of consumers interested in cross-border purchases (+19 points vs 2006).</t>
  </si>
  <si>
    <t xml:space="preserve">SEC(2003) 724; Rösner, Haucap &amp; Heimeshoff 2020; COM(2013) 139; Eurostat isoc_ec_ibos</t>
  </si>
  <si>
    <t xml:space="preserve">Fewer unfair (misleading/aggressive) practices and lower consumer detriment</t>
  </si>
  <si>
    <t xml:space="preserve">Detriment remains high: the 2024 Digital Fairness Fitness Check conservatively estimates EUR 7.9bn a year of consumer detriment from problems online (UCPD, CRD and UCTD together). 97% of popular websites/apps used at least one dark pattern (2022 behavioural study); a 2023 CPC sweep found dark patterns in 148 of 399 online shops. Earlier sweeps: about 80% of websites found in breach were corrected after enforcement (2013 report).</t>
  </si>
  <si>
    <t xml:space="preserve">measured (outcome not improving online)</t>
  </si>
  <si>
    <t xml:space="preserve">SWD(2024) 230/231; Lupiáñez-Villanueva et al. 2022; CPC sweep 2023; COM(2013) 139</t>
  </si>
  <si>
    <t xml:space="preserve">Burden on business</t>
  </si>
  <si>
    <t xml:space="preserve">Simpler regulatory environment, lower compliance costs for cross-border traders</t>
  </si>
  <si>
    <t xml:space="preserve">2017 Fitness Check judged compliance costs very proportionate, including for SMEs. 2024 Fitness Check estimates adjustment and administrative costs of the three core consumer directives at about EUR 511-737m a year EU-wide; only 10-18% of traders report high costs.</t>
  </si>
  <si>
    <t xml:space="preserve">SWD(2017) 209 (REFIT scoreboard); SWD(2024) 231</t>
  </si>
  <si>
    <t xml:space="preserve">Enforcement</t>
  </si>
  <si>
    <t xml:space="preserve">Effective and consistent enforcement across Member States</t>
  </si>
  <si>
    <t xml:space="preserve">Recurring weak point: the 2024 Fitness Check rates effectiveness 'limited' citing insufficient public and private enforcement; Omnibus Directive (2019/2161) added fines of at least 4% of turnover for coordinated cross-border cases, but its 2024 implementation report says application is at an early stage.</t>
  </si>
  <si>
    <t xml:space="preserve">SWD(2024) 231; COM(2024) 258</t>
  </si>
  <si>
    <t xml:space="preserve">The 2004 proposal was a recast of the Sixth VAT Directive with no indicators; evidence concerns later digital amendments (e-services 2015, e-commerce package 2021, VAT in the Digital Age 2025)</t>
  </si>
  <si>
    <t xml:space="preserve">expected impact (2016 IA)</t>
  </si>
  <si>
    <t xml:space="preserve">E-commerce VAT: revenue and compliance</t>
  </si>
  <si>
    <t xml:space="preserve">Extend one-stop shop, abolish EUR 22 import exemption</t>
  </si>
  <si>
    <t xml:space="preserve">Status quo losses EUR 7bn/yr by 2020; preferred option cuts business VAT admin burden 42% (EUR 1.8bn)</t>
  </si>
  <si>
    <t xml:space="preserve">OSS/IOSS VAT declared rose from EUR 26.3bn (2023) to EUR 33.1bn (2024), about EUR 88bn in 2021-2024; MOSS for e-services collected about EUR 3bn in 2015 and saved firms ~EUR 500m. Revenue is gross collection through the schemes, not a net causal effect.</t>
  </si>
  <si>
    <t xml:space="preserve">SWD(2016) 379; Commission OSS report 2025</t>
  </si>
  <si>
    <t xml:space="preserve">VAT in the Digital Age</t>
  </si>
  <si>
    <t xml:space="preserve">Digital reporting, platform deemed supplier, single registration</t>
  </si>
  <si>
    <t xml:space="preserve">Net impact EUR 172-214bn 2023-2032; extra VAT EUR 135-177bn; business savings EUR 50.6bn</t>
  </si>
  <si>
    <t xml:space="preserve">Adopted 2025; phased in to 2035; not yet measured.</t>
  </si>
  <si>
    <t xml:space="preserve">SWD(2022) 393</t>
  </si>
  <si>
    <t xml:space="preserve">outcome (independent research)</t>
  </si>
  <si>
    <t xml:space="preserve">Pass-through of VAT to consumer prices</t>
  </si>
  <si>
    <t xml:space="preserve">Using EU VAT changes 1996-2015, prices respond about twice as much to VAT increases as to decreases.</t>
  </si>
  <si>
    <t xml:space="preserve">Benzarti et al. 2020</t>
  </si>
  <si>
    <t xml:space="preserve">The 2008 proposal has no indicators section; the 2020 evaluation notes the Directive set no monitoring indicators, so data are incomplete and not comparable</t>
  </si>
  <si>
    <t xml:space="preserve">objective (2008 IA)</t>
  </si>
  <si>
    <t xml:space="preserve">Child safety</t>
  </si>
  <si>
    <t xml:space="preserve">Stricter chemical and other safety requirements; fewer accidents</t>
  </si>
  <si>
    <t xml:space="preserve">No data on accidents or injuries; one in three toy samples inspected by market surveillance is non-compliant; chemical limits judged deficient (age limit 36 months, CMR derogations).</t>
  </si>
  <si>
    <t xml:space="preserve">SWD(2020) 287</t>
  </si>
  <si>
    <t xml:space="preserve">Internal market</t>
  </si>
  <si>
    <t xml:space="preserve">Free movement of toys</t>
  </si>
  <si>
    <t xml:space="preserve">Intra-EU toy exports rose about 60% after full application in 2013; number of toy companies +10% in 5 years (not attributed causally).</t>
  </si>
  <si>
    <t xml:space="preserve">Proportionate costs</t>
  </si>
  <si>
    <t xml:space="preserve">One-off costs about 2% of annual turnover, recovered within about 3 years; recurring costs ~7% higher than predecessor; adaptations ~1% of turnover.</t>
  </si>
  <si>
    <t xml:space="preserve">expected impact (2023 IA)</t>
  </si>
  <si>
    <t xml:space="preserve">Replacement Toy Safety Regulation</t>
  </si>
  <si>
    <t xml:space="preserve">Generic bans on most harmful chemicals; digital product passport</t>
  </si>
  <si>
    <t xml:space="preserve">Health benefits EUR 240m-1.2bn/yr (endocrine disruptors alone); one-off costs EUR 23.5-397m</t>
  </si>
  <si>
    <t xml:space="preserve">Not yet applicable.</t>
  </si>
  <si>
    <t xml:space="preserve">SWD(2023) 269</t>
  </si>
  <si>
    <t xml:space="preserve">The 2007 proposal has no indicators section; monitoring relies on the Code of Practice peer reviews and statistical programme evaluations</t>
  </si>
  <si>
    <t xml:space="preserve">Reliable, independent European statistics</t>
  </si>
  <si>
    <t xml:space="preserve">Compliance with the European Statistics Code of Practice</t>
  </si>
  <si>
    <t xml:space="preserve">ECA 2012: Code not yet fully implemented, weak verification and enforcement. 2013-15 peer reviews: 707 recommendations (65 to achieve compliance), professional independence a recurring issue.</t>
  </si>
  <si>
    <t xml:space="preserve">ECA SR 12/2012; COM(2016) 114</t>
  </si>
  <si>
    <t xml:space="preserve">expected impact (2023 IA, amendment)</t>
  </si>
  <si>
    <t xml:space="preserve">Timely statistics using new data sources</t>
  </si>
  <si>
    <t xml:space="preserve">Access to privately held and administrative data; crisis response</t>
  </si>
  <si>
    <t xml:space="preserve">Benefits EUR 1.5bn/yr (EUR 577m to business) vs costs EUR 757m/yr</t>
  </si>
  <si>
    <t xml:space="preserve">Amendment adopted as Regulation (EU) 2024/3018; evaluation due five years after implementation.</t>
  </si>
  <si>
    <t xml:space="preserve">SWD(2023) 240</t>
  </si>
  <si>
    <t xml:space="preserve">The 2009 proposal was a codification with no indicators; monitoring is through biennial Member State reports on European works (Arts 13, 16, 17). The 2016 evaluation found no effective monitoring system</t>
  </si>
  <si>
    <t xml:space="preserve">Promote European works (linear TV)</t>
  </si>
  <si>
    <t xml:space="preserve">Majority of transmission time for European works; 10% for independent works</t>
  </si>
  <si>
    <t xml:space="preserve">majority share</t>
  </si>
  <si>
    <t xml:space="preserve">Member States report 68-69% European works on TV (2020-21), down from 72.6% (2019); an independent sample study found only 38%, and under 3% independent European works vs 40-41% reported.</t>
  </si>
  <si>
    <t xml:space="preserve">COM(2024) 261</t>
  </si>
  <si>
    <t xml:space="preserve">objective (2018 amendment)</t>
  </si>
  <si>
    <t xml:space="preserve">Promote European works (on demand)</t>
  </si>
  <si>
    <t xml:space="preserve">At least 30% European works in VOD catalogues, with prominence</t>
  </si>
  <si>
    <t xml:space="preserve">30%</t>
  </si>
  <si>
    <t xml:space="preserve">Member States report 63-64% (2020-21); independent snapshot of 1,062 services (2023) found 35%; methods differ and data incomplete.</t>
  </si>
  <si>
    <t xml:space="preserve">Single market (country of origin)</t>
  </si>
  <si>
    <t xml:space="preserve">Providers regulated only where established</t>
  </si>
  <si>
    <t xml:space="preserve">2016 evaluation: perceived as effective, brought legal certainty and economies of scale; robust economic data lacking.</t>
  </si>
  <si>
    <t xml:space="preserve">SWD(2016) 170</t>
  </si>
  <si>
    <t xml:space="preserve">Protection of minors on video-sharing platforms</t>
  </si>
  <si>
    <t xml:space="preserve">Costs and benefits not quantified; no outcome measurement found.</t>
  </si>
  <si>
    <t xml:space="preserve">SWD(2016) 168</t>
  </si>
  <si>
    <t xml:space="preserve">The 2009 DAC proposal (COM(2009) 29) contains no financial-statement indicators; the Directive relies on five-yearly Commission reports under Article 27 and Member State statistics</t>
  </si>
  <si>
    <t xml:space="preserve">evaluation question</t>
  </si>
  <si>
    <t xml:space="preserve">Fight tax fraud, evasion and avoidance</t>
  </si>
  <si>
    <t xml:space="preserve">Tax benefits generated by exchanged information</t>
  </si>
  <si>
    <t xml:space="preserve">2019 evaluation: benefits largely unmeasured; the few monetised estimates summed to about EUR 620m. 2025 evaluation: estimated benefits around EUR 6.8bn a year (EUR 1.2bn from automatic exchange under DAC1/DAC2, EUR 5.6bn from country-by-country reporting under DAC4), based on a contractor study and Member State estimates.</t>
  </si>
  <si>
    <t xml:space="preserve">SWD(2019) 327; COM(2025) 695</t>
  </si>
  <si>
    <t xml:space="preserve">Costs to tax administrations and business</t>
  </si>
  <si>
    <t xml:space="preserve">2019: cumulative cost about EUR 230m (EUR 90m Member States, EUR 140m financial institutions). 2025: recurring costs about EUR 646m a year, EUR 604m borne by business (EUR 550m DAC2 reporting).</t>
  </si>
  <si>
    <t xml:space="preserve">Use of exchanged information</t>
  </si>
  <si>
    <t xml:space="preserve">Matching and use rates of data received</t>
  </si>
  <si>
    <t xml:space="preserve">Target: 100% matching</t>
  </si>
  <si>
    <t xml:space="preserve">5-15% of DAC1-4 data still cannot be matched to taxpayers; Member States do not systematically monitor or publish outcomes (ECA 2021). TADEUS KPIs agreed but not binding.</t>
  </si>
  <si>
    <t xml:space="preserve">COM(2025) 695; ECA SR 03/2021</t>
  </si>
  <si>
    <t xml:space="preserve">Reduce offshore tax evasion</t>
  </si>
  <si>
    <t xml:space="preserve">Deposits held in tax havens</t>
  </si>
  <si>
    <t xml:space="preserve">Independent difference-in-differences study of the OECD Common Reporting Standard (implemented in the EU by DAC2) finds an 11.5% fall in cross-border deposits in tax havens, but relocation to non-participating jurisdictions (notably the US).</t>
  </si>
  <si>
    <t xml:space="preserve">Casi, Spengel &amp; Stage 2020</t>
  </si>
  <si>
    <t xml:space="preserve">The 2008 CRD proposal contains no legislative financial statement indicators; Article 30 required a Commission report by December 2016, delivered as the 2017 evaluation</t>
  </si>
  <si>
    <t xml:space="preserve">Lower compliance costs for cross-border traders by replacing minimum with (largely) full harmonisation</t>
  </si>
  <si>
    <t xml:space="preserve">Baseline: 60% of traders saw extra costs of complying with different national consumer laws as an important obstacle to cross-border B2C trade (Eurobarometer 2008)</t>
  </si>
  <si>
    <t xml:space="preserve">Not measured. The 2017 evaluation found too little data for definitive conclusions on business costs. The UK ex-ante assessment put the harmonisation benefit at about GBP 358m a year for UK business; the UK's 2019 statutory review did not quantify it. Eurostat: 19.1% of EU individuals bought online from sellers in other EU countries (3 months, 2023), not attributable to the CRD.</t>
  </si>
  <si>
    <t xml:space="preserve">SEC(2008) 2544/2545; SWD(2017) 169/170; BIS 2013 IA; UK statutory report 2019; Eurostat isoc_ec_ibos</t>
  </si>
  <si>
    <t xml:space="preserve">Effective pre-contractual information and 14-day withdrawal right in distance and off-premises sales</t>
  </si>
  <si>
    <t xml:space="preserve">Partially measured in the 2017 evaluation: right of withdrawal the most frequent cross-border complaint topic (79% of European Consumer Centres say consumers complain often); in mystery shopping 25% of online shops selling goods gave no withdrawal-form information; only 13% of traders aware of the new digital-content rules. 2024 Digital Fairness Fitness Check flags information duties and withdrawal right for simplification.</t>
  </si>
  <si>
    <t xml:space="preserve">SWD(2017) 169; SWD(2024) 231</t>
  </si>
  <si>
    <t xml:space="preserve">Proportionate compliance costs</t>
  </si>
  <si>
    <t xml:space="preserve">2024 Fitness Check: costs of UCPD, CRD and UCTD together about EUR 511-737m a year; only 10-18% of traders report high costs. In the 2017 CRD survey a majority of traders said information requirements raised costs, and 44% cited reimbursement rules tied to withdrawal.</t>
  </si>
  <si>
    <t xml:space="preserve">SWD(2024) 231; SWD(2017) 169</t>
  </si>
  <si>
    <t xml:space="preserve">LFS indicator (1.4.4)</t>
  </si>
  <si>
    <t xml:space="preserve">Faster delivery of standards</t>
  </si>
  <si>
    <t xml:space="preserve">Time between ESO acceptance of a standardisation request and adoption of the standard</t>
  </si>
  <si>
    <t xml:space="preserve">2025 evaluation: 'moderately effective' in reducing development time, but harmonised standards still take on average six years (three for drafting and consensus). 2022 report: median 100 days from ESO adoption to delivery to the Commission; formal objections take on average 1,084 days.</t>
  </si>
  <si>
    <t xml:space="preserve">SWD(2025) 171; COM(2022) 30</t>
  </si>
  <si>
    <t xml:space="preserve">Responsiveness to Commission requests</t>
  </si>
  <si>
    <t xml:space="preserve">Number of European standards adopted following a Commission request</t>
  </si>
  <si>
    <t xml:space="preserve">2015-2020: 44 standardisation requests issued, 6 rejected by the ESOs (13.6%); only 27.6% of HAS consultant assessments of draft harmonised standards were positive. No outcome-based count of standards linked to effects.</t>
  </si>
  <si>
    <t xml:space="preserve">COM(2022) 30</t>
  </si>
  <si>
    <t xml:space="preserve">Inclusiveness</t>
  </si>
  <si>
    <t xml:space="preserve">Participation of SME, consumer, environmental and trade-union organisations (Annex III)</t>
  </si>
  <si>
    <t xml:space="preserve">Annex III organisations funded (EUR 20m 2015-2019); CEN-CENELEC gave them a formal right of opinion in 2017; ETSI criticised as less inclusive. 2025 evaluation: 'moderately effective' but real influence limited by lack of resources.</t>
  </si>
  <si>
    <t xml:space="preserve">COM(2022) 30; SWD(2025) 171</t>
  </si>
  <si>
    <t xml:space="preserve">Governance</t>
  </si>
  <si>
    <t xml:space="preserve">Effect of governance changes on number, speed and participation</t>
  </si>
  <si>
    <t xml:space="preserve">Evaluation found new CJEU-driven procedures made the process more burdensome; cost-benefit analysis suggests benefits exceed costs but data described as lacking.</t>
  </si>
  <si>
    <t xml:space="preserve">SWD(2025) 171</t>
  </si>
  <si>
    <t xml:space="preserve">The 2011 proposal (part of the New Legislative Framework alignment package) has no financial-statement indicators; it relied on the impact assessment for the NLF alignment package and later REFIT evaluation</t>
  </si>
  <si>
    <t xml:space="preserve">Avoid electromagnetic disturbance between equipment</t>
  </si>
  <si>
    <t xml:space="preserve">Interference problems and product compliance</t>
  </si>
  <si>
    <t xml:space="preserve">2023 REFIT evaluation: Directive 'successfully reduced interference', but market surveillance authorities report too many cheap non-compliant products, especially bought online from third countries. No EU-wide compliance rate reported.</t>
  </si>
  <si>
    <t xml:space="preserve">SWD(2023) 7/8</t>
  </si>
  <si>
    <t xml:space="preserve">Free movement / efficiency</t>
  </si>
  <si>
    <t xml:space="preserve">Compliance costs vs benefits</t>
  </si>
  <si>
    <t xml:space="preserve">Evaluation concludes benefits outweigh costs for each stakeholder group; industry estimates compliance costs at 5-10% of total production costs, relatively higher for SMEs. Based on stakeholder input, not measured outcomes.</t>
  </si>
  <si>
    <t xml:space="preserve">Compliance</t>
  </si>
  <si>
    <t xml:space="preserve">Administrative and technical compliance ratios (periodic Member State reports)</t>
  </si>
  <si>
    <t xml:space="preserve">Baseline (IA): 28-56% compliance with essential requirements in market surveillance campaigns; of 6,168 R&amp;TTE items inspected, 68% met essential requirements</t>
  </si>
  <si>
    <t xml:space="preserve">ADCO RED statistics: 11,491 inspections in 2022 with about 60% non-compliance, but inspections target problem sectors so not representative. 2018 report found no category with demonstrably low compliance; 2024 report says self-assessment 'has led to low levels of compliance' according to stakeholders.</t>
  </si>
  <si>
    <t xml:space="preserve">SWD(2012) 329; COM(2018) 740; COM(2024) 158</t>
  </si>
  <si>
    <t xml:space="preserve">Administrative simplification</t>
  </si>
  <si>
    <t xml:space="preserve">Induced administrative cost and burden; number of interpretation issues</t>
  </si>
  <si>
    <t xml:space="preserve">No quantified burden estimate in either operation report; interpretation issues handled via guidance and expert group.</t>
  </si>
  <si>
    <t xml:space="preserve">COM(2018) 740; COM(2024) 158</t>
  </si>
  <si>
    <t xml:space="preserve">Regulatory barriers to innovation</t>
  </si>
  <si>
    <t xml:space="preserve">Perceived simplicity of introducing innovations</t>
  </si>
  <si>
    <t xml:space="preserve">Only stakeholder survey views in the 2024 report; no systematic measure.</t>
  </si>
  <si>
    <t xml:space="preserve">COM(2024) 158</t>
  </si>
  <si>
    <t xml:space="preserve">Reduce harmful interference</t>
  </si>
  <si>
    <t xml:space="preserve">Prevention of harmful interference</t>
  </si>
  <si>
    <t xml:space="preserve">Not separately measured.</t>
  </si>
  <si>
    <t xml:space="preserve">SWD(2012) 329</t>
  </si>
  <si>
    <t xml:space="preserve">The 2013 proposal (COM(2013) 449) has no financial-statement indicators; Article 12 required a Commission report on effects on the internal market and uptake</t>
  </si>
  <si>
    <t xml:space="preserve">Savings in public procurement</t>
  </si>
  <si>
    <t xml:space="preserve">Annual savings if all public procurement invoices were electronic</t>
  </si>
  <si>
    <t xml:space="preserve">EUR 1.5-2.3bn a year (potential, full uptake)</t>
  </si>
  <si>
    <t xml:space="preserve">2024 evaluation does not quantify EU-wide savings; 17 of 23 surveyed Member States say benefits outweigh costs.</t>
  </si>
  <si>
    <t xml:space="preserve">SWD(2013) 222; SWD(2024) 39/40</t>
  </si>
  <si>
    <t xml:space="preserve">Interoperability</t>
  </si>
  <si>
    <t xml:space="preserve">Adoption of a European e-invoicing standard and its acceptance by public authorities</t>
  </si>
  <si>
    <t xml:space="preserve">European standard (EN 16931) published 2017; accepted at central level in all Member States except Cyprus and Slovakia, but only partly at sub-central level; transmission-level interoperability still lacking.</t>
  </si>
  <si>
    <t xml:space="preserve">SWD(2024) 39/40</t>
  </si>
  <si>
    <t xml:space="preserve">Uptake</t>
  </si>
  <si>
    <t xml:space="preserve">Uptake of e-invoicing in public procurement (B2G)</t>
  </si>
  <si>
    <t xml:space="preserve">High uptake only where governments mandate e-invoices or are digitally mature (e.g. Estonia, Finland, Sweden); no EU-wide uptake rate in executive summary.</t>
  </si>
  <si>
    <t xml:space="preserve">Commission Regulation adopted without a legislative proposal or financial statement; no monitoring indicators. Assessed through the 2022-2024 evaluation and the 2026 impact assessment for its replacement</t>
  </si>
  <si>
    <t xml:space="preserve">Legal certainty and lower compliance costs for licensing</t>
  </si>
  <si>
    <t xml:space="preserve">Stakeholder-reported legal certainty and compliance costs</t>
  </si>
  <si>
    <t xml:space="preserve">2024 evaluation: rules 'largely meet their objectives', providing legal certainty and lower compliance costs, but market-share thresholds hard to apply (especially early-stage licensing) and data licensing/licensing negotiation groups not covered. Based on consultation, not measured outcomes.</t>
  </si>
  <si>
    <t xml:space="preserve">SWD(2024) 268</t>
  </si>
  <si>
    <t xml:space="preserve">expected impact (impact assessment, successor TTBER)</t>
  </si>
  <si>
    <t xml:space="preserve">Simplify threshold assessment</t>
  </si>
  <si>
    <t xml:space="preserve">Cost of applying market-share thresholds per licensing agreement</t>
  </si>
  <si>
    <t xml:space="preserve">-15 to -40% (forecast)</t>
  </si>
  <si>
    <t xml:space="preserve">Forecast only; new TTBER applies from May 2026.</t>
  </si>
  <si>
    <t xml:space="preserve">SWD(2026) 114/116</t>
  </si>
  <si>
    <t xml:space="preserve">Facilitate data licensing</t>
  </si>
  <si>
    <t xml:space="preserve">Compliance assessment costs for covered data licensing agreements</t>
  </si>
  <si>
    <t xml:space="preserve">up to -33% (forecast)</t>
  </si>
  <si>
    <t xml:space="preserve">Forecast only.</t>
  </si>
  <si>
    <t xml:space="preserve">specific objective</t>
  </si>
  <si>
    <t xml:space="preserve">Enhance trust in pan-European electronic transactions and ensure cross-border legal recognition of electronic identification, authentication, signature and related trust services</t>
  </si>
  <si>
    <t xml:space="preserve">indicator (LFS 1.4.4)</t>
  </si>
  <si>
    <t xml:space="preserve">eID coverage</t>
  </si>
  <si>
    <t xml:space="preserve">Electronic identification schemes notified to the Commission</t>
  </si>
  <si>
    <t xml:space="preserve">Measured: 19 schemes from 14 Member States by early 2021, covering 59% of the EU population. Commission list (updated Feb 2026) shows notified schemes for 24 of 27 Member States (none for Greece, Hungary, Ireland), plus Liechtenstein and Norway.</t>
  </si>
  <si>
    <t xml:space="preserve">COM(2021) 290; WK 163/2021; Commission eID overview</t>
  </si>
  <si>
    <t xml:space="preserve">Cross-border use</t>
  </si>
  <si>
    <t xml:space="preserve">Extent to which eIAS are used by end-users for national and cross-border transactions</t>
  </si>
  <si>
    <t xml:space="preserve">Measured once: 100 to 30,000 successful cross-border authentications a year, against millions domestically; only 14% of seven key public services for cross-border users offered eIDAS login (2020). No later series found.</t>
  </si>
  <si>
    <t xml:space="preserve">WK 163/2021 (Commission evaluation results)</t>
  </si>
  <si>
    <t xml:space="preserve">Public and private services</t>
  </si>
  <si>
    <t xml:space="preserve">Services accessible with notified eID in the public and private sector</t>
  </si>
  <si>
    <t xml:space="preserve">Public: 67% of Member States could accept notified eIDs (2020). Private: 17 Member States had a national eID open to private providers but only 12 had notified one; evaluation found private-sector use very limited.</t>
  </si>
  <si>
    <t xml:space="preserve">SWD(2021) 130; WK 163/2021</t>
  </si>
  <si>
    <t xml:space="preserve">Trust services market</t>
  </si>
  <si>
    <t xml:space="preserve">Existence of eIAS suppliers active in multiple Member States</t>
  </si>
  <si>
    <t xml:space="preserve">202 active qualified trust service providers in 29 of 30 EU/EEA countries (2021), concentrated in Spain, France, Italy, Germany; evaluation found take-up of trust services increased but supervision and interpretation still diverge.</t>
  </si>
  <si>
    <t xml:space="preserve">SWD(2021) 130</t>
  </si>
  <si>
    <t xml:space="preserve">Costs vs benefits (evaluation criterion)</t>
  </si>
  <si>
    <t xml:space="preserve">Evaluation's baseline cost-benefit analysis: quantifiable costs so far higher than benefits, because eID uptake was too low for benefits to materialise; costs fall mainly on public authorities.</t>
  </si>
  <si>
    <t xml:space="preserve">COM(2021) 290; SWD(2021) 130</t>
  </si>
  <si>
    <t xml:space="preserve">Develop an EU-wide market for electronic payments</t>
  </si>
  <si>
    <t xml:space="preserve">Address standardisation and interoperability gaps for card, internet and mobile payments</t>
  </si>
  <si>
    <t xml:space="preserve">Eliminate hurdles for competition, in particular for card and internet payments</t>
  </si>
  <si>
    <t xml:space="preserve">Align charging and steering practices across the EU</t>
  </si>
  <si>
    <t xml:space="preserve">Cover emerging payment services and instruments</t>
  </si>
  <si>
    <t xml:space="preserve">Ensure consistent application of licensing and supervision across Member States</t>
  </si>
  <si>
    <t xml:space="preserve">Ensure adequate and consistent consumer protection</t>
  </si>
  <si>
    <t xml:space="preserve">All objectives</t>
  </si>
  <si>
    <t xml:space="preserve">Commission assessment of implementation and impact, based on a conformity check and a market study (no quantified indicators set)</t>
  </si>
  <si>
    <t xml:space="preserve">Done: Commission review COM(2023) 365 and evaluation (with SWD(2023) 231). Finds 'varying degrees of success'.</t>
  </si>
  <si>
    <t xml:space="preserve">measured (qualitative review)</t>
  </si>
  <si>
    <t xml:space="preserve">COM(2023) 365</t>
  </si>
  <si>
    <t xml:space="preserve">expected impact (LFS 1.4.3)</t>
  </si>
  <si>
    <t xml:space="preserve">Security</t>
  </si>
  <si>
    <t xml:space="preserve">Secure payment services (strong customer authentication)</t>
  </si>
  <si>
    <t xml:space="preserve">Clear success: SCA-authenticated remote card payments show 70-80% lower fraud than non-SCA ones.</t>
  </si>
  <si>
    <t xml:space="preserve">Competition and innovation</t>
  </si>
  <si>
    <t xml:space="preserve">Facilitate innovative payment services (open banking, new entrants)</t>
  </si>
  <si>
    <t xml:space="preserve">Mixed: hundreds of new non-bank providers with millions of clients, but open-banking uptake uneven and data-access interfaces of variable quality; banks report high API costs. Cross-country evidence: open-banking policies spur fintech investment (Babina et al.).</t>
  </si>
  <si>
    <t xml:space="preserve">COM(2023) 365; Babina et al. 2024</t>
  </si>
  <si>
    <t xml:space="preserve">Prices</t>
  </si>
  <si>
    <t xml:space="preserve">Downward convergence of costs and prices for payment users</t>
  </si>
  <si>
    <t xml:space="preserve">Not achieved yet: anticipated cost reductions for merchants from cheaper payment methods 'have not yet fully materialised'; card systems remain largely national; no pan-European solution yet.</t>
  </si>
  <si>
    <t xml:space="preserve">not achieved (per Commission)</t>
  </si>
  <si>
    <t xml:space="preserve">Charging practices</t>
  </si>
  <si>
    <t xml:space="preserve">Align surcharging and steering practices</t>
  </si>
  <si>
    <t xml:space="preserve">Surcharging ban covers 95% of EU payments; Commission sees no need for further alignment.</t>
  </si>
  <si>
    <t xml:space="preserve">The 2013 'Connected Continent' proposal (COM(2013) 627) had no financial-statement indicators or monitoring section for the open internet provisions; the impact assessment promised an evaluation after four years. Review clause (Art. 9) led to Commission reports in 2019 and 2023</t>
  </si>
  <si>
    <t xml:space="preserve">Open internet for end-users</t>
  </si>
  <si>
    <t xml:space="preserve">No blocking, throttling or discrimination of traffic; end-users' right to access content of their choice</t>
  </si>
  <si>
    <t xml:space="preserve">Commission (2019, 2023) and BEREC report consistent application and high end-user and content-provider satisfaction; few penalties, all well below maximums. Zero-rating (application-specific zero tariffs) spread to all but two EU countries (186 offers, 2019) until CJEU rulings (2020-21) made them incompatible; BEREC guidelines revised in 2022.</t>
  </si>
  <si>
    <t xml:space="preserve">COM(2019) 203; COM(2023) 233; epicenter.works 2019</t>
  </si>
  <si>
    <t xml:space="preserve">Single market for electronic communications (whole package)</t>
  </si>
  <si>
    <t xml:space="preserve">Direct benefit of a telecoms single market about EUR 110bn a year</t>
  </si>
  <si>
    <t xml:space="preserve">EUR 110bn p.a.</t>
  </si>
  <si>
    <t xml:space="preserve">Not evaluated; the figure covered the whole Connected Continent package, most of which was not adopted.</t>
  </si>
  <si>
    <t xml:space="preserve">SWD(2013) 332</t>
  </si>
  <si>
    <t xml:space="preserve">Investment by internet access providers</t>
  </si>
  <si>
    <t xml:space="preserve">Rules should not deter network investment</t>
  </si>
  <si>
    <t xml:space="preserve">Commission (2019): regulation 'does not seem to affect' ISP investment (stakeholder-based). OECD panel study (Briglauer et al. 2022) finds strict net neutrality rules significantly slow fibre investment and take-up. Evidence conflicts.</t>
  </si>
  <si>
    <t xml:space="preserve">COM(2019) 203; Briglauer et al. 2022</t>
  </si>
  <si>
    <t xml:space="preserve">Prices and choice for consumers (zero-rating)</t>
  </si>
  <si>
    <t xml:space="preserve">Commercial practices must not limit end-user rights</t>
  </si>
  <si>
    <t xml:space="preserve">Mixed: epicenter.works found mobile data prices rose about 2% in markets with zero-rating vs fell about 8% elsewhere (2015-16); Austrian regulator RTR (11,000+ tariffs, 15 countries, 2015-18) found no systematic effect on data caps or price per GB.</t>
  </si>
  <si>
    <t xml:space="preserve">epicenter.works 2019; Király &amp; Schwarz (RTR) 2019</t>
  </si>
  <si>
    <t xml:space="preserve">The 2012 LED proposal (COM(2012) 10) has no financial-statement indicators; monitoring relies on four-yearly Commission reports under Article 62 (first 2022, second due 2026)</t>
  </si>
  <si>
    <t xml:space="preserve">Harmonised, high level of protection in policing and criminal justice</t>
  </si>
  <si>
    <t xml:space="preserve">Transposition and conformity of national laws</t>
  </si>
  <si>
    <t xml:space="preserve">Deadline 6 May 2018</t>
  </si>
  <si>
    <t xml:space="preserve">Two-thirds of Member States missed the deadline; infringement cases against 19 Member States (2018), later one against Germany (2022). Transposition complete by 2019-2022 but gaps on storage limits, legal basis and supervisory powers.</t>
  </si>
  <si>
    <t xml:space="preserve">COM(2022) 364</t>
  </si>
  <si>
    <t xml:space="preserve">Effective rights for individuals</t>
  </si>
  <si>
    <t xml:space="preserve">Complaints and supervisory activity</t>
  </si>
  <si>
    <t xml:space="preserve">More than a third of supervisory authorities reported more complaints; most inadmissible, some led to erasure/rectification orders; representative complaints rarely used. Council (2025) finds DPOs improved awareness but access requests and DPIAs burdensome.</t>
  </si>
  <si>
    <t xml:space="preserve">COM(2022) 364; Council ST 15616/25</t>
  </si>
  <si>
    <t xml:space="preserve">Facilitate exchange of data between law-enforcement authorities</t>
  </si>
  <si>
    <t xml:space="preserve">Volume/ease of cross-border data exchange</t>
  </si>
  <si>
    <t xml:space="preserve">Not measured; Council reports international transfer rules (Art. 37) hard to use in practice.</t>
  </si>
  <si>
    <t xml:space="preserve">Council ST 15616/25</t>
  </si>
  <si>
    <t xml:space="preserve">The 2013 proposal (COM(2013) 813) has no financial-statement indicators; Article 18 requires an EUIPO litigation report (2021), a Commission intermediate report (2022) and an impact evaluation (2026)</t>
  </si>
  <si>
    <t xml:space="preserve">Better incentives for cross-border innovation and knowledge-sharing</t>
  </si>
  <si>
    <t xml:space="preserve">Willingness to share trade secrets; spending on protective measures</t>
  </si>
  <si>
    <t xml:space="preserve">Baseline (2012 survey): 40% of EU firms would refrain from sharing trade secrets for fear of misuse; 35% reported higher protection spending after misappropriation</t>
  </si>
  <si>
    <t xml:space="preserve">No follow-up survey or measurement found.</t>
  </si>
  <si>
    <t xml:space="preserve">SWD(2013) 471/472</t>
  </si>
  <si>
    <t xml:space="preserve">Effective legal redress across the EU</t>
  </si>
  <si>
    <t xml:space="preserve">Litigation patterns and remedies</t>
  </si>
  <si>
    <t xml:space="preserve">EUIPO study of ~700 national judgments (2017-Oct 2022): litigation volumes and fora vary widely between Member States; cross-border disputes rare; most disputed secrets commercial (62%) rather than technical (33%).</t>
  </si>
  <si>
    <t xml:space="preserve">Borghi, Cogo &amp; Khan / EUIPO 2023</t>
  </si>
  <si>
    <t xml:space="preserve">Innovation, employee mobility, freedom of expression</t>
  </si>
  <si>
    <t xml:space="preserve">Effects on R&amp;D, mobility and whistleblowing</t>
  </si>
  <si>
    <t xml:space="preserve">No Commission impact evaluation or independent empirical study of these effects found.</t>
  </si>
  <si>
    <t xml:space="preserve">Ensure consistent enforcement of data protection rules</t>
  </si>
  <si>
    <t xml:space="preserve">Rationalise the governance system to help ensure more consistent enforcement</t>
  </si>
  <si>
    <t xml:space="preserve">Consistency / internal market</t>
  </si>
  <si>
    <t xml:space="preserve">Time and costs spent by data controllers in complying with legislation in other Member States</t>
  </si>
  <si>
    <t xml:space="preserve">Not measured. Commission reports describe fragmentation in national implementation and inconsistent interpretation, but give no cost or time series.</t>
  </si>
  <si>
    <t xml:space="preserve">COM(2024) 357</t>
  </si>
  <si>
    <t xml:space="preserve">Resources allocated to data protection authorities</t>
  </si>
  <si>
    <t xml:space="preserve">Measured: between 2020 and 2024 all but two authorities gained staff; increase above 25% in 14 Member States (Ireland +79%). Authorities still cite insufficient resources as the main limit on enforcement.</t>
  </si>
  <si>
    <t xml:space="preserve">Accountability</t>
  </si>
  <si>
    <t xml:space="preserve">Established data protection officers in public and private organisations</t>
  </si>
  <si>
    <t xml:space="preserve">No systematic count reported.</t>
  </si>
  <si>
    <t xml:space="preserve">Use made of data protection impact assessments</t>
  </si>
  <si>
    <t xml:space="preserve">No systematic data; report notes SMEs need templates and guidance for DPIAs.</t>
  </si>
  <si>
    <t xml:space="preserve">Effective rights</t>
  </si>
  <si>
    <t xml:space="preserve">Number of complaints by data subjects and compensation received</t>
  </si>
  <si>
    <t xml:space="preserve">Complaint handling and amicable settlements described; cross-border cooperation ~2,400 case entries; compensation not quantified.</t>
  </si>
  <si>
    <t xml:space="preserve">Number of cases leading to prosecution of data controllers</t>
  </si>
  <si>
    <t xml:space="preserve">Not reported as such; corrective measures vary widely between authorities.</t>
  </si>
  <si>
    <t xml:space="preserve">Fines imposed on controllers responsible for breaches</t>
  </si>
  <si>
    <t xml:space="preserve">Measured: over 6,680 fines totalling about EUR 4.2bn (Ireland EUR 2.8bn, Luxembourg EUR 746m). Nine binding EDPB dispute-resolution decisions.</t>
  </si>
  <si>
    <t xml:space="preserve">Administrative burden</t>
  </si>
  <si>
    <t xml:space="preserve">Net administrative-burden saving of about EUR 2.3bn per year (baseline fragmentation cost about EUR 2.9bn/yr)</t>
  </si>
  <si>
    <t xml:space="preserve">EUR 2.3bn/yr</t>
  </si>
  <si>
    <t xml:space="preserve">Never evaluated. Independent studies instead find substantial compliance and data costs (data costs +22%, tech-firm profits -2.1%).</t>
  </si>
  <si>
    <t xml:space="preserve">not measured (independent evidence points the other way)</t>
  </si>
  <si>
    <t xml:space="preserve">SEC(2012) 72/73; Demirer et al.; Frey &amp; Presidente</t>
  </si>
  <si>
    <t xml:space="preserve">Directive 2017/1132 is a codification (proposal COM(2015) 616) with no impact assessment or indicators. Substantive promises come from later amendments: digitalisation (2019/1151), cross-border mobility (2019/2121) and 'digitalisation 2.0' (2025/25)</t>
  </si>
  <si>
    <t xml:space="preserve">expected impact (impact assessment, Directive 2019/1151)</t>
  </si>
  <si>
    <t xml:space="preserve">Online company registration and filing</t>
  </si>
  <si>
    <t xml:space="preserve">Savings from online registration for new companies</t>
  </si>
  <si>
    <t xml:space="preserve">EUR 42-84m (forecast)</t>
  </si>
  <si>
    <t xml:space="preserve">Online formation applies since 2021-2023 (with extensions); no ex-post measurement of savings found.</t>
  </si>
  <si>
    <t xml:space="preserve">SWD(2018) 141/142</t>
  </si>
  <si>
    <t xml:space="preserve">expected impact (impact assessment, Directive 2019/2121)</t>
  </si>
  <si>
    <t xml:space="preserve">Cross-border conversions, mergers and divisions</t>
  </si>
  <si>
    <t xml:space="preserve">Use of cross-border operations</t>
  </si>
  <si>
    <t xml:space="preserve">Baseline 2000-2019: 4,305 cross-border mergers, 553 conversions, 19 divisions (concentrated in DE, NL, LU)</t>
  </si>
  <si>
    <t xml:space="preserve">Independent counts exist up to 2023 (Biermeyer &amp; Meyer series); no evaluation of the 2019 mobility rules yet.</t>
  </si>
  <si>
    <t xml:space="preserve">Biermeyer &amp; Meyer 2019</t>
  </si>
  <si>
    <t xml:space="preserve">expected impact (impact assessment, Directive 2025/25)</t>
  </si>
  <si>
    <t xml:space="preserve">Cross-border use of company data</t>
  </si>
  <si>
    <t xml:space="preserve">Recurrent administrative savings for companies</t>
  </si>
  <si>
    <t xml:space="preserve">about EUR 437m a year (forecast); one-off costs ~EUR 311m</t>
  </si>
  <si>
    <t xml:space="preserve">Transposition due 2027; forecast only.</t>
  </si>
  <si>
    <t xml:space="preserve">SWD(2023) 178/179</t>
  </si>
  <si>
    <t xml:space="preserve">The proposal has no financial statement indicators; the memorandum only promised two-phase monitoring with attention to SMEs and consumers. The Commission reported on application in SWD(2022) 173 (Article 10 review)</t>
  </si>
  <si>
    <t xml:space="preserve">Consumer demand for portability</t>
  </si>
  <si>
    <t xml:space="preserve">Potential users of portability of paid subscriptions: 29 million (5.7% of EU consumers) in 2015, rising to about 72 million (14%) by 2020</t>
  </si>
  <si>
    <t xml:space="preserve">29m (2015) -&gt; ~72m (2020)</t>
  </si>
  <si>
    <t xml:space="preserve">Partially measured: Flash Eurobarometer (Feb 2019) found 32% of subscribers (49% of those who travelled) had tried to use their service in another Member State; providers report cross-border users are under 5% of their subscribers; COVID-19 travel restrictions reduced use. No headcount comparable to the forecast.</t>
  </si>
  <si>
    <t xml:space="preserve">SWD(2015) 270; Flash Eurobarometer 477a; SWD(2022) 173</t>
  </si>
  <si>
    <t xml:space="preserve">monitoring (memorandum)</t>
  </si>
  <si>
    <t xml:space="preserve">Consumers</t>
  </si>
  <si>
    <t xml:space="preserve">Consumer awareness and satisfaction with portability</t>
  </si>
  <si>
    <t xml:space="preserve">Measured once: 52% of respondents aware of portability; 58% of users satisfied (2019). Over 80% of surveyed providers and 23 of 32 consumer bodies received no complaints.</t>
  </si>
  <si>
    <t xml:space="preserve">Flash Eurobarometer 477a; SWD(2022) 173</t>
  </si>
  <si>
    <t xml:space="preserve">Service providers / SMEs</t>
  </si>
  <si>
    <t xml:space="preserve">Compliance and implementation costs for providers, in particular SMEs</t>
  </si>
  <si>
    <t xml:space="preserve">Survey-based: music, e-book and games providers already offered portability and faced no significant cost; audiovisual and sports providers had to adapt verification and infrastructure, costs reported as minor; SMEs found residence verification and data-protection compliance challenging. Some non-compliance: 10 providers limit portability to periods of 14 days to one year; some small providers unaware of the rules. No cost figures.</t>
  </si>
  <si>
    <t xml:space="preserve">Visionary Analytics study (2022); SWD(2022) 173</t>
  </si>
  <si>
    <t xml:space="preserve">Rightholders</t>
  </si>
  <si>
    <t xml:space="preserve">No significant negative effect on licensing value / rightholder revenues</t>
  </si>
  <si>
    <t xml:space="preserve">Study found no significant impact on rightholders' overall revenues (self-reported; no quantitative analysis).</t>
  </si>
  <si>
    <t xml:space="preserve">Visionary Analytics study (2022)</t>
  </si>
  <si>
    <t xml:space="preserve">Reduce cross-border consumer detriment</t>
  </si>
  <si>
    <t xml:space="preserve">Non-compliance rate</t>
  </si>
  <si>
    <t xml:space="preserve">Baseline (IA): average 37% non-compliance in website screenings; detriment ~EUR 770m in five cross-border online markets</t>
  </si>
  <si>
    <t xml:space="preserve">Sweeps keep finding high non-compliance (e.g. 2022 sweep: 37% of 399 websites used dark patterns); no consistent trend series against the baseline and no updated detriment estimate.</t>
  </si>
  <si>
    <t xml:space="preserve">SWD(2016) 164; COM(2024) 311</t>
  </si>
  <si>
    <t xml:space="preserve">Efficient cooperation</t>
  </si>
  <si>
    <t xml:space="preserve">Mutual assistance requests where binding time limits were not respected</t>
  </si>
  <si>
    <t xml:space="preserve">2024 report describes coordinated-action procedures as 'long and cumbersome' but gives no systematic time-limit compliance figure in the sections reviewed.</t>
  </si>
  <si>
    <t xml:space="preserve">COM(2024) 311</t>
  </si>
  <si>
    <t xml:space="preserve">Tackle widespread infringements</t>
  </si>
  <si>
    <t xml:space="preserve">Number of coordinated and common actions; number of alerts</t>
  </si>
  <si>
    <t xml:space="preserve">Coordinated actions and alerts counted in the 2024 application report; alerts used unevenly across Member States; outcomes (commitments by major traders) reported qualitatively.</t>
  </si>
  <si>
    <t xml:space="preserve">Enforcement capacity</t>
  </si>
  <si>
    <t xml:space="preserve">National enforcement plans; benchmarking of CPC resources</t>
  </si>
  <si>
    <t xml:space="preserve">Report finds large differences in national resources are a main impediment; limited evidence on use of the new minimum investigation powers.</t>
  </si>
  <si>
    <t xml:space="preserve">The EECC proposal's financial statement has no indicators section; monitoring was assigned to the Digital Scoreboard/DESI, Commission telecom reports and the Eurobarometer household survey</t>
  </si>
  <si>
    <t xml:space="preserve">Ubiquitous very high capacity (VHC) network coverage and take-up; timely 5G deployment</t>
  </si>
  <si>
    <t xml:space="preserve">Gigabit Society 2025 / Digital Decade 2030: gigabit for all, 5G in all populated areas</t>
  </si>
  <si>
    <t xml:space="preserve">Measured (DESI/Digital Decade): fixed VHCN coverage 82.5% of EU households in 2024, fibre-to-the-premises 69.2% (rural 58.8%); 5G coverage 94.3% (rural 79.6%). Progress is real but cannot be attributed to the EECC; mid-band and standalone 5G lag.</t>
  </si>
  <si>
    <t xml:space="preserve">SWD(2026) 13 Annex 11; State of the Digital Decade 2025</t>
  </si>
  <si>
    <t xml:space="preserve">Growth and jobs</t>
  </si>
  <si>
    <t xml:space="preserve">Cumulative effect of +1.45% GDP and +0.18% employment by 2025; labour productivity +0.8% 2020-2025</t>
  </si>
  <si>
    <t xml:space="preserve">+1.45% GDP; +0.18% jobs</t>
  </si>
  <si>
    <t xml:space="preserve">Not measured. The Commission's 2026 review gives no macroeconomic evaluation; governments and most industry stakeholders argued the EECC missed its connectivity and investment objectives.</t>
  </si>
  <si>
    <t xml:space="preserve">SWD(2016) 304; COM(2026) 35; SWD(2026) 13</t>
  </si>
  <si>
    <t xml:space="preserve">5G spectrum</t>
  </si>
  <si>
    <t xml:space="preserve">More consistent spectrum assignment enabling timely 5G, with total benefits of EUR 146.5bn a year</t>
  </si>
  <si>
    <t xml:space="preserve">EUR 146.5bn/yr</t>
  </si>
  <si>
    <t xml:space="preserve">Not measured as such. Review found spectrum assignment delays and high prices in some auctions; benefit not evaluated.</t>
  </si>
  <si>
    <t xml:space="preserve">SWD(2016) 304; SWD(2026) 13</t>
  </si>
  <si>
    <t xml:space="preserve">Investment tools</t>
  </si>
  <si>
    <t xml:space="preserve">Co-investment (Art. 76) and symmetric access (Art. 61(3)) to spur VHCN investment</t>
  </si>
  <si>
    <t xml:space="preserve">Measured as use: no national regulator formally applied the co-investment provision in five years; symmetric in-building access applied in 8 countries; Commission proposes revising or removing Art. 76.</t>
  </si>
  <si>
    <t xml:space="preserve">COM(2026) 35</t>
  </si>
  <si>
    <t xml:space="preserve">implementation milestone</t>
  </si>
  <si>
    <t xml:space="preserve">Timely transposition and consistent national rules</t>
  </si>
  <si>
    <t xml:space="preserve">Deadline 21 Dec 2020</t>
  </si>
  <si>
    <t xml:space="preserve">24 infringement procedures opened Feb 2021; 10 Member States referred to the Court of Justice in April 2022. Review finds significant national divergence; Commission proposed replacing the Directive with a Digital Networks Act regulation (Jan 2026).</t>
  </si>
  <si>
    <t xml:space="preserve">IP/22/1975; COM(2026) 35</t>
  </si>
  <si>
    <t xml:space="preserve">The 2016 proposal has no financial-statement indicators; the memorandum promised periodic reviews and monitoring of 'the effects of the rules'. A full evaluation was launched in February 2025 (period to end-2024) and had not been published at the time of review</t>
  </si>
  <si>
    <t xml:space="preserve">Fewer blocked cross-border purchases</t>
  </si>
  <si>
    <t xml:space="preserve">Share of successful cross-border purchase attempts (baseline: 37% in 2015 mystery shopping)</t>
  </si>
  <si>
    <t xml:space="preserve">Baseline 37% success (2015)</t>
  </si>
  <si>
    <t xml:space="preserve">2019 mystery shopping (about 9,000 websites): rerouting/denial of access decreased, registration blocking halved, success rate 'slightly increased'; but when cross-border delivery was requested only 1 in 3 attempts succeeded, as delivery refusals (not banned) affected more than 50% of attempts. ECA (2025): geo-blocking still persists.</t>
  </si>
  <si>
    <t xml:space="preserve">COM(2020) 766; ECA SR 03/2025</t>
  </si>
  <si>
    <t xml:space="preserve">Cross-border trade</t>
  </si>
  <si>
    <t xml:space="preserve">Net effect on electronics market size about +1.1%, net trade expansion +0.4%</t>
  </si>
  <si>
    <t xml:space="preserve">+1.1% / +0.4%</t>
  </si>
  <si>
    <t xml:space="preserve">JRC event study using website traffic finds cross-border intra-EU e-commerce traffic up 9.2-13% after Dec 2018; no study of actual sales volumes.</t>
  </si>
  <si>
    <t xml:space="preserve">Alaveras, Duch-Brown &amp; Martens 2020</t>
  </si>
  <si>
    <t xml:space="preserve">Prices and consumer welfare</t>
  </si>
  <si>
    <t xml:space="preserve">Prices -0.5% offline and -0.6% online; consumer surplus +0.8%; no price increases in any Member State</t>
  </si>
  <si>
    <t xml:space="preserve">-0.5% / -0.6%; +0.8% consumer surplus</t>
  </si>
  <si>
    <t xml:space="preserve">Not measured ex post. Theory (Bourreau &amp; Manenti 2023) predicts lower prices short-run but possibly lower investment and welfare long-run.</t>
  </si>
  <si>
    <t xml:space="preserve">SWD(2016) 174; Bourreau &amp; Manenti 2023</t>
  </si>
  <si>
    <t xml:space="preserve">Enforcement through existing CPC network; limited extra workload</t>
  </si>
  <si>
    <t xml:space="preserve">Slow empowerment of national enforcement bodies (2020 review); ECA found penalties ranging from EUR 26 to EUR 5m and unclear jurisdiction.</t>
  </si>
  <si>
    <t xml:space="preserve">Findable information</t>
  </si>
  <si>
    <t xml:space="preserve">Share of users who found the information they were looking for</t>
  </si>
  <si>
    <t xml:space="preserve">Your Europe user survey: 77% of businesses and 76% of citizens found what they were looking for (2023 report).</t>
  </si>
  <si>
    <t xml:space="preserve">COM(2023) 534</t>
  </si>
  <si>
    <t xml:space="preserve">Awareness and use</t>
  </si>
  <si>
    <t xml:space="preserve">Trend in average monthly users</t>
  </si>
  <si>
    <t xml:space="preserve">Your Europe ~43 million visits in 2022 (third most visited Commission site); national SDG pages &gt;100 million visits a year in 2021-2022.</t>
  </si>
  <si>
    <t xml:space="preserve">Quality</t>
  </si>
  <si>
    <t xml:space="preserve">Share satisfied with quality</t>
  </si>
  <si>
    <t xml:space="preserve">92.5% of citizens and 90.3% of businesses rated the portal satisfactory or better; assistance services 4.3/5 average from ~3,200 feedbacks (self-selected respondents).</t>
  </si>
  <si>
    <t xml:space="preserve">Core procedures online for cross-border users</t>
  </si>
  <si>
    <t xml:space="preserve">Share of (cross-border) users able to complete procedures fully online</t>
  </si>
  <si>
    <t xml:space="preserve">21 procedures fully online by end-2023</t>
  </si>
  <si>
    <t xml:space="preserve">eGovernment Benchmark (preliminary, 2023): SDG procedures 84% completable online by nationals but only 47% by cross-border users; Once-Only Technical System still being rolled out.</t>
  </si>
  <si>
    <t xml:space="preserve">Reduce costs for businesses</t>
  </si>
  <si>
    <t xml:space="preserve">Annual cost savings for businesses expanding cross-border</t>
  </si>
  <si>
    <t xml:space="preserve">EUR 11-55bn a year (indicative)</t>
  </si>
  <si>
    <t xml:space="preserve">Not measured; the Commission's only ex-post figure is about EUR 2.5m a year in avoided legal-advice costs for Your Europe business users.</t>
  </si>
  <si>
    <t xml:space="preserve">SWD(2017) 213/214; COM(2023) 534</t>
  </si>
  <si>
    <t xml:space="preserve">Ensure consistent application of data protection rules throughout the Union (alignment of EU institutions' rules with the GDPR)</t>
  </si>
  <si>
    <t xml:space="preserve">Rationalise the governance model and strengthen compliance and enforcement in EU institutions and bodies</t>
  </si>
  <si>
    <t xml:space="preserve">Number of opinions issued by the EDPB and the EDPS</t>
  </si>
  <si>
    <t xml:space="preserve">Reported qualitatively: EDPS replies to legislative consultations with opinions and comments; EDPB output growing. No time series tied to the Regulation.</t>
  </si>
  <si>
    <t xml:space="preserve">COM(2022) 530</t>
  </si>
  <si>
    <t xml:space="preserve">Breakdown of activities of data protection officers</t>
  </si>
  <si>
    <t xml:space="preserve">Survey of 56 EU bodies: 54% gave more resources to DPOs; 84% adapted processes so staff consult DPOs. No breakdown of DPO activities.</t>
  </si>
  <si>
    <t xml:space="preserve">Annex table of DPIAs by institution 2019-2021 (most by ECB, EIB and Commission); cases sent to the EDPS fell sharply compared with the old prior-checking system, as intended; 94% of bodies find DPIA criteria adequate.</t>
  </si>
  <si>
    <t xml:space="preserve">Number of complaints made by data subjects</t>
  </si>
  <si>
    <t xml:space="preserve">Report notes inadmissible complaints to the EDPS rose 2019-2021 (mostly aimed at national controllers); no clear trend in requests from individuals because institutions record them differently.</t>
  </si>
  <si>
    <t xml:space="preserve">Fines imposed on data controllers responsible for breaches</t>
  </si>
  <si>
    <t xml:space="preserve">None: by 2022 the EDPS had used most powers (e.g. temporary processing bans) but had never issued a fine.</t>
  </si>
  <si>
    <t xml:space="preserve">measured (zero)</t>
  </si>
  <si>
    <t xml:space="preserve">No dedicated impact assessment: the proposal (COM(2017) 8) relied on the GDPR impact assessment and gave no quantified forecasts</t>
  </si>
  <si>
    <t xml:space="preserve">The proposal's financial statement has no indicators section; the memorandum promised an evaluation five years on using indicators from the impact assessment, Eurostat and DESI data</t>
  </si>
  <si>
    <t xml:space="preserve">evaluation question (memorandum)</t>
  </si>
  <si>
    <t xml:space="preserve">Data localisation</t>
  </si>
  <si>
    <t xml:space="preserve">Reduction in the number and range of data localisation restrictions</t>
  </si>
  <si>
    <t xml:space="preserve">Not quantified. The 2026 evaluation support study finds limited effectiveness in removing localisation requirements, hampered by the national-security exemption and uncertainty about mixed data sets.</t>
  </si>
  <si>
    <t xml:space="preserve">Open Evidence et al. 2026 study</t>
  </si>
  <si>
    <t xml:space="preserve">Regulatory access</t>
  </si>
  <si>
    <t xml:space="preserve">Member States can access data stored abroad for regulatory control</t>
  </si>
  <si>
    <t xml:space="preserve">No publicly reported cases under the Article 5 cooperation or penalty mechanisms; authorities report low demand.</t>
  </si>
  <si>
    <t xml:space="preserve">reported as activity (none)</t>
  </si>
  <si>
    <t xml:space="preserve">SWD(2025) 836</t>
  </si>
  <si>
    <t xml:space="preserve">Cloud switching</t>
  </si>
  <si>
    <t xml:space="preserve">Better transparency on conditions for data porting (self-regulatory codes)</t>
  </si>
  <si>
    <t xml:space="preserve">Codes of conduct had limited uptake and were superseded by binding switching rules in the Data Act (2023); Commission calls Article 6 practically obsolete.</t>
  </si>
  <si>
    <t xml:space="preserve">not achieved (superseded)</t>
  </si>
  <si>
    <t xml:space="preserve">Trust</t>
  </si>
  <si>
    <t xml:space="preserve">Trust in free flow of non-personal data</t>
  </si>
  <si>
    <t xml:space="preserve">Consultation: fewer than 4 in 10 respondents see any objective fully met; weakest scores on trust/security and switching; about half have little or no familiarity with the Regulation.</t>
  </si>
  <si>
    <t xml:space="preserve">partially measured (opinion survey)</t>
  </si>
  <si>
    <t xml:space="preserve">Growth</t>
  </si>
  <si>
    <t xml:space="preserve">GDP gain of up to EUR 8bn a year (0.06% of GDP) from removing localisation restrictions</t>
  </si>
  <si>
    <t xml:space="preserve">up to EUR 8bn/yr</t>
  </si>
  <si>
    <t xml:space="preserve">Never evaluated.</t>
  </si>
  <si>
    <t xml:space="preserve">SWD(2017) 304; ECIPE 2016</t>
  </si>
  <si>
    <t xml:space="preserve">The proposal's financial statement has no indicators section; Article 18 required a monitoring programme (set out in SWD(2023) 23) and Article 21 a transposition report (2023) and an impact evaluation by 31 May 2026</t>
  </si>
  <si>
    <t xml:space="preserve">specific objective (impact assessment)</t>
  </si>
  <si>
    <t xml:space="preserve">Legal framework</t>
  </si>
  <si>
    <t xml:space="preserve">Clear, robust, technology-neutral criminal law framework (incl. virtual currencies, stolen credentials)</t>
  </si>
  <si>
    <t xml:space="preserve">Transposition report: 9 Member States on time; infringement cases opened against 16 in July 2021; most provisions transposed, with gaps notably on virtual currency coverage.</t>
  </si>
  <si>
    <t xml:space="preserve">COM(2023) 363</t>
  </si>
  <si>
    <t xml:space="preserve">Investigation and prosecution</t>
  </si>
  <si>
    <t xml:space="preserve">Eliminate operational obstacles to cross-border investigation and prosecution</t>
  </si>
  <si>
    <t xml:space="preserve">No outcome data published; the impact evaluation due May 2026 was not found.</t>
  </si>
  <si>
    <t xml:space="preserve">general objective (impact assessment)</t>
  </si>
  <si>
    <t xml:space="preserve">Fraud losses</t>
  </si>
  <si>
    <t xml:space="preserve">Reduce direct losses from non-cash payment fraud and raise trust</t>
  </si>
  <si>
    <t xml:space="preserve">Fraud is tracked by the ECB/EBA under PSD2 reporting (EUR 4.3bn in 2022, EUR 2.0bn in H1 2023 across instruments), but these figures cannot be attributed to the Directive.</t>
  </si>
  <si>
    <t xml:space="preserve">measured (not attributable)</t>
  </si>
  <si>
    <t xml:space="preserve">EBA/ECB 2024</t>
  </si>
  <si>
    <t xml:space="preserve">expected cost (impact assessment)</t>
  </si>
  <si>
    <t xml:space="preserve">Member State costs</t>
  </si>
  <si>
    <t xml:space="preserve">One-off EUR 561,000 and about EUR 2.3m a year across Member States</t>
  </si>
  <si>
    <t xml:space="preserve">Not evaluated.</t>
  </si>
  <si>
    <t xml:space="preserve">SWD(2017) 298</t>
  </si>
  <si>
    <t xml:space="preserve">The proposal's financial statement has no indicators section; the memorandum promised a monitoring and evaluation exercise feeding a review (Article 25 set the review for 12 June 2024), which was not found published</t>
  </si>
  <si>
    <t xml:space="preserve">expected impact (impact assessment, joint with Sale of Goods)</t>
  </si>
  <si>
    <t xml:space="preserve">122,000 more businesses selling online across borders; intra-EU exports +0.04% (about EUR 1bn)</t>
  </si>
  <si>
    <t xml:space="preserve">+122,000 firms</t>
  </si>
  <si>
    <t xml:space="preserve">SWD(2015) 274</t>
  </si>
  <si>
    <t xml:space="preserve">8-13 million more consumers buying online cross-border; retail prices -0.25%; household consumption +0.23% (about EUR 18bn)</t>
  </si>
  <si>
    <t xml:space="preserve">Not evaluated; cross-border e-commerce has grown, but no study attributes any change to the Directive.</t>
  </si>
  <si>
    <t xml:space="preserve">EU GDP +0.03% (about EUR 4bn a year, permanent)</t>
  </si>
  <si>
    <t xml:space="preserve">EUR 4bn/yr</t>
  </si>
  <si>
    <t xml:space="preserve">problem baseline (impact assessment)</t>
  </si>
  <si>
    <t xml:space="preserve">Consumer detriment</t>
  </si>
  <si>
    <t xml:space="preserve">Detriment from faulty digital content of EUR 9-11bn a year (four content types)</t>
  </si>
  <si>
    <t xml:space="preserve">baseline EUR 9-11bn</t>
  </si>
  <si>
    <t xml:space="preserve">No follow-up measurement.</t>
  </si>
  <si>
    <t xml:space="preserve">SWD(2015) 275</t>
  </si>
  <si>
    <t xml:space="preserve">The proposal's financial statement has no indicators section; the memorandum mentions only transposition monitoring. Article 25 required a review report by 12 June 2024, which was not found published</t>
  </si>
  <si>
    <t xml:space="preserve">expected impact (impact assessment, joint with Digital Content)</t>
  </si>
  <si>
    <t xml:space="preserve">Share of businesses selling online cross-border up by more than 5 percentage points (about 122,000 firms)</t>
  </si>
  <si>
    <t xml:space="preserve">+5 pp</t>
  </si>
  <si>
    <t xml:space="preserve">Retail prices -0.25%; 8-13 million more cross-border online shoppers spending EUR 40 more each a year</t>
  </si>
  <si>
    <t xml:space="preserve">EU GDP +0.03% (about EUR 4bn a year)</t>
  </si>
  <si>
    <t xml:space="preserve">Business costs</t>
  </si>
  <si>
    <t xml:space="preserve">One-off contract adaptation cost of about EUR 7,000 per firm</t>
  </si>
  <si>
    <t xml:space="preserve">later amendment</t>
  </si>
  <si>
    <t xml:space="preserve">Sustainability</t>
  </si>
  <si>
    <t xml:space="preserve">Right to Repair Directive (EU) 2024/1799 amends the Directive (12-month extension of seller liability when consumers choose repair)</t>
  </si>
  <si>
    <t xml:space="preserve">The repair impact assessment reviewed how the remedies work but did not evaluate the Directive's market effects; several Member States said it was too early as the rules had only just applied.</t>
  </si>
  <si>
    <t xml:space="preserve">SWD(2023) 59</t>
  </si>
  <si>
    <t xml:space="preserve">The proposal's financial statement has no indicators section; the memorandum promised baseline data collection at entry into force and monitoring of cross-border availability of TV and radio programmes every two to three years. Article 13 required a review report by 7 June 2025, which was not found published</t>
  </si>
  <si>
    <t xml:space="preserve">monitoring promise (memorandum)</t>
  </si>
  <si>
    <t xml:space="preserve">Cross-border access</t>
  </si>
  <si>
    <t xml:space="preserve">Cross-border availability of TV and radio programmes (incl. broadcasters' ancillary online services)</t>
  </si>
  <si>
    <t xml:space="preserve">baseline at entry into force</t>
  </si>
  <si>
    <t xml:space="preserve">No baseline or monitoring data found.</t>
  </si>
  <si>
    <t xml:space="preserve">Transaction costs</t>
  </si>
  <si>
    <t xml:space="preserve">Lower rights-clearance costs for broadcasters' cross-border online services and for retransmission over closed networks (e.g. IPTV)</t>
  </si>
  <si>
    <t xml:space="preserve">Not quantified ex ante or measured ex post.</t>
  </si>
  <si>
    <t xml:space="preserve">review question (Directive recital 24)</t>
  </si>
  <si>
    <t xml:space="preserve">Consumers and creative sector</t>
  </si>
  <si>
    <t xml:space="preserve">Benefits for consumers, impact on creative industries and on investment in new content</t>
  </si>
  <si>
    <t xml:space="preserve">Review report not found.</t>
  </si>
  <si>
    <t xml:space="preserve">The 2016 proposal has no financial-statement indicators; the memorandum only promised a review (Art. 30: no sooner than 7 June 2026). The impact assessment said indicators would be monitored every 2-3 years, but none has been published</t>
  </si>
  <si>
    <t xml:space="preserve">Press publishers' right (Art. 15)</t>
  </si>
  <si>
    <t xml:space="preserve">Stronger bargaining position and more licensing revenue for press publishers</t>
  </si>
  <si>
    <t xml:space="preserve">No systematic data on licence revenue. In France, Google first refused to pay; the competition authority fined it EUR 500m (2021) and EUR 250m (2024) for failing to negotiate in good faith / breaching commitments. Earlier national rights (Germany 2013, Spain 2014) produced little or no revenue; when Google News left Spain, traffic to news sites fell (8-14% in one study, about 10% for non-Google-News publishers in another), mostly hurting small outlets.</t>
  </si>
  <si>
    <t xml:space="preserve">Autorité de la concurrence 21-D-17, 24-D-03; Calzada &amp; Gil 2020; Athey et al. 2021; JRC draft 2016/17</t>
  </si>
  <si>
    <t xml:space="preserve">Use of content by upload platforms (Art. 17)</t>
  </si>
  <si>
    <t xml:space="preserve">Right holders better control and monetise their content; more licensing agreements; limited compliance costs for platforms</t>
  </si>
  <si>
    <t xml:space="preserve">Not measured. The Commission's 2024 assessment of the start-up regime (Art. 17(6)) found 'limited evidence': almost no qualifying platforms identified, no platform answered the consultation. No study measures effects on licensing revenue, over-blocking or user uploads.</t>
  </si>
  <si>
    <t xml:space="preserve">SWD(2024) 259; Doseva et al. 2022</t>
  </si>
  <si>
    <t xml:space="preserve">Exceptions (TDM, teaching, preservation)</t>
  </si>
  <si>
    <t xml:space="preserve">More legal certainty and lower rights-clearance costs for researchers, teachers and cultural heritage institutions</t>
  </si>
  <si>
    <t xml:space="preserve">No evaluation found.</t>
  </si>
  <si>
    <t xml:space="preserve">Transparency and remuneration for creators</t>
  </si>
  <si>
    <t xml:space="preserve">Creators get information to assess and adjust remuneration</t>
  </si>
  <si>
    <t xml:space="preserve">The 2018 recast proposal has no LFS indicators; the memorandum says impact will be monitored through the European Data Portal's annual Open Data Maturity 'landscaping' and an evaluation no sooner than 17 July 2025 (Art. 18). No such evaluation had been published by October 2026</t>
  </si>
  <si>
    <t xml:space="preserve">Availability and re-use of public sector data</t>
  </si>
  <si>
    <t xml:space="preserve">Open Data Maturity score (EU-27 average)</t>
  </si>
  <si>
    <t xml:space="preserve">Measured: EU-27 average maturity 86% in 2025 (+3 pp on 2024); policy 93%, portal 85%, quality 83%; the 'impact' dimension is least mature at 82%. Self-assessment questionnaire filled in by national administrations, so it tracks activity rather than economic effect.</t>
  </si>
  <si>
    <t xml:space="preserve">Open Data Maturity Report 2025</t>
  </si>
  <si>
    <t xml:space="preserve">Economic value of public sector data</t>
  </si>
  <si>
    <t xml:space="preserve">Direct economic value of PSI EUR 194bn in 2028 (preferred option) vs EUR 150bn baseline and EUR 52bn in 2018</t>
  </si>
  <si>
    <t xml:space="preserve">EUR 194bn (2028)</t>
  </si>
  <si>
    <t xml:space="preserve">Not measured against the forecast. A Commission-funded market study estimated the EU open data market at EUR 184bn in 2019 with a 2025 forecast of EUR 200-334bn, but it uses different definitions and cannot attribute value to the Directive.</t>
  </si>
  <si>
    <t xml:space="preserve">SWD(2018) 127; data.europa.eu 2020</t>
  </si>
  <si>
    <t xml:space="preserve">Jobs</t>
  </si>
  <si>
    <t xml:space="preserve">709,000 persons employed in PSI-based activities by 2028 (vs 518,000 baseline)</t>
  </si>
  <si>
    <t xml:space="preserve">709,000</t>
  </si>
  <si>
    <t xml:space="preserve">Not measured.</t>
  </si>
  <si>
    <t xml:space="preserve">SWD(2018) 127</t>
  </si>
  <si>
    <t xml:space="preserve">Cost of opening up data</t>
  </si>
  <si>
    <t xml:space="preserve">Cost of making PSI available falls to EUR 2.7-3bn (vs EUR 3.8-4.1bn baseline)</t>
  </si>
  <si>
    <t xml:space="preserve">expected impact (HVD implementing act)</t>
  </si>
  <si>
    <t xml:space="preserve">High-value datasets free via APIs</t>
  </si>
  <si>
    <t xml:space="preserve">Direct effect of HVDs EUR 75bn in 2028 (+EUR 6bn vs baseline); indirect EUR 201bn</t>
  </si>
  <si>
    <t xml:space="preserve">HVD Regulation (EU) 2023/138 applicable since June 2024; Open Data Maturity 2025 reports implementation ongoing. No impact measurement yet.</t>
  </si>
  <si>
    <t xml:space="preserve">SWD(2022) 432/433; ODM 2025</t>
  </si>
  <si>
    <t xml:space="preserve">Monitoring</t>
  </si>
  <si>
    <t xml:space="preserve">Commission report on the application of the Regulation within three years of entry into force (no quantified indicators; LFS specific objectives 'not applicable')</t>
  </si>
  <si>
    <t xml:space="preserve">Delivered: evaluation SWD(2024) 23 (Jan 2024) plus five annual reports (latest COM(2025) 632). Led to a revised Regulation agreed Dec 2025 and adopted in 2026, replacing 2019/452.</t>
  </si>
  <si>
    <t xml:space="preserve">SWD(2024) 23/24; COM(2025) 632</t>
  </si>
  <si>
    <t xml:space="preserve">Identify and address FDI risks to security or public order affecting several Member States</t>
  </si>
  <si>
    <t xml:space="preserve">Coverage of national screening mechanisms; cases handled through cooperation mechanism</t>
  </si>
  <si>
    <t xml:space="preserve">Measured as activity: 24 of 27 Member States had screening laws by end-2024 (ECA counted six without in 2023). In 2024, 477 notifications from 21 Member States; Commission closed 92% in Phase 1 and issued opinions in under 2%. National authorities handled 3,136 cases; of formally screened cases 86% cleared unconditionally, 9% conditioned, ~1% blocked. ECA judged the framework only 'partially effective' with 'blind spots'.</t>
  </si>
  <si>
    <t xml:space="preserve">COM(2025) 632; ECA SR 27/2023; SWD(2024) 23</t>
  </si>
  <si>
    <t xml:space="preserve">Maintain an open investment environment (no chilling of FDI)</t>
  </si>
  <si>
    <t xml:space="preserve">FDI flows into the EU</t>
  </si>
  <si>
    <t xml:space="preserve">Mixed. The Commission's 2024 evaluation states the Regulation 'has not had chilling effects' on FDI inflows (not backed by a causal test). Independent staggered DiD evidence finds national screening cuts cross-border M&amp;A in newly screened sectors by about 12-16% (Eichenauer &amp; Wang 2024), and EU countries adopting screening in line with the EU framework saw larger declines in M&amp;A (Mau 2023). EU FDI inflows fell 23% in 2023 and 8.4% in 2024, driven by many factors.</t>
  </si>
  <si>
    <t xml:space="preserve">SWD(2024) 24; Eichenauer &amp; Wang 2024; Mau 2023; COM(2025) 632</t>
  </si>
  <si>
    <t xml:space="preserve">Administrative burden reasonable for authorities and investors</t>
  </si>
  <si>
    <t xml:space="preserve">Evaluation found burden 'reasonable' based on stakeholder views; ECA found many low-risk or ineligible notifications overburden the mechanism. Not quantified.</t>
  </si>
  <si>
    <t xml:space="preserve">SWD(2024) 24; ECA SR 27/2023</t>
  </si>
  <si>
    <t xml:space="preserve">The proposal's financial statement has no indicators section (1.4.4 is about synergies); the Commission must assess the .eu domain five years after application (i.e. by October 2027) and every three years after</t>
  </si>
  <si>
    <t xml:space="preserve">Attractiveness of .eu</t>
  </si>
  <si>
    <t xml:space="preserve">Promote the attractiveness and uptake of .eu (incl. opening eligibility to EU citizens living outside the EU)</t>
  </si>
  <si>
    <t xml:space="preserve">Registrations broadly flat: 3.7m in April 2021 and about 3.79m at end-2025 (EURid figures); Brexit losses offset by pandemic demand; Q3 2025 was the strongest growth quarter.</t>
  </si>
  <si>
    <t xml:space="preserve">measured (registry statistics)</t>
  </si>
  <si>
    <t xml:space="preserve">COM(2022) 1; EURid quarterly reports</t>
  </si>
  <si>
    <t xml:space="preserve">Governance reflecting best practice and EU public interest (multistakeholder council)</t>
  </si>
  <si>
    <t xml:space="preserve">Multistakeholder Council and new registry selection set up under the Regulation (applies since 13 Oct 2022); no assessment of effects yet.</t>
  </si>
  <si>
    <t xml:space="preserve">COM(2023) 485</t>
  </si>
  <si>
    <t xml:space="preserve">Trust and security</t>
  </si>
  <si>
    <t xml:space="preserve">Future-proof, secure namespace</t>
  </si>
  <si>
    <t xml:space="preserve">Registry reports 100% availability, abuse-prevention early warning system and know-your-customer checks (2019-2021).</t>
  </si>
  <si>
    <t xml:space="preserve">COM(2022) 1</t>
  </si>
  <si>
    <t xml:space="preserve">Delivery</t>
  </si>
  <si>
    <t xml:space="preserve">Components ready for operations by target dates (search portal T0+36 months; common identity repository and multiple-identity detector end-2022/2023; shared biometric matching end-2023)</t>
  </si>
  <si>
    <t xml:space="preserve">complete by end-2023</t>
  </si>
  <si>
    <t xml:space="preserve">Far behind schedule: shared biometric matching service launched May 2025; European search portal and common identity repository due June 2026; multiple-identity detector in testing; reporting repository expected Q4 2026.</t>
  </si>
  <si>
    <t xml:space="preserve">measured (delayed)</t>
  </si>
  <si>
    <t xml:space="preserve">COM(2026) 446</t>
  </si>
  <si>
    <t xml:space="preserve">Fast access to data</t>
  </si>
  <si>
    <t xml:space="preserve">Number of searches handled by the European search portal vs total searches</t>
  </si>
  <si>
    <t xml:space="preserve">Not yet operational in the reporting period.</t>
  </si>
  <si>
    <t xml:space="preserve">Identity fraud</t>
  </si>
  <si>
    <t xml:space="preserve">Identities linked to the same biometrics; detected identity fraud cases</t>
  </si>
  <si>
    <t xml:space="preserve">Multiple-identity detector not yet operational.</t>
  </si>
  <si>
    <t xml:space="preserve">Law enforcement access</t>
  </si>
  <si>
    <t xml:space="preserve">Number of step-1 (hit/no-hit) and step-2 accesses for law enforcement</t>
  </si>
  <si>
    <t xml:space="preserve">Not yet operational.</t>
  </si>
  <si>
    <t xml:space="preserve">Cost savings</t>
  </si>
  <si>
    <t xml:space="preserve">Direct savings of EUR 77.5m a year, mostly for Member State administrations</t>
  </si>
  <si>
    <t xml:space="preserve">EUR 77.5m/yr</t>
  </si>
  <si>
    <t xml:space="preserve">Not measured; components not yet operating.</t>
  </si>
  <si>
    <t xml:space="preserve">SWD(2017) 474</t>
  </si>
  <si>
    <t xml:space="preserve">Costs</t>
  </si>
  <si>
    <t xml:space="preserve">One-off cost EUR 169.8m (about half EU, half Member States); EUR 28.5m a year running costs</t>
  </si>
  <si>
    <t xml:space="preserve">EUR 169.8m one-off</t>
  </si>
  <si>
    <t xml:space="preserve">By 1 Dec 2025 eu-LISA alone had signed contracts worth EUR 170.8m for interoperability (EUR 133.2m paid), already above the whole one-off estimate for the EU and Member States combined.</t>
  </si>
  <si>
    <t xml:space="preserve">partially measured (cost overrun likely)</t>
  </si>
  <si>
    <t xml:space="preserve">Increase capabilities and preparedness of Member States and businesses; improve cooperation; raise awareness; strengthen trust through certification of ICT products and services</t>
  </si>
  <si>
    <t xml:space="preserve">ENISA outputs</t>
  </si>
  <si>
    <t xml:space="preserve">Trainings, good practices, threat landscape reports, exercises (e.g. Cyber Europe), support requests handled</t>
  </si>
  <si>
    <t xml:space="preserve">Evaluation: ENISA delivered nearly all planned outputs and stakeholders value its work, but 'with no sufficient indicators in place' the assessment relies mainly on interviews and surveys; insufficient resources and hiring problems caused delays.</t>
  </si>
  <si>
    <t xml:space="preserve">COM(2026) 9</t>
  </si>
  <si>
    <t xml:space="preserve">Certification</t>
  </si>
  <si>
    <t xml:space="preserve">Number of certification schemes adopted under the framework</t>
  </si>
  <si>
    <t xml:space="preserve">One scheme (EUCC, common criteria) adopted in early 2024, 57 months after initiation; cloud scheme (EUCS) stalled over data-sovereignty disputes; 5G scheme not adopted. Framework judged unable to reduce fragmentation.</t>
  </si>
  <si>
    <t xml:space="preserve">measured (low)</t>
  </si>
  <si>
    <t xml:space="preserve">Reduced cost of obtaining an ICT security certificate</t>
  </si>
  <si>
    <t xml:space="preserve">Awareness</t>
  </si>
  <si>
    <t xml:space="preserve">Increase in cyber awareness among EU citizens (e.g. awareness quiz scores)</t>
  </si>
  <si>
    <t xml:space="preserve">No time series reported in the evaluation.</t>
  </si>
  <si>
    <t xml:space="preserve">Economy</t>
  </si>
  <si>
    <t xml:space="preserve">Help reduce the cost of cyber incidents, estimated at 0.41% of EU GDP (about EUR 55bn)</t>
  </si>
  <si>
    <t xml:space="preserve">baseline EUR 55bn</t>
  </si>
  <si>
    <t xml:space="preserve">Not measured or attributed.</t>
  </si>
  <si>
    <t xml:space="preserve">COM(2017) 477</t>
  </si>
  <si>
    <t xml:space="preserve">Compliance rates by Member State/sector, for e-commerce and imports</t>
  </si>
  <si>
    <t xml:space="preserve">Partial: authorities report non-compliance in about 10% of checks (11% in 2019, 9% in 2022), 12% for products under Article 4; no EU-wide compliance-rate series. Commission reports 4.6bn low-value parcels imported in 2024, straining controls.</t>
  </si>
  <si>
    <t xml:space="preserve">COM(2025) 63; COM(2025) 37</t>
  </si>
  <si>
    <t xml:space="preserve">Cooperation</t>
  </si>
  <si>
    <t xml:space="preserve">Number of coordinated control campaigns and results</t>
  </si>
  <si>
    <t xml:space="preserve">Joint actions run through the Union Product Compliance Network (e.g. 2023 online check of 215 offers); no aggregate count found.</t>
  </si>
  <si>
    <t xml:space="preserve">COM(2025) 63</t>
  </si>
  <si>
    <t xml:space="preserve">Use of mutual assistance mechanisms and replicated measures</t>
  </si>
  <si>
    <t xml:space="preserve">Not reported in available documents; full evaluation (due July 2026) not found.</t>
  </si>
  <si>
    <t xml:space="preserve">Business awareness</t>
  </si>
  <si>
    <t xml:space="preserve">Awareness/understanding of product rules by businesses</t>
  </si>
  <si>
    <t xml:space="preserve">Very low economic operator response to the Article 4 study survey; no measure.</t>
  </si>
  <si>
    <t xml:space="preserve">specific provision (Article 4)</t>
  </si>
  <si>
    <t xml:space="preserve">Responsible operator in the EU</t>
  </si>
  <si>
    <t xml:space="preserve">Products sold in the EU must have an EU-based responsible economic operator</t>
  </si>
  <si>
    <t xml:space="preserve">Article 4 report: operator missing in 7% of checks and wrong in 5%; in a 2023 online joint action only 34% of indicated operators could be confirmed; half of authorities saw no change in compliance and none clearly attributable.</t>
  </si>
  <si>
    <t xml:space="preserve">measured (low compliance online)</t>
  </si>
  <si>
    <t xml:space="preserve">EU budget</t>
  </si>
  <si>
    <t xml:space="preserve">Union Product Compliance Network about EUR 18m a year</t>
  </si>
  <si>
    <t xml:space="preserve">SWD(2017) 467</t>
  </si>
  <si>
    <t xml:space="preserve">The proposal has no LFS indicator section; its memorandum promised monitoring through the EU Observatory on the Online Platform Economy (number and types of business users, complaints handled, cases solved, time to resolve) and a review three years after entry into force</t>
  </si>
  <si>
    <t xml:space="preserve">Redress</t>
  </si>
  <si>
    <t xml:space="preserve">Number and type of complaints handled through internal complaint-handling, cases solved, time to resolve</t>
  </si>
  <si>
    <t xml:space="preserve">Only 19 of 179 platforms studied published the mandatory complaint-handling report; reported numbers range from 12 complaints (Apple) to over 3 million (Google), showing divergent interpretations and possible non-compliance.</t>
  </si>
  <si>
    <t xml:space="preserve">COM(2023) 525</t>
  </si>
  <si>
    <t xml:space="preserve">Use of external mediation</t>
  </si>
  <si>
    <t xml:space="preserve">Only 25 of 179 large and medium platforms named the required two mediators; no specialised mediation bodies set up; very few complaints or court cases.</t>
  </si>
  <si>
    <t xml:space="preserve">expected result</t>
  </si>
  <si>
    <t xml:space="preserve">Disclosure of main ranking parameters and of differentiated treatment</t>
  </si>
  <si>
    <t xml:space="preserve">Only about a third of platforms reviewed listed ranking parameters in their terms; 10% of business users report little or no ranking information and 42% only moderate. Irish CCPC sweep (late 2025): about 80% of 17 platforms non-compliant in some respect.</t>
  </si>
  <si>
    <t xml:space="preserve">COM(2023) 525; CCPC 2026; Sovrano et al. 2024</t>
  </si>
  <si>
    <t xml:space="preserve">Business users aware of and using their new rights</t>
  </si>
  <si>
    <t xml:space="preserve">Low: Irish survey (2022, n=177) found 51% of businesses had no knowledge of the Regulation and 4% detailed knowledge; Commission 2023 review reports a lack of awareness, lower where Member States set up no public enforcement.</t>
  </si>
  <si>
    <t xml:space="preserve">CCPC 2023; COM(2023) 525</t>
  </si>
  <si>
    <t xml:space="preserve">Platform economy growth</t>
  </si>
  <si>
    <t xml:space="preserve">Reversing a trust-related 'dampening effect' on the online platform economy worth EUR 0.81-4.05bn</t>
  </si>
  <si>
    <t xml:space="preserve">EUR 0.81-4.05bn</t>
  </si>
  <si>
    <t xml:space="preserve">Not measured. The 2023 review assessed compliance only; in November 2025 the Commission proposed repealing the Regulation as having 'only residual value' after the DSA and DMA.</t>
  </si>
  <si>
    <t xml:space="preserve">SWD(2018) 139; COM(2023) 525; COM(2025) 837</t>
  </si>
  <si>
    <t xml:space="preserve">Financial support for reforms and investment</t>
  </si>
  <si>
    <t xml:space="preserve">Output: number of plans approved; financial contribution allocated to the plans</t>
  </si>
  <si>
    <t xml:space="preserve">Measured: all 27 plans approved and repeatedly revised; by 1 October 2026 EUR 450bn disbursed (79% of the envelope: EUR 279bn grants, 78% of grant envelope; EUR 171bn loans, 80%); final payment requests worth EUR 123bn under assessment; payment deadline 31 Dec 2026.</t>
  </si>
  <si>
    <t xml:space="preserve">COM(2026) 546</t>
  </si>
  <si>
    <t xml:space="preserve">Implementation</t>
  </si>
  <si>
    <t xml:space="preserve">Result: number of plans implemented / milestones and targets fulfilled</t>
  </si>
  <si>
    <t xml:space="preserve">Measured: 4,082 of 5,981 milestones and targets (68%) assessed as fulfilled by 1 Oct 2026; implementation on the ground ended 31 Aug 2026. ECA found absorption delayed (EUR 213bn disbursed by end-2023; only about half of funds received had reached final recipients by Oct 2023).</t>
  </si>
  <si>
    <t xml:space="preserve">COM(2026) 546; ECA SR 13/2024</t>
  </si>
  <si>
    <t xml:space="preserve">Impact</t>
  </si>
  <si>
    <t xml:space="preserve">Objectives set in the plans achieved due to RRF support (recovery, resilience, green and digital transition)</t>
  </si>
  <si>
    <t xml:space="preserve">Only outputs measured: 14 common indicators reported by Member States (e.g. 71.3 TWh annual primary energy savings by Dec 2025), but no targets or counterfactual; ECA (SR 26/2023) concluded the framework measures implementation progress, not performance. Ex-post evaluation due 2028.</t>
  </si>
  <si>
    <t xml:space="preserve">COM(2026) 546; ECA SR 26/2023</t>
  </si>
  <si>
    <t xml:space="preserve">expected impact (Commission model estimates)</t>
  </si>
  <si>
    <t xml:space="preserve">NGEU raises EU real GDP by up to 1.4% in 2026 and employment by up to 0.8% (QUEST); peak gains of about 3.5% in Spain and Bulgaria</t>
  </si>
  <si>
    <t xml:space="preserve">+1.4% GDP (2026)</t>
  </si>
  <si>
    <t xml:space="preserve">Model-based only. NiGEM simulation in the mid-term evaluation: EU GDP 0.4% higher in 2022 and unemployment 0.2 pp lower. ECB staff later estimated a smaller euro-area effect of 0.4-0.9% of GDP by 2026 (0.8-1.2% by 2031), revised over time because of widespread delays. IMF finds a short-term demand boost in high-allocation countries. No ex-post causal estimate yet.</t>
  </si>
  <si>
    <t xml:space="preserve">SWD(2024) 70; ECB OP 362; IMF WP/26/114</t>
  </si>
  <si>
    <t xml:space="preserve">expected impact (Commission evaluation)</t>
  </si>
  <si>
    <t xml:space="preserve">Financial stability</t>
  </si>
  <si>
    <t xml:space="preserve">Lower sovereign spreads and reduced financial fragmentation through joint EU borrowing</t>
  </si>
  <si>
    <t xml:space="preserve">Model and market evidence (NiGEM, IMF) indicate joint borrowing helped stabilise sovereign debt markets; not separately quantified in a causal study.</t>
  </si>
  <si>
    <t xml:space="preserve">SWD(2024) 70; IMF WP/26/114</t>
  </si>
  <si>
    <t xml:space="preserve">The 2020 amended proposal's financial statement has no indicators section (1.4.4 is about synergies); monitoring relies on the key performance indicators annexed to the Regulation and guarantee agreements</t>
  </si>
  <si>
    <t xml:space="preserve">headline target (Regulation / Commission)</t>
  </si>
  <si>
    <t xml:space="preserve">Investment mobilised</t>
  </si>
  <si>
    <t xml:space="preserve">More than EUR 372bn additional public and private investment by 2028 from a EUR 26.2bn EU guarantee (2018 proposal: EUR 650bn from EUR 38bn)</t>
  </si>
  <si>
    <t xml:space="preserve">EUR 372bn</t>
  </si>
  <si>
    <t xml:space="preserve">Interim evaluation: about EUR 218bn expected to be mobilised by end-2023 (65% private), anticipated multiplier 14.76; 90% of the guarantee allocated, almost 80% of that approved. Figures are expected/approved, not disbursed.</t>
  </si>
  <si>
    <t xml:space="preserve">partially measured (self-reported)</t>
  </si>
  <si>
    <t xml:space="preserve">SWD(2024) 228/229</t>
  </si>
  <si>
    <t xml:space="preserve">Additionality</t>
  </si>
  <si>
    <t xml:space="preserve">Support only investment that would not otherwise happen (market gaps, higher risk)</t>
  </si>
  <si>
    <t xml:space="preserve">Interim evaluation reports high additionality based on implementing partners' assessments; the Court of Auditors found additionality of the predecessor EFSI insufficiently demonstrated and its mobilised investment overstated by EUR 131bn (26%).</t>
  </si>
  <si>
    <t xml:space="preserve">SWD(2024) 228; ECA SR 07/2025</t>
  </si>
  <si>
    <t xml:space="preserve">Firm investment and growth</t>
  </si>
  <si>
    <t xml:space="preserve">Effects on recipient firms' investment, jobs, innovation</t>
  </si>
  <si>
    <t xml:space="preserve">No causal study of InvestEU yet; a causal study of predecessor EFSI direct loans finds about 12 percentage points extra fixed-asset growth.</t>
  </si>
  <si>
    <t xml:space="preserve">not measured (predecessor evidence only)</t>
  </si>
  <si>
    <t xml:space="preserve">Frayman 2026</t>
  </si>
  <si>
    <t xml:space="preserve">The proposal's financial statement contains no usable LFS indicators (section 1.4.4 in the extraction is about synergies); performance is tracked through the indicators in the Regulation's annex, continuous monitoring and mid-term/final evaluations</t>
  </si>
  <si>
    <t xml:space="preserve">programme objective (proposal)</t>
  </si>
  <si>
    <t xml:space="preserve">Internal market and enforcement (Pillar 1)</t>
  </si>
  <si>
    <t xml:space="preserve">Better digital tools for enforcement and administrative cooperation (e.g. IMI, Your Europe, competition case tools)</t>
  </si>
  <si>
    <t xml:space="preserve">Interim evaluation: tools improved enforcement and cooperation, but CASE@EC rollout only partly done and broader impact of tools not measured because user feedback is not collected regularly.</t>
  </si>
  <si>
    <t xml:space="preserve">COM(2025) 347</t>
  </si>
  <si>
    <t xml:space="preserve">SME competitiveness (Pillar 2)</t>
  </si>
  <si>
    <t xml:space="preserve">SMEs supported through Enterprise Europe Network, Erasmus for Young Entrepreneurs, Euroclusters</t>
  </si>
  <si>
    <t xml:space="preserve">Interim evaluation reports very high client satisfaction and 'tangible effects on business performance' but recommends systematic tracking of all SMEs supported and a harmonised survey of effects on growth, digitalisation and internationalisation - i.e. impact on firms is not yet measured.</t>
  </si>
  <si>
    <t xml:space="preserve">Consumer protection, standardisation, food safety, statistics (Pillars 3-6)</t>
  </si>
  <si>
    <t xml:space="preserve">Effective consumer enforcement (CPC, Safety Gate), standards adoption, animal disease eradication, trusted statistics</t>
  </si>
  <si>
    <t xml:space="preserve">Interim evaluation finds all pillars effective; e.g. reduced brucellosis, rabies and Salmonella cases; 95% of surveyed users confident in European statistics (2024). Mostly output and satisfaction evidence.</t>
  </si>
  <si>
    <t xml:space="preserve">budget execution</t>
  </si>
  <si>
    <t xml:space="preserve">Budget committed</t>
  </si>
  <si>
    <t xml:space="preserve">EUR 4,353m total 2021-2027</t>
  </si>
  <si>
    <t xml:space="preserve">EUR 1,909m (44%) allocated in the first three years; inflation reduced the number and scope of actions.</t>
  </si>
  <si>
    <t xml:space="preserve">The proposal's financial statement contains no usable LFS indicators (1.4.4 in the extraction covers synergies); performance indicators per specific objective are set in Annex II of the Regulation, and the IA said indicators would also draw on the Digital Economy and Society Index</t>
  </si>
  <si>
    <t xml:space="preserve">performance indicator (Regulation annex)</t>
  </si>
  <si>
    <t xml:space="preserve">High performance computing</t>
  </si>
  <si>
    <t xml:space="preserve">Joint procurements of HPC infrastructure; use of exascale systems</t>
  </si>
  <si>
    <t xml:space="preserve">30 procurements by 2029</t>
  </si>
  <si>
    <t xml:space="preserve">19 of 30 planned procurements done; JUPITER, the EU's first exascale computer, ranked 4th on TOP500 and 1st on Green500 (its JEDI module); 19 AI Factories being deployed.</t>
  </si>
  <si>
    <t xml:space="preserve">measured (outputs)</t>
  </si>
  <si>
    <t xml:space="preserve">SWD(2025) 420; COM(2025) 771</t>
  </si>
  <si>
    <t xml:space="preserve">Adoption of digital technologies (EDIHs)</t>
  </si>
  <si>
    <t xml:space="preserve">Number of European Digital Innovation Hubs and businesses served</t>
  </si>
  <si>
    <t xml:space="preserve">Over 150 EDIHs covering 90% of regions by end-2024; 29,000 services to 54,600 companies; users value services at EUR 8,000-15,300 per organisation (perceived value, not measured effect).</t>
  </si>
  <si>
    <t xml:space="preserve">COM(2025) 771</t>
  </si>
  <si>
    <t xml:space="preserve">Advanced digital skills</t>
  </si>
  <si>
    <t xml:space="preserve">People trained; master's programmes and courses</t>
  </si>
  <si>
    <t xml:space="preserve">By end-2024: 50+ master's programmes, 530 short courses, 20,700+ people trained in AI, cybersecurity, semiconductors etc.</t>
  </si>
  <si>
    <t xml:space="preserve">Cybersecurity infrastructures procured</t>
  </si>
  <si>
    <t xml:space="preserve">26 CyberHubs procured (in line with targets); network of 27 national coordination centres; first 12 cybersecurity tools deployed.</t>
  </si>
  <si>
    <t xml:space="preserve">Closing digital investment gap / competitiveness</t>
  </si>
  <si>
    <t xml:space="preserve">Higher EU digital capacity and uptake (e.g. SMEs highly digitised 20% in 2018)</t>
  </si>
  <si>
    <t xml:space="preserve">Interim evaluation: programme on track or ahead on activities and outputs, first outcome-level benefits only now emerging; no measured effect on productivity, uptake or competitiveness.</t>
  </si>
  <si>
    <t xml:space="preserve">SWD(2025) 420</t>
  </si>
  <si>
    <t xml:space="preserve">The proposal's financial statement has no LFS indicators (1.4.2-1.4.4 empty in extraction); monitoring is through 'key impact pathway' indicators (Annex V of the Regulation), annual monitoring and interim/ex-post evaluations</t>
  </si>
  <si>
    <t xml:space="preserve">Average GDP gain of 0.08-0.19% over 25 years; each euro invested returns up to EUR 11 of GDP</t>
  </si>
  <si>
    <t xml:space="preserve">+0.08-0.19% GDP; up to EUR 11 per EUR 1</t>
  </si>
  <si>
    <t xml:space="preserve">Model-based only: interim evaluation's NEMESIS, RHOMOLO and FIDELIO runs give GDP multipliers of 4-11 by 2045 and say results are on track (RHOMOLO peak +0.10% of GDP in 2024). These re-run the same type of models used ex ante; no observed macro effect.</t>
  </si>
  <si>
    <t xml:space="preserve">partially measured (model re-estimates)</t>
  </si>
  <si>
    <t xml:space="preserve">SWD(2018) 307; SWD(2025) 110</t>
  </si>
  <si>
    <t xml:space="preserve">Up to 100,000 direct R&amp;I jobs in 2021-2027 and up to 200,000 indirect jobs in 2027-2036</t>
  </si>
  <si>
    <t xml:space="preserve">100k direct / 200k indirect</t>
  </si>
  <si>
    <t xml:space="preserve">Reported: 39,543 FTE jobs created or maintained by participants (data from only 21% of projects, Jan 2025); NEMESIS estimates up to 60,000 research jobs by 2023-24; RHOMOLO about 128,000 persons (+0.06%) at 2023 peak.</t>
  </si>
  <si>
    <t xml:space="preserve">SWD(2025) 110</t>
  </si>
  <si>
    <t xml:space="preserve">key impact pathway</t>
  </si>
  <si>
    <t xml:space="preserve">Leveraging investment</t>
  </si>
  <si>
    <t xml:space="preserve">Co-investment mobilised by participants</t>
  </si>
  <si>
    <t xml:space="preserve">Measured: EUR 10.2bn co-investment by participants by the interim evaluation, against just over EUR 5bn at the same stage of Horizon 2020.</t>
  </si>
  <si>
    <t xml:space="preserve">Excellence / funding reach</t>
  </si>
  <si>
    <t xml:space="preserve">Success rates and funding of high-quality proposals</t>
  </si>
  <si>
    <t xml:space="preserve">Measured: average success rate rose from 12% (Horizon 2020) to 16.4%; only 30.1% of high-quality proposals funded (25% in Horizon 2020) - funding all would have required an extra EUR 81.8bn. 15,148 grants worth EUR 43.2bn signed 2021-2024; budget cut from EUR 95.5bn to 93.5bn in 2024.</t>
  </si>
  <si>
    <t xml:space="preserve">Firm growth and innovation (EIC, SMEs)</t>
  </si>
  <si>
    <t xml:space="preserve">Higher growth of SMEs, more scale-ups and breakthrough innovation</t>
  </si>
  <si>
    <t xml:space="preserve">No causal estimate yet for Horizon Europe. For its predecessor (Horizon 2020) quasi-experimental studies find positive effects: SME Instrument grants raised investment, patents and survival (regression discontinuity); Horizon 2020 grantees grew employment ~20% and assets/revenue ~30% vs high-quality rejected applicants (difference-in-differences).</t>
  </si>
  <si>
    <t xml:space="preserve">mixed evidence (predecessor only)</t>
  </si>
  <si>
    <t xml:space="preserve">Santoleri et al. 2024; Mitra &amp; Niakaros 2023; SWD(2024) 29</t>
  </si>
  <si>
    <t xml:space="preserve">The proposal has no LFS indicators; the memorandum committed the Commission to a monitoring programme within one year, an implementation report after two years and an evaluation (Article 23)</t>
  </si>
  <si>
    <t xml:space="preserve">Limit availability of terrorist content</t>
  </si>
  <si>
    <t xml:space="preserve">Faster removal: removal orders executed within one hour</t>
  </si>
  <si>
    <t xml:space="preserve">1 hour</t>
  </si>
  <si>
    <t xml:space="preserve">At least 349 removal orders issued by six Member States by end-2023 (to Telegram, Meta, X, TikTok, Archive.org and others), mostly with swift follow-up; Commission judges impact 'positive'. No measure of overall prevalence of terrorist content.</t>
  </si>
  <si>
    <t xml:space="preserve">COM(2024) 64</t>
  </si>
  <si>
    <t xml:space="preserve">Authority capacity and cooperation</t>
  </si>
  <si>
    <t xml:space="preserve">Competent authorities designated; cooperation via Europol (PERCI)</t>
  </si>
  <si>
    <t xml:space="preserve">23 Member States had designated authorities by end-2023 after infringement procedures against 22; 14,615 referrals processed in PERCI July-Dec 2023.</t>
  </si>
  <si>
    <t xml:space="preserve">Safeguards against erroneous removal / fundamental rights</t>
  </si>
  <si>
    <t xml:space="preserve">Complaints, reinstatements and court challenges; no over-removal</t>
  </si>
  <si>
    <t xml:space="preserve">No removal order scrutinised, reinstated or challenged in court by end-2023. FRA (2026) interviews flag risk of over-removal and disproportionate effects on Muslims and Arabic speakers. No quantitative evidence.</t>
  </si>
  <si>
    <t xml:space="preserve">COM(2024) 64; FRA 2026</t>
  </si>
  <si>
    <t xml:space="preserve">Less fragmentation and lower compliance costs for hosting providers</t>
  </si>
  <si>
    <t xml:space="preserve">Cybersecurity infrastructure</t>
  </si>
  <si>
    <t xml:space="preserve">Number of cybersecurity infrastructure/tools jointly procured</t>
  </si>
  <si>
    <t xml:space="preserve">26 cybersecurity infrastructures (CyberHubs, incl. two cross-border) procured and first 12 tools deployed under Digital Europe, in line with targets.</t>
  </si>
  <si>
    <t xml:space="preserve">Competitiveness of EU suppliers</t>
  </si>
  <si>
    <t xml:space="preserve">Global market share of European cybersecurity suppliers</t>
  </si>
  <si>
    <t xml:space="preserve">25% by 2027</t>
  </si>
  <si>
    <t xml:space="preserve">No data on market share found in Commission or ECCC reporting.</t>
  </si>
  <si>
    <t xml:space="preserve">Innovation</t>
  </si>
  <si>
    <t xml:space="preserve">Patents, publications, commercial products from next-generation cybersecurity technologies</t>
  </si>
  <si>
    <t xml:space="preserve">Not reported.</t>
  </si>
  <si>
    <t xml:space="preserve">Network and skills</t>
  </si>
  <si>
    <t xml:space="preserve">National coordination centres; people trained; curricula aligned</t>
  </si>
  <si>
    <t xml:space="preserve">Network of 27 national coordination centres set up; stakeholders cite standardised practices and cross-border cooperation as main benefits. ECCC reached financial autonomy only in September 2024.</t>
  </si>
  <si>
    <t xml:space="preserve">COM(2025) 771; ECA 2025</t>
  </si>
  <si>
    <t xml:space="preserve">evaluation clause (Article 38)</t>
  </si>
  <si>
    <t xml:space="preserve">Evaluation</t>
  </si>
  <si>
    <t xml:space="preserve">Independent Commission evaluation of the Centre</t>
  </si>
  <si>
    <t xml:space="preserve">No published Commission evaluation found (Oct 2026).</t>
  </si>
  <si>
    <t xml:space="preserve">The proposal's financial statement contains no usable LFS indicators (1.4.4 in the extraction covers synergies); key indicators are in Part 1 of the Regulation's annex, with a Monitoring and Evaluation Framework published as SWD(2024) 276; interim evaluation was still under way in Sept 2025</t>
  </si>
  <si>
    <t xml:space="preserve">programme objective (Regulation)</t>
  </si>
  <si>
    <t xml:space="preserve">Transport: complete TEN-T core network</t>
  </si>
  <si>
    <t xml:space="preserve">Cross-border and missing links, military mobility, alternative fuels infrastructure</t>
  </si>
  <si>
    <t xml:space="preserve">Calls oversubscribed up to almost 3x; whole transport budget committed by 2025; 600+ projects ongoing but only 23 small projects finished; remaining need EUR 845bn to complete the network.</t>
  </si>
  <si>
    <t xml:space="preserve">COM(2025) 516</t>
  </si>
  <si>
    <t xml:space="preserve">Energy: integrate internal energy market (PCIs, cross-border renewables)</t>
  </si>
  <si>
    <t xml:space="preserve">Interconnections built; cross-border renewables projects</t>
  </si>
  <si>
    <t xml:space="preserve">EUR 5.8bn budget</t>
  </si>
  <si>
    <t xml:space="preserve">EUR 3.5bn awarded 2021-2024 (e.g. 16 electricity projects &gt;EUR 2bn incl. EuroAsia interconnector, Baltic synchronisation); some projects delayed by energy and materials price shocks; EUR 430m temporarily moved to transport.</t>
  </si>
  <si>
    <t xml:space="preserve">Digital: 5G corridors and backbone networks</t>
  </si>
  <si>
    <t xml:space="preserve">5G along transport corridors; Global Gateway backbones/submarine cables</t>
  </si>
  <si>
    <t xml:space="preserve">Start delayed; 117 projects worth over EUR 640m funded (51 backbone/submarine cable projects EUR 420m; 25 5G corridor projects EUR 93m); first results only from 2025; portfolio judged on track.</t>
  </si>
  <si>
    <t xml:space="preserve">Growth, cohesion, decarbonisation</t>
  </si>
  <si>
    <t xml:space="preserve">Economic and environmental effects of completed networks</t>
  </si>
  <si>
    <t xml:space="preserve">Not measured; projects mostly not completed. No causal study of CEF grants found.</t>
  </si>
  <si>
    <t xml:space="preserve">The proposal's LFS has no indicators (1.4.4 lists synergies only) and no new impact assessment: the Commission relied on the January 2018 IA for the first EuroHPC Regulation (SWD(2018) 6). Monitoring is via Horizon Europe evaluations and JU annual activity reports</t>
  </si>
  <si>
    <t xml:space="preserve">World-class supercomputing</t>
  </si>
  <si>
    <t xml:space="preserve">Exascale supercomputers ranking among the world's top three</t>
  </si>
  <si>
    <t xml:space="preserve">Around 2022 (2017 HPC strategy, cited in IA)</t>
  </si>
  <si>
    <t xml:space="preserve">Delayed: JUPITER, the first EU exascale system, ranked 4th on TOP500 (2025) and its JEDI module 1st on Green500; 19 of 30 planned procurements done by end-2024.</t>
  </si>
  <si>
    <t xml:space="preserve">Access for science and industry / AI</t>
  </si>
  <si>
    <t xml:space="preserve">Use of EuroHPC systems by researchers, industry, SMEs</t>
  </si>
  <si>
    <t xml:space="preserve">19 AI Factories being deployed; JUPITER made available to first users end-2024; usage statistics for industry not reported in sources reviewed.</t>
  </si>
  <si>
    <t xml:space="preserve">legal target (Regulation)</t>
  </si>
  <si>
    <t xml:space="preserve">Private co-investment</t>
  </si>
  <si>
    <t xml:space="preserve">Private members' contributions</t>
  </si>
  <si>
    <t xml:space="preserve">EUR 900m under Horizon Europe; EUR 420m minimum under Horizon 2020</t>
  </si>
  <si>
    <t xml:space="preserve">ECA: private members contributed only about EUR 19.8m against the EUR 420m Horizon 2020 minimum; risk to the much larger 2021-2027 target rated medium.</t>
  </si>
  <si>
    <t xml:space="preserve">ECA 2025</t>
  </si>
  <si>
    <t xml:space="preserve">EU HPC supply chain / technological sovereignty</t>
  </si>
  <si>
    <t xml:space="preserve">Share of European technology in EU systems; EU vendors' global share</t>
  </si>
  <si>
    <t xml:space="preserve">JUPITER installed by European companies; no systematic market-share data found.</t>
  </si>
  <si>
    <t xml:space="preserve">No impact assessment (the Commission judged none appropriate given urgency and lack of alternative options) and no LFS indicators; the memorandum says monitoring arrangements are 'not applicable'. The Regulation itself requires provider and Member State statistics (Articles 3 and 8) and Commission implementation reports (Article 9)</t>
  </si>
  <si>
    <t xml:space="preserve">legal objective (Regulation)</t>
  </si>
  <si>
    <t xml:space="preserve">Continue voluntary detection and reporting of online child sexual abuse</t>
  </si>
  <si>
    <t xml:space="preserve">Reports of detected CSA; children identified; offenders convicted</t>
  </si>
  <si>
    <t xml:space="preserve">Member State data incomplete and fragmented; Commission says a comprehensive and reliable overview of reports, children identified and convictions is not possible. Available data show thousands of children identified and millions of images/videos removed.</t>
  </si>
  <si>
    <t xml:space="preserve">COM(2023) 797; COM(2025) 740</t>
  </si>
  <si>
    <t xml:space="preserve">legal safeguard (Regulation)</t>
  </si>
  <si>
    <t xml:space="preserve">Accuracy / privacy</t>
  </si>
  <si>
    <t xml:space="preserve">Error ratios (false positives) of detection technologies</t>
  </si>
  <si>
    <t xml:space="preserve">Providers report aggregate error ratios using different methods: e.g. Google 1.14% (2023) and 0.54% (2024) of hash-matched flags not confirmed on human review; Meta 0.32% and 0.12% of actioned items restored; Microsoft could not calculate. Not comparable.</t>
  </si>
  <si>
    <t xml:space="preserve">COM(2025) 740</t>
  </si>
  <si>
    <t xml:space="preserve">legal test (Article 9)</t>
  </si>
  <si>
    <t xml:space="preserve">Proportionality of the derogation</t>
  </si>
  <si>
    <t xml:space="preserve">Balance between child protection and users' privacy</t>
  </si>
  <si>
    <t xml:space="preserve">Commission: available data insufficient for a definitive answer, though no indications that the derogation is not proportionate; providers gave no information on data protection impact assessments. EDPS (2026) calls for safeguards against general and indiscriminate scanning.</t>
  </si>
  <si>
    <t xml:space="preserve">COM(2025) 740; EDPS Opinion 7/2026</t>
  </si>
  <si>
    <t xml:space="preserve">The proposal's LFS has no indicators (1.4.4 lists synergies); partnerships are monitored under Articles 45 and 47 and Annex III of the Horizon Europe Regulation and feed into Horizon Europe interim and ex-post evaluations</t>
  </si>
  <si>
    <t xml:space="preserve">Leverage of private and national funding</t>
  </si>
  <si>
    <t xml:space="preserve">Non-EU contributions mobilised per EU euro (e.g. KDT/Chips 1:3 leverage)</t>
  </si>
  <si>
    <t xml:space="preserve">EU EUR 17.2bn to leverage EUR 21.3bn (123%) in 2021-2027</t>
  </si>
  <si>
    <t xml:space="preserve">ECA: planned leverage lower than 2014-2020 (158%); shortfalls for some JUs - Global Health EDCTP3 partners' cash only EUR 15.6m (4% of EUR 400m target) by end-2024; SESAR 3/Eurocontrol and IHI also short. HE interim evaluation: JU projects have highest direct leverage factor (0.8) among HE actions.</t>
  </si>
  <si>
    <t xml:space="preserve">ECA 2025; SWD(2025) 110</t>
  </si>
  <si>
    <t xml:space="preserve">Knowledge, innovation and value-chain resilience</t>
  </si>
  <si>
    <t xml:space="preserve">Scientific, economic and technological impacts of partnerships</t>
  </si>
  <si>
    <t xml:space="preserve">HE interim evaluation: partnerships contributed to new knowledge and EU leadership in key technologies; only a smaller number of JUs had an impact on accelerating uptake of innovative solutions. Based on partnership evaluations, not counterfactual.</t>
  </si>
  <si>
    <t xml:space="preserve">partnership criterion (Horizon Europe Regulation)</t>
  </si>
  <si>
    <t xml:space="preserve">Openness and SME participation</t>
  </si>
  <si>
    <t xml:space="preserve">New members; SME and widening-country participation</t>
  </si>
  <si>
    <t xml:space="preserve">308 new organisations joined partnerships 2022-2024, mostly EIT KICs; few newcomers in JUs; only three JUs have SMEs as members; about 15% of JU funding went to SMEs.</t>
  </si>
  <si>
    <t xml:space="preserve">Sector targets (e.g. aviation emissions, rail, hydrogen, health)</t>
  </si>
  <si>
    <t xml:space="preserve">Sector-specific technology and climate targets</t>
  </si>
  <si>
    <t xml:space="preserve">Too early; no ex-post measures of sector outcomes found. Predecessor (Horizon 2020) JUs covered in SWD(2024) 29.</t>
  </si>
  <si>
    <t xml:space="preserve">No impact assessment (the Commission judged one unnecessary and issued a staff working document instead) and no LFS indicators. The Decision itself sets the 2030 digital targets (Article 4) with KPIs tracked in the annual State of the Digital Decade report</t>
  </si>
  <si>
    <t xml:space="preserve">2030 target (Article 4)</t>
  </si>
  <si>
    <t xml:space="preserve">Gigabit coverage for all households; 5G in all populated areas</t>
  </si>
  <si>
    <t xml:space="preserve">100% by 2030</t>
  </si>
  <si>
    <t xml:space="preserve">Basic 5G covers 96.8% of households (2026); fibre-to-the-premises 69% and very-high-capacity networks 82% (2025 report) - FTTP 'not enough to reach 100% by 2030'; stand-alone 5G lagging.</t>
  </si>
  <si>
    <t xml:space="preserve">COM(2025) 290; Commission news 17 June 2026</t>
  </si>
  <si>
    <t xml:space="preserve">Digital transformation of businesses</t>
  </si>
  <si>
    <t xml:space="preserve">75% of enterprises using cloud, big data or AI</t>
  </si>
  <si>
    <t xml:space="preserve">75% by 2030</t>
  </si>
  <si>
    <t xml:space="preserve">2026: 46.7% of firms use cloud, 39.9% data analytics, nearly 20% AI; AI, cloud and data analytics progress rated 'deeply unsatisfactory' in 2025.</t>
  </si>
  <si>
    <t xml:space="preserve">Skills</t>
  </si>
  <si>
    <t xml:space="preserve">80% of adults with basic digital skills; 20 million ICT specialists</t>
  </si>
  <si>
    <t xml:space="preserve">80%; 20m by 2030</t>
  </si>
  <si>
    <t xml:space="preserve">More than 60% have at least basic skills (2026); ICT specialist shortages and gender gap persist; both rated deeply unsatisfactory in 2025.</t>
  </si>
  <si>
    <t xml:space="preserve">Semiconductors</t>
  </si>
  <si>
    <t xml:space="preserve">EU share of global semiconductor production</t>
  </si>
  <si>
    <t xml:space="preserve">20% by 2030</t>
  </si>
  <si>
    <t xml:space="preserve">About 10% of the global market at the programme's launch; secondary summaries of the 2026 report put it at 9%, far below target; the Commission says semiconductors still lag.</t>
  </si>
  <si>
    <t xml:space="preserve">COM(2025) 771; Commission news 17 June 2026</t>
  </si>
  <si>
    <t xml:space="preserve">Digital public services</t>
  </si>
  <si>
    <t xml:space="preserve">100% key public services online</t>
  </si>
  <si>
    <t xml:space="preserve">82% for citizens and 86% for businesses (2025 report).</t>
  </si>
  <si>
    <t xml:space="preserve">COM(2025) 290</t>
  </si>
  <si>
    <t xml:space="preserve">governance mechanism (Articles 7-9)</t>
  </si>
  <si>
    <t xml:space="preserve">Member State action</t>
  </si>
  <si>
    <t xml:space="preserve">National roadmaps and follow-up of recommendations</t>
  </si>
  <si>
    <t xml:space="preserve">All Member States adopted roadmaps: 1,910 measures worth EUR 288.6bn (EUR 205.1bn public, 1.14% of EU GDP); 57% of 306 country recommendations from 2024 addressed, mostly only partly (12% significant changes).</t>
  </si>
  <si>
    <t xml:space="preserve">The NIS 2 proposal's financial statement lists no result indicators (its 1.4.4 covers synergies); monitoring indicators are set out in Annexes 11-12 of the impact assessment and rely on ENISA's investment survey and State of Cybersecurity report</t>
  </si>
  <si>
    <t xml:space="preserve">monitoring indicator (IA Annex 11)</t>
  </si>
  <si>
    <t xml:space="preserve">Raise cyber resilience across all relevant sectors</t>
  </si>
  <si>
    <t xml:space="preserve">Sector-specific ICT security spending as % of ICT spending converging (target: within 1 pp of sector average)</t>
  </si>
  <si>
    <t xml:space="preserve">IA baseline: no data on NIS1's effect on security spending</t>
  </si>
  <si>
    <t xml:space="preserve">ENISA's annual survey tracks the share of IT budgets spent on information security: 7.1% (2023 report), 9.0% (2024, n=1,350), about 9% again in 2025 (median EUR 1.5m). 2024 data are a pre-NIS2 baseline; sector convergence not yet assessed against the target.</t>
  </si>
  <si>
    <t xml:space="preserve">ENISA NIS Investments 2023-2025</t>
  </si>
  <si>
    <t xml:space="preserve">Compliance cost for companies</t>
  </si>
  <si>
    <t xml:space="preserve">ICT security spending increase of up to 22% in first years for newly covered entities (12% for entities already under NIS1)</t>
  </si>
  <si>
    <t xml:space="preserve">+12% to +22%</t>
  </si>
  <si>
    <t xml:space="preserve">Not measured directly. ENISA 2024: most organisations expect a one-off or permanent budget increase for NIS2; 89% say they need more security staff; 34% of SMEs say they cannot ask for the extra budget. ENISA 2025: compliance is the main driver of security investment for 70% of organisations.</t>
  </si>
  <si>
    <t xml:space="preserve">ENISA NIS Investments 2024, 2025</t>
  </si>
  <si>
    <t xml:space="preserve">Fewer and cheaper incidents</t>
  </si>
  <si>
    <t xml:space="preserve">Reduction in cost of cybersecurity incidents of EUR 11.3bn over ten years</t>
  </si>
  <si>
    <t xml:space="preserve">EUR 11.3bn / 10 years</t>
  </si>
  <si>
    <t xml:space="preserve">Not measured. No EU-level series on incident costs exists; the IA itself notes the lack of systematic data. ENISA 2025 reports 28% of organisations take over three months to patch critical vulnerabilities and 30% did no security assessment in the past year.</t>
  </si>
  <si>
    <t xml:space="preserve">SWD(2020) 344; ENISA NIS Investments 2025</t>
  </si>
  <si>
    <t xml:space="preserve">National authorities</t>
  </si>
  <si>
    <t xml:space="preserve">Resources of competent authorities up about 20-30%</t>
  </si>
  <si>
    <t xml:space="preserve">+20-30%</t>
  </si>
  <si>
    <t xml:space="preserve">No systematic data found on authorities' resources since 2023.</t>
  </si>
  <si>
    <t xml:space="preserve">SWD(2020) 344</t>
  </si>
  <si>
    <t xml:space="preserve">Consistent implementation across Member States</t>
  </si>
  <si>
    <t xml:space="preserve">Timely and consistent transposition; peer reviews and comparative assessments</t>
  </si>
  <si>
    <t xml:space="preserve">Transposition deadline 17 Oct 2024</t>
  </si>
  <si>
    <t xml:space="preserve">Transposition slow: letters of formal notice (28 Nov 2024) and reasoned opinions (7 May 2025) to the laggards; in July 2026 Ireland, Spain, France and the Netherlands were referred to the Court of Justice. Commission proposed targeted amendments in Jan 2026. ENISA's first State of Cybersecurity in the Union report (Dec 2024) gives a pre-implementation snapshot.</t>
  </si>
  <si>
    <t xml:space="preserve">Commission IP/26/1499; ENISA 2024</t>
  </si>
  <si>
    <t xml:space="preserve">The 2021 proposal's financial statement contains no usable indicators (sections 1.4.2-1.4.4 hold added-value and coherence text); monitoring relies on BEREC data and Commission reviews due by 30 June 2025 and 30 June 2029 (Art. 21). Evidence below also covers 'Roam Like at Home' (RLAH) introduced in 2017 under Regulations 531/2012 and 2015/2120</t>
  </si>
  <si>
    <t xml:space="preserve">Sustainable RLAH</t>
  </si>
  <si>
    <t xml:space="preserve">Fewer operators with unsustainable roaming margins (reduction of 42% in 2023 and 52% in 2025 vs baseline); users at risk of surcharges under derogations reduced by more than 40%</t>
  </si>
  <si>
    <t xml:space="preserve">-42% (2023), -52% (2025); &gt;40% fewer users at risk</t>
  </si>
  <si>
    <t xml:space="preserve">Since 2022 no mobile network operator has requested a sustainability derogation; volumes subject to surcharges below 0.82% in every Member State considered; actual wholesale data prices fell to EUR 0.7/GB in Q3 2024 (-50% vs Q3 2021).</t>
  </si>
  <si>
    <t xml:space="preserve">COM(2025) 324</t>
  </si>
  <si>
    <t xml:space="preserve">lesson from past (proposal 1.4.3)</t>
  </si>
  <si>
    <t xml:space="preserve">Roaming consumption</t>
  </si>
  <si>
    <t xml:space="preserve">Unleash demand: retail roaming traffic tripled for voice and rose twelve-fold for data between summer 2016 and 2018</t>
  </si>
  <si>
    <t xml:space="preserve">Data x12, voice x3 (2016-18)</t>
  </si>
  <si>
    <t xml:space="preserve">Data roaming up 48-fold in Q3 since 2017; voice slowly declining since 2019 (OTT substitution). Causal studies confirm large traffic and consumer-surplus gains (EUR 2.44 per user per travel day).</t>
  </si>
  <si>
    <t xml:space="preserve">COM(2019) 616; COM(2025) 324; Quinn et al. 2024; Canzian et al. 2025</t>
  </si>
  <si>
    <t xml:space="preserve">No domestic price increases (waterbed)</t>
  </si>
  <si>
    <t xml:space="preserve">RLAH should not raise domestic prices</t>
  </si>
  <si>
    <t xml:space="preserve">BEREC data: domestic average revenue per paying user stable 2019-2024. Grzybowski &amp; Muñoz-Acevedo find the regulation reduced operator revenue per user but had no effect on tariffs in the latest phase.</t>
  </si>
  <si>
    <t xml:space="preserve">COM(2025) 324; Grzybowski &amp; Muñoz-Acevedo 2023</t>
  </si>
  <si>
    <t xml:space="preserve">Quality of service abroad</t>
  </si>
  <si>
    <t xml:space="preserve">Roaming customers get the same quality (speed, network generation) as at home where technically feasible</t>
  </si>
  <si>
    <t xml:space="preserve">2025 study for the Commission: 76% of roaming users had lower download speeds than on their home network and latency was worse in 92% of cases; compliance 'could be significantly improved'. Complaints low; about 80% of travellers say they benefit.</t>
  </si>
  <si>
    <t xml:space="preserve">COM(2025) 324 (Mozark QoS study)</t>
  </si>
  <si>
    <t xml:space="preserve">None (Commission regulation)</t>
  </si>
  <si>
    <t xml:space="preserve">Commission regulation adopted under Article 101(3) TFEU - no legislative proposal or LFS indicators. The accompanying 2022 impact assessment and the 2020 evaluation of the 2010 VBER set the objectives; the Regulation expires 31 May 2034 and no ex-post evaluation exists yet</t>
  </si>
  <si>
    <t xml:space="preserve">objective (impact assessment)</t>
  </si>
  <si>
    <t xml:space="preserve">Legal certainty and lower compliance costs</t>
  </si>
  <si>
    <t xml:space="preserve">Clearer safe harbour, reduced self-assessment costs for businesses</t>
  </si>
  <si>
    <t xml:space="preserve">Not measured. The 2020 evaluation itself found too little quantitative data to assess compliance costs robustly.</t>
  </si>
  <si>
    <t xml:space="preserve">SWD(2020) 172</t>
  </si>
  <si>
    <t xml:space="preserve">Adapt rules to online sales and platforms</t>
  </si>
  <si>
    <t xml:space="preserve">Treatment of wide retail parity clauses (no longer block-exempted), online sales restrictions, dual distribution</t>
  </si>
  <si>
    <t xml:space="preserve">No study of the 2022 rules' effects found. Earlier causal studies of national bans on hotel-booking parity clauses (Germany, France) found more room availability and direct-channel price competition and some short-run price falls - background evidence for the change.</t>
  </si>
  <si>
    <t xml:space="preserve">not measured (background evidence only)</t>
  </si>
  <si>
    <t xml:space="preserve">Hunold et al. 2018; Mantovani et al. 2021</t>
  </si>
  <si>
    <t xml:space="preserve">Prevent consumer harm from vertical restraints</t>
  </si>
  <si>
    <t xml:space="preserve">Fewer harmful restrictions (e.g. resale price maintenance, territorial restrictions)</t>
  </si>
  <si>
    <t xml:space="preserve">Enforcement continues case by case; no aggregate measure.</t>
  </si>
  <si>
    <t xml:space="preserve">The proposal has no LFS indicators section (extraction empty). Article 14 requires an ESMA report and a Commission report after three years on whether to extend, amend or make the regime permanent</t>
  </si>
  <si>
    <t xml:space="preserve">Development of DLT market infrastructures</t>
  </si>
  <si>
    <t xml:space="preserve">Number of DLT market infrastructures authorised and operating</t>
  </si>
  <si>
    <t xml:space="preserve">By 31 May 2025 only three authorised (CSD Prague, 21X AG, 360X AG) with minimal live trading activity; growing applicant interest reported.</t>
  </si>
  <si>
    <t xml:space="preserve">ESMA 2025</t>
  </si>
  <si>
    <t xml:space="preserve">Competition with legacy infrastructures / EU competitiveness</t>
  </si>
  <si>
    <t xml:space="preserve">New entrants competing with incumbent trading and settlement venues</t>
  </si>
  <si>
    <t xml:space="preserve">Not measured; ESMA finds current thresholds restrict participation and cites lack of interoperability and access to central bank money. Commission proposed in Dec 2025 to make the regime permanent and lift the aggregate cap from EUR 6bn to EUR 100bn.</t>
  </si>
  <si>
    <t xml:space="preserve">ESMA 2025; SWD(2025) 943</t>
  </si>
  <si>
    <t xml:space="preserve">Small compliance costs for venues; NCA supervision EUR 150,000-250,000 per year</t>
  </si>
  <si>
    <t xml:space="preserve">SWD(2020) 202</t>
  </si>
  <si>
    <t xml:space="preserve">The proposal has no LFS indicator section; the memorandum promised monitoring via stakeholder surveys, the Support Centre for Data Sharing, records of the European Data Innovation Board and an evaluation study</t>
  </si>
  <si>
    <t xml:space="preserve">Data economy</t>
  </si>
  <si>
    <t xml:space="preserve">Direct impact on the EU data economy of EUR 7.2-10.9bn in 2028</t>
  </si>
  <si>
    <t xml:space="preserve">EUR 7.2-10.9bn (2028)</t>
  </si>
  <si>
    <t xml:space="preserve">Not measured. The Commission's implementation study (announced with the Digital Omnibus) was not yet published; the Omnibus proposes repealing the DGA and moving its rules into the Data Act.</t>
  </si>
  <si>
    <t xml:space="preserve">SWD(2020) 295/296; COM(2025) 837</t>
  </si>
  <si>
    <t xml:space="preserve">Trusted data intermediaries</t>
  </si>
  <si>
    <t xml:space="preserve">Uptake of notified data intermediation services</t>
  </si>
  <si>
    <t xml:space="preserve">Measured (activity): the EU register lists 38 data intermediation services notified in 10 Member States (page updated August 2026), concentrated in France (12) and the Netherlands (11). The Commission itself calls the market 'emerging' and proposes making the regime voluntary.</t>
  </si>
  <si>
    <t xml:space="preserve">Commission register of data intermediation services; COM(2025) 837</t>
  </si>
  <si>
    <t xml:space="preserve">Data altruism</t>
  </si>
  <si>
    <t xml:space="preserve">Recognised data altruism organisations</t>
  </si>
  <si>
    <t xml:space="preserve">Measured (activity): 7 recognised organisations in 4 Member States (register updated July 2026).</t>
  </si>
  <si>
    <t xml:space="preserve">Commission register of data altruism organisations</t>
  </si>
  <si>
    <t xml:space="preserve">National competent authorities designated and empowered</t>
  </si>
  <si>
    <t xml:space="preserve">Slow: letters of formal notice to 18 Member States (May 2024) and reasoned opinions to 10 (December 2024) for failing to designate or empower DGA authorities.</t>
  </si>
  <si>
    <t xml:space="preserve">Commission press release 16 Dec 2024</t>
  </si>
  <si>
    <t xml:space="preserve">Public-sector efficiency</t>
  </si>
  <si>
    <t xml:space="preserve">Efficiency savings from re-use of protected public-sector data of about EUR 684m a year</t>
  </si>
  <si>
    <t xml:space="preserve">EUR 684m/yr</t>
  </si>
  <si>
    <t xml:space="preserve">SWD(2020) 296</t>
  </si>
  <si>
    <t xml:space="preserve">Address market failures to ensure contestable and competitive digital markets for increased innovation and consumer choice</t>
  </si>
  <si>
    <t xml:space="preserve">Address gatekeepers' unfair conduct</t>
  </si>
  <si>
    <t xml:space="preserve">Enhance coherence and legal certainty to preserve the internal market</t>
  </si>
  <si>
    <t xml:space="preserve">Enhance coherence and legal certainty / limit diverging national regulatory interventions</t>
  </si>
  <si>
    <t xml:space="preserve">Number of regulatory interventions at the national level</t>
  </si>
  <si>
    <t xml:space="preserve">none stated</t>
  </si>
  <si>
    <t xml:space="preserve">Not reported in the 2026 review. The review records stakeholder concerns about fragmentation and parallel national enforcement and requests for guidance on Article 1(6), but gives no count.</t>
  </si>
  <si>
    <t xml:space="preserve">SWD(2026) 123</t>
  </si>
  <si>
    <t xml:space="preserve">Enhance coherence and legal certainty / ensure coherent interpretation of obligations</t>
  </si>
  <si>
    <t xml:space="preserve">Number of clarification requests per year</t>
  </si>
  <si>
    <t xml:space="preserve">Not reported. The review describes regulatory dialogue and possible guidelines but gives no count of clarification requests.</t>
  </si>
  <si>
    <t xml:space="preserve">Address gatekeepers' unfair conduct / prevent self-preferencing</t>
  </si>
  <si>
    <t xml:space="preserve">Number of compliance interventions by the Commission per gatekeeper per year</t>
  </si>
  <si>
    <t xml:space="preserve">Activity reported, not as the indicator: non-compliance proceedings opened against Alphabet, Apple and Meta (March 2024) and Apple (June 2024); two specification decisions on Apple interoperability (March 2025); one investigation into Apple's choice obligations closed after changes. Seven gatekeepers designated. Independent evidence of conduct change: Amazon's search-rank advantage for its own products fell from about 30 to about 20 positions soon after designation (Waldfogel 2024).</t>
  </si>
  <si>
    <t xml:space="preserve">reported as activity (no per-gatekeeper series)</t>
  </si>
  <si>
    <t xml:space="preserve">SWD(2026) 123; Commission press releases; Waldfogel 2024</t>
  </si>
  <si>
    <t xml:space="preserve">Number of sanction decisions per gatekeeper per year</t>
  </si>
  <si>
    <t xml:space="preserve">Four fines in two years of application: Apple EUR 500m (anti-steering) and Meta EUR 200m (pay or consent), 23 April 2025; Alphabet EUR 460m (search self-preferencing) and EUR 430m (Google Play anti-steering), 23 July 2026. Total EUR 1.59bn. Apple's decision is under appeal.</t>
  </si>
  <si>
    <t xml:space="preserve">measurable (activity indicator)</t>
  </si>
  <si>
    <t xml:space="preserve">Commission press releases 23.4.2025 and 23.7.2026; SWD(2026) 123</t>
  </si>
  <si>
    <t xml:space="preserve">Contestable markets / prevent unfair access and data practices</t>
  </si>
  <si>
    <t xml:space="preserve">Share of users multi-homing with different platforms or services</t>
  </si>
  <si>
    <t xml:space="preserve">Not measured by the Commission (review says it will monitor switching). Independent evidence on one remedy: after Google removed the Maps link from EU search results, users searched for 'google maps' instead; no robust shift to rival map services (Pape &amp; Rossi 2026).</t>
  </si>
  <si>
    <t xml:space="preserve">not measured (partial independent evidence)</t>
  </si>
  <si>
    <t xml:space="preserve">SWD(2026) 123; Pape &amp; Rossi 2026</t>
  </si>
  <si>
    <t xml:space="preserve">Share of users switching between different platforms and services</t>
  </si>
  <si>
    <t xml:space="preserve">Commission cites company figures only (Aloha +250% new users; Firefox daily users doubled on iOS in DE and FR). Independent causal estimate: Firefox usage +91% on iOS and +13% on Android vs counterfactual after the choice-screen mandate; Safari declined on iOS with gains mostly to Chrome (Akesson et al. 2026). Consent: &gt;45% of users (up to 90%) refuse data combination under Art 5(2).</t>
  </si>
  <si>
    <t xml:space="preserve">partially measured (independent study for browsers)</t>
  </si>
  <si>
    <t xml:space="preserve">SWD(2026) 123; NBER w35112</t>
  </si>
  <si>
    <t xml:space="preserve">expected impact (LFS 1.4.3 / IA)</t>
  </si>
  <si>
    <t xml:space="preserve">Consumer welfare</t>
  </si>
  <si>
    <t xml:space="preserve">Consumer surplus +EUR 13bn per year (about +6% vs baseline)</t>
  </si>
  <si>
    <t xml:space="preserve">EUR 13bn/yr</t>
  </si>
  <si>
    <t xml:space="preserve">Not assessed in the 2026 review, which says impacts are not yet fully observable.</t>
  </si>
  <si>
    <t xml:space="preserve">SWD(2020) 364; SWD(2026) 123</t>
  </si>
  <si>
    <t xml:space="preserve">expected impact (LFS 1.5.2)</t>
  </si>
  <si>
    <t xml:space="preserve">Cross-border trade gain of EUR 92.8bn by 2025</t>
  </si>
  <si>
    <t xml:space="preserve">EUR 92.8bn by 2025</t>
  </si>
  <si>
    <t xml:space="preserve">Not assessed.</t>
  </si>
  <si>
    <t xml:space="preserve">COM(2020) 842 LFS</t>
  </si>
  <si>
    <t xml:space="preserve">Growth and jobs (Digital Single Market-wide, not DMA-specific)</t>
  </si>
  <si>
    <t xml:space="preserve">GDP +0.44-0.82% and 307-561 thousand FTEs from a more efficient Digital Single Market</t>
  </si>
  <si>
    <t xml:space="preserve">as stated</t>
  </si>
  <si>
    <t xml:space="preserve">Not assessed; the figure is borrowed from Digital Single Market estimates and is not attributable to the DMA alone.</t>
  </si>
  <si>
    <t xml:space="preserve">Innovation by smaller businesses</t>
  </si>
  <si>
    <t xml:space="preserve">Greater innovation potential among smaller businesses</t>
  </si>
  <si>
    <t xml:space="preserve">qualitative</t>
  </si>
  <si>
    <t xml:space="preserve">Mixed. Commission review: new third-party app stores on iOS (Epic, Aptoide, AltStore PAL) and gains for alternative browsers. Yang (2025): DMA reduced start-up entry and investment in DMA-related industries (difference-in-differences, 1,034 records). Oxera (2021, Amazon-funded experiment): such rules likely reduce innovation.</t>
  </si>
  <si>
    <t xml:space="preserve">SWD(2026) 123; Yang 2025; Oxera 2021</t>
  </si>
  <si>
    <t xml:space="preserve">The DSA proposal's financial statement contains no indicators section; monitoring was left to the Commission's evaluation under Article 91</t>
  </si>
  <si>
    <t xml:space="preserve">Cross-border digital trade +1-1.8%</t>
  </si>
  <si>
    <t xml:space="preserve">+1-1.8%</t>
  </si>
  <si>
    <t xml:space="preserve">SWD(2020) 349</t>
  </si>
  <si>
    <t xml:space="preserve">Safety and fundamental rights</t>
  </si>
  <si>
    <t xml:space="preserve">Better protection of users and fundamental rights online; effective supervision</t>
  </si>
  <si>
    <t xml:space="preserve">Enforcement under way: first non-compliance decision fined X EUR 120m (5 Dec 2025) for misleading verification, deficient ad repository and blocking researcher data access; other investigations ongoing. Transparency database operational but platform self-reports inconsistent.</t>
  </si>
  <si>
    <t xml:space="preserve">Commission decision Dec 2025; Kaushal et al.; Trujillo et al.</t>
  </si>
  <si>
    <t xml:space="preserve">Competition</t>
  </si>
  <si>
    <t xml:space="preserve">Asymmetric rules boost smaller competitors</t>
  </si>
  <si>
    <t xml:space="preserve">No evidence found.</t>
  </si>
  <si>
    <t xml:space="preserve">The DORA proposal's financial statement contains no objectives or indicators section in the extracted text; the memorandum only provides for a Commission review three years after entry into force</t>
  </si>
  <si>
    <t xml:space="preserve">Resilience / financial stability</t>
  </si>
  <si>
    <t xml:space="preserve">Mitigate operational-incident costs for the EU financial sector (estimated EUR 2-27bn a year)</t>
  </si>
  <si>
    <t xml:space="preserve">Baseline EUR 2-27bn/yr (industry estimates)</t>
  </si>
  <si>
    <t xml:space="preserve">Not measured. DORA applies since 17 Jan 2025; no published statistics yet on incident numbers or costs under the new reporting regime.</t>
  </si>
  <si>
    <t xml:space="preserve">SWD(2020) 199</t>
  </si>
  <si>
    <t xml:space="preserve">Savings from removing overlapping incident reporting (EUR 40-100m a year for some of the largest banks)</t>
  </si>
  <si>
    <t xml:space="preserve">EUR 40-100m/yr</t>
  </si>
  <si>
    <t xml:space="preserve">Not measured. Industry surveys report high compliance costs: 38% of EU CISOs surveyed by Rubrik reported over EUR 1m spent on DORA/PRA compliance over two years; 37% of firms in a Veeam-commissioned survey face higher costs passed on by ICT vendors. No evidence on reporting savings.</t>
  </si>
  <si>
    <t xml:space="preserve">Rubrik Zero Labs 2025; Veeam/Censuswide 2025</t>
  </si>
  <si>
    <t xml:space="preserve">Testing</t>
  </si>
  <si>
    <t xml:space="preserve">Threat-led penetration testing cost 0.1-0.3% of ICT budget of firms concerned</t>
  </si>
  <si>
    <t xml:space="preserve">0.1-0.3% of ICT budget</t>
  </si>
  <si>
    <t xml:space="preserve">No ex-post data found.</t>
  </si>
  <si>
    <t xml:space="preserve">ICT third-party oversight</t>
  </si>
  <si>
    <t xml:space="preserve">Registers of information collected; critical ICT third-party providers designated and overseen</t>
  </si>
  <si>
    <t xml:space="preserve">Dry run (2024): 1,039 entities took part, only 6.5% of 947 analysed registers passed all data-quality checks. First 19 critical providers designated on 18 Nov 2025 (incl. AWS, Google Cloud, Microsoft, Oracle, SAP, Deutsche Telekom, Bloomberg, LSEG Data).</t>
  </si>
  <si>
    <t xml:space="preserve">ESAs 2024; ESAs 2025</t>
  </si>
  <si>
    <t xml:space="preserve">Readiness</t>
  </si>
  <si>
    <t xml:space="preserve">Share of financial entities compliant</t>
  </si>
  <si>
    <t xml:space="preserve">Survey evidence only: a vendor-commissioned survey six months in found 96% of EMEA respondents felt their data resilience fell short; ENISA 2024: 84% of entities expect to need more staff for DORA.</t>
  </si>
  <si>
    <t xml:space="preserve">Veeam/Censuswide 2025; ENISA 2024</t>
  </si>
  <si>
    <t xml:space="preserve">Identify the most distortive subsidies</t>
  </si>
  <si>
    <t xml:space="preserve">Yearly number of cases of alleged distortive foreign subsidies dealt with</t>
  </si>
  <si>
    <t xml:space="preserve">IA projected 30-40 merger notifications a year</t>
  </si>
  <si>
    <t xml:space="preserve">By 31 May 2026: 273 merger notifications (about 100 a year, well above the 30-40 projected), 5,150 submissions across 863 public procurement procedures; 3 in-depth merger and 4 in-depth procurement investigations; ex officio cases opened (e.g. Nuctech, Goldwind).</t>
  </si>
  <si>
    <t xml:space="preserve">COM(2026) 368</t>
  </si>
  <si>
    <t xml:space="preserve">Share of cases found distortive vs total cases</t>
  </si>
  <si>
    <t xml:space="preserve">About 97% of notified mergers cleared after preliminary review; two merger cases (e&amp;/PPF Telecom, ADNOC/Covestro) and one procurement case ended with commitments; three procurement probes closed after the Chinese bidders withdrew.</t>
  </si>
  <si>
    <t xml:space="preserve">Share of cases cleared thanks to the balancing test</t>
  </si>
  <si>
    <t xml:space="preserve">No case has yet applied the balancing test in practice, according to the review.</t>
  </si>
  <si>
    <t xml:space="preserve">Remove distortions caused by foreign subsidies</t>
  </si>
  <si>
    <t xml:space="preserve">Stakeholder perceptions of the impact of redressive measures</t>
  </si>
  <si>
    <t xml:space="preserve">Review consultation: stakeholders support the objective but say compliance costs are disproportionate, especially for notifications; Commission plans simplification (higher thresholds, shorter forms). Procurement filing compliance reportedly fell from about 70% to 45% by late 2025.</t>
  </si>
  <si>
    <t xml:space="preserve">Investment</t>
  </si>
  <si>
    <t xml:space="preserve">Possible short-term drop in foreign direct investment, offset in the medium term by a level playing field</t>
  </si>
  <si>
    <t xml:space="preserve">No study measures the FSR's effect on FDI, M&amp;A or tender participation.</t>
  </si>
  <si>
    <t xml:space="preserve">SWD(2021) 99/100</t>
  </si>
  <si>
    <t xml:space="preserve">Resilient Union communication services</t>
  </si>
  <si>
    <t xml:space="preserve">Governments and EU institutions access initial governmental services in 2025, full capacity in 2027</t>
  </si>
  <si>
    <t xml:space="preserve">Initial services 2025; full capacity 2027</t>
  </si>
  <si>
    <t xml:space="preserve">Missed: concession signed Dec 2024 foresaw initial capacity in 2030; after the 2026 review the first satellites are expected to launch in 2029. Interim services rely on pooled GOVSATCOM capacity.</t>
  </si>
  <si>
    <t xml:space="preserve">European Spaceflight 2026; Payload 2026</t>
  </si>
  <si>
    <t xml:space="preserve">Cost</t>
  </si>
  <si>
    <t xml:space="preserve">Total infrastructure cost about EUR 6bn (EUR 4bn public, EUR 2bn private)</t>
  </si>
  <si>
    <t xml:space="preserve">EUR 6bn</t>
  </si>
  <si>
    <t xml:space="preserve">Concession (Dec 2024): EUR 10.55bn for 290 satellites; after the Aug 2026 review over EUR 15.6bn for about 348 satellites, with about EUR 11.6bn public and up to EUR 4bn from the SpaceRISE partners (figures from company releases; Commission did not disclose the revised total).</t>
  </si>
  <si>
    <t xml:space="preserve">Innovation / New Space</t>
  </si>
  <si>
    <t xml:space="preserve">Number of start-ups, SMEs and midcaps participating in building the infrastructure</t>
  </si>
  <si>
    <t xml:space="preserve">Not reported; Commission lists large subcontractors (Airbus, Thales Alenia Space, OHB) plus some newer firms (e.g. Aerospacelab).</t>
  </si>
  <si>
    <t xml:space="preserve">Payload 2026</t>
  </si>
  <si>
    <t xml:space="preserve">Cyber resilience / security accreditation</t>
  </si>
  <si>
    <t xml:space="preserve">System accredited to carry EU classified information; EuroQCI integrated</t>
  </si>
  <si>
    <t xml:space="preserve">Not yet applicable: system not deployed.</t>
  </si>
  <si>
    <t xml:space="preserve">Broadband and cohesion</t>
  </si>
  <si>
    <t xml:space="preserve">Speed of commercial satellite broadband; new commercial users in rural and strategic areas</t>
  </si>
  <si>
    <t xml:space="preserve">Not yet applicable: no commercial service before the constellation is deployed.</t>
  </si>
  <si>
    <t xml:space="preserve">The proposal's financial statement lists no concrete indicators; it refers to the impact assessment's section 9 and to enforcement indicators still to be defined by a study</t>
  </si>
  <si>
    <t xml:space="preserve">Consumer detriment from unsafe products (EUR 19.3bn/yr) cut by about EUR 1.0bn in year one and EUR 5.5bn over a decade; recall-related detriment cut by over EUR 400m/yr</t>
  </si>
  <si>
    <t xml:space="preserve">Baseline EUR 19.3bn/yr</t>
  </si>
  <si>
    <t xml:space="preserve">Not evaluated (GPSR applies only since 13 Dec 2024; evaluation due 5 years after application).</t>
  </si>
  <si>
    <t xml:space="preserve">SWD(2021) 168/169</t>
  </si>
  <si>
    <t xml:space="preserve">Fewer product-related injuries (baseline detriment EUR 11.5bn/yr; health-care cost EUR 6.7bn/yr)</t>
  </si>
  <si>
    <t xml:space="preserve">No EU injury data series to track it; the IA itself could not quantify this for lack of injury data.</t>
  </si>
  <si>
    <t xml:space="preserve">SWD(2021) 169</t>
  </si>
  <si>
    <t xml:space="preserve">Business costs EUR 196.6m in year one, EUR 177.8m/yr after; savings of EUR 59m/yr from less fragmentation</t>
  </si>
  <si>
    <t xml:space="preserve">No ex-post cost measurement found.</t>
  </si>
  <si>
    <t xml:space="preserve">LFS objective (1.4.2)</t>
  </si>
  <si>
    <t xml:space="preserve">Enforcement and information exchange</t>
  </si>
  <si>
    <t xml:space="preserve">Safety Gate alerts and follow-up actions; online marketplace registration</t>
  </si>
  <si>
    <t xml:space="preserve">2025: record 4,671 Safety Gate alerts (+13%), 5,794 follow-up actions (+35%); over 1,200 online marketplaces registered. Activity rise, not proof of safer markets. Consumer-group tests in 2025 still found about two-thirds of Temu and 73% of Shein products non-compliant.</t>
  </si>
  <si>
    <t xml:space="preserve">Commission Safety Gate report 2025; Euroconsumers 2025</t>
  </si>
  <si>
    <t xml:space="preserve">Commission regulations adopted without a legislative proposal or financial statement, so there are no LFS indicators; the 2023 rules replaced Regulations 1217/2010 and 1218/2010 after an evaluation (SWD(2021) 103) and an impact assessment phase with five support studies whose report was not found on EUR-Lex</t>
  </si>
  <si>
    <t xml:space="preserve">evaluation objective</t>
  </si>
  <si>
    <t xml:space="preserve">Legal certainty for cooperating firms</t>
  </si>
  <si>
    <t xml:space="preserve">Firms and authorities find the block exemptions clear and usable</t>
  </si>
  <si>
    <t xml:space="preserve">2021 evaluation: rules still relevant and made economically desirable cooperation easier, but some conditions seen as too strict or unclear; need to reflect digitalisation and sustainability. The 2023 revision responds to this; no ex-post check of the new rules yet (they expire in 2035).</t>
  </si>
  <si>
    <t xml:space="preserve">SWD(2021) 103</t>
  </si>
  <si>
    <t xml:space="preserve">Lower compliance costs</t>
  </si>
  <si>
    <t xml:space="preserve">Self-assessment costs saved compared with no block exemption</t>
  </si>
  <si>
    <t xml:space="preserve">Evaluation could not quantify savings: most stakeholders did not know whether costs had changed; few gave estimates.</t>
  </si>
  <si>
    <t xml:space="preserve">expected impact</t>
  </si>
  <si>
    <t xml:space="preserve">More pro-competitive R&amp;D cooperation and innovation</t>
  </si>
  <si>
    <t xml:space="preserve">No empirical study found of the block exemption's effect on R&amp;D cooperation or innovation; theory suggests the 25% market-share safe harbour is not clearly justified.</t>
  </si>
  <si>
    <t xml:space="preserve">Ruble &amp; Versaevel 2014</t>
  </si>
  <si>
    <t xml:space="preserve">Remove regulatory obstacles to issuance, trading and post-trading of crypto-assets; increase company funding through ICOs/STOs; limit fraud and illicit practices; give consumers and investors access to new investment and payment instruments</t>
  </si>
  <si>
    <t xml:space="preserve">Market structure</t>
  </si>
  <si>
    <t xml:space="preserve">Number of entities authorised in the EU as crypto-asset service providers</t>
  </si>
  <si>
    <t xml:space="preserve">Measured: ESMA interim register (downloaded 10 Oct 2026) lists 370 authorised CASP entries (365 distinct legal entities) across 27 EU/EEA states, 103 of them in Germany; authorisations peaked around the end of the transitional period (30 June 2026). A separate list names 173 non-compliant entities.</t>
  </si>
  <si>
    <t xml:space="preserve">ESMA interim MiCA register</t>
  </si>
  <si>
    <t xml:space="preserve">Stablecoins</t>
  </si>
  <si>
    <t xml:space="preserve">Number of authorised issuers of asset-referenced / significant tokens; market capitalisation of such tokens</t>
  </si>
  <si>
    <t xml:space="preserve">ESMA register: zero authorised asset-referenced token issuers; 25 e-money token issuers with 50 white papers. Industry tracker: market cap of eight MiCA-compliant euro stablecoins rose from USD 296m to USD 674m (June 2025-June 2026), still tiny against dollar stablecoins.</t>
  </si>
  <si>
    <t xml:space="preserve">ESMA interim MiCA register; Decta 2026</t>
  </si>
  <si>
    <t xml:space="preserve">Investor protection / integrity</t>
  </si>
  <si>
    <t xml:space="preserve">Number and value of fraud and thefts of crypto-assets in the EU; market abuse cases reported and investigated</t>
  </si>
  <si>
    <t xml:space="preserve">Not measured: no EU-level statistics published. Commission's Article 140 report on application (interim due 30 June 2025) not located on EUR-Lex; public consultation opened May 2026.</t>
  </si>
  <si>
    <t xml:space="preserve">Funding</t>
  </si>
  <si>
    <t xml:space="preserve">Number and volumes of crypto-asset issuances in the EU</t>
  </si>
  <si>
    <t xml:space="preserve">White papers for other crypto-assets are notified to ESMA's register, but no volume statistics or analysis of company funding found.</t>
  </si>
  <si>
    <t xml:space="preserve">Payments / remittances</t>
  </si>
  <si>
    <t xml:space="preserve">Remittance cost savings EUR 220-570m a year; crypto funding costs 20-40% below IPOs</t>
  </si>
  <si>
    <t xml:space="preserve">EUR 220-570m/yr</t>
  </si>
  <si>
    <t xml:space="preserve">Not measured. ESMA (2024): euro plays a minor role in crypto trading and MiCA's announcement did not raise euro transactions.</t>
  </si>
  <si>
    <t xml:space="preserve">SWD(2020) 381; ESMA TRV 2024</t>
  </si>
  <si>
    <t xml:space="preserve">One-off EUR 2.8-16.5m and ongoing EUR 2.2-24m for newly regulated CASPs; about EUR 35,000 per SME issuance</t>
  </si>
  <si>
    <t xml:space="preserve">No ex-post cost survey found.</t>
  </si>
  <si>
    <t xml:space="preserve">SWD(2020) 381</t>
  </si>
  <si>
    <t xml:space="preserve">The proposal's financial statement contains no indicators section (the raw extraction picked up Annex text); the memorandum only promises monitoring and a periodic Commission evaluation report. The Regulation applies from 20 January 2027, so no effects can yet be observed</t>
  </si>
  <si>
    <t xml:space="preserve">Burden reduction</t>
  </si>
  <si>
    <t xml:space="preserve">Savings in printing costs from digital instructions, up to EUR 16.6bn a year (EUR 201,000 per company)</t>
  </si>
  <si>
    <t xml:space="preserve">Up to EUR 16.6bn/yr (lower bound ~EUR 4bn per the IA's assumptions as summarised by tcworld)</t>
  </si>
  <si>
    <t xml:space="preserve">Not yet applicable (digital instructions allowed from 2027). The estimate rests on an assumption that printing costs are 1-4% of sector turnover, which a technical-communication trade article flags as untested.</t>
  </si>
  <si>
    <t xml:space="preserve">SWD(2021) 82/83; tcworld 2024</t>
  </si>
  <si>
    <t xml:space="preserve">One-off third-party conformity assessment costs of EUR 202m for high-risk machinery; server costs EUR 29m one-off and EUR 48m a year</t>
  </si>
  <si>
    <t xml:space="preserve">Not measured; Regulation not yet applicable.</t>
  </si>
  <si>
    <t xml:space="preserve">SWD(2021) 83</t>
  </si>
  <si>
    <t xml:space="preserve">Health and safety</t>
  </si>
  <si>
    <t xml:space="preserve">Fewer accidents and occupational injuries (e.g. EUR 15m/yr saved on vibration-related sick leave)</t>
  </si>
  <si>
    <t xml:space="preserve">The 2018 proposal's financial statement has no indicators section; the memorandum says Member States will collect yearly monitoring data and the Commission will report within 5 years. The Regulation applies only from 18 August 2026</t>
  </si>
  <si>
    <t xml:space="preserve">Effective investigations</t>
  </si>
  <si>
    <t xml:space="preserve">Faster, more effective cross-border access to electronic evidence; fewer gaps in investigations</t>
  </si>
  <si>
    <t xml:space="preserve">No data yet; Regulation applicable only since 18 Aug 2026. Industry reports the decentralised IT system (e-CODEX) was still under development in mid-2026 and 22 Member States received formal notices (27 Mar 2026) for not transposing the companion Directive 2023/1544.</t>
  </si>
  <si>
    <t xml:space="preserve">SWD(2018) 118/119; EuroISPA 2026</t>
  </si>
  <si>
    <t xml:space="preserve">Costs and savings</t>
  </si>
  <si>
    <t xml:space="preserve">One-off costs EUR 3.3m for Member States and EUR 1.7m for service providers; recurrent savings over EUR 7.1m/yr (Member States) and EUR 4.3m/yr (providers)</t>
  </si>
  <si>
    <t xml:space="preserve">SWD(2018) 119</t>
  </si>
  <si>
    <t xml:space="preserve">The proposal was prepared without an impact assessment (noted by the European Court of Auditors); the extracted financial statement sections 1.4.2-1.4.4 contain headings only. The headline benchmark is the Digital Decade target of a 20% EU share of global semiconductor production value by 2030</t>
  </si>
  <si>
    <t xml:space="preserve">policy target (Digital Decade)</t>
  </si>
  <si>
    <t xml:space="preserve">Production capacity</t>
  </si>
  <si>
    <t xml:space="preserve">20% of global production value of cutting-edge and sustainable chips by 2030</t>
  </si>
  <si>
    <t xml:space="preserve">20% by 2030 (baseline ~10%)</t>
  </si>
  <si>
    <t xml:space="preserve">Off track: Commission July 2024 forecast had the EU's value-chain share rising only from 9.8% (2022) to 11.7% (2030); the 2026 Chips Act 2.0 impact assessment puts EU production share at 8.1% in 2030 despite a 30% capacity rise. ECA: 20% target very unlikely.</t>
  </si>
  <si>
    <t xml:space="preserve">ECA SR 12/2025; SWD(2026) 504</t>
  </si>
  <si>
    <t xml:space="preserve">Mobilise public and private investment in EU chip manufacturing</t>
  </si>
  <si>
    <t xml:space="preserve">About EUR 80bn in announced or planned manufacturing investments; 11 first-of-a-kind facilities approved by end-2025 worth over EUR 31.6bn; capacity expected to rise from 1.07m to 1.39m wafers per month by 2030. Some projects cancelled or suspended (e.g. Intel Magdeburg, per press reports). EU budget provides only EUR 4.5bn of an estimated EUR 86bn.</t>
  </si>
  <si>
    <t xml:space="preserve">SWD(2026) 504; ECA SR 12/2025</t>
  </si>
  <si>
    <t xml:space="preserve">Research and innovation (Pillar I)</t>
  </si>
  <si>
    <t xml:space="preserve">Pilot lines, competence centres, design platform, Chips Fund</t>
  </si>
  <si>
    <t xml:space="preserve">Over 85% of the Pillar I budget committed to five pilot lines, competence centres in all Member States, a design platform and six quantum chip pilot lines; outcomes not yet measurable.</t>
  </si>
  <si>
    <t xml:space="preserve">SWD(2026) 504</t>
  </si>
  <si>
    <t xml:space="preserve">Crisis preparedness (Pillar III)</t>
  </si>
  <si>
    <t xml:space="preserve">Monitoring and crisis response via the European Semiconductor Board</t>
  </si>
  <si>
    <t xml:space="preserve">Commission evaluation: coordination improved but voluntary information collection insufficient; limited visibility of supply chains weakens crisis preparedness.</t>
  </si>
  <si>
    <t xml:space="preserve">SWD(2026) 504 Annex I</t>
  </si>
  <si>
    <t xml:space="preserve">No impact assessment: the Commission judged one unnecessary because the rules apply only to EU institutions, bodies and agencies. Indicators below are from the proposal's financial statement (1.4.4); progress is reported annually by the Interinstitutional Cybersecurity Board (IICB)</t>
  </si>
  <si>
    <t xml:space="preserve">Risk management frameworks</t>
  </si>
  <si>
    <t xml:space="preserve">Frameworks and baselines in place; regular maturity assessments and cybersecurity plans in all Union entities</t>
  </si>
  <si>
    <t xml:space="preserve">IICB 2025 report: Union entities set up risk-management frameworks and completed maturity and risk assessments; all milestones foreseen for 2025 completed on time. Aggregate maturity scores not published.</t>
  </si>
  <si>
    <t xml:space="preserve">IICB annual report 2025</t>
  </si>
  <si>
    <t xml:space="preserve">Incident handling</t>
  </si>
  <si>
    <t xml:space="preserve">Improved handling of incidents</t>
  </si>
  <si>
    <t xml:space="preserve">Baseline: significant incidents rose more than tenfold 2018-2021</t>
  </si>
  <si>
    <t xml:space="preserve">8 significant incidents confirmed for 2025 as of early November, fewer than in 2024; CERT-EU analysed over 800 malicious activities in depth; threat level 'very high'.</t>
  </si>
  <si>
    <t xml:space="preserve">IICB annual report 2025; ECA SR 05/2022</t>
  </si>
  <si>
    <t xml:space="preserve">Resources</t>
  </si>
  <si>
    <t xml:space="preserve">Levelling ICT security spending as a share of overall ICT spending</t>
  </si>
  <si>
    <t xml:space="preserve">No spending share reported; IICB notes an internal assessment that cybersecurity staff would need to rise by about 75% by 2027, which may be hard to achieve.</t>
  </si>
  <si>
    <t xml:space="preserve">Information sharing and cooperation with ENISA and Member State bodies</t>
  </si>
  <si>
    <t xml:space="preserve">CERT-EU notified all significant incidents to national counterparts as required; participates in CSIRTs Network.</t>
  </si>
  <si>
    <t xml:space="preserve">Efficient judicial cooperation between authorities</t>
  </si>
  <si>
    <t xml:space="preserve">Number of electronic exchanges via the decentralised IT system, against a baseline of traditional exchanges in a control group of authorities</t>
  </si>
  <si>
    <t xml:space="preserve">Monitored annually for at least 5 years from start of digital exchanges</t>
  </si>
  <si>
    <t xml:space="preserve">No published data found; obligations phase in from 2025 onwards as implementing acts and IT systems are rolled out.</t>
  </si>
  <si>
    <t xml:space="preserve">Access to justice</t>
  </si>
  <si>
    <t xml:space="preserve">Number of electronic claims and submissions by citizens and businesses (e.g. European Small Claims) via the European electronic access point</t>
  </si>
  <si>
    <t xml:space="preserve">Baseline: paper submissions in control group</t>
  </si>
  <si>
    <t xml:space="preserve">No published data found.</t>
  </si>
  <si>
    <t xml:space="preserve">Yearly savings of about EUR 25.6m in postage and paper (EUR 4.5m for individuals and firms); procedures shortened by ~15.4m days in total per year</t>
  </si>
  <si>
    <t xml:space="preserve">SWD(2021) 392/393</t>
  </si>
  <si>
    <t xml:space="preserve">One-off IT cost EUR 18.7m over 5 years; recurrent EUR 8.1m/yr at EU-27 level</t>
  </si>
  <si>
    <t xml:space="preserve">SWD(2021) 393</t>
  </si>
  <si>
    <t xml:space="preserve">The proposal has no LFS indicator section; the memorandum relies on the Data Market Monitoring study, an SME panel consultation five years after adoption, data-spaces monitoring and an evaluation (now due by 12 September 2028). The Act has applied only since 12 September 2025</t>
  </si>
  <si>
    <t xml:space="preserve">EU-27 GDP +1.98 percentage points by 2028 (press release: EUR 270bn additional GDP by 2028); +2.2m jobs; government revenue +EUR 96.8bn and investment +EUR 30.4bn (2024-2028)</t>
  </si>
  <si>
    <t xml:space="preserve">+EUR 270bn GDP by 2028</t>
  </si>
  <si>
    <t xml:space="preserve">Not measured; obligations applied only from September 2025 (design obligations from 2026). No ex-post estimate exists. Critics (Kerber, Martens) argue the access mechanism is weak, making the forecast doubtful.</t>
  </si>
  <si>
    <t xml:space="preserve">SWD(2022) 34/35; IP/22/1113</t>
  </si>
  <si>
    <t xml:space="preserve">Data access for users and third parties</t>
  </si>
  <si>
    <t xml:space="preserve">Value of B2B/B2C data access from connected products up to EUR 196.7bn a year by 2028; contractual fairness +EUR 7.4bn a year (SME profits +EUR 5.2bn)</t>
  </si>
  <si>
    <t xml:space="preserve">Not measured. A German industry survey 100 days before application found only 1% of companies had fully and 4% partly implemented the Act; 52% thought it did not apply to them.</t>
  </si>
  <si>
    <t xml:space="preserve">SWD(2022) 35; Bitkom 2025</t>
  </si>
  <si>
    <t xml:space="preserve">Fair access to cloud and edge services: +EUR 7.1bn a year</t>
  </si>
  <si>
    <t xml:space="preserve">SWD(2022) 35</t>
  </si>
  <si>
    <t xml:space="preserve">Manufacturers' access infrastructure EUR 410m one-off + EUR 88m a year; contractual fairness EUR 69m a year; B2G EUR 552.5m one-off + EUR 78.1m a year</t>
  </si>
  <si>
    <t xml:space="preserve">Not measured. The November 2025 Digital Omnibus proposes amendments (e.g. on trade-secret refusals and business-to-government data requests in public emergencies) and claims savings of at least EUR 1bn a year across the digital acquis.</t>
  </si>
  <si>
    <t xml:space="preserve">SWD(2022) 35; COM(2025) 837</t>
  </si>
  <si>
    <t xml:space="preserve">specific objective (LFS 1.4.2-1.4.4)</t>
  </si>
  <si>
    <t xml:space="preserve">Comparable administrative data on violence against women</t>
  </si>
  <si>
    <t xml:space="preserve">Common disaggregations and methodology developed by EIGE; data collection tool and guidelines deployed; number of Member States able to report data on all forms of violence covered (availability) and in full compliance (comparability) each year</t>
  </si>
  <si>
    <t xml:space="preserve">Directive adopted May 2024; transposition deadline June 2027, so no Member State reporting under the Directive yet. Baseline exists from the joint Eurostat-FRA-EIGE EU gender-based violence survey (key results Nov 2024).</t>
  </si>
  <si>
    <t xml:space="preserve">Directive 2024/1385; EU-GBV survey 2024</t>
  </si>
  <si>
    <t xml:space="preserve">Reduced prevalence of violence</t>
  </si>
  <si>
    <t xml:space="preserve">Economic benefits of reduced prevalence about EUR 53.1bn, potentially EUR 82.7bn in the long term (mostly lower physical and emotional harm to victims, EUR 32.2-64.5bn)</t>
  </si>
  <si>
    <t xml:space="preserve">EUR 53.1-82.7bn</t>
  </si>
  <si>
    <t xml:space="preserve">Not evaluated. Survey baseline: about 1 in 3 women in the EU (30.7%) report physical violence, threats and/or sexual violence in their lifetime.</t>
  </si>
  <si>
    <t xml:space="preserve">SWD(2022) 62/63; EIGE 2024</t>
  </si>
  <si>
    <t xml:space="preserve">Total compliance costs EUR 5-6.6bn, mostly for Member States; about EUR 1.9bn for employers (manager training on sexual harassment)</t>
  </si>
  <si>
    <t xml:space="preserve">EUR 5-6.6bn</t>
  </si>
  <si>
    <t xml:space="preserve">SWD(2022) 63</t>
  </si>
  <si>
    <t xml:space="preserve">Implementation reporting</t>
  </si>
  <si>
    <t xml:space="preserve">Member States report to the Commission 7 years after entry into force; regular EU-wide surveys transmitted to Eurostat</t>
  </si>
  <si>
    <t xml:space="preserve">Not yet due.</t>
  </si>
  <si>
    <t xml:space="preserve">COM(2022) 105</t>
  </si>
  <si>
    <t xml:space="preserve">The proposal's financial statement contains no indicators section; the memorandum promises an evaluation 5 years after application based on a set of indicators covering the sustainable-consumption package</t>
  </si>
  <si>
    <t xml:space="preserve">Environment</t>
  </si>
  <si>
    <t xml:space="preserve">CO2 savings of 18.4 million tonnes over 15 years (alongside ESPR 471 Mt and ECGT 0.33-0.47 Mt)</t>
  </si>
  <si>
    <t xml:space="preserve">18.4 Mt CO2 / 15 years</t>
  </si>
  <si>
    <t xml:space="preserve">Not measured; rules apply only from 31 July 2026.</t>
  </si>
  <si>
    <t xml:space="preserve">SWD(2023) 59/60</t>
  </si>
  <si>
    <t xml:space="preserve">Consumer savings of EUR 176.5bn over 15 years from less replacement and more repair</t>
  </si>
  <si>
    <t xml:space="preserve">EUR 176.5bn / 15 years</t>
  </si>
  <si>
    <t xml:space="preserve">SWD(2023) 60</t>
  </si>
  <si>
    <t xml:space="preserve">Business / repair sector</t>
  </si>
  <si>
    <t xml:space="preserve">Lost sales and GVA for producers and retailers (treated as a transfer to consumers); repair-sector SMEs gain</t>
  </si>
  <si>
    <t xml:space="preserve">Not measured. Academic critique argues the Directive leaves the main barriers to repair (obsolescence, spare parts, repair information, price incentives) unaddressed.</t>
  </si>
  <si>
    <t xml:space="preserve">SWD(2023) 60; López-Bermúdez &amp; Vence 2025</t>
  </si>
  <si>
    <t xml:space="preserve">The proposal's financial statement contains no indicators section; the memorandum says the Commission will monitor the spare-parts market to see whether the EU-wide repair clause yields the predicted savings, and refers to indicators in Section 9 of the impact assessment</t>
  </si>
  <si>
    <t xml:space="preserve">Open the spare-parts aftermarket to competition</t>
  </si>
  <si>
    <t xml:space="preserve">Consumer savings of EUR 340-544m a year once the 10-year transition for existing designs ends; benefits rising EUR 4-13m a year during the transition</t>
  </si>
  <si>
    <t xml:space="preserve">EUR 340-544m / year</t>
  </si>
  <si>
    <t xml:space="preserve">Not measured; transposition deadline December 2027. Ex-ante causal evidence (Herz &amp; Mejer) finds design protection raises spare-part prices by about 5-8%.</t>
  </si>
  <si>
    <t xml:space="preserve">SWD(2022) 368/369; Herz &amp; Mejer 2020</t>
  </si>
  <si>
    <t xml:space="preserve">Accessible and affordable design protection</t>
  </si>
  <si>
    <t xml:space="preserve">Annual savings of EUR 6m from lower EU design fees and EUR 1.6m from simpler procedures</t>
  </si>
  <si>
    <t xml:space="preserve">EUR 7.6m / year</t>
  </si>
  <si>
    <t xml:space="preserve">Not evaluated (fee changes apply via the parallel EU Design Regulation 2024/2822).</t>
  </si>
  <si>
    <t xml:space="preserve">SWD(2022) 369</t>
  </si>
  <si>
    <t xml:space="preserve">Align national design laws with the EU system</t>
  </si>
  <si>
    <t xml:space="preserve">Lower cost and more predictability for firms protecting designs across Member States</t>
  </si>
  <si>
    <t xml:space="preserve">The proposal's financial statement contains no indicators section; the memorandum refers to core indicators listed in the impact assessment and a review 5 years after entry into force</t>
  </si>
  <si>
    <t xml:space="preserve">Correct employment status</t>
  </si>
  <si>
    <t xml:space="preserve">1.7-4.1 million people reclassified as workers (of about 5.5 million at risk of misclassification among 28 million platform workers)</t>
  </si>
  <si>
    <t xml:space="preserve">1.7-4.1 million</t>
  </si>
  <si>
    <t xml:space="preserve">Not measured; transposition deadline 2 December 2026. The adopted text dropped the proposal's list of criteria for the presumption, leaving them to Member States, so the forecast may not hold. Model-based evidence from Spain's 2021 Riders' Law suggests reclassification raised the employee share but reduced riders' total work and wages.</t>
  </si>
  <si>
    <t xml:space="preserve">SWD(2021) 396/397; Dolado et al. 2025</t>
  </si>
  <si>
    <t xml:space="preserve">Earnings and public finances</t>
  </si>
  <si>
    <t xml:space="preserve">Platform workers' earnings up to EUR 484m a year; up to EUR 4bn a year more tax and social contributions; platform costs EUR 1.9-4.5bn a year</t>
  </si>
  <si>
    <t xml:space="preserve">SWD(2021) 397</t>
  </si>
  <si>
    <t xml:space="preserve">Algorithmic management</t>
  </si>
  <si>
    <t xml:space="preserve">Improved working conditions for 28 million people through transparency, human oversight and redress rights</t>
  </si>
  <si>
    <t xml:space="preserve">28 million</t>
  </si>
  <si>
    <t xml:space="preserve">The proposal's financial statement contains no indicators section; the memorandum only promises a review of application and transposition 6 years after entry into force</t>
  </si>
  <si>
    <t xml:space="preserve">Compensation for injured people</t>
  </si>
  <si>
    <t xml:space="preserve">Annual compensation up EUR 0.15-22.13m (wider scope incl. software) and EUR 0.20-43.54m (easier burden of proof) compared with baseline</t>
  </si>
  <si>
    <t xml:space="preserve">up to about EUR 66m / year</t>
  </si>
  <si>
    <t xml:space="preserve">Not measured; Member States must apply the new rules to products placed on the market from 9 December 2026.</t>
  </si>
  <si>
    <t xml:space="preserve">SWD(2022) 316/317</t>
  </si>
  <si>
    <t xml:space="preserve">Insurance and legal costs for producers</t>
  </si>
  <si>
    <t xml:space="preserve">Insurance premiums up EUR 4.35-8.69m (scope) and EUR 14.35-28.71m (burden of proof) a year; legal costs up EUR 1.12-2.75m a year</t>
  </si>
  <si>
    <t xml:space="preserve">Not measured. Insurers argued the reform would make some risks (psychological harm, data loss, cyber) hard to price and raise litigation and consumer costs.</t>
  </si>
  <si>
    <t xml:space="preserve">SWD(2022) 317; Insurance Europe 2022</t>
  </si>
  <si>
    <t xml:space="preserve">Product safety and legal certainty</t>
  </si>
  <si>
    <t xml:space="preserve">Producers, including non-EU ones, encouraged to place only safe products; clear coverage of software and digital products</t>
  </si>
  <si>
    <t xml:space="preserve">SWD(2022) 317</t>
  </si>
  <si>
    <t xml:space="preserve">No impact assessment: the Commission argued STEP creates no new instrument and relies on existing programmes' assessments</t>
  </si>
  <si>
    <t xml:space="preserve">headline forecast (proposal)</t>
  </si>
  <si>
    <t xml:space="preserve">Total new investment through STEP could reach up to EUR 160bn (proposal assumed EUR 10bn of fresh EU money)</t>
  </si>
  <si>
    <t xml:space="preserve">up to EUR 160bn</t>
  </si>
  <si>
    <t xml:space="preserve">Final regulation added only EUR 1.5bn new money (to the European Defence Fund). By March 2025: about EUR 6.3bn of cohesion funds reprogrammed and EUR 9.5bn of calls under Commission-managed programmes, EUR 5.1-5.2bn awarded.</t>
  </si>
  <si>
    <t xml:space="preserve">COM(2023) 335; COM(2025) 421</t>
  </si>
  <si>
    <t xml:space="preserve">Critical technologies and skills</t>
  </si>
  <si>
    <t xml:space="preserve">Enterprises supported; participants in trainings; total investment mobilised; jobs created or maintained</t>
  </si>
  <si>
    <t xml:space="preserve">Interim evaluation reports funds and 190 STEP Seals awarded; about 15% of cohesion reallocations for skills; no figures yet on enterprises, trainees or jobs; Commission says too early for impact evaluation.</t>
  </si>
  <si>
    <t xml:space="preserve">COM(2025) 421</t>
  </si>
  <si>
    <t xml:space="preserve">Industrial capability and competitiveness</t>
  </si>
  <si>
    <t xml:space="preserve">Substantial strengthening of EU industrial capabilities in clean, bio and deep tech</t>
  </si>
  <si>
    <t xml:space="preserve">Not measured. Seal projects had not yet received cohesion or RRF funding by March 2025; Seals concentrated in more developed regions.</t>
  </si>
  <si>
    <t xml:space="preserve">The proposal's financial statement contains no indicators section; the Commission will evaluate within two years after each European Parliament election, using contractor data collection</t>
  </si>
  <si>
    <t xml:space="preserve">Transparency of political advertising</t>
  </si>
  <si>
    <t xml:space="preserve">Labelled political ads with sponsor, cost and targeting information; common ad repository; better oversight</t>
  </si>
  <si>
    <t xml:space="preserve">Regulation applies from 10 October 2025. Google (Nov 2024 announcement) and Meta (from 6 Oct 2025) stopped selling political, electoral and social-issue ads in the EU rather than comply, so the main online channels and their ad libraries for such ads have largely disappeared. Pre-application audit found Meta met 9 and Google 7 of 19 transparency criteria in the 2024 EU elections.</t>
  </si>
  <si>
    <t xml:space="preserve">Meta 2025; EDMO 2025</t>
  </si>
  <si>
    <t xml:space="preserve">Single market for political advertising services</t>
  </si>
  <si>
    <t xml:space="preserve">Less fragmentation, lower costs for cross-border campaigns and SMEs scaling up</t>
  </si>
  <si>
    <t xml:space="preserve">Not measured; the exit of the largest platforms points the other way for online services.</t>
  </si>
  <si>
    <t xml:space="preserve">SWD(2021) 356</t>
  </si>
  <si>
    <t xml:space="preserve">Protection against manipulation via targeting</t>
  </si>
  <si>
    <t xml:space="preserve">Restrictions on targeting using personal data</t>
  </si>
  <si>
    <t xml:space="preserve">The proposal's financial statement contains no performance indicators (the 1.4.x sections cover added value and MFF compatibility); monitoring is to rely on existing data and an Interoperable Europe monitoring mechanism</t>
  </si>
  <si>
    <t xml:space="preserve">Administrative savings from interoperability</t>
  </si>
  <si>
    <t xml:space="preserve">JRC estimate of savings potential: citizens up to 24 million hours (EUR 543m) and businesses EUR 568bn a year; cross-border share EUR 5.5-6.3m for citizens and EUR 5.7-19.2bn for businesses</t>
  </si>
  <si>
    <t xml:space="preserve">Not measured; the IA itself says direct impact is difficult to quantify. First annual report (Dec 2025) says comprehensive monitoring data not yet available.</t>
  </si>
  <si>
    <t xml:space="preserve">SWD(2022) 721/722; Commission annual report 2025</t>
  </si>
  <si>
    <t xml:space="preserve">Structured cooperation and interoperability by design</t>
  </si>
  <si>
    <t xml:space="preserve">Interoperable Europe Board; mandatory interoperability assessments for trans-European digital public services</t>
  </si>
  <si>
    <t xml:space="preserve">Board and working group operating since Q4 2024; interoperability assessments mandatory from January 2025; regulatory sandbox implementing act adopted; over 12,000 Academy enrolments.</t>
  </si>
  <si>
    <t xml:space="preserve">Commission annual report 2025</t>
  </si>
  <si>
    <t xml:space="preserve">The proposal's financial statement has no LFS indicators; the memorandum says effectiveness will be judged mainly on a set of key performance indicators, with a first evaluation no earlier than five years after application (i.e. after 2031)</t>
  </si>
  <si>
    <t xml:space="preserve">Lower compliance costs for platforms</t>
  </si>
  <si>
    <t xml:space="preserve">Savings for online platforms from replacing uncoordinated data requests</t>
  </si>
  <si>
    <t xml:space="preserve">EUR 54-115m over 5 years</t>
  </si>
  <si>
    <t xml:space="preserve">Regulation applies only from 20 May 2026; no data yet.</t>
  </si>
  <si>
    <t xml:space="preserve">SWD(2022) 349</t>
  </si>
  <si>
    <t xml:space="preserve">Simpler host registration</t>
  </si>
  <si>
    <t xml:space="preserve">Time saved by new hosts registering (monetised)</t>
  </si>
  <si>
    <t xml:space="preserve">&gt; EUR 1 480m over first 5 years</t>
  </si>
  <si>
    <t xml:space="preserve">No data yet.</t>
  </si>
  <si>
    <t xml:space="preserve">Better public-authority data on short-term rentals</t>
  </si>
  <si>
    <t xml:space="preserve">Regular data flow from platforms via national Single Digital Entry Points</t>
  </si>
  <si>
    <t xml:space="preserve">Registration and data-sharing obligations applicable since 20 May 2026; no published figures on data flows or compliance found.</t>
  </si>
  <si>
    <t xml:space="preserve">LFS indicator</t>
  </si>
  <si>
    <t xml:space="preserve">Fostering cross-border activity and investment</t>
  </si>
  <si>
    <t xml:space="preserve">Number and value of cross-border investments in EU media markets (annual)</t>
  </si>
  <si>
    <t xml:space="preserve">Baseline 2013-2021: 478 EU and 389 non-EU investor transactions; gradual increase expected</t>
  </si>
  <si>
    <t xml:space="preserve">No post-EMFA tracking found.</t>
  </si>
  <si>
    <t xml:space="preserve">COM(2022) 457 LFS 1.4.4</t>
  </si>
  <si>
    <t xml:space="preserve">Regulatory cooperation and convergence</t>
  </si>
  <si>
    <t xml:space="preserve">Board opinions taken into account; share of cases solved by the Board; number of guidance documents</t>
  </si>
  <si>
    <t xml:space="preserve">n/a</t>
  </si>
  <si>
    <t xml:space="preserve">European Board for Media Services set up in 2025 and adopted its first reports and deliverables (Dec 2025 plenary); no data on uptake of opinions found.</t>
  </si>
  <si>
    <t xml:space="preserve">Media Board news</t>
  </si>
  <si>
    <t xml:space="preserve">Quality media services / editorial independence</t>
  </si>
  <si>
    <t xml:space="preserve">Media Pluralism Monitor risk scores on political independence, PSM governance, owner influence, source protection, ownership transparency</t>
  </si>
  <si>
    <t xml:space="preserve">2021 MPM scores 16-60%; gradual reduction expected</t>
  </si>
  <si>
    <t xml:space="preserve">MPM2025 (2024 data) published, but switched to a six-tier scale so results are not strictly comparable with earlier editions; it covers the period before EMFA fully applied (Aug 2025).</t>
  </si>
  <si>
    <t xml:space="preserve">Blagojev et al. 2025</t>
  </si>
  <si>
    <t xml:space="preserve">Quality media services</t>
  </si>
  <si>
    <t xml:space="preserve">Citizens' trust in media; number of Member States with media self-regulatory bodies</t>
  </si>
  <si>
    <t xml:space="preserve">16 Member States with self-regulatory bodies</t>
  </si>
  <si>
    <t xml:space="preserve">Not tracked against the EMFA.</t>
  </si>
  <si>
    <t xml:space="preserve">Economic</t>
  </si>
  <si>
    <t xml:space="preserve">Net economic benefit (higher media company revenues)</t>
  </si>
  <si>
    <t xml:space="preserve">EUR 2.9bn per year</t>
  </si>
  <si>
    <t xml:space="preserve">Not evaluated; first evaluation due four years after entry into force.</t>
  </si>
  <si>
    <t xml:space="preserve">SWD(2022) 287</t>
  </si>
  <si>
    <t xml:space="preserve">benchmark (Regulation)</t>
  </si>
  <si>
    <t xml:space="preserve">Strengthen the strategic raw materials value chain</t>
  </si>
  <si>
    <t xml:space="preserve">EU capacity as share of annual EU consumption of strategic raw materials by 2030</t>
  </si>
  <si>
    <t xml:space="preserve">Extraction 10%, processing 40%, recycling 25%; no more than 65% from a single third country</t>
  </si>
  <si>
    <t xml:space="preserve">European Court of Auditors (Feb 2026) judges the EU unlikely to meet the 2030 benchmarks: targets are non-binding, unclear in basis, mining projects take up to two decades, and 10 of 26 energy-transition materials are not recycled at all.</t>
  </si>
  <si>
    <t xml:space="preserve">ECA SR 04/2026</t>
  </si>
  <si>
    <t xml:space="preserve">Strengthen the value chain</t>
  </si>
  <si>
    <t xml:space="preserve">Number of Strategic Projects financed in the EU and abroad; investment volume</t>
  </si>
  <si>
    <t xml:space="preserve">47 EU Strategic Projects selected in March 2025 (expected capital investment EUR 22.5bn; 25 extraction, 24 processing, 10 recycling, 2 substitution), further third-country projects in June 2025 and a second call in Sept 2025. Investment actually made not reported.</t>
  </si>
  <si>
    <t xml:space="preserve">Commission, March 2025</t>
  </si>
  <si>
    <t xml:space="preserve">Diversify imports</t>
  </si>
  <si>
    <t xml:space="preserve">Monitoring data on trade flows in CRMs</t>
  </si>
  <si>
    <t xml:space="preserve">ECA found imports from the 14 strategic-partner countries fell between 2020 and 2024 for around half of materials examined.</t>
  </si>
  <si>
    <t xml:space="preserve">Circularity</t>
  </si>
  <si>
    <t xml:space="preserve">Amount and share of recycled CRMs</t>
  </si>
  <si>
    <t xml:space="preserve">25% recycling benchmark</t>
  </si>
  <si>
    <t xml:space="preserve">ECA: recycling still in its infancy; no Commission measurement yet.</t>
  </si>
  <si>
    <t xml:space="preserve">Data and maps of EU mineral resources; strategic stocks at national level</t>
  </si>
  <si>
    <t xml:space="preserve">No consolidated figures found.</t>
  </si>
  <si>
    <t xml:space="preserve">The proposal has no LFS indicators; the memorandum foresees a report five years after entry into force, based on indicators and a data-collection mechanism to be drawn up by the Communications Committee</t>
  </si>
  <si>
    <t xml:space="preserve">Reduce deployment cost</t>
  </si>
  <si>
    <t xml:space="preserve">Reduction in cost of network deployment to 2030</t>
  </si>
  <si>
    <t xml:space="preserve">EUR 14.5bn; public subsidies EUR 2.4bn lower</t>
  </si>
  <si>
    <t xml:space="preserve">Main provisions applied from 12 Nov 2025; not evaluated.</t>
  </si>
  <si>
    <t xml:space="preserve">SWD(2023) 47</t>
  </si>
  <si>
    <t xml:space="preserve">Re-use of infrastructure</t>
  </si>
  <si>
    <t xml:space="preserve">New network km deployed by re-using physical infrastructure or coordinating civil works</t>
  </si>
  <si>
    <t xml:space="preserve">470,000 km vs 250,000 km baseline</t>
  </si>
  <si>
    <t xml:space="preserve">Faster permits</t>
  </si>
  <si>
    <t xml:space="preserve">Administrative cost savings for operators; digital permit procedures</t>
  </si>
  <si>
    <t xml:space="preserve">EUR 40m a year for operators; EUR 3-4m a year for local authorities</t>
  </si>
  <si>
    <t xml:space="preserve">About half of Member States had begun adopting implementing measures by March 2026, with divergent approaches to tacit approval of permits.</t>
  </si>
  <si>
    <t xml:space="preserve">Cullen International 2026</t>
  </si>
  <si>
    <t xml:space="preserve">Contribute to Digital Decade gigabit targets</t>
  </si>
  <si>
    <t xml:space="preserve">Gigabit coverage of households</t>
  </si>
  <si>
    <t xml:space="preserve">100% gigabit by 2030 (Digital Decade)</t>
  </si>
  <si>
    <t xml:space="preserve">Coverage tracked in Digital Decade reports but not attributed to the GIA.</t>
  </si>
  <si>
    <t xml:space="preserve">The proposal's financial statement has no LFS indicators; the memorandum promises a first review five years after application (the AMLR applies from 10 July 2027). Indicators below come from section 9 of the impact assessment</t>
  </si>
  <si>
    <t xml:space="preserve">indicator (impact assessment)</t>
  </si>
  <si>
    <t xml:space="preserve">Strengthen and harmonise AML rules</t>
  </si>
  <si>
    <t xml:space="preserve">Number of suspicious transaction reports (STRs) transmitted to law enforcement</t>
  </si>
  <si>
    <t xml:space="preserve">Not yet measurable (Regulation applies from July 2027). Baseline: Europol (2017) found only around 10% of STRs lead to further investigation and about 1% of criminal proceeds are confiscated.</t>
  </si>
  <si>
    <t xml:space="preserve">SWD(2021) 190; Europol 2017</t>
  </si>
  <si>
    <t xml:space="preserve">More effective supervision</t>
  </si>
  <si>
    <t xml:space="preserve">STRs generated by the non-financial sector; proportion of STRs usable for financial intelligence</t>
  </si>
  <si>
    <t xml:space="preserve">Not yet measurable; no baseline series published by the Commission.</t>
  </si>
  <si>
    <t xml:space="preserve">SWD(2021) 190</t>
  </si>
  <si>
    <t xml:space="preserve">FIU cooperation</t>
  </si>
  <si>
    <t xml:space="preserve">Volume and nature of information exchanged among FIUs (FIU.net); feedback to obliged entities</t>
  </si>
  <si>
    <t xml:space="preserve">Not yet measurable; AMLA (which hosts the FIU support mechanism) only began operating in 2025.</t>
  </si>
  <si>
    <t xml:space="preserve">Reduce money laundering</t>
  </si>
  <si>
    <t xml:space="preserve">Reduction of undetected money laundering/terrorist financing (estimated by Europol at well over EUR 100bn a year); EUR 10,000 cash-payment ceiling to 'significantly deter' laundering without hurting financial inclusion</t>
  </si>
  <si>
    <t xml:space="preserve">Not measured; the IA itself says undetected laundering cannot be measured. Independent work questions the effectiveness of the AML model in general (Pol 2020: less than 0.1% impact on criminal finances) and documents unintended costs such as de-risking (EBA 2022) and reduced lending to small firms (Slutzky et al., Colombia).</t>
  </si>
  <si>
    <t xml:space="preserve">not measured (independent evidence sceptical)</t>
  </si>
  <si>
    <t xml:space="preserve">SWD(2021) 191; Pol 2020; EBA 2022; Slutzky et al.</t>
  </si>
  <si>
    <t xml:space="preserve">AMLA running cost about EUR 40m a year at 250 FTE, over half financed by levies on obliged entities; bank-register interconnection about EUR 2m; lower compliance costs for cross-border financial groups</t>
  </si>
  <si>
    <t xml:space="preserve">~EUR 40m/yr</t>
  </si>
  <si>
    <t xml:space="preserve">SWD(2021) 191</t>
  </si>
  <si>
    <t xml:space="preserve">Ensure AI systems placed on the market and used are safe and respect fundamental rights and Union values</t>
  </si>
  <si>
    <t xml:space="preserve">Ensure legal certainty to facilitate investment and innovation in AI</t>
  </si>
  <si>
    <t xml:space="preserve">Enhance governance and effective enforcement of existing law on fundamental rights and safety</t>
  </si>
  <si>
    <t xml:space="preserve">Facilitate a single market for lawful, safe and trustworthy AI and prevent fragmentation</t>
  </si>
  <si>
    <t xml:space="preserve">Number of serious incidents or breaches of fundamental-rights obligations (semi-annual), by field, absolute and relative</t>
  </si>
  <si>
    <t xml:space="preserve">Not yet reportable: high-risk obligations not yet applicable; the 2026 AI omnibus postponed them to 2 Dec 2027 (Annex III) and 2 Aug 2028 (Annex I).</t>
  </si>
  <si>
    <t xml:space="preserve">not yet measurable</t>
  </si>
  <si>
    <t xml:space="preserve">AI omnibus (2026)</t>
  </si>
  <si>
    <t xml:space="preserve">Investment and innovation</t>
  </si>
  <si>
    <t xml:space="preserve">Total AI investment in the EU and by Member State (annual)</t>
  </si>
  <si>
    <t xml:space="preserve">No Commission series linked to the Act found yet.</t>
  </si>
  <si>
    <t xml:space="preserve">Share of companies using AI (annual) / share of SMEs using AI</t>
  </si>
  <si>
    <t xml:space="preserve">Measurable via Eurostat: 7.7% (2021), 8.1% (2023), 13.5% (2024), about 20% (2025) of EU enterprises with 10+ staff; 55% of large firms in 2025. Rise cannot be attributed to the Act (main obligations not yet applicable; generative-AI boom).</t>
  </si>
  <si>
    <t xml:space="preserve">Eurostat</t>
  </si>
  <si>
    <t xml:space="preserve">Aggregate compliance cost EUR 100-500m by 2025 (up to 4-5% of high-risk AI investment) plus verification 2-5%; high-risk = 5-15% of AI applications</t>
  </si>
  <si>
    <t xml:space="preserve">Not evaluated. Start-up surveys put the high-risk share at 33-50% of their systems, far above the 5-15% assumed; obligations later postponed and simplified.</t>
  </si>
  <si>
    <t xml:space="preserve">not measured (contested assumptions)</t>
  </si>
  <si>
    <t xml:space="preserve">SWD(2021) 85; appliedAI/Digital Poland survey</t>
  </si>
  <si>
    <t xml:space="preserve">No formal impact assessment was prepared (urgency); the analysis was set out in staff working document SWD(2023) 68. The LFS gives no quantified indicators: the Commission will monitor via annual competitiveness reports on clean energy technologies and evaluate after three years</t>
  </si>
  <si>
    <t xml:space="preserve">Manufacturing capacity</t>
  </si>
  <si>
    <t xml:space="preserve">EU net-zero technology manufacturing capacity as share of annual EU deployment needs</t>
  </si>
  <si>
    <t xml:space="preserve">At least 40% by 2030; 15% of world production by 2040</t>
  </si>
  <si>
    <t xml:space="preserve">No published assessment of progress against the benchmark found; Bruegel criticised the 40% benchmark as poorly defined.</t>
  </si>
  <si>
    <t xml:space="preserve">Regulation (EU) 2024/1735; Tagliapietra et al. 2023</t>
  </si>
  <si>
    <t xml:space="preserve">target (Regulation)</t>
  </si>
  <si>
    <t xml:space="preserve">CO2 storage</t>
  </si>
  <si>
    <t xml:space="preserve">Annual CO2 injection capacity</t>
  </si>
  <si>
    <t xml:space="preserve">50 Mt per year by 2030</t>
  </si>
  <si>
    <t xml:space="preserve">Commission to report annually; no figures verified.</t>
  </si>
  <si>
    <t xml:space="preserve">expected impact (Commission analysis)</t>
  </si>
  <si>
    <t xml:space="preserve">Investment needed for EU net-zero manufacturing</t>
  </si>
  <si>
    <t xml:space="preserve">around EUR 92bn to 2030 (reported)</t>
  </si>
  <si>
    <t xml:space="preserve">Not tracked against the Act.</t>
  </si>
  <si>
    <t xml:space="preserve">SWD(2023) 68 (figure as reported secondary)</t>
  </si>
  <si>
    <t xml:space="preserve">Product sustainability</t>
  </si>
  <si>
    <t xml:space="preserve">Number of product groups covered by delegated acts</t>
  </si>
  <si>
    <t xml:space="preserve">First ESPR working plan (April 2025) prioritises steel, aluminium, textiles, furniture, tyres and others, with indicative adoption 2026-2028; ban on destroying unsold apparel and footwear applies to large firms from 19 July 2026. No product-specific ESPR requirements yet in force.</t>
  </si>
  <si>
    <t xml:space="preserve">Commission working plan 2025-2030 (secondary reports)</t>
  </si>
  <si>
    <t xml:space="preserve">Change in GHG and pollutant emissions; energy, water and material efficiency of regulated products</t>
  </si>
  <si>
    <t xml:space="preserve">Not measured; depends on future delegated acts.</t>
  </si>
  <si>
    <t xml:space="preserve">Product lifetime; recycled content; circular material use rate</t>
  </si>
  <si>
    <t xml:space="preserve">Eurostat publishes the circular material use rate, but no attribution to ESPR.</t>
  </si>
  <si>
    <t xml:space="preserve">Sustainable business models</t>
  </si>
  <si>
    <t xml:space="preserve">Value added, investment and jobs in recycling, repair and re-use; green public procurement share; consumer cost impacts</t>
  </si>
  <si>
    <t xml:space="preserve">Not tracked against ESPR.</t>
  </si>
  <si>
    <t xml:space="preserve">expected impact (Commission)</t>
  </si>
  <si>
    <t xml:space="preserve">Energy savings</t>
  </si>
  <si>
    <t xml:space="preserve">Primary energy savings by 2030 (ecodesign scope)</t>
  </si>
  <si>
    <t xml:space="preserve">132 Mtoe, ~150 bcm gas (reported)</t>
  </si>
  <si>
    <t xml:space="preserve">Not evaluated; evaluation due eight years after application.</t>
  </si>
  <si>
    <t xml:space="preserve">Commission 2022 announcement as reported by INFORSE-Europe</t>
  </si>
  <si>
    <t xml:space="preserve">The LFS lists no quantified indicators: it promises a Commission evaluation five years after application and regular monitoring of the effect of free-movement measures, information requests and strategic reserves</t>
  </si>
  <si>
    <t xml:space="preserve">LFS objective</t>
  </si>
  <si>
    <t xml:space="preserve">Minimise obstacles to free movement in crises</t>
  </si>
  <si>
    <t xml:space="preserve">Fewer and better-coordinated national crisis restrictions</t>
  </si>
  <si>
    <t xml:space="preserve">Regulation applies from 29 May 2026; no vigilance or emergency mode activated and no data found.</t>
  </si>
  <si>
    <t xml:space="preserve">Safeguard availability of crisis-relevant goods and services</t>
  </si>
  <si>
    <t xml:space="preserve">Availability of crisis-relevant products during emergencies</t>
  </si>
  <si>
    <t xml:space="preserve">No crisis activation yet; not measured.</t>
  </si>
  <si>
    <t xml:space="preserve">Secure products throughout their life cycle</t>
  </si>
  <si>
    <t xml:space="preserve">Significant incidents caused by vulnerabilities; share of manufacturers with secure development life cycle; patch frequency and time-to-patch</t>
  </si>
  <si>
    <t xml:space="preserve">Reporting obligations apply from Sept 2026 and main requirements from Dec 2027; no measurement yet. A 2025 survey found most open-source respondents unfamiliar with the Act and few manufacturers producing SBOMs.</t>
  </si>
  <si>
    <t xml:space="preserve">Lawson &amp; Hendrick 2025</t>
  </si>
  <si>
    <t xml:space="preserve">Coherent framework</t>
  </si>
  <si>
    <t xml:space="preserve">Absence of product-specific national cybersecurity legislation</t>
  </si>
  <si>
    <t xml:space="preserve">Transparency and secure use</t>
  </si>
  <si>
    <t xml:space="preserve">Share of products shipped with security information and secure-use instructions</t>
  </si>
  <si>
    <t xml:space="preserve">Fewer cyber incidents</t>
  </si>
  <si>
    <t xml:space="preserve">Reduction in incident costs for businesses</t>
  </si>
  <si>
    <t xml:space="preserve">EUR 180-290bn a year</t>
  </si>
  <si>
    <t xml:space="preserve">Not evaluated; Commission report due 36 months after application.</t>
  </si>
  <si>
    <t xml:space="preserve">SWD(2022) 283</t>
  </si>
  <si>
    <t xml:space="preserve">Aggregate compliance costs for manufacturers</t>
  </si>
  <si>
    <t xml:space="preserve">up to ~EUR 29bn (market value up to EUR 1,485bn)</t>
  </si>
  <si>
    <t xml:space="preserve">The ViDA proposal (a Council directive) has no LFS indicators section; the memorandum refers to the monitoring indicators in Section 4 of the impact assessment and an evaluation 5 years after entry into force</t>
  </si>
  <si>
    <t xml:space="preserve">Improve VAT collection and control</t>
  </si>
  <si>
    <t xml:space="preserve">Additional VAT revenue 2023-2032 (enhanced option)</t>
  </si>
  <si>
    <t xml:space="preserve">EUR 135-177bn over 10 years (about 0.1% of GDP a year)</t>
  </si>
  <si>
    <t xml:space="preserve">Not measurable yet: EU-level digital reporting and e-invoicing for intra-EU trade only applies from 1 July 2030 and the package phases in to 2035. Baseline: the EU VAT compliance gap was EUR 128bn in 2023 (Commission VAT Gap report 2025).</t>
  </si>
  <si>
    <t xml:space="preserve">SWD(2022) 394; Commission VAT Gap report 2025</t>
  </si>
  <si>
    <t xml:space="preserve">Reduce compliance burden</t>
  </si>
  <si>
    <t xml:space="preserve">Business savings 2023-2032 (enhanced option)</t>
  </si>
  <si>
    <t xml:space="preserve">EUR 50.6bn savings (41.4bn reporting, 0.5bn platform economy, 8.7bn registration) against EUR 11.3bn new DRR costs</t>
  </si>
  <si>
    <t xml:space="preserve">Not measured. Commission still cites 'EUR 51 billion in savings for businesses' in its Sept 2025 implementation strategy.</t>
  </si>
  <si>
    <t xml:space="preserve">SWD(2022) 394; DG TAXUD Sept 2025</t>
  </si>
  <si>
    <t xml:space="preserve">Minimise multiple VAT registrations</t>
  </si>
  <si>
    <t xml:space="preserve">SMEs benefiting from extended OSS/IOSS</t>
  </si>
  <si>
    <t xml:space="preserve">280,000 SMEs; up to EUR 7bn saved 2023-2032</t>
  </si>
  <si>
    <t xml:space="preserve">Not measured; single VAT registration measures apply from 2027-2028.</t>
  </si>
  <si>
    <t xml:space="preserve">SWD(2022) 394</t>
  </si>
  <si>
    <t xml:space="preserve">Overall net impact</t>
  </si>
  <si>
    <t xml:space="preserve">Net impact against baseline 2023-2032</t>
  </si>
  <si>
    <t xml:space="preserve">EUR 172-214bn (enhanced option)</t>
  </si>
  <si>
    <t xml:space="preserve">Forecast only; the adopted text differs from the assessed option (some measures softened or delayed), so the figure is an upper reference rather than a forecast for the final law.</t>
  </si>
  <si>
    <t xml:space="preserve">European Cyber Shield / Cybersecurity Alert System: common detection and situational awareness</t>
  </si>
  <si>
    <t xml:space="preserve">Number of cybersecurity infrastructures or tools, or both, jointly procured</t>
  </si>
  <si>
    <t xml:space="preserve">Digital Europe interim evaluation (Dec 2025): 26 cybersecurity infrastructures (CyberHubs) procured, including two cross-border CyberHubs, 'in line with the targets'. Output count only; no data on detection performance.</t>
  </si>
  <si>
    <t xml:space="preserve">Cybersecurity Emergency Mechanism: preparedness, response and recovery</t>
  </si>
  <si>
    <t xml:space="preserve">Number of actions supporting preparedness and response to cybersecurity incidents under the Mechanism</t>
  </si>
  <si>
    <t xml:space="preserve">No figures found yet. The Court of Auditors warned this indicator measures output only and gives little insight into results.</t>
  </si>
  <si>
    <t xml:space="preserve">ECA Opinion 02/2023</t>
  </si>
  <si>
    <t xml:space="preserve">No impact assessment was carried out ('urgent nature of the proposal'); the proposal relied on the 2018 Digital Europe Programme IA and set no outcome targets or cost estimate. Budget: EUR 100m reallocated within DEP, bringing DEP cybersecurity funding to about EUR 843m for 2023-2027. Evaluation due four years after application.</t>
  </si>
  <si>
    <t xml:space="preserve">COM(2023) 209; ECA Opinion 02/2023</t>
  </si>
  <si>
    <t xml:space="preserve">SO1: empower people through digital access to and control of their health data, incl. across borders</t>
  </si>
  <si>
    <t xml:space="preserve">Healthcare providers connected to MyHealth@EU; volume of data shared cross-border; share of people with access to their EHR; satisfaction with MyHealth@EU</t>
  </si>
  <si>
    <t xml:space="preserve">Patient summaries and ePrescriptions to be exchangeable in all Member States by 2029; images, lab results and discharge reports by 2031</t>
  </si>
  <si>
    <t xml:space="preserve">Commission (early 2025): 15 Member States support sharing patient summaries and ePrescriptions via MyHealth@EU; only a few countries can send or receive data digitally across borders; 10 countries still use paper prescriptions. No provider-level, volume or satisfaction figures published yet.</t>
  </si>
  <si>
    <t xml:space="preserve">Commission health data rights page (2025)</t>
  </si>
  <si>
    <t xml:space="preserve">SO2: interoperable, secure EHR systems</t>
  </si>
  <si>
    <t xml:space="preserve">Certified EHR systems and labelled wellness apps in the EU database; non-compliance cases</t>
  </si>
  <si>
    <t xml:space="preserve">Not measured: EHR requirements apply only from 2029 onward.</t>
  </si>
  <si>
    <t xml:space="preserve">SO3: efficient framework for secondary use of health data</t>
  </si>
  <si>
    <t xml:space="preserve">Datasets in the European data catalogue; data access requests processed/accepted/rejected by health data access bodies</t>
  </si>
  <si>
    <t xml:space="preserve">Not measured: secondary-use rules apply from 2029; health data access bodies being set up.</t>
  </si>
  <si>
    <t xml:space="preserve">Economic benefit</t>
  </si>
  <si>
    <t xml:space="preserve">Total economic benefits over 10 years</t>
  </si>
  <si>
    <t xml:space="preserve">Above EUR 11bn benefits vs EUR 0.7-2.5bn costs over 10 years</t>
  </si>
  <si>
    <t xml:space="preserve">Forecast only. Independent commentators (EIT Health Think Tank 2024) argue implementation funding is 'significantly misaligned' with the ambition, which could delay benefits.</t>
  </si>
  <si>
    <t xml:space="preserve">SWD(2022) 132; EIT Health 2024</t>
  </si>
  <si>
    <t xml:space="preserve">The proposal has no LFS indicators section; the Commission will evaluate the Regulation five years after entry into force and every five years thereafter. The Regulation entered into force in January 2026 and fully applies from 1 August 2030.</t>
  </si>
  <si>
    <t xml:space="preserve">Protect children from harmful chemicals</t>
  </si>
  <si>
    <t xml:space="preserve">Avoided health damage from banning endocrine disruptors in toys</t>
  </si>
  <si>
    <t xml:space="preserve">EUR 240m-1.2bn per year</t>
  </si>
  <si>
    <t xml:space="preserve">Not measured; chemical bans apply from 2030.</t>
  </si>
  <si>
    <t xml:space="preserve">SWD(2023) 270</t>
  </si>
  <si>
    <t xml:space="preserve">Fewer unsafe and non-compliant toys on the market (digital product passport, enforcement)</t>
  </si>
  <si>
    <t xml:space="preserve">Non-compliant/unsafe toys; market surveillance efficiency</t>
  </si>
  <si>
    <t xml:space="preserve">Industry savings EUR 13-20m/yr on inspections and EUR 2.6-3.9m/yr from digital information; costs EUR 18m one-off + EUR 10.5m/yr for the passport</t>
  </si>
  <si>
    <t xml:space="preserve">Baseline only. Toys were 15% of the record 4,137 Safety Gate alerts in 2024 (second after cosmetics). Industry test purchases found 80% of 100+ toys from third-party sellers on 10 marketplaces failed EU rules (2024).</t>
  </si>
  <si>
    <t xml:space="preserve">Safety Gate 2024; TIE 2024</t>
  </si>
  <si>
    <t xml:space="preserve">One-off redesign costs; products withdrawn</t>
  </si>
  <si>
    <t xml:space="preserve">EUR 23.5-397m one-off; EUR 249-367m of products affected (of EUR 6.56bn industry turnover)</t>
  </si>
  <si>
    <t xml:space="preserve">No impact assessment and no LFS indicators: the memorandum says only that the Commission will monitor the Regulation together with the GDPR. The Regulation applies to cross-border cases opened after 2 April 2027.</t>
  </si>
  <si>
    <t xml:space="preserve">objective (memorandum)</t>
  </si>
  <si>
    <t xml:space="preserve">Faster cross-border GDPR enforcement and quicker remedies for individuals</t>
  </si>
  <si>
    <t xml:space="preserve">Duration of cross-border investigations; number of disputes sent to the EDPB</t>
  </si>
  <si>
    <t xml:space="preserve">Baseline only (Commission 2nd GDPR report, data to Nov 2023): ~2,400 cross-border case entries; ~1,500 lead-authority draft decisions, 990 final infringement decisions; median complaint handling 1-12 months across authorities. No post-application data.</t>
  </si>
  <si>
    <t xml:space="preserve">Harmonised complaint admissibility and procedural rights for complainants and parties</t>
  </si>
  <si>
    <t xml:space="preserve">Not measured. Critics (noyb) argued the trilogue text created many procedure types and could lengthen cases; no evidence either way yet.</t>
  </si>
  <si>
    <t xml:space="preserve">Euronews Apr 2025; EDPB-EDPS Joint Opinion 01/2023</t>
  </si>
  <si>
    <t xml:space="preserve">No LFS indicators. Monitoring relies on basic descriptive data (Member States notifying national crisis compulsory licences); the Commission expects use to be rare. Evaluation is due after the first Union compulsory licence is activated (3 years in the proposal; 5 years after first licence in the IA).</t>
  </si>
  <si>
    <t xml:space="preserve">Effective, EU-wide compulsory licensing in cross-border crises</t>
  </si>
  <si>
    <t xml:space="preserve">Union compulsory licences granted; time to supply of crisis-critical products</t>
  </si>
  <si>
    <t xml:space="preserve">Qualitative only: 'significantly lower risk of delays or unavailability of critical products during crisis'</t>
  </si>
  <si>
    <t xml:space="preserve">No Union compulsory licence was found in searches since the Regulation entered into force (January 2026). Final text narrowed the scope compared with the proposal (EPRS).</t>
  </si>
  <si>
    <t xml:space="preserve">SWD(2023) 122; EPRS 2024/2025</t>
  </si>
  <si>
    <t xml:space="preserve">Lower costs and legal certainty for patent holders, licensees and Member States</t>
  </si>
  <si>
    <t xml:space="preserve">Qualitative scores only (+/++/+++); no monetised estimates</t>
  </si>
  <si>
    <t xml:space="preserve">SWD(2023) 122</t>
  </si>
  <si>
    <t xml:space="preserve">SO1: harmonised categories of information and common handling rules</t>
  </si>
  <si>
    <t xml:space="preserve">Guidelines adopted; new markings implemented; handling instructions published; common systems for sensitive non-classified information and EUCI</t>
  </si>
  <si>
    <t xml:space="preserve">Not applicable yet: proposal still pending (Council Security Committee still revising the text in March 2026; no trilogue agreement found).</t>
  </si>
  <si>
    <t xml:space="preserve">SO2: identify and close security gaps</t>
  </si>
  <si>
    <t xml:space="preserve">Recommendations made/implemented; number of information leaks across institutions</t>
  </si>
  <si>
    <t xml:space="preserve">Not measured. Baseline: Court of Auditors found preparedness 'not commensurate with the threats' and significant incidents up more than tenfold 2018-2021.</t>
  </si>
  <si>
    <t xml:space="preserve">ECA SR 05/2022</t>
  </si>
  <si>
    <t xml:space="preserve">SO3-4: lean cooperation and modernised policies (teleworking)</t>
  </si>
  <si>
    <t xml:space="preserve">Centralised vs local procurement; inspection reports; Coordination Group queries; staff trained; awareness; share of staff with secure teleworking equipment</t>
  </si>
  <si>
    <t xml:space="preserve">Not measured: proposal pending.</t>
  </si>
  <si>
    <t xml:space="preserve">expected impact (impact analysis)</t>
  </si>
  <si>
    <t xml:space="preserve">Costs for institutions</t>
  </si>
  <si>
    <t xml:space="preserve">Implementation costs offset by efficiency gains; 2 Commission posts (1 AD, 1 AST) for the Coordination Group secretariat; no impact on Member States or private sector</t>
  </si>
  <si>
    <t xml:space="preserve">SWD(2022) 65</t>
  </si>
  <si>
    <t xml:space="preserve">No LFS indicators were extracted from the proposal's financial statement; the memorandum refers to a monitoring programme in Article 83 and the impact assessment (indicators collected by public authorities, providers and the EU Centre), with evaluation five years after entry into force. The proposal was still in trilogue in mid-2026 (fifth trilogue 29 June 2026); voluntary detection continues under the interim Regulation (EU) 2021/1232, which the Commission proposed to extend to April 2028.</t>
  </si>
  <si>
    <t xml:space="preserve">More effective detection, reporting and removal of child sexual abuse online; better victim support</t>
  </si>
  <si>
    <t xml:space="preserve">Reports of child sexual abuse; removal; victims identified</t>
  </si>
  <si>
    <t xml:space="preserve">Qualitative: number of reports expected to increase; reduced fragmentation</t>
  </si>
  <si>
    <t xml:space="preserve">Not measurable: Regulation not adopted. EPRS complementary IA found tools to detect new material and grooming substantially less accurate than for known material.</t>
  </si>
  <si>
    <t xml:space="preserve">SWD(2022) 210; EPRS 2023</t>
  </si>
  <si>
    <t xml:space="preserve">Costs to providers, public authorities and EU Centre</t>
  </si>
  <si>
    <t xml:space="preserve">Providers EUR 1.6bn one-off + EUR 1.5bn/yr; public authorities EUR 5.4m one-off + EUR 825.6m/yr; EU Centre EUR 5m one-off + EUR 25.7m/yr</t>
  </si>
  <si>
    <t xml:space="preserve">SWD(2022) 210</t>
  </si>
  <si>
    <t xml:space="preserve">Respect for fundamental rights (privacy, data protection)</t>
  </si>
  <si>
    <t xml:space="preserve">Safeguards to ensure fair balance and respect prohibition of general monitoring</t>
  </si>
  <si>
    <t xml:space="preserve">Contested ex ante: EDPB-EDPS and EPRS concluded detection orders risk generalised scanning and would likely fail the proportionality test for new material and grooming.</t>
  </si>
  <si>
    <t xml:space="preserve">EDPB-EDPS 2022; EPRS 2023</t>
  </si>
  <si>
    <t xml:space="preserve">The FiDA proposal has no LFS indicators section; the memorandum only refers to a Commission review (Art. 31), with evaluation no earlier than 3 years after application</t>
  </si>
  <si>
    <t xml:space="preserve">Open finance uptake and innovation</t>
  </si>
  <si>
    <t xml:space="preserve">Customers share financial data beyond payment accounts; market entry of data-driven start-ups</t>
  </si>
  <si>
    <t xml:space="preserve">Not applicable: regulation not adopted (trilogues stalled in 2025-26, per secondary reports).</t>
  </si>
  <si>
    <t xml:space="preserve">SWD(2023) 224</t>
  </si>
  <si>
    <t xml:space="preserve">One-off API cost for 17,745 data holders</t>
  </si>
  <si>
    <t xml:space="preserve">EUR 2.2-2.4bn one-off; EUR 147-465m a year recurring</t>
  </si>
  <si>
    <t xml:space="preserve">Economic value</t>
  </si>
  <si>
    <t xml:space="preserve">Potential boost from open financial data (external estimate cited by the IA)</t>
  </si>
  <si>
    <t xml:space="preserve">1-1.5% of EU GDP by 2030</t>
  </si>
  <si>
    <t xml:space="preserve">Third-party estimate cited in the IA; not a Commission forecast of this regulation's effect.</t>
  </si>
  <si>
    <t xml:space="preserve">Neither PSD3 nor PSR has LFS indicators; the memorandum provides only for a review five years after application (PSR: focus on open banking, fees, fraud liability). PSD3 and PSR share one impact assessment</t>
  </si>
  <si>
    <t xml:space="preserve">Fraud protection</t>
  </si>
  <si>
    <t xml:space="preserve">Reduce authorised push payment (social engineering) fraud via IBAN/name check, fraud data sharing, conditional refund liability</t>
  </si>
  <si>
    <t xml:space="preserve">Baseline: APP fraud on SEPA credit transfers est. EUR 323m (2020)</t>
  </si>
  <si>
    <t xml:space="preserve">Baseline worsening, pre-application: EBA-ECB report EEA payment fraud EUR 3.4bn (2022), 3.5bn (2023), 4.2bn (2024); credit transfer fraud EUR 2.2bn in 2024 (+16%), ~85% of losses borne by users. Rules not yet applied (provisional agreement Nov 2025).</t>
  </si>
  <si>
    <t xml:space="preserve">SWD(2023) 231; EBA-ECB 2025</t>
  </si>
  <si>
    <t xml:space="preserve">Open banking</t>
  </si>
  <si>
    <t xml:space="preserve">Better data access interfaces, permission dashboards</t>
  </si>
  <si>
    <t xml:space="preserve">One-off cost ~EUR 185-190m (net) for interfaces; up to EUR 47m for dashboards</t>
  </si>
  <si>
    <t xml:space="preserve">SWD(2023) 231</t>
  </si>
  <si>
    <t xml:space="preserve">Competition / level playing field</t>
  </si>
  <si>
    <t xml:space="preserve">Non-bank PSP access to payment systems and bank accounts; downward pressure on prices</t>
  </si>
  <si>
    <t xml:space="preserve">Not measured; Settlement Finality Directive access change partly delivered via the Instant Payments Regulation (2024).</t>
  </si>
  <si>
    <t xml:space="preserve">No LFS indicators section; the memorandum names monitoring indicators and requires a Commission review three years after application and every three years thereafter</t>
  </si>
  <si>
    <t xml:space="preserve">monitoring indicator (memorandum)</t>
  </si>
  <si>
    <t xml:space="preserve">Use of central bank money in digital payments</t>
  </si>
  <si>
    <t xml:space="preserve">Amount of digital euro in circulation; number and value of retail payments in digital euro and share vs other means of payment</t>
  </si>
  <si>
    <t xml:space="preserve">Not applicable: regulation not adopted (Council position Dec 2025; Parliament mandate 2026; ECB targets issuance around 2029).</t>
  </si>
  <si>
    <t xml:space="preserve">COM(2023) 369 memorandum</t>
  </si>
  <si>
    <t xml:space="preserve">Financial stability / bank intermediation</t>
  </si>
  <si>
    <t xml:space="preserve">Holding limits keep deposit substitution manageable</t>
  </si>
  <si>
    <t xml:space="preserve">ECB: a EUR 3,000 holding limit caps supply at max ~EUR 1tn</t>
  </si>
  <si>
    <t xml:space="preserve">Ex-ante simulations only: ECB (2025) estimates flight-to-safety outflows of EUR 156bn (EUR 500 limit) to EUR 699bn (EUR 3,000 limit; 8.2% of retail sight deposits); contained in business-as-usual.</t>
  </si>
  <si>
    <t xml:space="preserve">SWD(2023) 233; ECB 2025; Adalid et al. 2022</t>
  </si>
  <si>
    <t xml:space="preserve">One-off costs for PSPs and merchants</t>
  </si>
  <si>
    <t xml:space="preserve">PSPs up to EUR 3.6-6.8bn; merchants already accepting cards EUR 0.8-14bn</t>
  </si>
  <si>
    <t xml:space="preserve">Contested ex-ante: bank-commissioned PwC study puts bank costs at ~EUR 18bn over four years; ECB counters with ~EUR 4-5.8bn (per secondary reports).</t>
  </si>
  <si>
    <t xml:space="preserve">SWD(2023) 233; PwC 2025</t>
  </si>
  <si>
    <t xml:space="preserve">monitoring target (memorandum)</t>
  </si>
  <si>
    <t xml:space="preserve">Fewer late payments</t>
  </si>
  <si>
    <t xml:space="preserve">Share of companies reporting late payments as a problem (ECB/Commission SAFE survey)</t>
  </si>
  <si>
    <t xml:space="preserve">Target 28% from 2022 baseline 43% (-35%)</t>
  </si>
  <si>
    <t xml:space="preserve">Not applicable: regulation not adopted (Parliament position 2024; blocking minority reported in Council).</t>
  </si>
  <si>
    <t xml:space="preserve">COM(2023) 533 memorandum</t>
  </si>
  <si>
    <t xml:space="preserve">Fewer late payments, by firm size</t>
  </si>
  <si>
    <t xml:space="preserve">Same SAFE indicator per size class</t>
  </si>
  <si>
    <t xml:space="preserve">Target 26-31% from baselines 40-47% (-35%)</t>
  </si>
  <si>
    <t xml:space="preserve">Not applicable: regulation not adopted.</t>
  </si>
  <si>
    <t xml:space="preserve">Cash flow and admin burden</t>
  </si>
  <si>
    <t xml:space="preserve">Payment times cut ~35%; hassle costs of chasing debtors (340.2m hours, EUR 8.74bn) significantly reduced; EUR 27m/yr court savings from mediation</t>
  </si>
  <si>
    <t xml:space="preserve">Costs: EUR 243m one-off (invoices); EUR 70-105m/yr public enforcement and mediation</t>
  </si>
  <si>
    <t xml:space="preserve">Forecast only; industry (trade credit insurers) claims a strict 30-day cap creates up to EUR 2tn new financing need.</t>
  </si>
  <si>
    <t xml:space="preserve">SWD(2023) 314; ICISA</t>
  </si>
  <si>
    <t xml:space="preserve">No LFS indicators; the memorandum relies on transposition checks, periodic Commission reports, and new obligations for Member States to collect statistics and run a population-based victim survey every 3 years (Eurostat methodology)</t>
  </si>
  <si>
    <t xml:space="preserve">monitoring obligation (memorandum)</t>
  </si>
  <si>
    <t xml:space="preserve">Measure the phenomenon</t>
  </si>
  <si>
    <t xml:space="preserve">Administrative statistics on offences (Arts 3-9) and 3-yearly prevalence survey</t>
  </si>
  <si>
    <t xml:space="preserve">Baseline cited in IA: at least one in five children falls victim to sexual violence</t>
  </si>
  <si>
    <t xml:space="preserve">Not yet applicable: provisional agreement reported June 2026; not adopted or transposed. Current data not comparable across Member States.</t>
  </si>
  <si>
    <t xml:space="preserve">COM(2024) 60 memorandum; SWD(2024) 33</t>
  </si>
  <si>
    <t xml:space="preserve">Prevention, investigation and victim support</t>
  </si>
  <si>
    <t xml:space="preserve">Criminalise livestreamed abuse and online solicitation; longer limitation periods; national coordinating authorities</t>
  </si>
  <si>
    <t xml:space="preserve">Benefits described qualitatively; costs to Member States described as limited and not quantified.</t>
  </si>
  <si>
    <t xml:space="preserve">SWD(2024) 33</t>
  </si>
  <si>
    <t xml:space="preserve">Common standard and app</t>
  </si>
  <si>
    <t xml:space="preserve">Adoption of implementing acts; start of operation of the EU Digital Travel application</t>
  </si>
  <si>
    <t xml:space="preserve">Start of operation by end 2030</t>
  </si>
  <si>
    <t xml:space="preserve">Not applicable: proposal not adopted; app not built.</t>
  </si>
  <si>
    <t xml:space="preserve">COM(2024) 670 LFS</t>
  </si>
  <si>
    <t xml:space="preserve">Advance checks</t>
  </si>
  <si>
    <t xml:space="preserve">Share of Member States connected to the Traveller Router at go-live</t>
  </si>
  <si>
    <t xml:space="preserve">100%</t>
  </si>
  <si>
    <t xml:space="preserve">Share of passport/ID applicants also requesting a digital travel credential; share of border crossers using DTCs</t>
  </si>
  <si>
    <t xml:space="preserve">0 to 25% of applicants within 2 years; 30% of travellers within 5 years</t>
  </si>
  <si>
    <t xml:space="preserve">Not measured; only national DTC pilots (e.g. Finland, Croatia, Netherlands) exist.</t>
  </si>
  <si>
    <t xml:space="preserve">COM(2024) 670 LFS; SWD(2024) 671</t>
  </si>
  <si>
    <t xml:space="preserve">Data quality</t>
  </si>
  <si>
    <t xml:space="preserve">Errors in creating/submitting DTCs from ICAO-compliant documents</t>
  </si>
  <si>
    <t xml:space="preserve">0%</t>
  </si>
  <si>
    <t xml:space="preserve">Smoother border crossing</t>
  </si>
  <si>
    <t xml:space="preserve">Shorter waiting times at external borders; 1-3 minutes for travellers to create a DTC</t>
  </si>
  <si>
    <t xml:space="preserve">Pilot evidence only (Finland, Croatia, Netherlands, cited in IA): processing time of pre-cleared DTC travellers fell from 30-90 seconds to under 9 seconds; monetary value of time savings not quantified.</t>
  </si>
  <si>
    <t xml:space="preserve">SWD(2024) 671</t>
  </si>
  <si>
    <t xml:space="preserve">No LFS indicators extracted; memorandum says specific objectives would be monitored annually and the act evaluated five years after entry into force (IA executive summary says three years), focusing on market and SME impact</t>
  </si>
  <si>
    <t xml:space="preserve">Single market for space</t>
  </si>
  <si>
    <t xml:space="preserve">One set of EU licensing requirements instead of 13+ national regimes; lower administrative burden; cross-border recognition</t>
  </si>
  <si>
    <t xml:space="preserve">Not applicable: proposal pending (June 2025).</t>
  </si>
  <si>
    <t xml:space="preserve">SWD(2025) 335</t>
  </si>
  <si>
    <t xml:space="preserve">Satellite manufacturing cost increase from binding safety, resilience and environmental requirements</t>
  </si>
  <si>
    <t xml:space="preserve">+3-10% vs baseline; risk management up to EUR 240,000 initial then ~1% of turnover</t>
  </si>
  <si>
    <t xml:space="preserve">Forecast only; US government and some industry argue costs and burdens are underestimated and discriminatory (qualitative, no published cost estimate).</t>
  </si>
  <si>
    <t xml:space="preserve">SWD(2025) 335; US Government comments 2025</t>
  </si>
  <si>
    <t xml:space="preserve">Safety and sustainability</t>
  </si>
  <si>
    <t xml:space="preserve">Less space debris; trackable space objects; cybersecurity risk framework; common environmental footprint method</t>
  </si>
  <si>
    <t xml:space="preserve">category</t>
  </si>
  <si>
    <t xml:space="preserve">id</t>
  </si>
  <si>
    <t xml:space="preserve">citation</t>
  </si>
  <si>
    <t xml:space="preserve">year</t>
  </si>
  <si>
    <t xml:space="preserve">source_type</t>
  </si>
  <si>
    <t xml:space="preserve">method</t>
  </si>
  <si>
    <t xml:space="preserve">outcomes</t>
  </si>
  <si>
    <t xml:space="preserve">direction</t>
  </si>
  <si>
    <t xml:space="preserve">headline finding</t>
  </si>
  <si>
    <t xml:space="preserve">plain-language summary</t>
  </si>
  <si>
    <t xml:space="preserve">period / geography</t>
  </si>
  <si>
    <t xml:space="preserve">quality notes</t>
  </si>
  <si>
    <t xml:space="preserve">interested party</t>
  </si>
  <si>
    <t xml:space="preserve">access</t>
  </si>
  <si>
    <t xml:space="preserve">verified</t>
  </si>
  <si>
    <t xml:space="preserve">accessed</t>
  </si>
  <si>
    <t xml:space="preserve">url</t>
  </si>
  <si>
    <t xml:space="preserve">archive_url</t>
  </si>
  <si>
    <t xml:space="preserve">evidence</t>
  </si>
  <si>
    <t xml:space="preserve">gruber-verboven-2001-standards</t>
  </si>
  <si>
    <t xml:space="preserve">Gruber &amp; Verboven (2001), The evolution of markets under entry and standards regulation - the case of global mobile telecommunications, International Journal of Industrial Organization 19(7) (CEPR DP 2440)</t>
  </si>
  <si>
    <t xml:space="preserve">peer-reviewed</t>
  </si>
  <si>
    <t xml:space="preserve">econometric diffusion model, panel of countries 1981-1997 (not a clean causal design)</t>
  </si>
  <si>
    <t xml:space="preserve">mobile diffusion; standards; entry</t>
  </si>
  <si>
    <t xml:space="preserve">mixed</t>
  </si>
  <si>
    <t xml:space="preserve">Setting a single standard significantly sped up diffusion for analogue mobile, but not for digital; network benefits of one standard appear offset by gains from competition between digital systems; adding competitors had a strong immediate effect</t>
  </si>
  <si>
    <t xml:space="preserve">A worldwide study found that imposing one standard helped analogue mobile spread, but the single digital standard (as with GSM in Europe) brought no measurable extra boost.</t>
  </si>
  <si>
    <t xml:space="preserve">global, 1981-1997</t>
  </si>
  <si>
    <t xml:space="preserve">established authors; correlational panel</t>
  </si>
  <si>
    <t xml:space="preserve">open</t>
  </si>
  <si>
    <t xml:space="preserve">abstract read</t>
  </si>
  <si>
    <t xml:space="preserve">2026-10-10</t>
  </si>
  <si>
    <t xml:space="preserve">https://doi.org/10.1016/S0167-7187(01)00069-8</t>
  </si>
  <si>
    <t xml:space="preserve">https://repec.cepr.org/repec/cpr/ceprdp/Dp2440.pdf</t>
  </si>
  <si>
    <t xml:space="preserve">gruber-verboven-2001-eu-diffusion</t>
  </si>
  <si>
    <t xml:space="preserve">Gruber &amp; Verboven (2001), The diffusion of mobile telecommunications services in the European Union, European Economic Review 45(3)</t>
  </si>
  <si>
    <t xml:space="preserve">logistic diffusion model, EU countries</t>
  </si>
  <si>
    <t xml:space="preserve">mobile diffusion</t>
  </si>
  <si>
    <t xml:space="preserve">positive</t>
  </si>
  <si>
    <t xml:space="preserve">Transition from analogue to digital in the early 1990s, with the increase in spectrum capacity, had a major impact on diffusion; competition also significant; late-licensing countries catch up</t>
  </si>
  <si>
    <t xml:space="preserve">Across the EU, the switch to digital mobile (GSM) and the extra spectrum it brought were the main drivers of mobile phone take-up in the 1990s.</t>
  </si>
  <si>
    <t xml:space="preserve">EU, 1980s-1990s</t>
  </si>
  <si>
    <t xml:space="preserve">correlational; cannot separate the Directive from the technology</t>
  </si>
  <si>
    <t xml:space="preserve">https://doi.org/10.1016/S0014-2921(00)00068-4</t>
  </si>
  <si>
    <t xml:space="preserve">ex-ante assessment</t>
  </si>
  <si>
    <t xml:space="preserve">ec-2007-gsm-repeal-proposal</t>
  </si>
  <si>
    <t xml:space="preserve">European Commission (2007), Proposal for a Directive repealing Council Directive 87/372/EEC (GSM Directive), COM(2007) 367</t>
  </si>
  <si>
    <t xml:space="preserve">Commission proposal (impact statement)</t>
  </si>
  <si>
    <t xml:space="preserve">ex-ante (CEPT technical studies; no quantified IA in the text)</t>
  </si>
  <si>
    <t xml:space="preserve">spectrum flexibility; rural coverage</t>
  </si>
  <si>
    <t xml:space="preserve">positive (forecast)</t>
  </si>
  <si>
    <t xml:space="preserve">Reserving 900 MHz exclusively for GSM blocks more advanced systems such as UMTS; the band's propagation allows cheaper coverage of rural areas; CEPT found UMTS can coexist with GSM</t>
  </si>
  <si>
    <t xml:space="preserve">By 2007 the Commission saw the GSM-only rule as a barrier and proposed opening the band to 3G, citing cheaper rural coverage.</t>
  </si>
  <si>
    <t xml:space="preserve">EU, forecast</t>
  </si>
  <si>
    <t xml:space="preserve">forecast; qualitative</t>
  </si>
  <si>
    <t xml:space="preserve">full text read</t>
  </si>
  <si>
    <t xml:space="preserve">https://eur-lex.europa.eu/legal-content/EN/TXT/?uri=CELEX:52007PC0367</t>
  </si>
  <si>
    <t xml:space="preserve">http://web.archive.org/web/20230804165404/https://eur-lex.europa.eu/legal-content/EN/TXT/?uri=CELEX:52007PC0367</t>
  </si>
  <si>
    <t xml:space="preserve">telecoms-2009-umts900</t>
  </si>
  <si>
    <t xml:space="preserve">Telecoms.com (2009), EU move lends helping hand to UMTS900, trade press</t>
  </si>
  <si>
    <t xml:space="preserve">press report of Commission estimate</t>
  </si>
  <si>
    <t xml:space="preserve">secondary report</t>
  </si>
  <si>
    <t xml:space="preserve">capital cost savings</t>
  </si>
  <si>
    <t xml:space="preserve">Commission expected industry savings of up to EUR 1.6 billion from reforming the GSM Directive (amended by Directive 2009/114/EC)</t>
  </si>
  <si>
    <t xml:space="preserve">The Commission expected opening the GSM band to 3G to save operators up to EUR 1.6 billion in network costs.</t>
  </si>
  <si>
    <t xml:space="preserve">secondary; forecast</t>
  </si>
  <si>
    <t xml:space="preserve">page summary via search</t>
  </si>
  <si>
    <t xml:space="preserve">https://www.telecoms.com/wireless-networking/eu-move-lends-helping-hand-to-umts900</t>
  </si>
  <si>
    <t xml:space="preserve">http://web.archive.org/web/20250122033910/https://www.telecoms.com/wireless-networking/eu-move-lends-helping-hand-to-umts900</t>
  </si>
  <si>
    <t xml:space="preserve">ec-2000-uctd-report</t>
  </si>
  <si>
    <t xml:space="preserve">European Commission (2000), Report on the implementation of Council Directive 93/13/EEC on unfair terms in consumer contracts, COM(2000) 248</t>
  </si>
  <si>
    <t xml:space="preserve">Commission evaluation (implementation report)</t>
  </si>
  <si>
    <t xml:space="preserve">review (national reports, CLAB case-law database, 1999 conference)</t>
  </si>
  <si>
    <t xml:space="preserve">transposition; enforcement; contract practice</t>
  </si>
  <si>
    <t xml:space="preserve">Injunction actions in new-technology sectors (mobile, cable and satellite TV), car rental, timeshare and holidays mostly led traders to change terms; but traders rarely give consumers the terms before contracting; sanctions and national control systems vary widely</t>
  </si>
  <si>
    <t xml:space="preserve">The first review found collective court actions got many companies to drop unfair terms, but consumers still seldom saw contract terms before signing.</t>
  </si>
  <si>
    <t xml:space="preserve">EU-15, 1995-1999</t>
  </si>
  <si>
    <t xml:space="preserve">self-evaluation; descriptive</t>
  </si>
  <si>
    <t xml:space="preserve">https://eur-lex.europa.eu/legal-content/EN/TXT/?uri=CELEX:52000DC0248</t>
  </si>
  <si>
    <t xml:space="preserve">ec-2017-consumer-fitness-check</t>
  </si>
  <si>
    <t xml:space="preserve">European Commission (2017), Report of the Fitness Check of EU consumer and marketing law (incl. the UCPD), SWD(2017) 209</t>
  </si>
  <si>
    <t xml:space="preserve">Commission evaluation (fitness check)</t>
  </si>
  <si>
    <t xml:space="preserve">review (Civic Consulting support study, surveys, consultation)</t>
  </si>
  <si>
    <t xml:space="preserve">effectiveness; compliance costs</t>
  </si>
  <si>
    <t xml:space="preserve">positive overall, enforcement gaps</t>
  </si>
  <si>
    <t xml:space="preserve">Consumer rules including the UCTD still largely fit for purpose if effectively enforced; compliance costs proportionate; low awareness and uneven enforcement; led to 2019 Omnibus adding fines for UCTD breaches</t>
  </si>
  <si>
    <t xml:space="preserve">The 2017 review concluded EU consumer rules, including the unfair terms directive, were largely fit for purpose but poorly known and unevenly enforced.</t>
  </si>
  <si>
    <t xml:space="preserve">EU, to 2016</t>
  </si>
  <si>
    <t xml:space="preserve">self-evaluation</t>
  </si>
  <si>
    <t xml:space="preserve">https://www.eumonitor.eu/9353000/1/j9vvik7m1c3gyxp/vkewrzaq4ozm</t>
  </si>
  <si>
    <t xml:space="preserve">ec-2024-digital-fairness-fitness-check</t>
  </si>
  <si>
    <t xml:space="preserve">European Commission (2024), Fitness Check of EU consumer law on digital fairness (executive summary SWD(2024) 231), SWD(2024) 230</t>
  </si>
  <si>
    <t xml:space="preserve">review 2017-2023 (surveys, consultation, detriment estimate)</t>
  </si>
  <si>
    <t xml:space="preserve">consumer detriment; compliance costs; effectiveness</t>
  </si>
  <si>
    <t xml:space="preserve">Effectiveness 'limited': consumer detriment from online problems conservatively EUR 7.9bn a year; compliance costs of UCPD, CRD and UCTD about EUR 511-737m a year, only 10-18% of traders report high costs; enforcement insufficient; legal uncertainty on dark patterns, addictive design, influencer marketing, subscriptions</t>
  </si>
  <si>
    <t xml:space="preserve">The Commission's 2024 review found the UCPD and sister directives still relevant and cheap to comply with, but only partly effective online, with consumers losing at least EUR 7.9 billion a year.</t>
  </si>
  <si>
    <t xml:space="preserve">EU, 2017-2023</t>
  </si>
  <si>
    <t xml:space="preserve">self-evaluation; detriment estimate conservative and not attributable to the directives</t>
  </si>
  <si>
    <t xml:space="preserve">full text read (executive summary)</t>
  </si>
  <si>
    <t xml:space="preserve">https://commission.europa.eu/document/download/d3b2a18b-7eec-4fe6-8421-8961a9ceb288_en</t>
  </si>
  <si>
    <t xml:space="preserve">loos-luzak-2016-bigger-stick</t>
  </si>
  <si>
    <t xml:space="preserve">Loos &amp; Luzak (2016), Wanted: a Bigger Stick. On Unfair Terms in Consumer Contracts with Online Service Providers, Journal of Consumer Policy 39(1)</t>
  </si>
  <si>
    <t xml:space="preserve">legal analysis of standard terms of major online service providers against CJEU case law</t>
  </si>
  <si>
    <t xml:space="preserve">contract terms; enforcement</t>
  </si>
  <si>
    <t xml:space="preserve">negative</t>
  </si>
  <si>
    <t xml:space="preserve">Several common terms of international online service providers (unilateral changes of terms or service, unilateral termination, liability exclusions, jurisdiction and choice-of-law clauses) are unlikely to pass the UCTD unfairness test; stronger sanctions needed</t>
  </si>
  <si>
    <t xml:space="preserve">A legal study of the terms used by big online services found many likely breach the unfair terms rules, suggesting the Directive is weakly enforced online.</t>
  </si>
  <si>
    <t xml:space="preserve">EU, c. 2015</t>
  </si>
  <si>
    <t xml:space="preserve">legal-doctrinal, not quantitative</t>
  </si>
  <si>
    <t xml:space="preserve">https://doi.org/10.1007/s10603-015-9303-7</t>
  </si>
  <si>
    <t xml:space="preserve">ec-2002-satcab-report</t>
  </si>
  <si>
    <t xml:space="preserve">European Commission (2002), Report on the application of Council Directive 93/83/EEC (satellite broadcasting and cable retransmission), COM(2002) 430</t>
  </si>
  <si>
    <t xml:space="preserve">review (transposition, stakeholder input)</t>
  </si>
  <si>
    <t xml:space="preserve">rights clearance; cross-border broadcasting</t>
  </si>
  <si>
    <t xml:space="preserve">Correct transposition everywhere, and the mechanisms contribute to cross-border TV broadcasting; but rightholders' practice (territorial licensing, encryption) is not in line with the country-of-origin principle; cable mediation slow; no extension of mandatory collective management proposed</t>
  </si>
  <si>
    <t xml:space="preserve">The first review found the directive's rules worked on paper and helped cross-border TV, but broadcasters still sold rights country by country and scrambled signals.</t>
  </si>
  <si>
    <t xml:space="preserve">EU-15, to 2002</t>
  </si>
  <si>
    <t xml:space="preserve">https://eur-lex.europa.eu/legal-content/EN/TXT/?uri=CELEX:52002DC0430</t>
  </si>
  <si>
    <t xml:space="preserve">ec-2016-satcab-evaluation</t>
  </si>
  <si>
    <t xml:space="preserve">European Commission (2016), Ex-post (REFIT) evaluation of the Satellite and Cable Directive (93/83/EEC), SWD(2016) 308</t>
  </si>
  <si>
    <t xml:space="preserve">Commission evaluation</t>
  </si>
  <si>
    <t xml:space="preserve">REFIT evaluation (SatCab study, public consultation 2015)</t>
  </si>
  <si>
    <t xml:space="preserve">rights clearance; relevance</t>
  </si>
  <si>
    <t xml:space="preserve">Mechanisms helped clear rights for cross-border satellite broadcasts and simultaneous cable retransmission, but technology-specific provisions do not cover newer digital and online transmission; study data limited</t>
  </si>
  <si>
    <t xml:space="preserve">The 2016 evaluation found the directive eased rights clearing for satellite and cable, but its rules do not cover online TV.</t>
  </si>
  <si>
    <t xml:space="preserve">EU, to 2015</t>
  </si>
  <si>
    <t xml:space="preserve">self-evaluation; data gaps acknowledged</t>
  </si>
  <si>
    <t xml:space="preserve">https://data.consilium.europa.eu/doc/document/ST-12281-2016-INIT/en/pdf</t>
  </si>
  <si>
    <t xml:space="preserve">http://web.archive.org/web/20220812152401/https://data.consilium.europa.eu/doc/document/ST-12281-2016-INIT/en/pdf</t>
  </si>
  <si>
    <t xml:space="preserve">ec-2016-copyright-ia-satcab</t>
  </si>
  <si>
    <t xml:space="preserve">European Commission (2016), Impact assessment on the modernisation of EU copyright rules (online transmissions of broadcasters), SWD(2016) 301</t>
  </si>
  <si>
    <t xml:space="preserve">Commission impact assessment</t>
  </si>
  <si>
    <t xml:space="preserve">ex-ante</t>
  </si>
  <si>
    <t xml:space="preserve">online availability of broadcasts; licensing</t>
  </si>
  <si>
    <t xml:space="preserve">Country-of-origin approach not applied online; 82% of public and 62% of commercial broadcasters geo-block at least one online service (e-commerce sector inquiry); extending the principle to ancillary online services expected to widen cross-border access; commercial TV broadcasters warned of weaker territorial licensing</t>
  </si>
  <si>
    <t xml:space="preserve">The Commission found most broadcasters block their online services abroad and proposed extending the satellite rule online; commercial TV feared it would undermine exclusive licensing.</t>
  </si>
  <si>
    <t xml:space="preserve">full text partly read</t>
  </si>
  <si>
    <t xml:space="preserve">https://eur-lex.europa.eu/legal-content/EN/TXT/?uri=CELEX:52016SC0301</t>
  </si>
  <si>
    <t xml:space="preserve">ec-2005-database-evaluation</t>
  </si>
  <si>
    <t xml:space="preserve">European Commission, DG Internal Market and Services (2005), First evaluation of Directive 96/9/EC on the legal protection of databases, DG MARKT working paper, 12 December 2005</t>
  </si>
  <si>
    <t xml:space="preserve">descriptive (Gale Directory of Databases counts; online industry survey)</t>
  </si>
  <si>
    <t xml:space="preserve">database production; EU vs US competitiveness</t>
  </si>
  <si>
    <t xml:space="preserve">no effect / negative</t>
  </si>
  <si>
    <t xml:space="preserve">'The economic impact of the sui generis right on database production is unproven'; EU database entries fell back to pre-Directive level (3,095 in 2004 vs 3,092 in 1998; peak 4,085 in 2001); EU/US production ratio worsened from ~1:2 (1996) to ~1:3 (2004); publishers nevertheless argued the right was crucial</t>
  </si>
  <si>
    <t xml:space="preserve">The Commission's first evaluation found that EU database production was no higher in 2004 than before the Directive, while the US - with no such right - pulled further ahead.</t>
  </si>
  <si>
    <t xml:space="preserve">EU vs US, 1996-2004</t>
  </si>
  <si>
    <t xml:space="preserve">descriptive counts; no control for other factors</t>
  </si>
  <si>
    <t xml:space="preserve">page summary via search (report quoted verbatim by EDRi and Harvard Berkman blog; original URL now offline)</t>
  </si>
  <si>
    <t xml:space="preserve">https://ec.europa.eu/internal_market/copyright/docs/databases/evaluation_report_en.pdf</t>
  </si>
  <si>
    <t xml:space="preserve">ec-2018-database-evaluation</t>
  </si>
  <si>
    <t xml:space="preserve">European Commission (2018), Evaluation of Directive 96/9/EC on the legal protection of databases (executive summary SWD(2018) 147), SWD(2018) 146</t>
  </si>
  <si>
    <t xml:space="preserve">review (supporting study, stakeholder survey, legal analysis)</t>
  </si>
  <si>
    <t xml:space="preserve">database production; competitiveness; costs and benefits</t>
  </si>
  <si>
    <t xml:space="preserve">no proven effect</t>
  </si>
  <si>
    <t xml:space="preserve">The sui generis right 'continues to have no proven impact on the overall production of databases in Europe, nor on the competitiveness of the EU database industry'; harmonisation effective; costs and benefits moderate with benefits seeming higher; reform judged disproportionate</t>
  </si>
  <si>
    <t xml:space="preserve">The Commission's second evaluation repeated that the special database right has not been shown to increase database production in Europe, but kept it because costs appear modest and many stakeholders value it.</t>
  </si>
  <si>
    <t xml:space="preserve">EU, 2005-2017</t>
  </si>
  <si>
    <t xml:space="preserve">self-evaluation; largely qualitative</t>
  </si>
  <si>
    <t xml:space="preserve">executive summary full text read</t>
  </si>
  <si>
    <t xml:space="preserve">https://digital-strategy.ec.europa.eu/en/library/staff-working-document-and-executive-summary-evaluation-directive-969ec-legal-protection-databases</t>
  </si>
  <si>
    <t xml:space="preserve">https://data.consilium.europa.eu/doc/document/ST-8467-2018-INIT/en/pdf</t>
  </si>
  <si>
    <t xml:space="preserve">technopolis-jiip-2018-database-study</t>
  </si>
  <si>
    <t xml:space="preserve">JIIP, Technopolis Group, University of Cambridge &amp; University of Nottingham (2018), Study in support of the evaluation of Directive 96/9/EC on the legal protection of databases, Study for the European Commission (DG CONNECT)</t>
  </si>
  <si>
    <t xml:space="preserve">Commission-commissioned evaluation study</t>
  </si>
  <si>
    <t xml:space="preserve">legal literature review, stakeholder survey, expert interviews</t>
  </si>
  <si>
    <t xml:space="preserve">data economy; access to data; scope</t>
  </si>
  <si>
    <t xml:space="preserve">Views divided on extending protection to machine-generated data; academic researchers feared more data locked in closed databases or costly access models</t>
  </si>
  <si>
    <t xml:space="preserve">The study behind the 2018 evaluation found stakeholders split on the right, with researchers worried it could lock up data.</t>
  </si>
  <si>
    <t xml:space="preserve">EU, 2017</t>
  </si>
  <si>
    <t xml:space="preserve">https://www.technopolis-group.com/?p=8227</t>
  </si>
  <si>
    <t xml:space="preserve">boyle-2004-database-experiment</t>
  </si>
  <si>
    <t xml:space="preserve">Boyle (2004), A natural experiment: Do we want 'faith-based' IP policy?, Financial Times online, 22 November 2004</t>
  </si>
  <si>
    <t xml:space="preserve">commentary</t>
  </si>
  <si>
    <t xml:space="preserve">descriptive comparison (EU with database right vs US without, Gale Directory data)</t>
  </si>
  <si>
    <t xml:space="preserve">database production</t>
  </si>
  <si>
    <t xml:space="preserve">Argues the EU-US divergence after 1996 is a natural experiment showing the right did not boost EU database production; calls for evidence-based IP policy</t>
  </si>
  <si>
    <t xml:space="preserve">A leading copyright scholar argued that comparing Europe, which created a database right, with the US, which did not, shows the right failed to boost European databases.</t>
  </si>
  <si>
    <t xml:space="preserve">EU vs US, 1990s-2004</t>
  </si>
  <si>
    <t xml:space="preserve">opinion piece; descriptive</t>
  </si>
  <si>
    <t xml:space="preserve">https://law.duke.edu/boylesite/experiment.html</t>
  </si>
  <si>
    <t xml:space="preserve">http://web.archive.org/web/20260803192909/https://law.duke.edu/boylesite/experiment.html</t>
  </si>
  <si>
    <t xml:space="preserve">ec-2006-pid-communication</t>
  </si>
  <si>
    <t xml:space="preserve">European Commission (2006), Communication on the implementation of Directive 98/6/EC on consumer protection in the indication of prices, COM(2006) 325</t>
  </si>
  <si>
    <t xml:space="preserve">review (transposition check, study of EU-15 small retailers)</t>
  </si>
  <si>
    <t xml:space="preserve">transposition; exemptions</t>
  </si>
  <si>
    <t xml:space="preserve">neutral</t>
  </si>
  <si>
    <t xml:space="preserve">All Member States transposed without major problems; national exemptions from unit pricing (small shops, product lists, quantity thresholds from 5g to 100g) diverge widely; consultation launched on simplification</t>
  </si>
  <si>
    <t xml:space="preserve">The 2006 review found every country had adopted the price-display rules, but with very different exemptions.</t>
  </si>
  <si>
    <t xml:space="preserve">EU, to 2005</t>
  </si>
  <si>
    <t xml:space="preserve">https://eur-lex.europa.eu/legal-content/EN/TXT/?uri=CELEX:52006DC0325</t>
  </si>
  <si>
    <t xml:space="preserve">http://web.archive.org/web/20260327203225/https://eur-lex.europa.eu/legal-content/EN/TXT/?uri=CELEX%3A52006DC0325</t>
  </si>
  <si>
    <t xml:space="preserve">Consumer and marketing rules, including the Price Indication Directive, still largely fit for purpose if effectively enforced; compliance costs proportionate; led to the 2019 Omnibus, which added the 30-day prior-price rule for price reductions</t>
  </si>
  <si>
    <t xml:space="preserve">The 2017 review found EU consumer rules, including price-display rules, largely fit for purpose but unevenly enforced; it led to a new rule on genuine price reductions.</t>
  </si>
  <si>
    <t xml:space="preserve">ec-2024-omnibus-report</t>
  </si>
  <si>
    <t xml:space="preserve">European Commission (2024), Report on the implementation of Directive (EU) 2019/2161 (Modernisation/Omnibus Directive), COM(2024) 258</t>
  </si>
  <si>
    <t xml:space="preserve">implementation report (transposition, sweeps, surveys)</t>
  </si>
  <si>
    <t xml:space="preserve">price-reduction compliance; transposition</t>
  </si>
  <si>
    <t xml:space="preserve">mixed (early)</t>
  </si>
  <si>
    <t xml:space="preserve">Article 6a (30-day prior price) transposed everywhere but with divergent exemptions; Nov 2022 CPC sweep of 16,000 products on 176 websites found 23% of price-reduction announcements breached it, on at least 43% of sites; Swedish 2023 check found 70% of firms with reductions infringed; use of comparisons with recommended retail prices increased</t>
  </si>
  <si>
    <t xml:space="preserve">The new rule that discounts must be measured against the lowest price of the past 30 days was widely breached in early checks: about a quarter of discounts in an EU-wide sweep did not comply.</t>
  </si>
  <si>
    <t xml:space="preserve">EU, 2022-2023</t>
  </si>
  <si>
    <t xml:space="preserve">descriptive</t>
  </si>
  <si>
    <t xml:space="preserve">https://eur-lex.europa.eu/legal-content/EN/TXT/?uri=CELEX:52024DC0258</t>
  </si>
  <si>
    <t xml:space="preserve">http://web.archive.org/web/20251212002809/https://eur-lex.europa.eu/legal-content/EN/TXT/?uri=celex:52024DC0258</t>
  </si>
  <si>
    <t xml:space="preserve">ec-2003-ecd-first-report</t>
  </si>
  <si>
    <t xml:space="preserve">European Commission (2003), First Report on the application of Directive 2000/31/EC on electronic commerce, COM(2003) 702</t>
  </si>
  <si>
    <t xml:space="preserve">Commission review</t>
  </si>
  <si>
    <t xml:space="preserve">implementation review</t>
  </si>
  <si>
    <t xml:space="preserve">transposition; e-commerce development</t>
  </si>
  <si>
    <t xml:space="preserve">positive (qualitative)</t>
  </si>
  <si>
    <t xml:space="preserve">Directive 'has had a substantial and positive effect on e-commerce within Europe' despite limited experience; revision premature</t>
  </si>
  <si>
    <t xml:space="preserve">Three years in, the Commission judged the Directive positive for online business but said it was too early to measure its effects.</t>
  </si>
  <si>
    <t xml:space="preserve">EU15, 2000-03</t>
  </si>
  <si>
    <t xml:space="preserve">early qualitative review</t>
  </si>
  <si>
    <t xml:space="preserve">https://eur-lex.europa.eu/legal-content/EN/TXT/?uri=CELEX:52003DC0702</t>
  </si>
  <si>
    <t xml:space="preserve">ec-2020-ecd-evaluation</t>
  </si>
  <si>
    <t xml:space="preserve">European Commission (2020), Evaluation of the e-Commerce Directive (Annex 5 to the Digital Services Act impact assessment), SWD(2020) 348</t>
  </si>
  <si>
    <t xml:space="preserve">ex-post evaluation (consultation, studies, case law)</t>
  </si>
  <si>
    <t xml:space="preserve">cross-border services; legal certainty; fundamental rights</t>
  </si>
  <si>
    <t xml:space="preserve">Core principles still valid; enabled cross-border growth of digital services; liability regime gave minimum legal certainty but conflicting national interpretations and fragmentation; only partially achieved protection of fundamental rights; cooperation mechanism little used</t>
  </si>
  <si>
    <t xml:space="preserve">The Commission's own evaluation found the Directive's core rules helped online services grow across borders, but national courts applied them inconsistently and removal of legal content was not well protected.</t>
  </si>
  <si>
    <t xml:space="preserve">EU, 2000-2020</t>
  </si>
  <si>
    <t xml:space="preserve">qualitative evaluation; no counterfactual</t>
  </si>
  <si>
    <t xml:space="preserve">https://eur-lex.europa.eu/legal-content/EN/TXT/?uri=CELEX:52020SC0348</t>
  </si>
  <si>
    <t xml:space="preserve">http://web.archive.org/web/20260818202611/https://eur-lex.europa.eu/legal-content/EN/TXT/?uri=celex%3A52020SC0348</t>
  </si>
  <si>
    <t xml:space="preserve">eprs-2020-dsa-eava</t>
  </si>
  <si>
    <t xml:space="preserve">Lomba &amp; Evas (EPRS) (2020), Digital Services Act: European added value assessment, European Parliamentary Research Service, PE 654.180</t>
  </si>
  <si>
    <t xml:space="preserve">Parliament research</t>
  </si>
  <si>
    <t xml:space="preserve">gap analysis plus macro-model simulation (Cambridge Econometrics E3ME)</t>
  </si>
  <si>
    <t xml:space="preserve">GDP</t>
  </si>
  <si>
    <t xml:space="preserve">Identified 22 gaps and risks in the e-Commerce Directive framework; reform packages on consumer protection/common e-commerce rules and on content management estimated to add about EUR 47bn and EUR 29bn to EU GDP over 2020-30</t>
  </si>
  <si>
    <t xml:space="preserve">The Parliament's research service estimated that fixing gaps in the e-Commerce Directive could add tens of billions of euros to EU GDP over a decade.</t>
  </si>
  <si>
    <t xml:space="preserve">EU, forecast 2020-30</t>
  </si>
  <si>
    <t xml:space="preserve">ex-ante simulation</t>
  </si>
  <si>
    <t xml:space="preserve">https://www.europarl.europa.eu/thinktank/en/document/EPRS_STU(2020)654180</t>
  </si>
  <si>
    <t xml:space="preserve">https://www.camecon.com/wp-content/uploads/2021/07/EPRS_STU2020654180_EN.pdf</t>
  </si>
  <si>
    <t xml:space="preserve">oxera-2015-safe-harbours</t>
  </si>
  <si>
    <t xml:space="preserve">Oxera (2015), The economic impact of safe harbours on Internet intermediary start-ups, Oxera report prepared for Google</t>
  </si>
  <si>
    <t xml:space="preserve">consultancy report</t>
  </si>
  <si>
    <t xml:space="preserve">simulation model of start-up success (Chile, Germany, India, Thailand)</t>
  </si>
  <si>
    <t xml:space="preserve">start-up success rates; start-up value</t>
  </si>
  <si>
    <t xml:space="preserve">A clear, low-cost liability regime could raise intermediary start-up success rates by 4% (Chile) to 24% (Thailand); in Germany by 1.6 percentage points (about 9%), NPV +3%; results are order-of-magnitude only</t>
  </si>
  <si>
    <t xml:space="preserve">A Google-funded simulation estimated that clearer liability protection could make German internet start-ups about 9% more likely to succeed.</t>
  </si>
  <si>
    <t xml:space="preserve">Chile, Germany, India, Thailand</t>
  </si>
  <si>
    <t xml:space="preserve">simulation with assumed parameters; not causal</t>
  </si>
  <si>
    <t xml:space="preserve">Commissioned by Google</t>
  </si>
  <si>
    <t xml:space="preserve">https://www.oxera.com/wp-content/uploads/2018/07/The-economic-impact-of-safe-harbours-on-Internet-intermediary-start-ups.pdf.pdf</t>
  </si>
  <si>
    <t xml:space="preserve">lefouili-madio-2022-platform-liability</t>
  </si>
  <si>
    <t xml:space="preserve">Lefouili &amp; Madio (2022), The economics of platform liability, European Journal of Law and Economics 53(3), 319-351</t>
  </si>
  <si>
    <t xml:space="preserve">economic theory and literature review</t>
  </si>
  <si>
    <t xml:space="preserve">prices; business models; investment; competition</t>
  </si>
  <si>
    <t xml:space="preserve">Reviews platforms' incentives to curb misconduct without liability and how stricter liability would affect prices, terms, business models, investment, competition and third-party sellers; weighs costs and benefits of policy proposals</t>
  </si>
  <si>
    <t xml:space="preserve">An economics review finds that making platforms more liable for users' misconduct has both benefits and costs, including effects on prices, investment and competition.</t>
  </si>
  <si>
    <t xml:space="preserve">theory/review</t>
  </si>
  <si>
    <t xml:space="preserve">review; partly based on a report for the European Commission</t>
  </si>
  <si>
    <t xml:space="preserve">https://doi.org/10.1007/s10657-022-09728-7</t>
  </si>
  <si>
    <t xml:space="preserve">https://pmc.ncbi.nlm.nih.gov/articles/PMC8857911</t>
  </si>
  <si>
    <t xml:space="preserve">erickson-kretschmer-2020-empirical-il</t>
  </si>
  <si>
    <t xml:space="preserve">Erickson &amp; Kretschmer (2020), Empirical Approaches to Intermediary Liability, in G. Frosio (ed.), Oxford Handbook of Online Intermediary Liability, OUP, 104-121</t>
  </si>
  <si>
    <t xml:space="preserve">book chapter (systematic review)</t>
  </si>
  <si>
    <t xml:space="preserve">systematic review of empirical studies on notice-and-takedown, 1998-2018</t>
  </si>
  <si>
    <t xml:space="preserve">takedown volumes; accuracy; over-enforcement</t>
  </si>
  <si>
    <t xml:space="preserve">Rightholders make heavy use of notice-and-takedown, accelerated by automation since about 2012; abuse is real but probably overstated; due process and transparency need improvement</t>
  </si>
  <si>
    <t xml:space="preserve">A review of 20 years of research on safe-harbour takedown systems finds heavy and growing use, some abuse, and weak transparency.</t>
  </si>
  <si>
    <t xml:space="preserve">multi-country, 1998-2018</t>
  </si>
  <si>
    <t xml:space="preserve">systematic review</t>
  </si>
  <si>
    <t xml:space="preserve">https://papers.ssrn.com/abstract=3400230</t>
  </si>
  <si>
    <t xml:space="preserve">ivir-2007-infosoc-study</t>
  </si>
  <si>
    <t xml:space="preserve">Westkamp, Rieber-Mohn, van Eechoud, Guibault, Helberger &amp; Hugenholtz (IViR) (2007), Study on the Implementation and Effect in Member States' Laws of Directive 2001/29/EC, Study for the European Commission (DG Internal Market)</t>
  </si>
  <si>
    <t xml:space="preserve">legal comparative review, stakeholder workshop</t>
  </si>
  <si>
    <t xml:space="preserve">harmonisation; legal certainty; online business models</t>
  </si>
  <si>
    <t xml:space="preserve">Harmonising effect of the optional exceptions 'very modest at best', a 'mosaic' of national rules; DRM rules offer 'confusion, legal uncertainty and disharmonisation'; the Directive 'at best only partly achieved' its goal of promoting growth and innovation in online content services</t>
  </si>
  <si>
    <t xml:space="preserve">The Commission's own commissioned evaluation found the Directive did little to harmonise copyright exceptions across the EU and only partly met its goal of boosting online content services.</t>
  </si>
  <si>
    <t xml:space="preserve">EU-25, 2001-2006</t>
  </si>
  <si>
    <t xml:space="preserve">legal analysis; no quantitative impact estimates</t>
  </si>
  <si>
    <t xml:space="preserve">https://www.ivir.nl/publicaties/download/Infosoc_report_2007.pdf</t>
  </si>
  <si>
    <t xml:space="preserve">http://web.archive.org/web/20261004172942/https://www.ivir.nl/publicaties/download/Infosoc_report_2007.pdf</t>
  </si>
  <si>
    <t xml:space="preserve">ec-2007-infosoc-application</t>
  </si>
  <si>
    <t xml:space="preserve">European Commission (2007), Report to the Council, the European Parliament and the Economic and Social Committee on the application of Directive 2001/29/EC, SEC(2007) 1556 (summary via European Parliament Legislative Observatory)</t>
  </si>
  <si>
    <t xml:space="preserve">review of transposition and national case law (Arts 5, 6, 8)</t>
  </si>
  <si>
    <t xml:space="preserve">exceptions; DRM; sanctions</t>
  </si>
  <si>
    <t xml:space="preserve">Courts often sidestepped the exceptions by interpreting the reproduction right; national private-copying, library and parody exceptions very diverse; Member States chose very different mechanisms (none, mediation, courts, administrative bodies) to reconcile DRM with exceptions</t>
  </si>
  <si>
    <t xml:space="preserve">The Commission's first review found Member States had implemented the copyright exceptions and anti-circumvention rules in very different ways.</t>
  </si>
  <si>
    <t xml:space="preserve">EU, 2001-2007</t>
  </si>
  <si>
    <t xml:space="preserve">legal review only; no economic data</t>
  </si>
  <si>
    <t xml:space="preserve">page summary (official procedure summary read)</t>
  </si>
  <si>
    <t xml:space="preserve">https://oeil.europarl.europa.eu/oeil/en/procedure-document-summary/pdf?id=1035933</t>
  </si>
  <si>
    <t xml:space="preserve">ec-2016-copyright-ia</t>
  </si>
  <si>
    <t xml:space="preserve">European Commission (2016), Impact assessment on the modernisation of EU copyright rules (executive summary SWD(2016) 302), SWD(2016) 301</t>
  </si>
  <si>
    <t xml:space="preserve">ex-ante (for successor Directive 2019/790); includes problem review of InfoSoc exceptions</t>
  </si>
  <si>
    <t xml:space="preserve">legal certainty; research; education; cultural heritage</t>
  </si>
  <si>
    <t xml:space="preserve">negative (problem diagnosis for InfoSoc)</t>
  </si>
  <si>
    <t xml:space="preserve">Legal uncertainty over acts allowed under existing exceptions in the digital environment identified as a major issue for teachers, researchers doing text and data mining, and cultural heritage institutions; new mandatory exceptions proposed</t>
  </si>
  <si>
    <t xml:space="preserve">Fifteen years on, the Commission concluded that the Directive's optional exceptions left teachers, researchers and libraries uncertain about what they may do online, and proposed new mandatory exceptions.</t>
  </si>
  <si>
    <t xml:space="preserve">EU, 2016</t>
  </si>
  <si>
    <t xml:space="preserve">ex-ante; qualitative on InfoSoc</t>
  </si>
  <si>
    <t xml:space="preserve">executive summary read</t>
  </si>
  <si>
    <t xml:space="preserve">http://web.archive.org/web/20250411215956/https://eur-lex.europa.eu/legal-content/en/TXT/?uri=CELEX:52016SC0301</t>
  </si>
  <si>
    <t xml:space="preserve">handke-guibault-vallbe-2015</t>
  </si>
  <si>
    <t xml:space="preserve">Handke, Guibault &amp; Vallbe (2015), Is Europe Falling Behind in Data Mining? Copyright's Impact on Data Mining in Academic Research, ELPUB 2015 proceedings, IOS Press (SSRN 2608513)</t>
  </si>
  <si>
    <t xml:space="preserve">peer-reviewed (conference)</t>
  </si>
  <si>
    <t xml:space="preserve">cross-country panel regression (bibliometric data, 42 countries, 1992-2014); correlational</t>
  </si>
  <si>
    <t xml:space="preserve">research output (data mining)</t>
  </si>
  <si>
    <t xml:space="preserve">Where data mining requires express rightholder consent, it accounts for a significantly smaller share of research output; authors describe it as the first empirical study to find a significant negative association between copyright protection and innovation</t>
  </si>
  <si>
    <t xml:space="preserve">Countries whose copyright law requires permission for text and data mining - including most EU states before 2019 - produce noticeably less data-mining research.</t>
  </si>
  <si>
    <t xml:space="preserve">42 countries, 1992-2014</t>
  </si>
  <si>
    <t xml:space="preserve">observational; not a strict causal design</t>
  </si>
  <si>
    <t xml:space="preserve">open (SSRN)</t>
  </si>
  <si>
    <t xml:space="preserve">abstract read (via search)</t>
  </si>
  <si>
    <t xml:space="preserve">https://doi.org/10.3233/978-1-61499-562-3-120</t>
  </si>
  <si>
    <t xml:space="preserve">https://papers.ssrn.com/sol3/papers.cfm?abstract_id=2608513</t>
  </si>
  <si>
    <t xml:space="preserve">zhang-2018-drm</t>
  </si>
  <si>
    <t xml:space="preserve">Zhang (2018), Intellectual Property Strategy and the Long Tail: Evidence from the Recorded Music Industry, Management Science 64(1), 24-42</t>
  </si>
  <si>
    <t xml:space="preserve">causal: difference-in-differences (DRM removal by major labels, ~5,900 albums)</t>
  </si>
  <si>
    <t xml:space="preserve">sales; DRM</t>
  </si>
  <si>
    <t xml:space="preserve">negative (for DRM)</t>
  </si>
  <si>
    <t xml:space="preserve">Removing DRM increased digital album sales by about 10%, with large gains for lower-selling ('long tail') albums and no benefit for top sellers</t>
  </si>
  <si>
    <t xml:space="preserve">When record labels dropped copy protection (DRM), digital music sales rose about 10%, mostly for lesser-known albums - evidence that the DRM the Directive protects did not help sales.</t>
  </si>
  <si>
    <t xml:space="preserve">US digital music market, 2000s</t>
  </si>
  <si>
    <t xml:space="preserve">not EU-specific; tests DRM, not the Directive itself</t>
  </si>
  <si>
    <t xml:space="preserve">paywalled</t>
  </si>
  <si>
    <t xml:space="preserve">https://doi.org/10.1287/mnsc.2016.2562</t>
  </si>
  <si>
    <t xml:space="preserve">ec-2014-rspp-report</t>
  </si>
  <si>
    <t xml:space="preserve">European Commission (2014), Report on the implementation of the Radio Spectrum Policy Programme (incl. Art. 9 Radio Spectrum Decision), COM(2014) 228</t>
  </si>
  <si>
    <t xml:space="preserve">spectrum harmonisation</t>
  </si>
  <si>
    <t xml:space="preserve">Radio Spectrum Decision 'has proven successful' in making harmonised spectrum available; 990 MHz harmonised for wireless broadband, Member States had assigned on average about 600 MHz; stronger coordination of authorisations needed</t>
  </si>
  <si>
    <t xml:space="preserve">The Commission judged its spectrum-harmonisation machinery a success, while noting countries had put only part of the harmonised spectrum to use.</t>
  </si>
  <si>
    <t xml:space="preserve">EU, 2002-2013</t>
  </si>
  <si>
    <t xml:space="preserve">https://eur-lex.europa.eu/legal-content/EN/TXT/?uri=CELEX:52014DC0228</t>
  </si>
  <si>
    <t xml:space="preserve">http://web.archive.org/web/20260113041719/https://eur-lex.europa.eu/legal-content/EN/TXT/?uri=CELEX:52014DC0228</t>
  </si>
  <si>
    <t xml:space="preserve">ec-2016-ecomms-evaluation</t>
  </si>
  <si>
    <t xml:space="preserve">European Commission (2016), Evaluation of the regulatory framework for electronic communications, SWD(2016) 313</t>
  </si>
  <si>
    <t xml:space="preserve">REFIT evaluation (study, consultation)</t>
  </si>
  <si>
    <t xml:space="preserve">spectrum assignment; internal market</t>
  </si>
  <si>
    <t xml:space="preserve">Framework identified more spectrum for wireless broadband (up to 1,268 MHz) than Australia, South Korea, Japan or the US, but Member States had assigned only 708 MHz on average in 2015; multi-year lags between first and last Member State (e.g. 800 MHz) delayed services</t>
  </si>
  <si>
    <t xml:space="preserve">The 2016 evaluation found the EU harmonised plenty of mobile spectrum, but national governments were slow and uneven in handing it out.</t>
  </si>
  <si>
    <t xml:space="preserve">EU, 2009-2015</t>
  </si>
  <si>
    <t xml:space="preserve">https://eur-lex.europa.eu/legal-content/EN/TXT/?uri=CELEX:52016SC0313</t>
  </si>
  <si>
    <t xml:space="preserve">http://web.archive.org/web/20260312235058/https://eur-lex.europa.eu/legal-content/EN/TXT/?uri=celex:52016SC0313</t>
  </si>
  <si>
    <t xml:space="preserve">ec-2026-dna-ia</t>
  </si>
  <si>
    <t xml:space="preserve">European Commission (2026), Impact assessment accompanying the proposal for a Digital Networks Act (amending Decision 676/2002/EC), SWD(2026) 13</t>
  </si>
  <si>
    <t xml:space="preserve">ex-ante, with evaluation annex</t>
  </si>
  <si>
    <t xml:space="preserve">5G spectrum assignment; investment</t>
  </si>
  <si>
    <t xml:space="preserve">negative (baseline)</t>
  </si>
  <si>
    <t xml:space="preserve">5G pioneer band (700 MHz, 3.6 GHz, 26 GHz) assignment spanned more than ten years; about half of Member States missed the end-2020 deadline; correlation between assignment timing and 5G coverage; spectrum about 7% of mobile revenues</t>
  </si>
  <si>
    <t xml:space="preserve">The Commission's 2026 assessment found Europe's 5G spectrum was handed out late and unevenly, which it links to slower 5G roll-out.</t>
  </si>
  <si>
    <t xml:space="preserve">EU, 2016-2025</t>
  </si>
  <si>
    <t xml:space="preserve">self-assessment; correlational</t>
  </si>
  <si>
    <t xml:space="preserve">https://eur-lex.europa.eu/legal-content/EN/TXT/?uri=CELEX:52026SC0013</t>
  </si>
  <si>
    <t xml:space="preserve">http://web.archive.org/web/20260327044123/https://eur-lex.europa.eu/legal-content/EN/TXT/?uri=celex%3A52026SC0013</t>
  </si>
  <si>
    <t xml:space="preserve">ec-2017-eprivacy-refit</t>
  </si>
  <si>
    <t xml:space="preserve">European Commission (2017), Ex-post REFIT evaluation of the ePrivacy Directive 2002/58/EC (executive summary SWD(2017) 6), SWD(2017) 5</t>
  </si>
  <si>
    <t xml:space="preserve">REFIT evaluation (studies, consultation)</t>
  </si>
  <si>
    <t xml:space="preserve">Directive broadly appropriate but enforcement fragmented; cookie rule not fully effective and over-inclusive; compliance costs around EUR 658 per business; robust cost data lacking</t>
  </si>
  <si>
    <t xml:space="preserve">The Commission found the cookie consent rule had not really given people control - they click 'accept' without understanding - while costing businesses a few hundred euros each.</t>
  </si>
  <si>
    <t xml:space="preserve">EU, 2002-2016</t>
  </si>
  <si>
    <t xml:space="preserve">https://eur-lex.europa.eu/legal-content/EN/TXT/?uri=CELEX:52017SC0006</t>
  </si>
  <si>
    <t xml:space="preserve">goldfarb-tucker-2011</t>
  </si>
  <si>
    <t xml:space="preserve">Goldfarb &amp; Tucker (2011), Privacy Regulation and Online Advertising, Management Science 57(1)</t>
  </si>
  <si>
    <t xml:space="preserve">causal: difference-in-differences (3.3m survey takers, 9,596 ad campaigns; EU vs other countries)</t>
  </si>
  <si>
    <t xml:space="preserve">advertising effectiveness; firm performance</t>
  </si>
  <si>
    <t xml:space="preserve">After the EU privacy rules (ePrivacy Directive) took effect, display advertising became far less effective at changing purchase intent relative to other countries; larger losses for general-content sites such as news and for plain, small ads</t>
  </si>
  <si>
    <t xml:space="preserve">Early EU privacy rules on tracking made online display ads much less effective, hitting news sites hardest.</t>
  </si>
  <si>
    <t xml:space="preserve">EU vs non-EU, early 2000s</t>
  </si>
  <si>
    <t xml:space="preserve">measures ad effectiveness (stated purchase intent), not revenue</t>
  </si>
  <si>
    <t xml:space="preserve">abstract read (Crossref)</t>
  </si>
  <si>
    <t xml:space="preserve">https://doi.org/10.1287/mnsc.1100.1246</t>
  </si>
  <si>
    <t xml:space="preserve">ec-2020-design-evaluation</t>
  </si>
  <si>
    <t xml:space="preserve">European Commission (2020), Evaluation of EU legislation on design protection (executive summary SWD(2020) 265), SWD(2020) 264</t>
  </si>
  <si>
    <t xml:space="preserve">evaluation (external studies, consultation)</t>
  </si>
  <si>
    <t xml:space="preserve">access to protection; single market; costs</t>
  </si>
  <si>
    <t xml:space="preserve">positive overall, shortcomings</t>
  </si>
  <si>
    <t xml:space="preserve">Broadly fit for purpose; unitary registration lowered costs, complexity and delays; benefits outweigh costs; but system underused (lack of awareness), not adapted to digital designs, spare parts market fragmented, fees and procedures create unnecessary burden</t>
  </si>
  <si>
    <t xml:space="preserve">The Commission's 2020 review found the EU design right works well and is cheaper than national routes, but is underused and out of date for digital designs.</t>
  </si>
  <si>
    <t xml:space="preserve">EU, 2003-2019</t>
  </si>
  <si>
    <t xml:space="preserve">https://eur-lex.europa.eu/legal-content/EN/TXT/?uri=CELEX:52020SC0264</t>
  </si>
  <si>
    <t xml:space="preserve">http://web.archive.org/web/20231115082100/https://eur-lex.europa.eu/legal-content/en/TXT/?uri=CELEX:52020SC0264</t>
  </si>
  <si>
    <t xml:space="preserve">ec-2022-design-ia</t>
  </si>
  <si>
    <t xml:space="preserve">European Commission (2022), Impact assessment on the revision of EU design legislation (executive summary SWD(2022) 369), SWD(2022) 368</t>
  </si>
  <si>
    <t xml:space="preserve">consumer savings; fees</t>
  </si>
  <si>
    <t xml:space="preserve">Design-intensive industries almost 16% of EU GDP and 14% of jobs (2014-2016); liberalising spare parts to save consumers EUR 340-544m once fully phased in; lower fees save EUR 6m a year; simpler procedures EUR 1.6m a year</t>
  </si>
  <si>
    <t xml:space="preserve">The Commission expected its design-law reform to save consumers EUR 340-544 million by opening up the car spare-parts market.</t>
  </si>
  <si>
    <t xml:space="preserve">forecast</t>
  </si>
  <si>
    <t xml:space="preserve">https://eur-lex.europa.eu/legal-content/EN/TXT/?uri=CELEX:52022SC0368</t>
  </si>
  <si>
    <t xml:space="preserve">http://web.archive.org/web/20240809041951/https://eur-lex.europa.eu/legal-content/EN/TXT/?uri=celex%3A52022SC0368</t>
  </si>
  <si>
    <t xml:space="preserve">filitz-henkel-tether-2015</t>
  </si>
  <si>
    <t xml:space="preserve">Filitz, Henkel &amp; Tether (2015), Protecting aesthetic innovations? An exploration of the use of registered community designs, Research Policy 44(6)</t>
  </si>
  <si>
    <t xml:space="preserve">exploratory qualitative (German firms in footwear, cars, tool-making) plus filing statistics</t>
  </si>
  <si>
    <t xml:space="preserve">use of design rights</t>
  </si>
  <si>
    <t xml:space="preserve">About three-quarters of a million RCDs filed in the first decade; firms use RCDs in very different ways across industries; little prior empirical research on design rights</t>
  </si>
  <si>
    <t xml:space="preserve">A study of German firms found registered Community designs are widely used but in very different ways across industries, and that their economic effects are barely studied.</t>
  </si>
  <si>
    <t xml:space="preserve">EU/Germany</t>
  </si>
  <si>
    <t xml:space="preserve">qualitative; no effect estimate</t>
  </si>
  <si>
    <t xml:space="preserve">https://doi.org/10.1016/j.respol.2015.02.004</t>
  </si>
  <si>
    <t xml:space="preserve">ec-2010-ipred-report</t>
  </si>
  <si>
    <t xml:space="preserve">European Commission (2010), Report on the application of Directive 2004/48/EC on the enforcement of intellectual property rights (with SEC(2010) 1589), COM(2010) 779</t>
  </si>
  <si>
    <t xml:space="preserve">review (national reports)</t>
  </si>
  <si>
    <t xml:space="preserve">civil enforcement</t>
  </si>
  <si>
    <t xml:space="preserve">Directive had a 'substantial and positive effect' on civil protection of IP rights, but was not designed for the challenge of internet infringements; issues with right of information, damages and intermediaries</t>
  </si>
  <si>
    <t xml:space="preserve">The first review found the directive had strengthened IP enforcement in court but was not built for online piracy.</t>
  </si>
  <si>
    <t xml:space="preserve">EU, 2006-2009</t>
  </si>
  <si>
    <t xml:space="preserve">self-evaluation; based on national reports</t>
  </si>
  <si>
    <t xml:space="preserve">https://eur-lex.europa.eu/legal-content/EN/TXT/?uri=CELEX:52010DC0779</t>
  </si>
  <si>
    <t xml:space="preserve">http://web.archive.org/web/20251125023736/https://eur-lex.europa.eu/legal-content/EN/TXT/?uri=celex:52010DC0779</t>
  </si>
  <si>
    <t xml:space="preserve">ec-2017-ipred-evaluation</t>
  </si>
  <si>
    <t xml:space="preserve">European Commission (2017), Evaluation of Directive 2004/48/EC (accompanying guidance communication), SWD(2017) 431</t>
  </si>
  <si>
    <t xml:space="preserve">evaluation study incl. econometric analysis of IP court cases 2005-2015, consultation</t>
  </si>
  <si>
    <t xml:space="preserve">litigation; costs; effectiveness</t>
  </si>
  <si>
    <t xml:space="preserve">Directive improved civil enforcement at a conceptual level and imposed no incremental direct costs; but econometric models found no strong correlation, let alone causality, between the Directive and litigation indicators; benefits cannot be quantified; counterfeiting and piracy still rising</t>
  </si>
  <si>
    <t xml:space="preserve">The 2017 evaluation judged the directive useful and cheap, but could find no measurable effect on court enforcement, and counterfeiting kept growing.</t>
  </si>
  <si>
    <t xml:space="preserve">EU, 2005-2016</t>
  </si>
  <si>
    <t xml:space="preserve">self-evaluation; weak data acknowledged</t>
  </si>
  <si>
    <t xml:space="preserve">https://eur-lex.europa.eu/legal-content/EN/TXT/?uri=CELEX:52017SC0431</t>
  </si>
  <si>
    <t xml:space="preserve">adermon-liang-2014-ipred</t>
  </si>
  <si>
    <t xml:space="preserve">Adermon &amp; Liang (2014), Piracy and music sales: The effects of an anti-piracy law, Journal of Economic Behavior &amp; Organization 105</t>
  </si>
  <si>
    <t xml:space="preserve">natural experiment (time-series around Sweden's IPRED implementation, 1 April 2009)</t>
  </si>
  <si>
    <t xml:space="preserve">piracy; music and film sales</t>
  </si>
  <si>
    <t xml:space="preserve">positive (short-run)</t>
  </si>
  <si>
    <t xml:space="preserve">Working-paper version: reform cut Swedish internet traffic by 18% over six months and raised physical music sales 27% and digital 48%; no significant effect on cinema tickets or DVDs; press coverage of the published version reports smaller figures (traffic -16%, music sales +36%) and fading effects</t>
  </si>
  <si>
    <t xml:space="preserve">When Sweden implemented the directive, file-sharing dropped and music sales jumped for several months, but film sales did not change and the effect faded.</t>
  </si>
  <si>
    <t xml:space="preserve">Sweden, 2008-2009</t>
  </si>
  <si>
    <t xml:space="preserve">credible causal design; single country, short-run</t>
  </si>
  <si>
    <t xml:space="preserve">abstract read (working paper)</t>
  </si>
  <si>
    <t xml:space="preserve">https://doi.org/10.1016/j.jebo.2014.04.026</t>
  </si>
  <si>
    <t xml:space="preserve">https://swopec.hhs.se/iuiwop/abs/iuiwop0854.htm</t>
  </si>
  <si>
    <t xml:space="preserve">ec-2021-merger-evaluation</t>
  </si>
  <si>
    <t xml:space="preserve">European Commission (2021), Evaluation of procedural and jurisdictional aspects of EU merger control (executive summary SWD(2021) 67), SWD(2021) 66</t>
  </si>
  <si>
    <t xml:space="preserve">review (public consultation, deal-activity research, enforcement data)</t>
  </si>
  <si>
    <t xml:space="preserve">jurisdictional thresholds; referrals; administrative burden</t>
  </si>
  <si>
    <t xml:space="preserve">positive overall, with gaps</t>
  </si>
  <si>
    <t xml:space="preserve">Turnover thresholds plus referrals 'generally proved effective'; but some acquisitions of nascent and innovative firms (digital, pharma, biotech) escaped review; referral mechanisms served one-stop-shop aim well; 2013 simplification reduced burden</t>
  </si>
  <si>
    <t xml:space="preserve">The Commission's evaluation found the merger rules generally capture the deals that matter and simplification cut red tape, but acknowledged that some takeovers of promising start-ups slip through.</t>
  </si>
  <si>
    <t xml:space="preserve">EU, 2013-2020</t>
  </si>
  <si>
    <t xml:space="preserve">self-evaluation; did not assess substantive outcomes</t>
  </si>
  <si>
    <t xml:space="preserve">https://data.consilium.europa.eu/doc/document/ST-7792-2021-ADD-2/en/pdf</t>
  </si>
  <si>
    <t xml:space="preserve">http://web.archive.org/web/20210424031543/https://data.consilium.europa.eu/doc/document/ST-7792-2021-ADD-2/en/pdf</t>
  </si>
  <si>
    <t xml:space="preserve">ec-2009-merger-report</t>
  </si>
  <si>
    <t xml:space="preserve">European Commission (2009), Report on the functioning of Regulation No 139/2004, COM(2009) 281</t>
  </si>
  <si>
    <t xml:space="preserve">review (case statistics, stakeholder consultation)</t>
  </si>
  <si>
    <t xml:space="preserve">thresholds; referrals</t>
  </si>
  <si>
    <t xml:space="preserve">positive overall</t>
  </si>
  <si>
    <t xml:space="preserve">Jurisdictional thresholds and referral system broadly functioning; at least 240 cases reviewable in two or more Member States in 2007; stakeholders suggested further streamlining of Article 4(5) referrals</t>
  </si>
  <si>
    <t xml:space="preserve">The Commission's five-year review found the rules on which authority reviews which merger broadly worked, though some deals were still reviewed in several countries.</t>
  </si>
  <si>
    <t xml:space="preserve">EU, 2004-2008</t>
  </si>
  <si>
    <t xml:space="preserve">procedural review only</t>
  </si>
  <si>
    <t xml:space="preserve">https://eur-lex.europa.eu/legal-content/EN/TXT/?uri=CELEX:52009DC0281</t>
  </si>
  <si>
    <t xml:space="preserve">verouden-et-al-2026-customer-savings</t>
  </si>
  <si>
    <t xml:space="preserve">Verouden, Bovin, Ilzkovitz, Giacalone &amp; Deisenhofer (DG Competition) (2026), Estimating customer savings generated by competition enforcement in the EU, Competition Policy Brief 1/2026, European Commission</t>
  </si>
  <si>
    <t xml:space="preserve">Commission estimate</t>
  </si>
  <si>
    <t xml:space="preserve">ex-ante calculation (OECD method: avoided price rise x turnover x duration)</t>
  </si>
  <si>
    <t xml:space="preserve">customer savings (prices)</t>
  </si>
  <si>
    <t xml:space="preserve">EC enforcement generated direct customer savings of about EUR 12-21bn per year over 2012-2025; merger control accounted for about 60% of savings and 63% of interventions; explicitly not an ex-post evaluation and assumes decisions were correct</t>
  </si>
  <si>
    <t xml:space="preserve">The Commission's own economists estimate that blocking or fixing harmful mergers saves customers several billion euros a year, but the method assumes every decision was right.</t>
  </si>
  <si>
    <t xml:space="preserve">EU, 2012-2025</t>
  </si>
  <si>
    <t xml:space="preserve">self-assessment; assumptions not tested ex post</t>
  </si>
  <si>
    <t xml:space="preserve">Authored by Commission (DG Competition) staff assessing their own enforcement</t>
  </si>
  <si>
    <t xml:space="preserve">https://www.sipotra.it/wp-content/uploads/2026/06/Estimating-customer-savings-generated-by-competition-enforcement-in-the-EU.pdf</t>
  </si>
  <si>
    <t xml:space="preserve">duso-gugler-yurtoglu-2011</t>
  </si>
  <si>
    <t xml:space="preserve">Duso, Gugler &amp; Yurtoglu (2011), How effective is European merger control?, European Economic Review 55(7), 980-1006</t>
  </si>
  <si>
    <t xml:space="preserve">causal: event study (stock-market reactions at announcement and decision, large EU mergers 1990-2002)</t>
  </si>
  <si>
    <t xml:space="preserve">market power rents; remedies</t>
  </si>
  <si>
    <t xml:space="preserve">Only outright prohibitions completely reverse the rents measured at merger announcement; remedies only partially, more effective in Phase I than Phase II; the Commission appears to learn over time</t>
  </si>
  <si>
    <t xml:space="preserve">Stock market evidence suggests EU merger control fully removes expected market-power gains only when it blocks deals; conditions imposed on approved mergers work only partly.</t>
  </si>
  <si>
    <t xml:space="preserve">EU, 1990-2002 (pre-2004 Regulation)</t>
  </si>
  <si>
    <t xml:space="preserve">covers predecessor Regulation 4064/89; relies on market-efficiency assumptions</t>
  </si>
  <si>
    <t xml:space="preserve">https://doi.org/10.1016/j.euroecorev.2011.04.003</t>
  </si>
  <si>
    <t xml:space="preserve">https://econpapers.repec.org/RePEc:zbw:dicedp:15</t>
  </si>
  <si>
    <t xml:space="preserve">genakos-valletti-verboven-2018</t>
  </si>
  <si>
    <t xml:space="preserve">Genakos, Valletti &amp; Verboven (2018), Evaluating market consolidation in mobile communications, Economic Policy 33(93), 45-100</t>
  </si>
  <si>
    <t xml:space="preserve">causal: panel regression with fixed effects (33 OECD countries, 2002-2014)</t>
  </si>
  <si>
    <t xml:space="preserve">prices; investment</t>
  </si>
  <si>
    <t xml:space="preserve">A hypothetical 4-to-3 merger raises end-user prices by about 16% on average and investment per operator by about 19%; effect on total industry investment not significant</t>
  </si>
  <si>
    <t xml:space="preserve">Mergers that cut the number of mobile operators from four to three raise phone bills by about 16%, while total network investment does not clearly rise.</t>
  </si>
  <si>
    <t xml:space="preserve">33 OECD countries, 2002-2014</t>
  </si>
  <si>
    <t xml:space="preserve">sector-specific</t>
  </si>
  <si>
    <t xml:space="preserve">Valletti later served as DG Competition chief economist (2016-2019)</t>
  </si>
  <si>
    <t xml:space="preserve">https://doi.org/10.1093/epolic/eix020</t>
  </si>
  <si>
    <t xml:space="preserve">https://www.cesifo.org/DocDL/cesifo1_wp6509.pdf</t>
  </si>
  <si>
    <t xml:space="preserve">affeldt-et-al-2021-concentration</t>
  </si>
  <si>
    <t xml:space="preserve">Affeldt, Duso, Gugler &amp; Piechucka (2021), Market Concentration in Europe: Evidence from Antitrust Markets, DIW Discussion Paper 1930 / CESifo WP 8866</t>
  </si>
  <si>
    <t xml:space="preserve">working paper</t>
  </si>
  <si>
    <t xml:space="preserve">descriptive and correlational (20,000+ antitrust markets in 2,000+ EC merger cases, 1995-2014)</t>
  </si>
  <si>
    <t xml:space="preserve">market concentration</t>
  </si>
  <si>
    <t xml:space="preserve">negative (rising concentration)</t>
  </si>
  <si>
    <t xml:space="preserve">Concentration in EU antitrust markets is at least ten times higher than industry-level measures suggest and has risen over time; strict past merger enforcement is associated with lower concentration, more so in 1995-2004 than afterwards</t>
  </si>
  <si>
    <t xml:space="preserve">Using the Commission's own merger files, researchers find markets in Europe are far more concentrated than thought and have become more so; tougher merger enforcement goes with lower concentration.</t>
  </si>
  <si>
    <t xml:space="preserve">EU, 1995-2014</t>
  </si>
  <si>
    <t xml:space="preserve">correlational</t>
  </si>
  <si>
    <t xml:space="preserve">https://doi.org/10.2139/ssrn.3775524</t>
  </si>
  <si>
    <t xml:space="preserve">cunningham-ederer-ma-2021</t>
  </si>
  <si>
    <t xml:space="preserve">Cunningham, Ederer &amp; Ma (2021), Killer Acquisitions, Journal of Political Economy 129(3), 649-702</t>
  </si>
  <si>
    <t xml:space="preserve">causal: difference-in-differences on drug development projects after acquisition</t>
  </si>
  <si>
    <t xml:space="preserve">innovation; acquisitions</t>
  </si>
  <si>
    <t xml:space="preserve">negative (gap in merger control)</t>
  </si>
  <si>
    <t xml:space="preserve">5.3-7.4% of pharmaceutical acquisitions are 'killer acquisitions' that discontinue overlapping drug projects, often below antitrust notification thresholds</t>
  </si>
  <si>
    <t xml:space="preserve">Some pharmaceutical takeovers are made to kill off rival drugs, often in deals too small to be reviewed - the problem behind the EU's Article 22 debate.</t>
  </si>
  <si>
    <t xml:space="preserve">US pharma, 1989-2011</t>
  </si>
  <si>
    <t xml:space="preserve">US evidence; informs EU threshold debate</t>
  </si>
  <si>
    <t xml:space="preserve">https://doi.org/10.1086/712506</t>
  </si>
  <si>
    <t xml:space="preserve">enforcement or case law</t>
  </si>
  <si>
    <t xml:space="preserve">cjeu-2024-illumina</t>
  </si>
  <si>
    <t xml:space="preserve">Court of Justice of the EU (2024), Illumina v Commission (Joined Cases C-611/22 P and C-625/22 P), Judgment of 3 September 2024</t>
  </si>
  <si>
    <t xml:space="preserve">court judgment</t>
  </si>
  <si>
    <t xml:space="preserve">legal ruling</t>
  </si>
  <si>
    <t xml:space="preserve">jurisdiction (Article 22 referrals)</t>
  </si>
  <si>
    <t xml:space="preserve">Commission cannot accept Article 22 referrals from Member States lacking jurisdiction under national law; annulled Commission decision on Illumina/Grail; the Court noted threshold-based systems cannot catch every problematic deal</t>
  </si>
  <si>
    <t xml:space="preserve">Europe's top court ruled that the Commission overstepped by reviewing a deal below all national thresholds, closing the main route it had chosen to catch 'killer acquisitions'.</t>
  </si>
  <si>
    <t xml:space="preserve">EU, 2024</t>
  </si>
  <si>
    <t xml:space="preserve">https://eur-lex.europa.eu/legal-content/EN/TXT/?uri=CELEX:62022CJ0611</t>
  </si>
  <si>
    <t xml:space="preserve">http://web.archive.org/web/20260212201803/https://eur-lex.europa.eu/legal-content/EN/TXT/?uri=celex%3A62022CJ0611</t>
  </si>
  <si>
    <t xml:space="preserve">ec-2003-ucpd-eia</t>
  </si>
  <si>
    <t xml:space="preserve">European Commission (2003), Extended impact assessment on the Unfair Commercial Practices Directive, SEC(2003) 724</t>
  </si>
  <si>
    <t xml:space="preserve">ex-ante (Eurobarometer surveys of 2,899 businesses and 16,129 consumers; consultation)</t>
  </si>
  <si>
    <t xml:space="preserve">cross-border trade; consumer confidence; compliance costs</t>
  </si>
  <si>
    <t xml:space="preserve">positive (forecast, qualitative)</t>
  </si>
  <si>
    <t xml:space="preserve">Divergent national fairness rules are a significant internal-market barrier; only 13% of consumers had bought cross-border in the past 12 months; harmonisation expected to raise cross-border marketing and purchases (not quantified)</t>
  </si>
  <si>
    <t xml:space="preserve">The Commission argued that one EU-wide set of rules on unfair selling would help firms sell, and consumers shop, across borders; it did not put a number on the gain.</t>
  </si>
  <si>
    <t xml:space="preserve">EU-15, 2002 baseline</t>
  </si>
  <si>
    <t xml:space="preserve">https://eur-lex.europa.eu/legal-content/EN/TXT/?uri=CELEX:52003SC0724</t>
  </si>
  <si>
    <t xml:space="preserve">http://web.archive.org/web/20251009141108/https://eur-lex.europa.eu/legal-content/EN/TXT/?uri=CELEX%3A52003SC0724</t>
  </si>
  <si>
    <t xml:space="preserve">ec-2013-ucpd-report</t>
  </si>
  <si>
    <t xml:space="preserve">European Commission (2013), First Report on the application of the Unfair Commercial Practices Directive, COM(2013) 139</t>
  </si>
  <si>
    <t xml:space="preserve">review (consultation, enforcement experience, Eurobarometer)</t>
  </si>
  <si>
    <t xml:space="preserve">cross-border shopping interest; enforcement</t>
  </si>
  <si>
    <t xml:space="preserve">positive with gaps</t>
  </si>
  <si>
    <t xml:space="preserve">Directive judged to have removed obstacles and simplified rules; 52% of consumers interested in cross-border purchases (+19 points vs 2006); ~80% of websites found in breach in EU sweeps were corrected; enforcement, especially cross-border, needs strengthening; no amendment proposed</t>
  </si>
  <si>
    <t xml:space="preserve">The Commission's first review found the directive worked but said enforcement, especially across borders, had to improve.</t>
  </si>
  <si>
    <t xml:space="preserve">EU, 2007-2012</t>
  </si>
  <si>
    <t xml:space="preserve">https://eur-lex.europa.eu/legal-content/EN/TXT/?uri=CELEX:52013DC0139</t>
  </si>
  <si>
    <t xml:space="preserve">http://web.archive.org/web/20251123133623/https://eur-lex.europa.eu/legal-content/EN/TXT/?uri=celex%3A52013DC0139</t>
  </si>
  <si>
    <t xml:space="preserve">Rules still largely fit for purpose if effectively enforced; compliance costs very proportionate, including for SMEs, so limited scope for burden reduction; led to the 2018 New Deal / Omnibus proposal on enforcement and modernisation</t>
  </si>
  <si>
    <t xml:space="preserve">The 2017 review concluded EU consumer rules were largely fit for purpose and cheap to comply with, but poorly known and unevenly enforced.</t>
  </si>
  <si>
    <t xml:space="preserve">roesner-haucap-heimeshoff-2020</t>
  </si>
  <si>
    <t xml:space="preserve">Rösner, Haucap &amp; Heimeshoff (2020), The impact of consumer protection in the digital age: Evidence from the European Union, International Journal of Industrial Organization 73 (CESifo WP 8081)</t>
  </si>
  <si>
    <t xml:space="preserve">causal: difference-in-differences with multiple periods (staggered UCPD transposition 2007-2010; Eurobarometer 2006-2014)</t>
  </si>
  <si>
    <t xml:space="preserve">consumer trust; cross-border purchases</t>
  </si>
  <si>
    <t xml:space="preserve">positive (conditional)</t>
  </si>
  <si>
    <t xml:space="preserve">UCPD introduction significantly associated with higher consumer trust and more cross-border purchases, but only for countries with low consumer protection before the directive; effect grows over time then stabilises</t>
  </si>
  <si>
    <t xml:space="preserve">Countries that had weak consumer protection before the UCPD saw consumer trust and cross-border shopping rise after adopting it; countries that already had strong rules saw no clear change.</t>
  </si>
  <si>
    <t xml:space="preserve">EU member states, 2006-2014</t>
  </si>
  <si>
    <t xml:space="preserve">causal design; survey outcomes</t>
  </si>
  <si>
    <t xml:space="preserve">paywalled (CESifo WP open)</t>
  </si>
  <si>
    <t xml:space="preserve">https://doi.org/10.1016/j.ijindorg.2020.102585</t>
  </si>
  <si>
    <t xml:space="preserve">https://ideas.repec.org/p/ces/ceswps/_8081.html</t>
  </si>
  <si>
    <t xml:space="preserve">lupianez-villanueva-2022-dark-patterns</t>
  </si>
  <si>
    <t xml:space="preserve">Lupiáñez-Villanueva, Boluda, Bogliacino et al. (for European Commission, DG JUST) (2022), Behavioural study on unfair commercial practices in the digital environment: dark patterns and manipulative personalisation, Publications Office of the EU, doi:10.2838/859030</t>
  </si>
  <si>
    <t xml:space="preserve">Commission-commissioned study</t>
  </si>
  <si>
    <t xml:space="preserve">mystery shopping of popular websites/apps; online experiments</t>
  </si>
  <si>
    <t xml:space="preserve">prevalence of dark patterns; consumer behaviour</t>
  </si>
  <si>
    <t xml:space="preserve">negative (persistent harm)</t>
  </si>
  <si>
    <t xml:space="preserve">97% of the most popular websites and apps used by EU consumers deployed at least one dark pattern; consumers have limited ability to recognise them</t>
  </si>
  <si>
    <t xml:space="preserve">Almost all of the most popular websites and apps used at least one manipulative design trick, years after the UCPD banned misleading and aggressive practices.</t>
  </si>
  <si>
    <t xml:space="preserve">EU, 2021-2022</t>
  </si>
  <si>
    <t xml:space="preserve">descriptive prevalence + experiments</t>
  </si>
  <si>
    <t xml:space="preserve">https://data.europa.eu/doi/10.2838/859030</t>
  </si>
  <si>
    <t xml:space="preserve">cpc-2023-dark-patterns-sweep</t>
  </si>
  <si>
    <t xml:space="preserve">European Commission and CPC Network (2023), Sweep of online shops for dark patterns (press release IP/23/418), IP/23/418, 30 January 2023</t>
  </si>
  <si>
    <t xml:space="preserve">enforcement record</t>
  </si>
  <si>
    <t xml:space="preserve">enforcement sweep (399 online shops, 23 Member States + NO, IS)</t>
  </si>
  <si>
    <t xml:space="preserve">compliance</t>
  </si>
  <si>
    <t xml:space="preserve">negative (non-compliance)</t>
  </si>
  <si>
    <t xml:space="preserve">148 of 399 online shops used at least one dark pattern (fake countdown timers, steering design, hidden information); 27 of 102 apps checked also did</t>
  </si>
  <si>
    <t xml:space="preserve">Consumer authorities found manipulative designs in almost 40% of online shops checked in 2022-23.</t>
  </si>
  <si>
    <t xml:space="preserve">EU/EEA, late 2022</t>
  </si>
  <si>
    <t xml:space="preserve">screening, not legal findings</t>
  </si>
  <si>
    <t xml:space="preserve">https://ec.europa.eu/commission/presscorner/detail/en/ip_23_418</t>
  </si>
  <si>
    <t xml:space="preserve">http://web.archive.org/web/20261004181804/https://ec.europa.eu/commission/presscorner/detail/en/ip_23_418</t>
  </si>
  <si>
    <t xml:space="preserve">penalties; price-reduction rules; consumer remedies</t>
  </si>
  <si>
    <t xml:space="preserve">too early</t>
  </si>
  <si>
    <t xml:space="preserve">Directive at an early stage of application; most Member States now provide fines of at least 4% of turnover for coordinated cross-border cases and individual remedies for victims of unfair practices; sweeps found 23% of price-reduction announcements breached the new rules</t>
  </si>
  <si>
    <t xml:space="preserve">The 2019 upgrade to the UCPD gave authorities bigger fines and consumers new remedies, but the Commission says it is too early to judge their effect.</t>
  </si>
  <si>
    <t xml:space="preserve">ec-2016-vat-ecommerce-ia</t>
  </si>
  <si>
    <t xml:space="preserve">European Commission (2016), Impact assessment on modernising VAT for cross-border B2C e-commerce, SWD(2016) 379</t>
  </si>
  <si>
    <t xml:space="preserve">ex-ante (external study)</t>
  </si>
  <si>
    <t xml:space="preserve">VAT revenue; compliance costs</t>
  </si>
  <si>
    <t xml:space="preserve">MOSS (2015): ~EUR 3bn VAT paid, ~70% of e-service supplies, saved businesses ~EUR 500m; status quo: cross-border compliance costs EUR 4.2bn a year, VAT losses EUR 7bn a year by 2020; preferred option cuts admin burden 42% (EUR 1.8bn)</t>
  </si>
  <si>
    <t xml:space="preserve">The Commission expected its e-commerce VAT reform to cut business paperwork by 42% and close a EUR 7 billion a year revenue gap.</t>
  </si>
  <si>
    <t xml:space="preserve">https://eur-lex.europa.eu/legal-content/EN/TXT/?uri=CELEX:52016SC0379</t>
  </si>
  <si>
    <t xml:space="preserve">http://web.archive.org/web/20251125210527/https://eur-lex.europa.eu/legal-content/EN/TXT/?uri=CELEX:52016SC0379</t>
  </si>
  <si>
    <t xml:space="preserve">ec-2025-oss-report</t>
  </si>
  <si>
    <t xml:space="preserve">European Commission (2025), Report on the application of the VAT e-commerce package for 2024, VAT One Stop Shop portal, 14 July 2025</t>
  </si>
  <si>
    <t xml:space="preserve">Commission monitoring report</t>
  </si>
  <si>
    <t xml:space="preserve">administrative data</t>
  </si>
  <si>
    <t xml:space="preserve">VAT collected through OSS/IOSS</t>
  </si>
  <si>
    <t xml:space="preserve">VAT declared via the three OSS schemes rose from EUR 26.3bn in 2023 to EUR 33.1bn in 2024 (+26%); about EUR 88bn declared 2021-2024</t>
  </si>
  <si>
    <t xml:space="preserve">VAT collected through the EU's one-stop-shop for online sales reached EUR 33 billion in 2024, up 26% on 2023.</t>
  </si>
  <si>
    <t xml:space="preserve">EU, 2021-2024</t>
  </si>
  <si>
    <t xml:space="preserve">gross collections; not a causal estimate</t>
  </si>
  <si>
    <t xml:space="preserve">https://vat-one-stop-shop.ec.europa.eu/report-application-vat-e-commerce-package-2024-2025-07-14_en</t>
  </si>
  <si>
    <t xml:space="preserve">http://web.archive.org/web/20261001140540/https://vat-one-stop-shop.ec.europa.eu/report-application-vat-e-commerce-package-2024-2025-07-14_en</t>
  </si>
  <si>
    <t xml:space="preserve">ec-2022-vida-ia</t>
  </si>
  <si>
    <t xml:space="preserve">European Commission (2022), Impact assessment on VAT in the digital age (executive summary SWD(2022) 394), SWD(2022) 393</t>
  </si>
  <si>
    <t xml:space="preserve">Preferred approach: EUR 172-214bn net impact 2023-2032; EUR 50.6bn savings; EUR 135-177bn additional VAT revenue; EUR 11.3bn new reporting costs for business; 280,000 SMEs benefit from extended OSS</t>
  </si>
  <si>
    <t xml:space="preserve">The Commission expected digitising VAT to raise EUR 135-177 billion of extra VAT and save firms about EUR 50 billion over ten years.</t>
  </si>
  <si>
    <t xml:space="preserve">EU, forecast 2023-2032</t>
  </si>
  <si>
    <t xml:space="preserve">https://eur-lex.europa.eu/legal-content/EN/TXT/?uri=CELEX:52022SC0393</t>
  </si>
  <si>
    <t xml:space="preserve">http://web.archive.org/web/20260313193926/https://eur-lex.europa.eu/legal-content/EN/TXT/?uri=celex:52022SC0393</t>
  </si>
  <si>
    <t xml:space="preserve">benzarti-et-al-2020-vat</t>
  </si>
  <si>
    <t xml:space="preserve">Benzarti, Carloni, Harju &amp; Kosonen (2020), What Goes Up May Not Come Down: Asymmetric Incidence of Value-Added Taxes, Journal of Political Economy 128(12) (NBER WP 23849)</t>
  </si>
  <si>
    <t xml:space="preserve">quasi-experimental (two exogenous VAT changes) plus panel of all EU VAT changes 1996-2015</t>
  </si>
  <si>
    <t xml:space="preserve">consumer prices; markups</t>
  </si>
  <si>
    <t xml:space="preserve">Prices respond twice as much to VAT increases as to decreases; asymmetry raises profits and markups and persists for years; similar asymmetry across all EU VAT changes 1996-2015</t>
  </si>
  <si>
    <t xml:space="preserve">Studying VAT changes across the EU, economists found shops pass on VAT rises about twice as fully as VAT cuts.</t>
  </si>
  <si>
    <t xml:space="preserve">EU, 1996-2015</t>
  </si>
  <si>
    <t xml:space="preserve">strong causal design; about VAT rates, not the Directive itself</t>
  </si>
  <si>
    <t xml:space="preserve">https://www.nber.org/papers/w23849</t>
  </si>
  <si>
    <t xml:space="preserve">http://web.archive.org/web/20261001073646/https://www.nber.org/papers/w23849</t>
  </si>
  <si>
    <t xml:space="preserve">ec-2008-toys-ia</t>
  </si>
  <si>
    <t xml:space="preserve">European Commission (2008), Executive summary of the impact assessment for the proposal on the safety of toys, SEC(2008) 39</t>
  </si>
  <si>
    <t xml:space="preserve">ex-ante (three external studies, consultation of 1,500+ respondents)</t>
  </si>
  <si>
    <t xml:space="preserve">child health; compliance costs</t>
  </si>
  <si>
    <t xml:space="preserve">Revised directive preferred to repeal or 'old approach'; ban on CMR substances in accessible parts expected to raise manufacturing costs but bring considerable long-term health benefits (assessed in DALYs); warnings costs expected lower than industry claims; benefits not measurable in detail</t>
  </si>
  <si>
    <t xml:space="preserve">The Commission expected tighter toy rules to raise costs somewhat but deliver large, hard-to-measure health gains for children.</t>
  </si>
  <si>
    <t xml:space="preserve">forecast; largely qualitative</t>
  </si>
  <si>
    <t xml:space="preserve">https://eur-lex.europa.eu/legal-content/EN/TXT/?uri=CELEX:52008SC0039</t>
  </si>
  <si>
    <t xml:space="preserve">http://web.archive.org/web/20220808175357/https://eur-lex.europa.eu/legal-content/EN/TXT/?uri=CELEX%3A52008SC0039</t>
  </si>
  <si>
    <t xml:space="preserve">ec-2020-toys-evaluation</t>
  </si>
  <si>
    <t xml:space="preserve">European Commission (2020), Evaluation of Directive 2009/48/EC on the safety of toys (executive summary SWD(2020) 288), SWD(2020) 287</t>
  </si>
  <si>
    <t xml:space="preserve">evaluation (2015 external study, JRC cost-benefit study, consultations, national reports)</t>
  </si>
  <si>
    <t xml:space="preserve">safety; trade; costs</t>
  </si>
  <si>
    <t xml:space="preserve">More effective than the 1988 directive, but deficient on chemicals; one in three inspected samples non-compliant; intra-EU exports +60% since 2012/13; one-off costs ~2% of turnover recovered in 3 years or less; toy firms +10% in 5 years; benefits not quantifiable for lack of accident data; no monitoring indicators</t>
  </si>
  <si>
    <t xml:space="preserve">The 2020 evaluation found toy trade flourished and costs were modest, but a third of inspected toys broke the rules and there is no data on whether injuries fell.</t>
  </si>
  <si>
    <t xml:space="preserve">EU, 2009-2019</t>
  </si>
  <si>
    <t xml:space="preserve">https://eur-lex.europa.eu/legal-content/EN/TXT/?uri=CELEX:52020SC0287</t>
  </si>
  <si>
    <t xml:space="preserve">http://web.archive.org/web/20231115082444/http://eur-lex.europa.eu/legal-content/en/TXT/?uri=CELEX:52020SC0287</t>
  </si>
  <si>
    <t xml:space="preserve">ec-2023-toys-ia</t>
  </si>
  <si>
    <t xml:space="preserve">European Commission (2023), Impact assessment for the proposal for a Toy Safety Regulation (executive summary SWD(2023) 270), SWD(2023) 269</t>
  </si>
  <si>
    <t xml:space="preserve">health benefits; industry costs</t>
  </si>
  <si>
    <t xml:space="preserve">Generic bans on harmful chemicals: health benefits EUR 240m-1.2bn a year for endocrine disruptors alone; one-off redesign costs EUR 23.5-396.66m; testing +EUR 7.3-11.7m a year; EUR 249-367m of products could be affected; digital passport saves industry EUR 13-20m a year in inspections</t>
  </si>
  <si>
    <t xml:space="preserve">The Commission expected the new toy rules to avoid EUR 240 million to 1.2 billion a year of health damage from hormone-disrupting chemicals alone.</t>
  </si>
  <si>
    <t xml:space="preserve">https://eur-lex.europa.eu/legal-content/EN/TXT/?uri=CELEX:52023SC0269</t>
  </si>
  <si>
    <t xml:space="preserve">eca-2012-statistics</t>
  </si>
  <si>
    <t xml:space="preserve">European Court of Auditors (2012), Did the Commission and Eurostat improve the process for producing reliable and credible European statistics?, Special Report No 12/2012</t>
  </si>
  <si>
    <t xml:space="preserve">independent audit</t>
  </si>
  <si>
    <t xml:space="preserve">performance audit</t>
  </si>
  <si>
    <t xml:space="preserve">governance; Code of Practice compliance</t>
  </si>
  <si>
    <t xml:space="preserve">Commission and Eurostat had not yet achieved full implementation of the Code of Practice; Code demanding but lacks strong verification and enforcement tools; ambiguity over which elements are binding; statistical programme not an effective planning and accountability tool</t>
  </si>
  <si>
    <t xml:space="preserve">The EU's auditors found in 2012 that the rules meant to guarantee trustworthy EU statistics were not fully applied or enforced.</t>
  </si>
  <si>
    <t xml:space="preserve">EU, to 2011</t>
  </si>
  <si>
    <t xml:space="preserve">https://www.eca.europa.eu/Lists/ECADocuments/SR12_12/SR12_12_EN.PDF</t>
  </si>
  <si>
    <t xml:space="preserve">ec-2016-cop-report</t>
  </si>
  <si>
    <t xml:space="preserve">European Commission (2016), Report on the implementation of the European Statistics Code of Practice and coordination within the ESS, COM(2016) 114</t>
  </si>
  <si>
    <t xml:space="preserve">Commission evaluation (peer review synthesis)</t>
  </si>
  <si>
    <t xml:space="preserve">peer reviews of all Member States, EFTA countries and Eurostat (2013-2015)</t>
  </si>
  <si>
    <t xml:space="preserve">independence; quality; coordination</t>
  </si>
  <si>
    <t xml:space="preserve">707 peer-review recommendations (avg 21 per country), 65 needed to achieve compliance; professional independence (88 recommendations) and the need to revise statistical laws on appointment and dismissal of chief statisticians were main issues</t>
  </si>
  <si>
    <t xml:space="preserve">Independent peer reviews in 2013-2015 made over 700 recommendations, often about protecting statistical offices' independence.</t>
  </si>
  <si>
    <t xml:space="preserve">EU/EFTA, 2013-2015</t>
  </si>
  <si>
    <t xml:space="preserve">peer review; descriptive</t>
  </si>
  <si>
    <t xml:space="preserve">https://eur-lex.europa.eu/legal-content/EN/TXT/?uri=CELEX:52016DC0114</t>
  </si>
  <si>
    <t xml:space="preserve">ec-2023-ess-ia</t>
  </si>
  <si>
    <t xml:space="preserve">European Commission (2023), Impact assessment for the amendment of Regulation (EC) No 223/2009 (executive summary SWD(2023) 241), SWD(2023) 240</t>
  </si>
  <si>
    <t xml:space="preserve">timeliness; response burden; costs</t>
  </si>
  <si>
    <t xml:space="preserve">Statistics not timely, frequent, detailed or cost-efficient enough; preferred targeted revision: direct benefits EUR 1.5bn a year (EUR 577m for business) vs direct costs EUR 757m a year (EUR 196m for business); micro and small firms exempt from mandatory data sharing</t>
  </si>
  <si>
    <t xml:space="preserve">The Commission expected giving statisticians access to private and administrative data to bring EUR 1.5 billion a year of benefits for EUR 757 million of costs.</t>
  </si>
  <si>
    <t xml:space="preserve">https://eur-lex.europa.eu/legal-content/EN/TXT/?uri=CELEX:52023SC0241</t>
  </si>
  <si>
    <t xml:space="preserve">http://web.archive.org/web/20260223065025/https://eur-lex.europa.eu/legal-content/EN/TXT/?uri=celex%3A52023SC0241</t>
  </si>
  <si>
    <t xml:space="preserve">ec-2016-avmsd-evaluation</t>
  </si>
  <si>
    <t xml:space="preserve">European Commission (2016), Ex-post REFIT evaluation of the Audiovisual Media Services Directive 2010/13/EU (executive summary SWD(2016) 171), SWD(2016) 170</t>
  </si>
  <si>
    <t xml:space="preserve">REFIT evaluation (three public consultations, studies, monitoring reports)</t>
  </si>
  <si>
    <t xml:space="preserve">single market; cultural diversity; pluralism; costs</t>
  </si>
  <si>
    <t xml:space="preserve">Country-of-origin principle effective; Directive enhanced cultural diversity on TV but less so on demand; partly effective on media freedom; robust economic data and compliance-cost data lacking; no effective monitoring system</t>
  </si>
  <si>
    <t xml:space="preserve">The 2016 evaluation found the rules let broadcasters operate EU-wide under one country's law, but admitted there was little hard data on their effects.</t>
  </si>
  <si>
    <t xml:space="preserve">EU, 2007-2015</t>
  </si>
  <si>
    <t xml:space="preserve">https://eur-lex.europa.eu/legal-content/EN/TXT/?uri=CELEX:52016SC0170</t>
  </si>
  <si>
    <t xml:space="preserve">http://web.archive.org/web/20260227044509/https://eur-lex.europa.eu/legal-content/EN/TXT/?uri=celex%3A52016SC0170</t>
  </si>
  <si>
    <t xml:space="preserve">ec-2016-avmsd-ia</t>
  </si>
  <si>
    <t xml:space="preserve">European Commission (2016), Impact assessment for the amendment of Directive 2010/13/EU (executive summary SWD(2016) 169), SWD(2016) 168</t>
  </si>
  <si>
    <t xml:space="preserve">minors' protection; level playing field</t>
  </si>
  <si>
    <t xml:space="preserve">Preferred options: obligations on video-sharing platforms for minors and hate speech, stronger European-works rules for on-demand services, independent regulators; costs mainly on on-demand and video-sharing services, mitigated by existing practice; not quantified</t>
  </si>
  <si>
    <t xml:space="preserve">The Commission proposed extending the rules to video-sharing platforms and on-demand services, without putting numbers on costs or benefits.</t>
  </si>
  <si>
    <t xml:space="preserve">https://eur-lex.europa.eu/legal-content/EN/TXT/?uri=CELEX:52016SC0168</t>
  </si>
  <si>
    <t xml:space="preserve">ec-2024-avmsd-european-works-report</t>
  </si>
  <si>
    <t xml:space="preserve">European Commission (2024), Report on the application of Articles 13, 16 and 17 of Directive 2010/13/EU for 2020-2021 (with SWD(2024) 149), COM(2024) 261</t>
  </si>
  <si>
    <t xml:space="preserve">Member State reports plus independent sample study</t>
  </si>
  <si>
    <t xml:space="preserve">share of European works</t>
  </si>
  <si>
    <t xml:space="preserve">VOD: Member States report 63-64% European works, independent study of 1,062 services finds 35%; TV: reported 68-69% vs 38% in the study, independent productions reported 40-41% vs under 3% in the study; SVOD revenues EUR 6.7bn (2019) to EUR 11.7bn (2021)</t>
  </si>
  <si>
    <t xml:space="preserve">Countries report that European works make up about two-thirds of TV and streaming content, but an independent check found only about 35-38%.</t>
  </si>
  <si>
    <t xml:space="preserve">EU/EEA, 2020-2023</t>
  </si>
  <si>
    <t xml:space="preserve">official data inconsistent with independent sample</t>
  </si>
  <si>
    <t xml:space="preserve">https://eur-lex.europa.eu/legal-content/EN/TXT/?uri=CELEX:52024DC0261</t>
  </si>
  <si>
    <t xml:space="preserve">http://web.archive.org/web/20260312183224/https://eur-lex.europa.eu/legal-content/EN/TXT/?uri=CELEX%3A52024DC0261</t>
  </si>
  <si>
    <t xml:space="preserve">ec-2019-dac-evaluation</t>
  </si>
  <si>
    <t xml:space="preserve">European Commission (2019), Evaluation of Council Directive 2011/16/EU on administrative cooperation in the field of taxation, SWD(2019) 327 (executive summary SWD(2019) 328)</t>
  </si>
  <si>
    <t xml:space="preserve">ex-post evaluation (Member State data 2013-2017, consultation, contractor study)</t>
  </si>
  <si>
    <t xml:space="preserve">tax compliance; costs; benefits</t>
  </si>
  <si>
    <t xml:space="preserve">positive but weakly evidenced</t>
  </si>
  <si>
    <t xml:space="preserve">Limited evidence of effectiveness; cumulative costs about EUR 230m; the few monetised benefit estimates total about EUR 620m; monitoring failed to collect data on benefits</t>
  </si>
  <si>
    <t xml:space="preserve">The first evaluation found the tax-information exchange framework works, but data on its benefits were too thin to draw firm conclusions.</t>
  </si>
  <si>
    <t xml:space="preserve">EU, 2013-2017</t>
  </si>
  <si>
    <t xml:space="preserve">Commission self-assessment; data gaps acknowledged</t>
  </si>
  <si>
    <t xml:space="preserve">https://eur-lex.europa.eu/legal-content/EN/TXT/?uri=CELEX:52019SC0328</t>
  </si>
  <si>
    <t xml:space="preserve">ec-2025-dac-evaluation</t>
  </si>
  <si>
    <t xml:space="preserve">European Commission (2025), Report on the evaluation of Council Directive 2011/16/EU on administrative cooperation in the field of taxation, COM(2025) 695</t>
  </si>
  <si>
    <t xml:space="preserve">ex-post evaluation (contractor study, Member State estimates)</t>
  </si>
  <si>
    <t xml:space="preserve">tax revenue; administrative costs</t>
  </si>
  <si>
    <t xml:space="preserve">Benefits estimated at about EUR 6.8bn a year against recurring costs of about EUR 646m (EUR 604m on business); DAC6 complex and inconsistently applied; 5-15% of data cannot be matched</t>
  </si>
  <si>
    <t xml:space="preserve">The Commission's second evaluation estimates the rules bring in about EUR 6.8 billion a year in tax, roughly ten times their running cost, though most of the cost falls on business.</t>
  </si>
  <si>
    <t xml:space="preserve">EU, 2018-2023</t>
  </si>
  <si>
    <t xml:space="preserve">Commission self-assessment; benefit attribution acknowledged to be difficult</t>
  </si>
  <si>
    <t xml:space="preserve">https://eur-lex.europa.eu/legal-content/EN/TXT/?uri=CELEX:52025DC0695</t>
  </si>
  <si>
    <t xml:space="preserve">eca-2021-tax-exchange</t>
  </si>
  <si>
    <t xml:space="preserve">European Court of Auditors (2021), Exchanging tax information in the EU: solid foundation, cracks in the implementation, Special Report 03/2021</t>
  </si>
  <si>
    <t xml:space="preserve">audit report</t>
  </si>
  <si>
    <t xml:space="preserve">performance audit (5 Member States, 2014-2019)</t>
  </si>
  <si>
    <t xml:space="preserve">use of information; monitoring</t>
  </si>
  <si>
    <t xml:space="preserve">Framework well established but incomplete; information exchanged often of limited quality or underused; results not monitored</t>
  </si>
  <si>
    <t xml:space="preserve">EU auditors found the system sound in design, but much of the exchanged information is poor quality or unused, and nobody tracks the results.</t>
  </si>
  <si>
    <t xml:space="preserve">IT, NL, PL, ES, CY; 2014-2019</t>
  </si>
  <si>
    <t xml:space="preserve">https://op.europa.eu/webpub/eca/special-reports/tax-03-2021/en/</t>
  </si>
  <si>
    <t xml:space="preserve">https://www.eca.europa.eu/Lists/ECADocuments/SR21_03/SR_Exchange_tax_inform_EN.pdf</t>
  </si>
  <si>
    <t xml:space="preserve">http://web.archive.org/web/20250704043727/https://op.europa.eu/webpub/eca/special-reports/tax-03-2021/en/</t>
  </si>
  <si>
    <t xml:space="preserve">casi-spengel-stage-2020</t>
  </si>
  <si>
    <t xml:space="preserve">Casi, Spengel &amp; Stage (2020), Cross-border tax evasion after the common reporting standard: Game over?, Journal of Public Economics 190, 104240</t>
  </si>
  <si>
    <t xml:space="preserve">difference-in-differences (BIS bilateral deposit data)</t>
  </si>
  <si>
    <t xml:space="preserve">offshore deposits; tax evasion</t>
  </si>
  <si>
    <t xml:space="preserve">positive (with leakage)</t>
  </si>
  <si>
    <t xml:space="preserve">Automatic exchange under the CRS (implemented in the EU via DAC2) cut cross-border deposits in tax havens by 11.5%, but deposits relocated to non-participating jurisdictions, notably the US</t>
  </si>
  <si>
    <t xml:space="preserve">Automatic sharing of bank account data reduced money parked in tax havens by about 11.5%, but some of it simply moved to countries outside the scheme such as the US.</t>
  </si>
  <si>
    <t xml:space="preserve">global, 2014-2017</t>
  </si>
  <si>
    <t xml:space="preserve">causal; CRS not DAC-specific</t>
  </si>
  <si>
    <t xml:space="preserve">https://doi.org/10.1016/j.jpubeco.2020.104240</t>
  </si>
  <si>
    <t xml:space="preserve">https://ftp.zew.de/pub/zew-docs/dp/dp18036.pdf</t>
  </si>
  <si>
    <t xml:space="preserve">ec-2008-crd-ia</t>
  </si>
  <si>
    <t xml:space="preserve">European Commission (2008), Impact assessment accompanying the proposal for a Directive on consumer rights (summary SEC(2008) 2545), SEC(2008) 2544</t>
  </si>
  <si>
    <t xml:space="preserve">ex-ante (Eurobarometer, consultation)</t>
  </si>
  <si>
    <t xml:space="preserve">fragmentation costs; cross-border trade; consumer confidence</t>
  </si>
  <si>
    <t xml:space="preserve">Minimum-harmonisation clauses fragment national rules; 60% of traders see compliance with different national laws as an important obstacle; full harmonisation expected to boost cross-border sales and confidence</t>
  </si>
  <si>
    <t xml:space="preserve">The Commission argued that one set of consumer-contract rules would make it cheaper for shops to sell across borders and give shoppers more confidence.</t>
  </si>
  <si>
    <t xml:space="preserve">EU-27, 2008 baseline</t>
  </si>
  <si>
    <t xml:space="preserve">https://eur-lex.europa.eu/legal-content/EN/TXT/?uri=CELEX:52008SC2544</t>
  </si>
  <si>
    <t xml:space="preserve">http://web.archive.org/web/20251009141122/https://eur-lex.europa.eu/legal-content/EN/TXT/?uri=celex%3A52008SC2544</t>
  </si>
  <si>
    <t xml:space="preserve">uk-bis-2013-crd-ia</t>
  </si>
  <si>
    <t xml:space="preserve">UK Department for Business, Innovation and Skills (2013), Implementation of the EU Consumer Rights Directive (2011/83/EU): Impact Assessment - Final, BIS/13/1367 (IA BIS0396)</t>
  </si>
  <si>
    <t xml:space="preserve">national government impact assessment</t>
  </si>
  <si>
    <t xml:space="preserve">ex-ante (cost-benefit, 10 years, IFF retailer survey)</t>
  </si>
  <si>
    <t xml:space="preserve">business costs; harmonisation benefits</t>
  </si>
  <si>
    <t xml:space="preserve">Net present value GBP 2.57bn over 10 years (range 2.07-3.08bn); benefits dominated by an assumed GBP 358m a year from harmonisation; main ongoing cost GBP 56m a year from extended cancellation rights in distance sales</t>
  </si>
  <si>
    <t xml:space="preserve">The UK government expected the directive to bring a net benefit of about GBP 2.6 billion over ten years, almost all from easier cross-border selling - an assumption, not a measurement.</t>
  </si>
  <si>
    <t xml:space="preserve">UK, forecast 2013-2023</t>
  </si>
  <si>
    <t xml:space="preserve">forecast; benefit rests on harmonisation assumption</t>
  </si>
  <si>
    <t xml:space="preserve">full text read (summary sheets)</t>
  </si>
  <si>
    <t xml:space="preserve">https://assets.publishing.service.gov.uk/media/5a7f0e37ed915d74e62281cb/bis-13-1367-implementation-eu-consumer-rights-directive-impact-final.pdf</t>
  </si>
  <si>
    <t xml:space="preserve">http://web.archive.org/web/20260317092119/https://assets.publishing.service.gov.uk/media/5a7f0e37ed915d74e62281cb/bis-13-1367-implementation-eu-consumer-rights-directive-impact-final.pdf</t>
  </si>
  <si>
    <t xml:space="preserve">ec-2017-crd-evaluation</t>
  </si>
  <si>
    <t xml:space="preserve">European Commission (2017), Evaluation of the Consumer Rights Directive (executive summary SWD(2017) 170) and Report COM(2017) 259, SWD(2017) 169</t>
  </si>
  <si>
    <t xml:space="preserve">review (CRD study: surveys, mystery shopping, consultation)</t>
  </si>
  <si>
    <t xml:space="preserve">consumer protection; fragmentation; costs</t>
  </si>
  <si>
    <t xml:space="preserve">positive, early</t>
  </si>
  <si>
    <t xml:space="preserve">Directive in line with objectives of enhancing protection and reducing fragmentation, but evaluated early; too little data to conclude on business costs; withdrawal right the most common cross-border complaint; 25% of online shops tested lacked withdrawal information; recommends extending scope to 'free' digital services</t>
  </si>
  <si>
    <t xml:space="preserve">The Commission's 2017 review found the directive had helped, but it was too early and data were too thin to measure costs or benefits.</t>
  </si>
  <si>
    <t xml:space="preserve">EU, 2014-2016</t>
  </si>
  <si>
    <t xml:space="preserve">self-evaluation; early</t>
  </si>
  <si>
    <t xml:space="preserve">https://eur-lex.europa.eu/legal-content/EN/TXT/?uri=CELEX:52017SC0169</t>
  </si>
  <si>
    <t xml:space="preserve">uk-beis-2019-ccr-review</t>
  </si>
  <si>
    <t xml:space="preserve">UK Department for Business, Energy and Industrial Strategy (2019), Statutory Report on the Implementation of the Consumer Contracts (Information, Cancellation and Additional Charges) Regulations 2013, BEIS statutory review (July 2019)</t>
  </si>
  <si>
    <t xml:space="preserve">national post-implementation review</t>
  </si>
  <si>
    <t xml:space="preserve">review (call for evidence)</t>
  </si>
  <si>
    <t xml:space="preserve">objectives met; consumer reassurance</t>
  </si>
  <si>
    <t xml:space="preserve">Respondents generally felt the Regulations still meet their objectives; information and cancellation rules give consumers reassurance to engage; no quantification of the costs and benefits forecast in 2013</t>
  </si>
  <si>
    <t xml:space="preserve">Five years on, the UK review found the rules broadly working but did not check whether the forecast GBP 2.6 billion benefit had materialised.</t>
  </si>
  <si>
    <t xml:space="preserve">UK, 2014-2019</t>
  </si>
  <si>
    <t xml:space="preserve">stakeholder views only</t>
  </si>
  <si>
    <t xml:space="preserve">https://www.gov.uk/government/publications/statutory-report-on-the-implementation-of-the-consumer-contracts-regulations-2013</t>
  </si>
  <si>
    <t xml:space="preserve">https://assets.publishing.service.gov.uk/government/uploads/system/uploads/attachment_data/file/814448/Statutory_Report_on_the_Implementation_of_the_Consumer_Contracts.pdf</t>
  </si>
  <si>
    <t xml:space="preserve">borges-irlenbusch-2007</t>
  </si>
  <si>
    <t xml:space="preserve">Borges &amp; Irlenbusch (2007), Fairness Crowded Out by Law: An Experimental Study on Withdrawal Rights, Journal of Institutional and Theoretical Economics 163(1): 84-101</t>
  </si>
  <si>
    <t xml:space="preserve">causal: laboratory experiment (voluntary vs mandatory withdrawal right)</t>
  </si>
  <si>
    <t xml:space="preserve">return behaviour</t>
  </si>
  <si>
    <t xml:space="preserve">After Germany legislated a withdrawal right, returns rose sharply though most sellers already offered returns; in the lab, voluntarily offered return rights are reciprocated with less exploitation than legally mandated ones; small return costs barely change behaviour</t>
  </si>
  <si>
    <t xml:space="preserve">A lab experiment suggests that when the law, rather than the seller, grants a right to return goods, buyers use it more aggressively - relevant to the cost of the CRD's 14-day withdrawal right.</t>
  </si>
  <si>
    <t xml:space="preserve">Germany (pre-CRD distance-selling law); lab</t>
  </si>
  <si>
    <t xml:space="preserve">lab experiment; external validity limited; predates CRD</t>
  </si>
  <si>
    <t xml:space="preserve">https://doi.org/10.1628/093245607780181937</t>
  </si>
  <si>
    <t xml:space="preserve">ec-2024-digital-fairness-fitness-check-crd</t>
  </si>
  <si>
    <t xml:space="preserve">consumer detriment; compliance costs; simplification</t>
  </si>
  <si>
    <t xml:space="preserve">Covers CRD with UCPD and UCTD: effectiveness 'limited'; consumer detriment online at least EUR 7.9bn a year; compliance costs about EUR 511-737m a year; problems with cancelling and renewing digital subscriptions; information duties and the right of withdrawal identified as areas for simplification</t>
  </si>
  <si>
    <t xml:space="preserve">The 2024 review found the CRD still relevant and not costly, but weak against subscription traps and other online problems, and suggested simplifying its information and withdrawal rules.</t>
  </si>
  <si>
    <t xml:space="preserve">ec-2011-standardisation-ia</t>
  </si>
  <si>
    <t xml:space="preserve">European Commission (2011), Impact Assessment accompanying the proposal for a Regulation on European standardisation (executive summary), SEC(2011) 672</t>
  </si>
  <si>
    <t xml:space="preserve">speed of standard-setting; inclusiveness; EU budget</t>
  </si>
  <si>
    <t xml:space="preserve">Problem defined as slow standard-setting and weak SME/societal participation; options costed qualitatively (e.g. extra EUR 150,000-200,000 per standard for some options); no headline economic forecast</t>
  </si>
  <si>
    <t xml:space="preserve">The Commission aimed to speed up European standard-setting and give small firms and civil society more voice, without a quantified economic forecast.</t>
  </si>
  <si>
    <t xml:space="preserve">https://eur-lex.europa.eu/legal-content/EN/TXT/?uri=CELEX:52011SC0672</t>
  </si>
  <si>
    <t xml:space="preserve">http://web.archive.org/web/20251121112501/https://eur-lex.europa.eu/legal-content/EN/TXT/?uri=CELEX:52011SC0672</t>
  </si>
  <si>
    <t xml:space="preserve">ec-2022-standardisation-report</t>
  </si>
  <si>
    <t xml:space="preserve">European Commission (2022), Report on the implementation of Regulation (EU) No 1025/2012 from 2016 to 2020, COM(2022) 30</t>
  </si>
  <si>
    <t xml:space="preserve">Commission implementation report</t>
  </si>
  <si>
    <t xml:space="preserve">monitoring report (Article 24 reporting, contractor study)</t>
  </si>
  <si>
    <t xml:space="preserve">delivery times; inclusiveness; funding</t>
  </si>
  <si>
    <t xml:space="preserve">Median 100 days from ESO adoption to delivery for citation; formal objections take on average 1,084 days; 6 of 44 requests rejected; EUR 105m grants 2015-2019; ETSI inclusiveness criticised</t>
  </si>
  <si>
    <t xml:space="preserve">The Commission's second implementation report found improvements in IT tools but persistent delays and weak inclusion of small firms and civil society.</t>
  </si>
  <si>
    <t xml:space="preserve">EU, 2016-2020</t>
  </si>
  <si>
    <t xml:space="preserve">descriptive monitoring</t>
  </si>
  <si>
    <t xml:space="preserve">https://eur-lex.europa.eu/legal-content/EN/TXT/?uri=CELEX:52022DC0030</t>
  </si>
  <si>
    <t xml:space="preserve">http://web.archive.org/web/20250716123838/https://eur-lex.europa.eu/legal-content/EN/TXT/?uri=celex:52022DC0030</t>
  </si>
  <si>
    <t xml:space="preserve">ec-2025-standardisation-evaluation</t>
  </si>
  <si>
    <t xml:space="preserve">European Commission (2025), Evaluation of Regulation (EU) No 1025/2012 on European standardisation (executive summary), SWD(2025) 171 (full evaluation SWD(2025) 170; supporting study by Intellera, Fraunhofer ISI and Trinomics)</t>
  </si>
  <si>
    <t xml:space="preserve">ex-post evaluation (contractor study, surveys, consultation)</t>
  </si>
  <si>
    <t xml:space="preserve">speed; inclusiveness; costs; EU added value</t>
  </si>
  <si>
    <t xml:space="preserve">Moderately effective in speeding up harmonised standards, but average duration still six years; moderately effective on SME/civil society participation; benefits judged to outweigh costs despite poor data; new procedures after CJEU case law made the process slower</t>
  </si>
  <si>
    <t xml:space="preserve">The 2025 evaluation found the Regulation removed conflicting national standards and modestly sped things up, but harmonised standards still take about six years to produce.</t>
  </si>
  <si>
    <t xml:space="preserve">EU, 2013-2024</t>
  </si>
  <si>
    <t xml:space="preserve">Commission self-assessment; cost data weak</t>
  </si>
  <si>
    <t xml:space="preserve">full text read (executive summary, via Council register)</t>
  </si>
  <si>
    <t xml:space="preserve">https://data.consilium.europa.eu/doc/document/ST-10804-2025-INIT/en/pdf</t>
  </si>
  <si>
    <t xml:space="preserve">ec-2023-emcd-evaluation</t>
  </si>
  <si>
    <t xml:space="preserve">European Commission (2023), Evaluation of Electromagnetic Compatibility Directive 2014/30/EU (executive summary), SWD(2023) 8 (full evaluation SWD(2023) 7)</t>
  </si>
  <si>
    <t xml:space="preserve">ex-post REFIT evaluation (14 product groups; stakeholder consultation, supporting study)</t>
  </si>
  <si>
    <t xml:space="preserve">interference; compliance costs; market surveillance</t>
  </si>
  <si>
    <t xml:space="preserve">Directive reduced interference and supported the internal market; benefits outweigh costs; compliance costs estimated by industry at 5-10% of production costs; persistent non-compliant low-cost online imports</t>
  </si>
  <si>
    <t xml:space="preserve">The Commission's evaluation judged the EMC rules effective and worth their cost, but noted many cheap non-compliant gadgets still reach EU buyers online.</t>
  </si>
  <si>
    <t xml:space="preserve">EU, 2016-2021</t>
  </si>
  <si>
    <t xml:space="preserve">Commission self-assessment; largely qualitative</t>
  </si>
  <si>
    <t xml:space="preserve">https://eur-lex.europa.eu/legal-content/EN/TXT/?uri=CELEX:52023SC0008</t>
  </si>
  <si>
    <t xml:space="preserve">http://web.archive.org/web/20231115082019/http://eur-lex.europa.eu/legal-content/EN/TXT/?uri=CELEX:52023SC0008</t>
  </si>
  <si>
    <t xml:space="preserve">ec-2012-red-ia</t>
  </si>
  <si>
    <t xml:space="preserve">European Commission (2012), Impact Assessment accompanying the proposal for a Directive on radio equipment, SWD(2012) 329 (executive summary SWD(2012) 300)</t>
  </si>
  <si>
    <t xml:space="preserve">compliance; market surveillance; administrative costs</t>
  </si>
  <si>
    <t xml:space="preserve">Baseline compliance with essential requirements of only 28-56% in surveillance campaigns; revision expected to raise compliance via traceability and registration with limited extra burden</t>
  </si>
  <si>
    <t xml:space="preserve">The Commission found that up to half of radio devices checked broke the rules and expected the revised directive to raise compliance at little extra cost.</t>
  </si>
  <si>
    <t xml:space="preserve">full text read (executive summary; IA tables checked)</t>
  </si>
  <si>
    <t xml:space="preserve">https://eur-lex.europa.eu/legal-content/EN/TXT/?uri=CELEX:52012SC0329</t>
  </si>
  <si>
    <t xml:space="preserve">http://web.archive.org/web/20251106193711/https://eur-lex.europa.eu/legal-content/EN/TXT/?uri=celex%3A52012SC0329</t>
  </si>
  <si>
    <t xml:space="preserve">ec-2018-red-report</t>
  </si>
  <si>
    <t xml:space="preserve">European Commission (2018), Report on the operation of the Radio Equipment Directive 2014/53/EU, COM(2018) 740</t>
  </si>
  <si>
    <t xml:space="preserve">monitoring report (Article 47)</t>
  </si>
  <si>
    <t xml:space="preserve">transposition; compliance; standards</t>
  </si>
  <si>
    <t xml:space="preserve">Too early to judge effectiveness; manufacturers used the old directive during transition; no evidence of any category with low compliance</t>
  </si>
  <si>
    <t xml:space="preserve">The first review, a year after the transition, said it was too early to judge the directive's effects.</t>
  </si>
  <si>
    <t xml:space="preserve">EU, 2016-2018</t>
  </si>
  <si>
    <t xml:space="preserve">https://eur-lex.europa.eu/legal-content/EN/TXT/?uri=CELEX:52018DC0740</t>
  </si>
  <si>
    <t xml:space="preserve">http://web.archive.org/web/20250911184710/https://eur-lex.europa.eu/legal-content/EN/TXT/?uri=celex%3A52018DC0740</t>
  </si>
  <si>
    <t xml:space="preserve">ec-2024-red-report</t>
  </si>
  <si>
    <t xml:space="preserve">European Commission (2024), Second Report on the operation of Radio Equipment Directive 2014/53/EU, COM(2024) 158</t>
  </si>
  <si>
    <t xml:space="preserve">monitoring report (Article 47; ADCO statistics, stakeholder survey)</t>
  </si>
  <si>
    <t xml:space="preserve">compliance; market surveillance; common charger</t>
  </si>
  <si>
    <t xml:space="preserve">11,491 inspections in 2022 with about 60% non-compliance (targeted, not representative); stakeholders say self-assessment has led to low compliance; common charger (USB-C) amendment adopted 2022</t>
  </si>
  <si>
    <t xml:space="preserve">The second review reports that about 60% of radio products inspected in 2022 failed checks, though inspectors target risky products, and stakeholders doubt self-certification works.</t>
  </si>
  <si>
    <t xml:space="preserve">descriptive; non-representative sampling</t>
  </si>
  <si>
    <t xml:space="preserve">https://eur-lex.europa.eu/legal-content/EN/TXT/?uri=CELEX:52024DC0158</t>
  </si>
  <si>
    <t xml:space="preserve">http://web.archive.org/web/20240731080647/https://eur-lex.europa.eu/legal-content/EN/TXT/?uri=CELEX:52024DC0158</t>
  </si>
  <si>
    <t xml:space="preserve">ec-2013-einvoicing-ia</t>
  </si>
  <si>
    <t xml:space="preserve">European Commission (2013), Impact Assessment accompanying the proposal for a Directive on electronic invoicing in public procurement, SWD(2013) 222 (executive summary SWD(2013) 223)</t>
  </si>
  <si>
    <t xml:space="preserve">procurement costs; administrative burden; environment</t>
  </si>
  <si>
    <t xml:space="preserve">Savings of about EUR 1.5-2.3bn a year potentially achievable if all public procurement invoices were electronic; actual impact of the initiative explicitly said to possibly differ</t>
  </si>
  <si>
    <t xml:space="preserve">The Commission estimated that switching all public procurement invoices to electronic form could save EUR 1.5-2.3 billion a year.</t>
  </si>
  <si>
    <t xml:space="preserve">forecast; extrapolated from national estimates</t>
  </si>
  <si>
    <t xml:space="preserve">full text read (relevant sections)</t>
  </si>
  <si>
    <t xml:space="preserve">https://eur-lex.europa.eu/legal-content/EN/TXT/?uri=CELEX:52013SC0222</t>
  </si>
  <si>
    <t xml:space="preserve">http://web.archive.org/web/20251204001311/https://eur-lex.europa.eu/legal-content/EN/TXT/?uri=celex%3A52013SC0222</t>
  </si>
  <si>
    <t xml:space="preserve">ec-2024-einvoicing-evaluation</t>
  </si>
  <si>
    <t xml:space="preserve">European Commission (2024), Evaluation of Directive 2014/55/EU on electronic invoicing in public procurement (executive summary), SWD(2024) 40 (full evaluation SWD(2024) 39)</t>
  </si>
  <si>
    <t xml:space="preserve">ex-post evaluation (Member State survey, stakeholder consultation)</t>
  </si>
  <si>
    <t xml:space="preserve">interoperability; uptake; costs</t>
  </si>
  <si>
    <t xml:space="preserve">positive but incomplete</t>
  </si>
  <si>
    <t xml:space="preserve">European standard established and widely accepted by central governments; adoption high only where mandated; 17 of 23 Member States report benefits exceed costs; transmission-level interoperability and divergent national implementations remain problems</t>
  </si>
  <si>
    <t xml:space="preserve">The evaluation found the directive created a common e-invoice standard used across Europe, but uptake is high only where governments make e-invoices compulsory.</t>
  </si>
  <si>
    <t xml:space="preserve">EU, 2014-2023</t>
  </si>
  <si>
    <t xml:space="preserve">Commission self-assessment; savings not quantified</t>
  </si>
  <si>
    <t xml:space="preserve">https://eur-lex.europa.eu/legal-content/EN/TXT/?uri=CELEX:52024SC0040</t>
  </si>
  <si>
    <t xml:space="preserve">ec-2024-ttber-evaluation</t>
  </si>
  <si>
    <t xml:space="preserve">European Commission (2024), Evaluation of the Technology Transfer Block Exemption Regulation and Technology Transfer Guidelines, SWD(2024) 268 (with SWD(2024) 269)</t>
  </si>
  <si>
    <t xml:space="preserve">ex-post evaluation (stakeholder consultation, targeted survey)</t>
  </si>
  <si>
    <t xml:space="preserve">legal certainty; compliance costs; licensing</t>
  </si>
  <si>
    <t xml:space="preserve">Rules largely meet objectives, providing legal certainty and lower compliance costs; problems applying market-share thresholds, the '4+' test and technology pools; data licensing not addressed</t>
  </si>
  <si>
    <t xml:space="preserve">The Commission's evaluation found the licensing safe harbour still useful, but out of date for early-stage technologies and data licensing.</t>
  </si>
  <si>
    <t xml:space="preserve">Commission self-assessment based on stakeholder views</t>
  </si>
  <si>
    <t xml:space="preserve">https://competition-policy.ec.europa.eu/public-consultations/2023-technology-transfer_en</t>
  </si>
  <si>
    <t xml:space="preserve">http://web.archive.org/web/20260711114357/https://competition-policy.ec.europa.eu/public-consultations/2023-technology-transfer_en</t>
  </si>
  <si>
    <t xml:space="preserve">ec-2026-ttber-ia</t>
  </si>
  <si>
    <t xml:space="preserve">European Commission (2026), Impact Assessment accompanying the revised Technology Transfer Block Exemption Regulation and Guidelines (executive summary), SWD(2026) 116 (full IA SWD(2026) 114)</t>
  </si>
  <si>
    <t xml:space="preserve">compliance costs; licensing; SMEs</t>
  </si>
  <si>
    <t xml:space="preserve">Preferred options to cut cost of applying market-share thresholds by 15-40% per agreement and data-licensing assessment costs by up to 33%; no new obligations on business</t>
  </si>
  <si>
    <t xml:space="preserve">For the replacement rules, the Commission expects firms' legal-assessment costs for licensing deals to fall by 15-40%.</t>
  </si>
  <si>
    <t xml:space="preserve">https://eur-lex.europa.eu/legal-content/EN/TXT/?uri=CELEX:52026SC0116</t>
  </si>
  <si>
    <t xml:space="preserve">ec-2012-eidas-ia</t>
  </si>
  <si>
    <t xml:space="preserve">European Commission (2012), Impact Assessment accompanying the proposal for a Regulation on electronic identification and trust services for electronic transactions in the internal market (executive summary SWD(2012) 136), SWD(2012) 135</t>
  </si>
  <si>
    <t xml:space="preserve">ex-ante (qualitative comparison of options)</t>
  </si>
  <si>
    <t xml:space="preserve">cross-border e-transactions; market fragmentation; trust</t>
  </si>
  <si>
    <t xml:space="preserve">Preferred option (comprehensive framework incl. ancillary trust services) expected to boost availability and take-up of cross-border eID and trust services; executive summary gives no monetised benefit estimate</t>
  </si>
  <si>
    <t xml:space="preserve">The Commission expected one EU framework for e-ID and e-signatures to remove barriers to secure online transactions across borders, but did not put a number on the gains.</t>
  </si>
  <si>
    <t xml:space="preserve">qualitative forecast</t>
  </si>
  <si>
    <t xml:space="preserve">https://eur-lex.europa.eu/legal-content/EN/TXT/?uri=CELEX:52012SC0136</t>
  </si>
  <si>
    <t xml:space="preserve">ec-2021-eidas-evaluation</t>
  </si>
  <si>
    <t xml:space="preserve">European Commission (2021), Report on the evaluation of Regulation (EU) No 910/2014 (eIDAS), COM(2021) 290</t>
  </si>
  <si>
    <t xml:space="preserve">ex-post evaluation (consultations, cost-benefit baseline)</t>
  </si>
  <si>
    <t xml:space="preserve">eID coverage and uptake; trust services; costs and benefits</t>
  </si>
  <si>
    <t xml:space="preserve">Regulation has not achieved its potential on eID: notified eIDs cover 59% of population, acceptance limited, quantifiable costs higher than benefits due to low uptake; trust services: legal certainty achieved, take-up increased, market fragmentation reduced but no full level playing field</t>
  </si>
  <si>
    <t xml:space="preserve">The Commission's own evaluation found the e-signature and trust-service rules worked reasonably well, but the cross-border e-ID part had so little use that its costs exceeded its benefits.</t>
  </si>
  <si>
    <t xml:space="preserve">EU, 2014-2020</t>
  </si>
  <si>
    <t xml:space="preserve">evaluation with acknowledged data limits</t>
  </si>
  <si>
    <t xml:space="preserve">https://eur-lex.europa.eu/legal-content/EN/TXT/?uri=CELEX:52021DC0290</t>
  </si>
  <si>
    <t xml:space="preserve">ec-2021-eidas-evaluation-swd</t>
  </si>
  <si>
    <t xml:space="preserve">European Commission (2021), Staff Working Document accompanying the evaluation of the eIDAS Regulation, SWD(2021) 130</t>
  </si>
  <si>
    <t xml:space="preserve">ex-post evaluation; stakeholder surveys; cost-benefit analysis based on stakeholder estimates</t>
  </si>
  <si>
    <t xml:space="preserve">trust service market; private-sector eID use; costs</t>
  </si>
  <si>
    <t xml:space="preserve">202 active qualified trust service providers in 29 of 30 EU/EEA countries; only 12 Member States notified eID schemes usable by private providers; costs borne mainly by public authorities, benefits mainly by users and market operators; data dispersion large</t>
  </si>
  <si>
    <t xml:space="preserve">Detailed evaluation: a real EU market for qualified trust services emerged (202 providers), but private companies hardly use national e-IDs across borders.</t>
  </si>
  <si>
    <t xml:space="preserve">EU/EEA, 2014-2020</t>
  </si>
  <si>
    <t xml:space="preserve">indicative; stakeholder-reported cost data</t>
  </si>
  <si>
    <t xml:space="preserve">https://eur-lex.europa.eu/legal-content/EN/TXT/?uri=CELEX:52021SC0130</t>
  </si>
  <si>
    <t xml:space="preserve">http://web.archive.org/web/20241228111941/https://eur-lex.europa.eu/legal-content/EN/TXT/?uri=CELEX:52021SC0130</t>
  </si>
  <si>
    <t xml:space="preserve">ec-2021-eidas-council-presentation</t>
  </si>
  <si>
    <t xml:space="preserve">European Commission (presentation to Council Telecom Working Party) (2021), Revision of the eIDAS Regulation - European Digital Identity: evaluation preliminary results, Council document WK 163/2021, 7 Jan 2021</t>
  </si>
  <si>
    <t xml:space="preserve">Commission evaluation (presentation)</t>
  </si>
  <si>
    <t xml:space="preserve">descriptive usage data</t>
  </si>
  <si>
    <t xml:space="preserve">eID coverage; acceptance; cross-border use</t>
  </si>
  <si>
    <t xml:space="preserve">negative (low uptake)</t>
  </si>
  <si>
    <t xml:space="preserve">19 notified schemes from 14 Member States (59% of population); 67% of Member States can accept notified eIDs; 14% of key cross-border public services offer eIDAS login; 100-30,000 successful cross-border authentications a year vs millions domestically</t>
  </si>
  <si>
    <t xml:space="preserve">Cross-border logins with national e-IDs numbered only between a hundred and thirty thousand a year per country, against millions of domestic logins.</t>
  </si>
  <si>
    <t xml:space="preserve">EU-27, 2020</t>
  </si>
  <si>
    <t xml:space="preserve">preliminary figures</t>
  </si>
  <si>
    <t xml:space="preserve">https://data.consilium.europa.eu/doc/document/WK-163-2021-INIT/en/pdf</t>
  </si>
  <si>
    <t xml:space="preserve">ec-2026-notified-eid-overview</t>
  </si>
  <si>
    <t xml:space="preserve">European Commission (eID User Community) (2026), Overview of pre-notified and notified eID schemes under eIDAS, Commission web page, last updated 2 Feb 2026</t>
  </si>
  <si>
    <t xml:space="preserve">official register</t>
  </si>
  <si>
    <t xml:space="preserve">eID notification</t>
  </si>
  <si>
    <t xml:space="preserve">positive (coverage growing)</t>
  </si>
  <si>
    <t xml:space="preserve">Notified schemes listed for 24 of 27 Member States (first: Germany 2017; latest additions Romania 2024, France Identite 2024, Finland 2025); no notified scheme for Greece, Hungary or Ireland</t>
  </si>
  <si>
    <t xml:space="preserve">By 2026, 24 of 27 EU countries had notified a national e-ID for cross-border use, up from 14 in 2021.</t>
  </si>
  <si>
    <t xml:space="preserve">EU/EEA, 2017-2026</t>
  </si>
  <si>
    <t xml:space="preserve">administrative register</t>
  </si>
  <si>
    <t xml:space="preserve">https://ec.europa.eu/digital-building-blocks/sites/display/EIDCOMMUNITY/Overview+of+pre-notified+and+notified+eID+schemes+under+eIDAS</t>
  </si>
  <si>
    <t xml:space="preserve">lips-bharosa-draheim-2020</t>
  </si>
  <si>
    <t xml:space="preserve">Lips, Bharosa &amp; Draheim (2020), eIDAS Implementation Challenges: The Case of Estonia and the Netherlands, Communications in Computer and Information Science vol. 1349 (EGOSE 2020), Springer</t>
  </si>
  <si>
    <t xml:space="preserve">comparative case study (qualitative)</t>
  </si>
  <si>
    <t xml:space="preserve">implementation</t>
  </si>
  <si>
    <t xml:space="preserve">Compares eIDAS implementation in two digitally advanced countries; finds the regulation raised many practical questions and identifies research gaps</t>
  </si>
  <si>
    <t xml:space="preserve">A comparison of Estonia and the Netherlands shows that even digital front-runners struggled with practical questions in applying eIDAS.</t>
  </si>
  <si>
    <t xml:space="preserve">EE, NL</t>
  </si>
  <si>
    <t xml:space="preserve">qualitative; two countries</t>
  </si>
  <si>
    <t xml:space="preserve">https://doi.org/10.1007/978-3-030-67238-6_6</t>
  </si>
  <si>
    <t xml:space="preserve">ec-2013-psd2-ia</t>
  </si>
  <si>
    <t xml:space="preserve">European Commission (2013), Impact Assessment accompanying the proposals for PSD2 and the Interchange Fee Regulation (summary SWD(2013) 289), SWD(2013) 288</t>
  </si>
  <si>
    <t xml:space="preserve">costs and prices; standardisation</t>
  </si>
  <si>
    <t xml:space="preserve">Package-level estimates: card standardisation benefits ~EUR 4bn/yr; interchange-fee caps EUR 3-6bn/yr operational savings for merchants (these relate mainly to the Interchange Fee Regulation, not PSD2)</t>
  </si>
  <si>
    <t xml:space="preserve">The Commission expected the payments package to save merchants and consumers billions a year, mostly through caps on card fees set in a separate regulation.</t>
  </si>
  <si>
    <t xml:space="preserve">forecast; most quantified benefits belong to the companion Interchange Fee Regulation</t>
  </si>
  <si>
    <t xml:space="preserve">https://eur-lex.europa.eu/legal-content/EN/TXT/?uri=CELEX:52013SC0289</t>
  </si>
  <si>
    <t xml:space="preserve">ec-2023-psd2-review</t>
  </si>
  <si>
    <t xml:space="preserve">European Commission (2023), Report on the review of Directive (EU) 2015/2366 (PSD2), COM(2023) 365, with evaluation in SWD(2023) 231</t>
  </si>
  <si>
    <t xml:space="preserve">evaluation (market data, consultation)</t>
  </si>
  <si>
    <t xml:space="preserve">fraud; competition; open banking; prices</t>
  </si>
  <si>
    <t xml:space="preserve">SCA highly successful against fraud (70-80% lower fraud on SCA remote card payments); new non-bank entrants and open-banking growth but uneven uptake and poor API performance; merchant cost reductions not yet materialised; card systems still national</t>
  </si>
  <si>
    <t xml:space="preserve">PSD2 sharply reduced card fraud and let many new payment firms enter, but open banking has taken off unevenly and promised savings for merchants have not yet appeared.</t>
  </si>
  <si>
    <t xml:space="preserve">EU, 2018-2022</t>
  </si>
  <si>
    <t xml:space="preserve">https://eur-lex.europa.eu/legal-content/EN/TXT/?uri=CELEX:52023DC0365</t>
  </si>
  <si>
    <t xml:space="preserve">http://web.archive.org/web/20241219081330/https://eur-lex.europa.eu/legal-content/EN/TXT/?uri=CELEX:52023DC0365</t>
  </si>
  <si>
    <t xml:space="preserve">babina-et-al-2024</t>
  </si>
  <si>
    <t xml:space="preserve">Babina, Bahaj, Buchak, De Marco, Foulis, Gornall, Mazzola &amp; Yu (2024), Customer Data Access and Fintech Entry: Early Evidence from Open Banking, NBER Working Paper 32089 (also Bank of England staff working paper)</t>
  </si>
  <si>
    <t xml:space="preserve">causal: cross-country staggered adoption (49 countries) + UK microdata + calibrated model</t>
  </si>
  <si>
    <t xml:space="preserve">innovation (fintech investment); credit access; welfare</t>
  </si>
  <si>
    <t xml:space="preserve">positive (with distributional costs)</t>
  </si>
  <si>
    <t xml:space="preserve">Open-banking adoption spurs investment in fintechs; in the UK it gives consumers access to advice and credit and SMEs new fintech lending relationships; welfare gains from advice, mixed for credit (higher prices for costlier or privacy-conscious consumers)</t>
  </si>
  <si>
    <t xml:space="preserve">Across 49 countries, open-banking rules like those in PSD2 attracted more investment into fintech start-ups and widened access to credit, though some consumers end up paying more.</t>
  </si>
  <si>
    <t xml:space="preserve">49 countries; UK microdata</t>
  </si>
  <si>
    <t xml:space="preserve">not EU-specific; PSD2 is one of the policies studied</t>
  </si>
  <si>
    <t xml:space="preserve">https://www.nber.org/papers/w32089</t>
  </si>
  <si>
    <t xml:space="preserve">https://www.nber.org/system/files/working_papers/w32089/w32089.pdf</t>
  </si>
  <si>
    <t xml:space="preserve">multisafepay-sca-conversion</t>
  </si>
  <si>
    <t xml:space="preserve">MultiSafepay (2021), How PSD2 &amp; Strong Customer Authentication affect your payment success rates, Industry blog (payment service provider)</t>
  </si>
  <si>
    <t xml:space="preserve">industry</t>
  </si>
  <si>
    <t xml:space="preserve">descriptive (own transaction data)</t>
  </si>
  <si>
    <t xml:space="preserve">firm performance (online conversion)</t>
  </si>
  <si>
    <t xml:space="preserve">negative (friction)</t>
  </si>
  <si>
    <t xml:space="preserve">Average conversion for 3DS-authenticated card payments about 82%; gap vs non-authenticated flows about 7% in NL and about 13% in IT and ES</t>
  </si>
  <si>
    <t xml:space="preserve">Payment-industry data suggest the extra authentication step costs online shops some sales, with bigger losses in southern Europe.</t>
  </si>
  <si>
    <t xml:space="preserve">European markets</t>
  </si>
  <si>
    <t xml:space="preserve">vendor data; not independent; no counterfactual</t>
  </si>
  <si>
    <t xml:space="preserve">Payment service provider</t>
  </si>
  <si>
    <t xml:space="preserve">https://www.multisafepay.com/blog/how-psd2-strong-customer-authentication-affect-your-payment-success-rates</t>
  </si>
  <si>
    <t xml:space="preserve">ec-2013-connected-continent-ia</t>
  </si>
  <si>
    <t xml:space="preserve">European Commission (2013), Impact Assessment on the European Single Market for electronic communications / Connected Continent (executive summary SWD(2013) 332), SWD(2013) 331</t>
  </si>
  <si>
    <t xml:space="preserve">single market benefits; operator revenues</t>
  </si>
  <si>
    <t xml:space="preserve">Direct benefit of a single market for electronic communications about EUR 110bn a year plus spill-overs; net neutrality part of a wider package (most of which was dropped)</t>
  </si>
  <si>
    <t xml:space="preserve">The Commission put the benefit of its wider telecoms package, including open internet rules, at about EUR 110 billion a year, but did not estimate the net neutrality part separately.</t>
  </si>
  <si>
    <t xml:space="preserve">forecast; package-wide</t>
  </si>
  <si>
    <t xml:space="preserve">https://eur-lex.europa.eu/legal-content/EN/TXT/?uri=CELEX:52013SC0332</t>
  </si>
  <si>
    <t xml:space="preserve">ec-2019-open-internet-report</t>
  </si>
  <si>
    <t xml:space="preserve">European Commission (2019), Report on the implementation of the open internet access provisions of Regulation (EU) 2015/2120, COM(2019) 203</t>
  </si>
  <si>
    <t xml:space="preserve">implementation review (NRA and BEREC reports, stakeholder input)</t>
  </si>
  <si>
    <t xml:space="preserve">end-user rights; investment; innovation</t>
  </si>
  <si>
    <t xml:space="preserve">Principles appropriate and effective; implementation consistent; main issues transparency, zero-rating and traffic management; regulation 'does not seem to affect' ISP investment</t>
  </si>
  <si>
    <t xml:space="preserve">The Commission's first review found the rules applied consistently and judged that they had not harmed network investment, though without hard data.</t>
  </si>
  <si>
    <t xml:space="preserve">EU, 2016-18</t>
  </si>
  <si>
    <t xml:space="preserve">qualitative review</t>
  </si>
  <si>
    <t xml:space="preserve">https://eur-lex.europa.eu/legal-content/EN/TXT/?uri=CELEX:52019DC0203</t>
  </si>
  <si>
    <t xml:space="preserve">ec-2023-open-internet-report</t>
  </si>
  <si>
    <t xml:space="preserve">European Commission (2023), Second report on the implementation of the open internet access provisions of Regulation (EU) 2015/2120, COM(2023) 233</t>
  </si>
  <si>
    <t xml:space="preserve">implementation review (BEREC Opinion BoR(22)163, ICF/WIK study, CJEU case law)</t>
  </si>
  <si>
    <t xml:space="preserve">end-user rights; zero-rating; specialised services</t>
  </si>
  <si>
    <t xml:space="preserve">Principles remain relevant; CJEU judgments (2020-21) ruled application-specific zero-tariff options incompatible; legal uncertainty on specialised services/5G slicing may chill investment; few and low penalties</t>
  </si>
  <si>
    <t xml:space="preserve">The second review found the rules still fit for purpose, after EU court rulings ended most zero-rating offers, but noted uncertainty about new 5G services.</t>
  </si>
  <si>
    <t xml:space="preserve">EU, 2019-23</t>
  </si>
  <si>
    <t xml:space="preserve">https://eur-lex.europa.eu/legal-content/EN/TXT/?uri=CELEX:52023DC0233</t>
  </si>
  <si>
    <t xml:space="preserve">briglauer-et-al-2022-net-neutrality</t>
  </si>
  <si>
    <t xml:space="preserve">Briglauer, Cambini, Gugler &amp; Stocker (2022), Net neutrality and high-speed broadband networks: evidence from OECD countries, European Journal of Law and Economics</t>
  </si>
  <si>
    <t xml:space="preserve">panel econometrics with instrumental variables (32 OECD countries, 2003-2019)</t>
  </si>
  <si>
    <t xml:space="preserve">fibre investment; fibre subscriptions</t>
  </si>
  <si>
    <t xml:space="preserve">Net neutrality regulations have a significant and strong negative impact on fibre investment; strict rules slow fibre deployment; no overall welfare assessment</t>
  </si>
  <si>
    <t xml:space="preserve">A study of 32 OECD countries finds strict net neutrality rules slowed investment in fibre broadband, though it does not weigh benefits for content providers or consumers.</t>
  </si>
  <si>
    <t xml:space="preserve">OECD, 2003-19</t>
  </si>
  <si>
    <t xml:space="preserve">causal (IV panel); cross-country, not EU-regulation-specific</t>
  </si>
  <si>
    <t xml:space="preserve">https://doi.org/10.1007/s10657-022-09754-5</t>
  </si>
  <si>
    <t xml:space="preserve">epicenter-2019-net-neutrality</t>
  </si>
  <si>
    <t xml:space="preserve">epicenter.works (2019), The Net Neutrality Situation in the EU: Evaluation of the First Two Years of Enforcement, NGO report</t>
  </si>
  <si>
    <t xml:space="preserve">NGO report</t>
  </si>
  <si>
    <t xml:space="preserve">survey of 186 differential-pricing offers; OLS regression on Commission mobile price data</t>
  </si>
  <si>
    <t xml:space="preserve">zero-rating; mobile data prices</t>
  </si>
  <si>
    <t xml:space="preserve">negative (zero-rating)</t>
  </si>
  <si>
    <t xml:space="preserve">Zero-rating in all but two EU countries; in markets with zero-rating in both years mobile data prices rose 2% (2015-16) vs fell 8% where none existed; later analysis (excl. Finland) +1% vs -10%</t>
  </si>
  <si>
    <t xml:space="preserve">A digital-rights NGO found zero-rating offers spread widely and that mobile data got cheaper more slowly where they existed.</t>
  </si>
  <si>
    <t xml:space="preserve">EU/EEA, 2015-18</t>
  </si>
  <si>
    <t xml:space="preserve">Advocacy NGO campaigning for strict net neutrality</t>
  </si>
  <si>
    <t xml:space="preserve">https://epicenter.works/fileadmin/import/2019_netneutrality_in_eu-epicenter.works-r1.pdf</t>
  </si>
  <si>
    <t xml:space="preserve">kiraly-schwarz-2019-zero-rating</t>
  </si>
  <si>
    <t xml:space="preserve">Király &amp; Schwarz (RTR) (2019), Zero-Rating in the EU: An empirical investigation into the effects on data caps and prices in 15 countries, Austrian regulator RTR study (presented at Cullen International seminar, 4 Sept 2019)</t>
  </si>
  <si>
    <t xml:space="preserve">national regulator study</t>
  </si>
  <si>
    <t xml:space="preserve">panel and quantile regressions with operator fixed effects (11,000+ tariffs, 53 operators, 15 countries, 2015-18)</t>
  </si>
  <si>
    <t xml:space="preserve">data caps; price per GB; monthly fee</t>
  </si>
  <si>
    <t xml:space="preserve">Share of tariffs with zero-rating rose fivefold; effect on included data, price per GB and monthly fee varies strongly across countries, time and app categories, with no identifiable pattern; supports case-by-case assessment</t>
  </si>
  <si>
    <t xml:space="preserve">Austria's telecoms regulator found no consistent effect of zero-rating on data allowances or prices across 15 EU countries.</t>
  </si>
  <si>
    <t xml:space="preserve">15 EU countries, 2015-18</t>
  </si>
  <si>
    <t xml:space="preserve">econometric (fixed effects); correlational</t>
  </si>
  <si>
    <t xml:space="preserve">https://www.rtr.at/TKP/aktuelles/publikationen/publikationen/ZeroRatingEU2019.en.html</t>
  </si>
  <si>
    <t xml:space="preserve">https://www.cullen-international.com/dam/jcr:f52e951f-2395-46ea-8a52-3266bace848a/Zero-Rating-in-the-EU-Andras-Robert-Kirali-Anton-Schwarz-RTR.pdf</t>
  </si>
  <si>
    <t xml:space="preserve">ec-2012-dp-reform-ia</t>
  </si>
  <si>
    <t xml:space="preserve">European Commission (2012), Impact Assessment for the data protection reform package (GDPR and Law Enforcement Directive), executive summary, SEC(2012) 73 (full IA SEC(2012) 72)</t>
  </si>
  <si>
    <t xml:space="preserve">legal certainty; protection of individuals; police cooperation</t>
  </si>
  <si>
    <t xml:space="preserve">Shared IA with the GDPR; for policing it identified fragmented rules under the 2008 Framework Decision and legal uncertainty for individuals and authorities; no quantified forecast for the LED</t>
  </si>
  <si>
    <t xml:space="preserve">The Commission's joint impact assessment argued that a single directive would end patchy data protection rules for police and courts, but gave no figures for this part.</t>
  </si>
  <si>
    <t xml:space="preserve">forecast; qualitative for LED</t>
  </si>
  <si>
    <t xml:space="preserve">https://eur-lex.europa.eu/legal-content/EN/TXT/?uri=CELEX:52012SC0073</t>
  </si>
  <si>
    <t xml:space="preserve">http://web.archive.org/web/20260619083541/https://eur-lex.europa.eu/legal-content/EN/TXT/?uri=CELEX%3A52012SC0073</t>
  </si>
  <si>
    <t xml:space="preserve">ec-2022-led-report</t>
  </si>
  <si>
    <t xml:space="preserve">European Commission (2022), First report on application and functioning of the Data Protection Law Enforcement Directive (EU) 2016/680, COM(2022) 364</t>
  </si>
  <si>
    <t xml:space="preserve">Commission review report</t>
  </si>
  <si>
    <t xml:space="preserve">transposition analysis, Member State and supervisory authority input, external study</t>
  </si>
  <si>
    <t xml:space="preserve">transposition; complaints; supervisory resources</t>
  </si>
  <si>
    <t xml:space="preserve">Two-thirds of Member States late; 19 infringement procedures; transposition satisfactory overall with gaps; complaints rising; limited experience to judge effects</t>
  </si>
  <si>
    <t xml:space="preserve">The first review found most countries implemented the rules late and with gaps, and it was too early to judge their real effect.</t>
  </si>
  <si>
    <t xml:space="preserve">descriptive; early</t>
  </si>
  <si>
    <t xml:space="preserve">https://eur-lex.europa.eu/legal-content/EN/TXT/?uri=CELEX:52022DC0364</t>
  </si>
  <si>
    <t xml:space="preserve">http://web.archive.org/web/20260415024244/https://eur-lex.europa.eu/legal-content/EN/TXT/?uri=CELEX:52022DC0364</t>
  </si>
  <si>
    <t xml:space="preserve">council-2025-led-findings</t>
  </si>
  <si>
    <t xml:space="preserve">Council of the European Union (2025), Council position and findings on the evaluation and review of the Law Enforcement Directive (LED), Council document ST 15616/25</t>
  </si>
  <si>
    <t xml:space="preserve">Member State position paper</t>
  </si>
  <si>
    <t xml:space="preserve">Member State observations (input to 2026 Commission review)</t>
  </si>
  <si>
    <t xml:space="preserve">administrative burden; international transfers; DPOs</t>
  </si>
  <si>
    <t xml:space="preserve">Harmonised framework welcomed; DPOs improved awareness and compliance; DPIAs, broad access requests and international-transfer rules perceived as burdensome</t>
  </si>
  <si>
    <t xml:space="preserve">Member States say the directive brought consistent rules and better data-protection awareness in police forces, but some obligations are burdensome in practice.</t>
  </si>
  <si>
    <t xml:space="preserve">EU, 2022-2025</t>
  </si>
  <si>
    <t xml:space="preserve">views of the regulated authorities</t>
  </si>
  <si>
    <t xml:space="preserve">Member State governments (whose police and justice authorities are the regulated parties)</t>
  </si>
  <si>
    <t xml:space="preserve">full text read (parts)</t>
  </si>
  <si>
    <t xml:space="preserve">https://data.consilium.europa.eu/doc/document/ST-15616-2025-INIT/en/pdf</t>
  </si>
  <si>
    <t xml:space="preserve">ec-2013-tradesecrets-ia</t>
  </si>
  <si>
    <t xml:space="preserve">European Commission (2013), Impact Assessment accompanying the proposal for a Directive on the protection of undisclosed know-how and business information (trade secrets), SWD(2013) 471 (executive summary SWD(2013) 472)</t>
  </si>
  <si>
    <t xml:space="preserve">ex-ante (2012 business survey, studies)</t>
  </si>
  <si>
    <t xml:space="preserve">innovation; knowledge sharing; legal certainty</t>
  </si>
  <si>
    <t xml:space="preserve">Fragmented national protection weakens incentives for cross-border innovation; 40% of firms would refrain from sharing trade secrets; misappropriation can cut turnover by up to 30%; harmonised redress expected to boost cross-border R&amp;D cooperation</t>
  </si>
  <si>
    <t xml:space="preserve">The Commission argued that patchy national protection made firms afraid to share know-how, with 40% saying they held back, and that common rules would encourage innovation.</t>
  </si>
  <si>
    <t xml:space="preserve">forecast; survey-based problem definition</t>
  </si>
  <si>
    <t xml:space="preserve">https://eur-lex.europa.eu/legal-content/EN/TXT/?uri=CELEX:52013SC0472</t>
  </si>
  <si>
    <t xml:space="preserve">http://web.archive.org/web/20251006224201/https://eur-lex.europa.eu/legal-content/EN/TXT/?uri=celex%3A52013SC0472</t>
  </si>
  <si>
    <t xml:space="preserve">borghi-cogo-khan-2023-euipo</t>
  </si>
  <si>
    <t xml:space="preserve">Borghi, Cogo &amp; Khan (for EUIPO Observatory) (2023), Trade Secrets Litigation Trends in the EU, EUIPO / European Observatory on Infringements of IP Rights</t>
  </si>
  <si>
    <t xml:space="preserve">agency-commissioned study</t>
  </si>
  <si>
    <t xml:space="preserve">descriptive (quantitative and qualitative analysis of ~700 national judgments, 2017-2022)</t>
  </si>
  <si>
    <t xml:space="preserve">litigation; enforcement</t>
  </si>
  <si>
    <t xml:space="preserve">Litigation highly uneven across Member States; cross-border cases uncommon; disputes mostly over commercial information (62%) such as customer lists; data gaps (party identity unknown in 45% of cases)</t>
  </si>
  <si>
    <t xml:space="preserve">A study of about 700 court cases found trade-secret litigation still differs a lot between EU countries and mostly concerns commercial data such as customer lists.</t>
  </si>
  <si>
    <t xml:space="preserve">EU, 2017-2022</t>
  </si>
  <si>
    <t xml:space="preserve">descriptive; required by Art. 18</t>
  </si>
  <si>
    <t xml:space="preserve">page summary via search; repository metadata checked</t>
  </si>
  <si>
    <t xml:space="preserve">https://iris.unito.it/handle/2318/1928879</t>
  </si>
  <si>
    <t xml:space="preserve">https://iris.unito.it/bitstream/2318/1928879/1/2023_Trade_Secrets_Litigation_Trends_Study_FullR_en.pdf</t>
  </si>
  <si>
    <t xml:space="preserve">ec-2012-gdpr-ia</t>
  </si>
  <si>
    <t xml:space="preserve">European Commission (2012), Impact Assessment accompanying the data protection reform (executive summary SEC(2012) 73), SEC(2012) 72</t>
  </si>
  <si>
    <t xml:space="preserve">ex-ante (Standard Cost Model)</t>
  </si>
  <si>
    <t xml:space="preserve">administrative burden; internal market</t>
  </si>
  <si>
    <t xml:space="preserve">Fragmentation costs firms about EUR 2.9bn/yr in administrative burden; the reform would save about EUR 2.3bn/yr</t>
  </si>
  <si>
    <t xml:space="preserve">The Commission expected the GDPR to cut red tape for businesses by about EUR 2.3 billion a year by replacing 28 national regimes with one.</t>
  </si>
  <si>
    <t xml:space="preserve">forecast; covers administrative burden only, not compliance costs</t>
  </si>
  <si>
    <t xml:space="preserve">ec-2024-gdpr-report</t>
  </si>
  <si>
    <t xml:space="preserve">European Commission (2024), Second report on the application of the General Data Protection Regulation, COM(2024) 357</t>
  </si>
  <si>
    <t xml:space="preserve">review (enforcement statistics, stakeholder input)</t>
  </si>
  <si>
    <t xml:space="preserve">enforcement; resources; SMEs</t>
  </si>
  <si>
    <t xml:space="preserve">Over 6,680 fines (~EUR 4.2bn); DPA staff up &gt;25% in 14 Member States; calls for more support for SMEs and more consistent interpretation; no estimate of costs or benefits</t>
  </si>
  <si>
    <t xml:space="preserve">The Commission judges the GDPR to be working but says enforcement is uneven between countries and SMEs need more practical help.</t>
  </si>
  <si>
    <t xml:space="preserve">EU, 2018-2024</t>
  </si>
  <si>
    <t xml:space="preserve">self-evaluation; no economic impact estimates</t>
  </si>
  <si>
    <t xml:space="preserve">https://eur-lex.europa.eu/legal-content/EN/TXT/?uri=CELEX:52024DC0357</t>
  </si>
  <si>
    <t xml:space="preserve">jia-jin-wagman-2021</t>
  </si>
  <si>
    <t xml:space="preserve">Jia, Jin &amp; Wagman (2021), The Short-Run Effects of the General Data Protection Regulation on Technology Venture Investment, Marketing Science (NBER w25248)</t>
  </si>
  <si>
    <t xml:space="preserve">causal: difference-in-differences (EU vs US ventures)</t>
  </si>
  <si>
    <t xml:space="preserve">venture investment</t>
  </si>
  <si>
    <t xml:space="preserve">Negative post-GDPR effects on EU tech ventures relative to US ones in the number of deals, total amounts raised and amount per deal</t>
  </si>
  <si>
    <t xml:space="preserve">After the GDPR, EU technology start-ups raised less venture funding, in fewer deals, than comparable US start-ups.</t>
  </si>
  <si>
    <t xml:space="preserve">EU vs US, 2018</t>
  </si>
  <si>
    <t xml:space="preserve">short-run only</t>
  </si>
  <si>
    <t xml:space="preserve">paywalled (NBER version open)</t>
  </si>
  <si>
    <t xml:space="preserve">https://www.nber.org/papers/w25248</t>
  </si>
  <si>
    <t xml:space="preserve">http://web.archive.org/web/20260510200923/https://www.nber.org/papers/w25248</t>
  </si>
  <si>
    <t xml:space="preserve">johnson-shriver-goldberg-2023</t>
  </si>
  <si>
    <t xml:space="preserve">Johnson, Shriver &amp; Goldberg (2023), Privacy and Market Concentration: Intended and Unintended Consequences of the GDPR, Management Science 69(10)</t>
  </si>
  <si>
    <t xml:space="preserve">causal: event study (27,000+ websites)</t>
  </si>
  <si>
    <t xml:space="preserve">competition (web technology vendors)</t>
  </si>
  <si>
    <t xml:space="preserve">negative (higher concentration)</t>
  </si>
  <si>
    <t xml:space="preserve">Website use of web-technology vendors fell 15% for EU users in the week after enforcement; vendor-market concentration rose 17%, mainly benefiting Google and Facebook; aggregate effects faded by end-2018 but persisted for advertising vendors</t>
  </si>
  <si>
    <t xml:space="preserve">The GDPR led websites to drop smaller data vendors, increasing the market share of Google and Facebook.</t>
  </si>
  <si>
    <t xml:space="preserve">global websites, 2018</t>
  </si>
  <si>
    <t xml:space="preserve">short-run; persistence only for ad vendors</t>
  </si>
  <si>
    <t xml:space="preserve">https://doi.org/10.1287/mnsc.2023.4709</t>
  </si>
  <si>
    <t xml:space="preserve">goldberg-johnson-shriver-2024</t>
  </si>
  <si>
    <t xml:space="preserve">Goldberg, Johnson &amp; Shriver (2024), Regulating Privacy Online: An Economic Evaluation of the GDPR, American Economic Journal: Economic Policy 16(1)</t>
  </si>
  <si>
    <t xml:space="preserve">causal: difference-in-differences (1,084 online firms, Adobe Analytics)</t>
  </si>
  <si>
    <t xml:space="preserve">firm performance (web traffic, revenue)</t>
  </si>
  <si>
    <t xml:space="preserve">About 12% fewer recorded EU page views and 12% less recorded website revenue after enforcement, decomposed into real effects and reduced data recording</t>
  </si>
  <si>
    <t xml:space="preserve">Websites recorded about 12% fewer visits and revenue from EU users after the GDPR, partly because less data was collected.</t>
  </si>
  <si>
    <t xml:space="preserve">1,084 firms, 2018</t>
  </si>
  <si>
    <t xml:space="preserve">measured effect mixes real and recording effects</t>
  </si>
  <si>
    <t xml:space="preserve">https://doi.org/10.1257/pol.20210309</t>
  </si>
  <si>
    <t xml:space="preserve">peukert-et-al-2022</t>
  </si>
  <si>
    <t xml:space="preserve">Peukert, Bechtold, Batikas &amp; Kretschmer (2022), Regulatory Spillovers and Data Governance: Evidence from the GDPR, Marketing Science</t>
  </si>
  <si>
    <t xml:space="preserve">causal: difference-in-differences (websites)</t>
  </si>
  <si>
    <t xml:space="preserve">negative (higher concentration; spillovers)</t>
  </si>
  <si>
    <t xml:space="preserve">The GDPR affected websites beyond the EU and increased market concentration among web technology vendors</t>
  </si>
  <si>
    <t xml:space="preserve">The GDPR's effects spread beyond the EU and strengthened the position of the largest web-technology providers.</t>
  </si>
  <si>
    <t xml:space="preserve">global, 2018</t>
  </si>
  <si>
    <t xml:space="preserve">https://doi.org/10.1287/mksc.2021.1339</t>
  </si>
  <si>
    <t xml:space="preserve">janssen-et-al-2022</t>
  </si>
  <si>
    <t xml:space="preserve">Janssen, Kesler, Kummer &amp; Waldfogel (2022), GDPR and the Lost Generation of Innovative Apps, NBER Working Paper 30028</t>
  </si>
  <si>
    <t xml:space="preserve">causal + structural model (4.1m Google Play apps, 2016-2019)</t>
  </si>
  <si>
    <t xml:space="preserve">innovation (app entry/exit); consumer welfare</t>
  </si>
  <si>
    <t xml:space="preserve">GDPR induced the exit of about a third of available apps; new app entry fell by half; long-run consumer surplus and app usage about a third lower</t>
  </si>
  <si>
    <t xml:space="preserve">The GDPR pushed about a third of apps off Google Play and halved the launch of new apps, reducing consumer welfare by an estimated third.</t>
  </si>
  <si>
    <t xml:space="preserve">Google Play, 2016-2019</t>
  </si>
  <si>
    <t xml:space="preserve">structural model drives the welfare estimate</t>
  </si>
  <si>
    <t xml:space="preserve">https://www.nber.org/papers/w30028</t>
  </si>
  <si>
    <t xml:space="preserve">frey-presidente-2024</t>
  </si>
  <si>
    <t xml:space="preserve">Frey &amp; Presidente (2024), Privacy regulation and firm performance: Estimating the GDPR effect globally, Economic Inquiry</t>
  </si>
  <si>
    <t xml:space="preserve">causal: difference-in-differences by exposure to EU markets</t>
  </si>
  <si>
    <t xml:space="preserve">firm performance (profits, costs); innovation (patenting)</t>
  </si>
  <si>
    <t xml:space="preserve">negative (costs); positive (privacy-tech patenting)</t>
  </si>
  <si>
    <t xml:space="preserve">Technology firms targeting EU consumers saw profits fall 2.1% (no effect on sales); higher extra expenses and wage bills; faster patenting in GDPR-related technologies</t>
  </si>
  <si>
    <t xml:space="preserve">Firms exposed to the EU market earned slightly lower profits after the GDPR because of higher compliance costs, though they also patented more in privacy technology.</t>
  </si>
  <si>
    <t xml:space="preserve">global firms</t>
  </si>
  <si>
    <t xml:space="preserve">https://doi.org/10.1111/ecin.13213</t>
  </si>
  <si>
    <t xml:space="preserve">demirer-et-al-2024</t>
  </si>
  <si>
    <t xml:space="preserve">Demirer, Jimenez-Hernandez, Li &amp; Peng (2024), Data, Privacy Laws and Firm Production: Evidence from the GDPR, NBER Working Paper 32146 (rev. Feb 2026)</t>
  </si>
  <si>
    <t xml:space="preserve">causal: difference-in-differences (cloud-computing provider data) + production function</t>
  </si>
  <si>
    <t xml:space="preserve">compliance costs; data use</t>
  </si>
  <si>
    <t xml:space="preserve">negative (higher data costs; small overall)</t>
  </si>
  <si>
    <t xml:space="preserve">EU firms cut data storage 26% and data processing 15% vs US firms; equivalent to a 22% rise in the cost of data, but only 0.1-0.6% higher overall production costs</t>
  </si>
  <si>
    <t xml:space="preserve">The GDPR made data about 22% more expensive for EU firms, so they stored and processed less, though the effect on total costs was small.</t>
  </si>
  <si>
    <t xml:space="preserve">EU vs US firms, 7 years</t>
  </si>
  <si>
    <t xml:space="preserve">https://www.nber.org/papers/w32146</t>
  </si>
  <si>
    <t xml:space="preserve">aridor-che-salz-2023</t>
  </si>
  <si>
    <t xml:space="preserve">Aridor, Che &amp; Salz (2023), The Effect of Privacy Regulation on the Data Industry: Empirical Evidence from GDPR, RAND Journal of Economics (NBER w26900)</t>
  </si>
  <si>
    <t xml:space="preserve">causal: difference-in-differences (online travel intermediary)</t>
  </si>
  <si>
    <t xml:space="preserve">data use; advertising value</t>
  </si>
  <si>
    <t xml:space="preserve">Opt-in requirement cut observed consumers by 12.5%, but remaining consumers were tracked longer and became more valuable to advertisers, offsetting part of the loss</t>
  </si>
  <si>
    <t xml:space="preserve">About 1 in 8 users opted out of tracking under the GDPR; those who stayed became easier to track and more valuable to advertisers.</t>
  </si>
  <si>
    <t xml:space="preserve">travel intermediary, 2018</t>
  </si>
  <si>
    <t xml:space="preserve">single firm</t>
  </si>
  <si>
    <t xml:space="preserve">https://www.nber.org/papers/w26900</t>
  </si>
  <si>
    <t xml:space="preserve">ec-2018-companylaw-package-ia</t>
  </si>
  <si>
    <t xml:space="preserve">European Commission (2018), Impact Assessment on the EU Company Law package (digital tools; cross-border conversions, mergers and divisions), executive summary, SWD(2018) 142 (full IA SWD(2018) 141)</t>
  </si>
  <si>
    <t xml:space="preserve">registration costs; cross-border operations; SMEs</t>
  </si>
  <si>
    <t xml:space="preserve">Online registration expected to save new companies EUR 42-84m; harmonised cross-border conversion and division rules expected to benefit especially SMEs</t>
  </si>
  <si>
    <t xml:space="preserve">For the 2019 amendments the Commission forecast EUR 42-84 million in savings from registering companies online and easier cross-border moves for small firms.</t>
  </si>
  <si>
    <t xml:space="preserve">https://eur-lex.europa.eu/legal-content/EN/TXT/?uri=CELEX:52018SC0142</t>
  </si>
  <si>
    <t xml:space="preserve">http://web.archive.org/web/20251126004631/https://eur-lex.europa.eu/legal-content/EN/TXT/?uri=celex%3A52018SC0142</t>
  </si>
  <si>
    <t xml:space="preserve">ec-2023-companylaw-digital-ia</t>
  </si>
  <si>
    <t xml:space="preserve">European Commission (2023), Impact Assessment on further expanding and upgrading digital tools in company law, executive summary, SWD(2023) 179 (full IA SWD(2023) 178)</t>
  </si>
  <si>
    <t xml:space="preserve">administrative burden; company data transparency</t>
  </si>
  <si>
    <t xml:space="preserve">Recurrent savings of about EUR 437m a year for companies operating cross-border; one-off costs of about EUR 311m for companies newly filing data; EUR 5.4m one-off for registers</t>
  </si>
  <si>
    <t xml:space="preserve">For the 2025 amendment the Commission forecast about EUR 437 million a year in savings for firms doing business across borders.</t>
  </si>
  <si>
    <t xml:space="preserve">https://eur-lex.europa.eu/legal-content/EN/TXT/?uri=CELEX:52023SC0179</t>
  </si>
  <si>
    <t xml:space="preserve">http://web.archive.org/web/20240626211949/https://eur-lex.europa.eu/legal-content/EN/TXT/?uri=celex%3A52023SC0179</t>
  </si>
  <si>
    <t xml:space="preserve">biermeyer-meyer-2019-mobility</t>
  </si>
  <si>
    <t xml:space="preserve">Biermeyer &amp; Meyer (2019), Cross-border Corporate Mobility in the EU: Empirical Findings 2019 (Vol. 1), Maastricht University / SSRN 3403791</t>
  </si>
  <si>
    <t xml:space="preserve">working paper / data report</t>
  </si>
  <si>
    <t xml:space="preserve">descriptive (case counts from registers and official journals)</t>
  </si>
  <si>
    <t xml:space="preserve">cross-border mergers; conversions; seat transfers</t>
  </si>
  <si>
    <t xml:space="preserve">2000-2019: 4,305 cross-border mergers, 553 conversions, 158 SE seat transfers, 19 divisions; heavily concentrated in Germany, the Netherlands and Luxembourg, suggesting incomplete integration</t>
  </si>
  <si>
    <t xml:space="preserve">Researchers counted about 8,400 cross-border company moves between 2000 and 2019, concentrated in a few countries, a baseline for judging the 2019 mobility rules.</t>
  </si>
  <si>
    <t xml:space="preserve">EU/EEA, 2000-2019</t>
  </si>
  <si>
    <t xml:space="preserve">descriptive baseline; pre-dates 2019 amendments</t>
  </si>
  <si>
    <t xml:space="preserve">https://papers.ssrn.com/abstract=3403791</t>
  </si>
  <si>
    <t xml:space="preserve">ec-2015-portability-ia</t>
  </si>
  <si>
    <t xml:space="preserve">European Commission (2015), Impact Assessment accompanying the proposal for a Regulation to ensure the cross-border portability of online content services in the internal market, SWD(2015) 270</t>
  </si>
  <si>
    <t xml:space="preserve">ex-ante (survey-based demand estimate)</t>
  </si>
  <si>
    <t xml:space="preserve">consumer access; demand for portability</t>
  </si>
  <si>
    <t xml:space="preserve">Estimated 29 million potential users of portability of paid subscriptions (5.7% of EU consumers), forecast to reach about 72 million (14%) by 2020; costs for providers expected to be limited</t>
  </si>
  <si>
    <t xml:space="preserve">The Commission estimated that around 29 million Europeans could benefit from taking their paid streaming subscriptions abroad, rising to about 72 million by 2020.</t>
  </si>
  <si>
    <t xml:space="preserve">EU28, forecast</t>
  </si>
  <si>
    <t xml:space="preserve">https://eur-lex.europa.eu/legal-content/EN/TXT/?uri=CELEX:52015SC0270</t>
  </si>
  <si>
    <t xml:space="preserve">https://ec.europa.eu/newsroom/dae/redirection/document/87793</t>
  </si>
  <si>
    <t xml:space="preserve">ec-2022-portability-report</t>
  </si>
  <si>
    <t xml:space="preserve">European Commission (2022), Report on the application of Regulation (EU) 2017/1128 on cross-border portability of online content services in the internal market, SWD(2022) 173</t>
  </si>
  <si>
    <t xml:space="preserve">review (synthesis of survey, Eurobarometer and stakeholder evidence)</t>
  </si>
  <si>
    <t xml:space="preserve">consumer use and satisfaction; provider compliance; rightholder revenues</t>
  </si>
  <si>
    <t xml:space="preserve">Regulation 'has proven to function well overall'; 32% of subscribers had used portability abroad, 58% of users satisfied; very few complaints; no significant revenue loss for rightholders reported; some non-compliance (time limits, too many verification means, small providers not offering portability)</t>
  </si>
  <si>
    <t xml:space="preserve">The Commission's 2022 review concluded the rules work well: about a third of subscribers had used their services abroad, few complained, and rightholders reported no significant revenue loss, though some providers still restrict portability.</t>
  </si>
  <si>
    <t xml:space="preserve">EU, 2018-2021</t>
  </si>
  <si>
    <t xml:space="preserve">descriptive; no counterfactual</t>
  </si>
  <si>
    <t xml:space="preserve">https://eur-lex.europa.eu/legal-content/EN/TXT/?uri=CELEX:52022SC0173</t>
  </si>
  <si>
    <t xml:space="preserve">https://ec.europa.eu/newsroom/dae/redirection/document/87791</t>
  </si>
  <si>
    <t xml:space="preserve">visionary-analytics-2022-portability</t>
  </si>
  <si>
    <t xml:space="preserve">Visionary Analytics with Kantar Public (for DG CNECT) (2022), Study on the Portability Regulation - Final report (SMART 2019/0024), European Commission, DG CNECT</t>
  </si>
  <si>
    <t xml:space="preserve">surveys (62 providers, 40 consumer bodies), mystery shopping of 39 services, 63 interviews, case studies</t>
  </si>
  <si>
    <t xml:space="preserve">compliance; provider costs; rightholder impacts</t>
  </si>
  <si>
    <t xml:space="preserve">Overwhelming majority of providers apply the Regulation; music, e-book and games sectors faced no significant costs; audiovisual and sports providers made changes with mostly minor costs; 10 providers limit temporary presence to 14 days-1 year; cross-border users under 5% of each provider's subscribers</t>
  </si>
  <si>
    <t xml:space="preserve">An evaluation study for the Commission found most services comply at small cost, but ten limit how long subscribers can use them abroad and some small providers ignore the rules.</t>
  </si>
  <si>
    <t xml:space="preserve">EU/EEA, 2020-2021</t>
  </si>
  <si>
    <t xml:space="preserve">descriptive survey; self-reported costs</t>
  </si>
  <si>
    <t xml:space="preserve">full text read (abstract and summary sections)</t>
  </si>
  <si>
    <t xml:space="preserve">https://ec.europa.eu/newsroom/dae/redirection/document/87794</t>
  </si>
  <si>
    <t xml:space="preserve">eurobarometer-477a-2019</t>
  </si>
  <si>
    <t xml:space="preserve">European Commission (Kantar) (2019), Flash Eurobarometer 477a: Accessing content online and cross-border portability of online content services, Flash Eurobarometer 477a</t>
  </si>
  <si>
    <t xml:space="preserve">survey</t>
  </si>
  <si>
    <t xml:space="preserve">representative survey (fieldwork Feb 2019)</t>
  </si>
  <si>
    <t xml:space="preserve">awareness; use; satisfaction</t>
  </si>
  <si>
    <t xml:space="preserve">52% aware of portability; 32% of subscribers had tried to access services while in another Member State; 58% of users satisfied</t>
  </si>
  <si>
    <t xml:space="preserve">A 2019 EU-wide survey found half of Europeans knew about the portability right and most of those who used it were satisfied.</t>
  </si>
  <si>
    <t xml:space="preserve">EU28, Feb 2019</t>
  </si>
  <si>
    <t xml:space="preserve">representative survey; one wave only</t>
  </si>
  <si>
    <t xml:space="preserve">page summary via Commission report (figures as cited in SWD(2022) 173)</t>
  </si>
  <si>
    <t xml:space="preserve">https://ec.europa.eu/newsroom/dae/redirection/document/87795</t>
  </si>
  <si>
    <t xml:space="preserve">eao-2019-portability-free</t>
  </si>
  <si>
    <t xml:space="preserve">European Audiovisual Observatory (2019), First feedback from the implementation of the Portability Regulation by free online video services, European Audiovisual Observatory (Council of Europe)</t>
  </si>
  <si>
    <t xml:space="preserve">report (intergovernmental body)</t>
  </si>
  <si>
    <t xml:space="preserve">descriptive survey of free online video services</t>
  </si>
  <si>
    <t xml:space="preserve">voluntary uptake of portability by free services</t>
  </si>
  <si>
    <t xml:space="preserve">Of 13 free online video services in the sample, 4 had implemented portability, 2 were implementing and 7 considering; uptake led by public broadcasters; mandatory login and verification costs deter others</t>
  </si>
  <si>
    <t xml:space="preserve">Few free streaming services (mostly public broadcasters) had chosen to offer portability by 2019, citing login and verification costs.</t>
  </si>
  <si>
    <t xml:space="preserve">Europe, 2019</t>
  </si>
  <si>
    <t xml:space="preserve">small sample; descriptive</t>
  </si>
  <si>
    <t xml:space="preserve">full text read (conclusions)</t>
  </si>
  <si>
    <t xml:space="preserve">https://ec.europa.eu/newsroom/dae/redirection/document/87790</t>
  </si>
  <si>
    <t xml:space="preserve">ec-2016-cpc-ia</t>
  </si>
  <si>
    <t xml:space="preserve">European Commission (2016), Impact Assessment accompanying the proposal for a Regulation on cooperation between national authorities responsible for the enforcement of consumer protection laws, SWD(2016) 164</t>
  </si>
  <si>
    <t xml:space="preserve">consumer detriment; non-compliance; enforcement efficiency</t>
  </si>
  <si>
    <t xml:space="preserve">Average non-compliance of 37% in website screenings; consumer detriment of about EUR 770m in five cross-border online sectors; reform expected to reduce non-compliance and detriment</t>
  </si>
  <si>
    <t xml:space="preserve">The Commission found more than a third of websites checked broke consumer law, costing consumers about EUR 770 million in five online markets, and expected stronger joint enforcement to cut this.</t>
  </si>
  <si>
    <t xml:space="preserve">https://eur-lex.europa.eu/legal-content/EN/TXT/?uri=CELEX:52016SC0164</t>
  </si>
  <si>
    <t xml:space="preserve">http://web.archive.org/web/20251122032342/https://eur-lex.europa.eu/legal-content/EN/TXT/?uri=celex%3A52016SC0164</t>
  </si>
  <si>
    <t xml:space="preserve">ec-2024-cpc-report</t>
  </si>
  <si>
    <t xml:space="preserve">European Commission (2024), Report on the application of Regulation (EU) 2017/2394 on consumer protection cooperation, COM(2024) 311</t>
  </si>
  <si>
    <t xml:space="preserve">application report (supporting study: surveys of authorities, alert entities and targeted traders)</t>
  </si>
  <si>
    <t xml:space="preserve">enforcement; coordinated actions; sweeps</t>
  </si>
  <si>
    <t xml:space="preserve">Stakeholders consider objectives generally met and coordinated actions efficient; but procedures long and cumbersome, resources uneven across Member States, consumer groups say harm not significantly reduced; sweeps still find widespread non-compliance (37% of sites using dark patterns in 2022)</t>
  </si>
  <si>
    <t xml:space="preserve">The Commission's review says joint enforcement against big traders works better than 27 separate actions, but procedures are slow, national resources uneven, and rule-breaking online remains widespread.</t>
  </si>
  <si>
    <t xml:space="preserve">EU, 2020-2023</t>
  </si>
  <si>
    <t xml:space="preserve">Commission self-assessment; stakeholder-based</t>
  </si>
  <si>
    <t xml:space="preserve">https://eur-lex.europa.eu/legal-content/EN/TXT/?uri=CELEX:52024DC0311</t>
  </si>
  <si>
    <t xml:space="preserve">http://web.archive.org/web/20260307124236/https://eur-lex.europa.eu/legal-content/en/TXT/?uri=CELEX:52024DC0311</t>
  </si>
  <si>
    <t xml:space="preserve">ec-2016-eecc-ia</t>
  </si>
  <si>
    <t xml:space="preserve">European Commission (2016), Impact Assessment accompanying the proposals for a Directive establishing the European Electronic Communications Code and a BEREC Regulation (executive summary SWD(2016) 304), SWD(2016) 303</t>
  </si>
  <si>
    <t xml:space="preserve">ex-ante (macroeconomic model)</t>
  </si>
  <si>
    <t xml:space="preserve">GDP; employment; productivity; 5G benefits</t>
  </si>
  <si>
    <t xml:space="preserve">If all preferred options implemented by 2020: cumulative +1.45% GDP and +0.18% employment by 2025, labour productivity +0.8% 2020-25; consistent spectrum assignment yields 5G benefits of EUR 146.5bn a year; institutional cost about EUR 208.5m</t>
  </si>
  <si>
    <t xml:space="preserve">The Commission forecast that the new telecoms code would lift EU GDP by 1.45% and jobs by 0.18% by 2025 by boosting investment in fast networks and 5G.</t>
  </si>
  <si>
    <t xml:space="preserve">EU, forecast to 2025</t>
  </si>
  <si>
    <t xml:space="preserve">model-based forecast 'with qualifications'</t>
  </si>
  <si>
    <t xml:space="preserve">https://eur-lex.europa.eu/legal-content/EN/TXT/?uri=CELEX:52016SC0304</t>
  </si>
  <si>
    <t xml:space="preserve">http://web.archive.org/web/20240709232400/https://eur-lex.europa.eu/legal-content/EN/TXT/?uri=celex%3A52016SC0304</t>
  </si>
  <si>
    <t xml:space="preserve">ec-2026-eecc-review</t>
  </si>
  <si>
    <t xml:space="preserve">European Commission (2026), Report on the functioning of the European Electronic Communications Code, Directive (EU) 2018/1972, COM(2026) 35 (Council doc. 5633/26)</t>
  </si>
  <si>
    <t xml:space="preserve">ex-post review (Arts. 122-123)</t>
  </si>
  <si>
    <t xml:space="preserve">access regulation; co-investment; single market</t>
  </si>
  <si>
    <t xml:space="preserve">EECC helped achieve/maintain effective competition and protect end-users, but as a Directive left significant room for national divergence; Art. 76 co-investment never formally applied by any regulator and should be revised or removed; functional separation unused; symmetric access used in 8 countries</t>
  </si>
  <si>
    <t xml:space="preserve">The Commission's own review found the code kept markets competitive but did little to create a single telecoms market, and its flagship tool to encourage joint fibre investment was never used.</t>
  </si>
  <si>
    <t xml:space="preserve">EU, Dec 2020-2025</t>
  </si>
  <si>
    <t xml:space="preserve">https://data.consilium.europa.eu/doc/document/ST-5633-2026-INIT/en/pdf</t>
  </si>
  <si>
    <t xml:space="preserve">ec-2026-dna-ia-evaluation</t>
  </si>
  <si>
    <t xml:space="preserve">European Commission (2026), Impact Assessment accompanying the Digital Networks Act proposal, Annex 11: Evaluation of the EECC, BEREC Regulation, Open Internet Regulation and certain aspects of the ePrivacy Directive, SWD(2026) 13, Part 3/3</t>
  </si>
  <si>
    <t xml:space="preserve">ex-post evaluation (DESI data, studies, consultation)</t>
  </si>
  <si>
    <t xml:space="preserve">coverage; investment; prices</t>
  </si>
  <si>
    <t xml:space="preserve">Fixed VHCN coverage 82.5% of households in 2024, fibre 69.2% (rural 58.8%); 5G 94.3% (rural 79.6%); some governments and most industry stakeholders argued the EECC missed its connectivity and investment objectives; consumers saw wider availability and competitive prices</t>
  </si>
  <si>
    <t xml:space="preserve">The Commission's evaluation shows fast networks now reach most homes (fibre 69%), but views split on whether the code helped, and rural areas and advanced 5G still lag.</t>
  </si>
  <si>
    <t xml:space="preserve">EU-27, 2020-2024</t>
  </si>
  <si>
    <t xml:space="preserve">descriptive; no causal attribution</t>
  </si>
  <si>
    <t xml:space="preserve">https://ec.europa.eu/transparency/documents-register/api/files/SWD(2026)13_2/090166e52c637a2e</t>
  </si>
  <si>
    <t xml:space="preserve">ec-2022-eecc-referral</t>
  </si>
  <si>
    <t xml:space="preserve">European Commission (2022), EU Electronic Communications Code: Commission refers 10 Member States to the Court of Justice of the EU, Press release IP/22/1975, 6 April 2022</t>
  </si>
  <si>
    <t xml:space="preserve">Commission enforcement record</t>
  </si>
  <si>
    <t xml:space="preserve">transposition</t>
  </si>
  <si>
    <t xml:space="preserve">24 infringement procedures opened Feb 2021 after the 21 Dec 2020 deadline; reasoned opinions to 18 Member States; ES, HR, LV, LT, IE, PL, PT, RO, SI, SE referred to the Court</t>
  </si>
  <si>
    <t xml:space="preserve">More than a year after the deadline, ten countries still had not transposed the code and were taken to court.</t>
  </si>
  <si>
    <t xml:space="preserve">EU</t>
  </si>
  <si>
    <t xml:space="preserve">official record</t>
  </si>
  <si>
    <t xml:space="preserve">https://ec.europa.eu/commission/presscorner/detail/en/ip_22_1975</t>
  </si>
  <si>
    <t xml:space="preserve">http://web.archive.org/web/20250610033948/https://ec.europa.eu/commission/presscorner/detail/en/ip_22_1975</t>
  </si>
  <si>
    <t xml:space="preserve">briglauer-cambini-fetzer-huschelrath-2017</t>
  </si>
  <si>
    <t xml:space="preserve">Briglauer, Cambini, Fetzer &amp; Hüschelrath (2017), The European Electronic Communications Code: A critical appraisal with a focus on incentivizing investment in next generation broadband networks, Telecommunications Policy 41(10): 948-961</t>
  </si>
  <si>
    <t xml:space="preserve">literature review / ex-ante appraisal</t>
  </si>
  <si>
    <t xml:space="preserve">investment incentives; co-investment; access regulation</t>
  </si>
  <si>
    <t xml:space="preserve">mixed (forecast)</t>
  </si>
  <si>
    <t xml:space="preserve">EECC generally a step in the right direction, but expected effects on investment incentives, implementation challenges and high complexity of the measures leave substantial room for improvement</t>
  </si>
  <si>
    <t xml:space="preserve">Economists reviewing the proposal judged it a step forward but warned its investment tools were too complex - a warning borne out by the non-use of co-investment rules.</t>
  </si>
  <si>
    <t xml:space="preserve">EU, ex-ante</t>
  </si>
  <si>
    <t xml:space="preserve">review of theory and evidence</t>
  </si>
  <si>
    <t xml:space="preserve">https://doi.org/10.1016/j.telpol.2017.07.011</t>
  </si>
  <si>
    <t xml:space="preserve">briglauer-cambini-grajek-2018</t>
  </si>
  <si>
    <t xml:space="preserve">Briglauer, Cambini &amp; Grajek (2018), Speeding up the internet: Regulation and investment in the European fiber optic infrastructure, International Journal of Industrial Organization 61: 613-652</t>
  </si>
  <si>
    <t xml:space="preserve">panel econometrics, EU-27 over a decade (pre-EECC framework)</t>
  </si>
  <si>
    <t xml:space="preserve">fibre investment</t>
  </si>
  <si>
    <t xml:space="preserve">negative (access regulation)</t>
  </si>
  <si>
    <t xml:space="preserve">More stringent access regulation of both legacy copper and fibre networks harms fibre investment by incumbent telecom operators, but does not affect cable TV operators</t>
  </si>
  <si>
    <t xml:space="preserve">Under the previous rules, tougher access regulation reduced incumbents' fibre investment - the trade-off the EECC tried to address.</t>
  </si>
  <si>
    <t xml:space="preserve">EU-27, about ten years to mid-2010s</t>
  </si>
  <si>
    <t xml:space="preserve">observational panel; addresses predecessor framework</t>
  </si>
  <si>
    <t xml:space="preserve">https://doi.org/10.1016/j.ijindorg.2018.01.006</t>
  </si>
  <si>
    <t xml:space="preserve">http://static.esmt.org/publications/workingpapers/ESMT-17-02.pdf</t>
  </si>
  <si>
    <t xml:space="preserve">grajek-roller-2012</t>
  </si>
  <si>
    <t xml:space="preserve">Grajek &amp; Röller (2012), Regulation and Investment in Network Industries: Evidence from European Telecoms, Journal of Law and Economics 55(1): 189-216</t>
  </si>
  <si>
    <t xml:space="preserve">panel econometrics with endogenous regulation (70 fixed-line operators, 20 countries, 10 years)</t>
  </si>
  <si>
    <t xml:space="preserve">telecom investment</t>
  </si>
  <si>
    <t xml:space="preserve">Access regulation negatively affects both total industry and individual carrier investment; evidence of a regulatory commitment problem</t>
  </si>
  <si>
    <t xml:space="preserve">A classic study found that forcing incumbents to open their networks to rivals lowered overall telecom investment in Europe.</t>
  </si>
  <si>
    <t xml:space="preserve">20 European countries, 10 years (to mid-2000s)</t>
  </si>
  <si>
    <t xml:space="preserve">observational panel; predecessor framework</t>
  </si>
  <si>
    <t xml:space="preserve">https://doi.org/10.1086/661196</t>
  </si>
  <si>
    <t xml:space="preserve">ec-2016-geoblocking-ia</t>
  </si>
  <si>
    <t xml:space="preserve">European Commission (2016), Impact Assessment accompanying the Geo-blocking Regulation proposal (executive summary SWD(2016) 174), SWD(2016) 173</t>
  </si>
  <si>
    <t xml:space="preserve">ex-ante (simulation based on consumer electronics)</t>
  </si>
  <si>
    <t xml:space="preserve">cross-border trade; prices; consumer surplus</t>
  </si>
  <si>
    <t xml:space="preserve">Lifting geo-blocking: market size +1.1%, net trade expansion +0.4%, prices -0.5% offline and -0.6% online, consumer surplus +0.8%; baseline 37% success of cross-border purchase attempts (2015)</t>
  </si>
  <si>
    <t xml:space="preserve">The Commission expected small price falls (about 0.5%) and a 0.8% gain for consumers, starting from a baseline where only 37% of cross-border online purchase attempts succeeded.</t>
  </si>
  <si>
    <t xml:space="preserve">https://eur-lex.europa.eu/legal-content/EN/TXT/?uri=CELEX:52016SC0174</t>
  </si>
  <si>
    <t xml:space="preserve">ec-2020-geoblocking-review</t>
  </si>
  <si>
    <t xml:space="preserve">European Commission (2020), First short-term review of the Geo-blocking Regulation, COM(2020) 766</t>
  </si>
  <si>
    <t xml:space="preserve">mystery shopping (about 9,000 websites, 2019) and stakeholder input</t>
  </si>
  <si>
    <t xml:space="preserve">website access; registration; purchase success</t>
  </si>
  <si>
    <t xml:space="preserve">positive (modest)</t>
  </si>
  <si>
    <t xml:space="preserve">Rerouting and access denial decreased versus 2015; registration blocking halved; purchase success slightly up; but only 1 in 3 attempts succeeded when cross-border delivery was requested; about 50% of consumers aware of the rules (Feb 2019); too early to assess all effects; no extension to copyrighted content proposed</t>
  </si>
  <si>
    <t xml:space="preserve">The first review found less outright blocking of foreign shoppers, but most cross-border purchases still failed because traders refuse to deliver abroad, which the Regulation allows.</t>
  </si>
  <si>
    <t xml:space="preserve">EU, 2015 vs 2019</t>
  </si>
  <si>
    <t xml:space="preserve">descriptive before/after</t>
  </si>
  <si>
    <t xml:space="preserve">https://eur-lex.europa.eu/legal-content/EN/TXT/?uri=CELEX:52020DC0766</t>
  </si>
  <si>
    <t xml:space="preserve">alaveras-duchbrown-martens-2020-gbr</t>
  </si>
  <si>
    <t xml:space="preserve">Alaveras, Duch-Brown &amp; Martens (2020), Geo-blocking regulation: an assessment of its impact on the EU Digital Single Market, JRC Digital Economy Working Paper 2020-02 (JRC121480)</t>
  </si>
  <si>
    <t xml:space="preserve">Commission research (JRC working paper)</t>
  </si>
  <si>
    <t xml:space="preserve">before/after panel regression on page-view data for about 10,000 e-commerce websites (Feb 2018-Oct 2019)</t>
  </si>
  <si>
    <t xml:space="preserve">cross-border e-commerce traffic</t>
  </si>
  <si>
    <t xml:space="preserve">Regulation increased real cross-border e-commerce activity inside the EU by 9.2-13% depending on specification, and EU consumers' cross-border trade with sites anywhere by 11.2-11.9%</t>
  </si>
  <si>
    <t xml:space="preserve">Commission researchers found cross-border visits to online shops in the EU rose by roughly 9-13% after the ban took effect.</t>
  </si>
  <si>
    <t xml:space="preserve">EU, 2018-19</t>
  </si>
  <si>
    <t xml:space="preserve">quasi-experimental (before/after with country-pair controls); traffic as proxy for sales</t>
  </si>
  <si>
    <t xml:space="preserve">https://publications.jrc.ec.europa.eu/repository/handle/JRC121480</t>
  </si>
  <si>
    <t xml:space="preserve">duchbrown-martens-2016-geoblocking</t>
  </si>
  <si>
    <t xml:space="preserve">Duch-Brown &amp; Martens (2016), The Economic Impact of Removing Geo-blocking Restrictions in the EU Digital Single Market, JRC Digital Economy Working Paper 2016/02</t>
  </si>
  <si>
    <t xml:space="preserve">structural simulation (consumer electronics, 10 countries, 2012-15)</t>
  </si>
  <si>
    <t xml:space="preserve">consumer and producer surplus</t>
  </si>
  <si>
    <t xml:space="preserve">Both consumers and producers would gain from removing geo-blocking; smaller countries gain comparatively more</t>
  </si>
  <si>
    <t xml:space="preserve">A simulation behind the impact assessment found both shoppers and sellers would gain from ending geo-blocking, especially in small countries.</t>
  </si>
  <si>
    <t xml:space="preserve">EU, 2012-15</t>
  </si>
  <si>
    <t xml:space="preserve">https://publications.jrc.ec.europa.eu/repository/handle/JRC101100</t>
  </si>
  <si>
    <t xml:space="preserve">https://ec.europa.eu/jrc/sites/jrcsh/files/JRC101100.pdf</t>
  </si>
  <si>
    <t xml:space="preserve">http://web.archive.org/web/20260615014441/https://publications.jrc.ec.europa.eu/repository/handle/JRC101100</t>
  </si>
  <si>
    <t xml:space="preserve">bourreau-manenti-2023-geoblocking</t>
  </si>
  <si>
    <t xml:space="preserve">Bourreau &amp; Manenti (2023), Selling cross-border in online markets: The impact of the ban on geoblocking strategies, International Journal of Industrial Organization 86</t>
  </si>
  <si>
    <t xml:space="preserve">theoretical model</t>
  </si>
  <si>
    <t xml:space="preserve">prices; investment; welfare</t>
  </si>
  <si>
    <t xml:space="preserve">Geoblocking softens competition; a ban lowers online and offline prices, but when firms can invest in online demand the ban may reduce investment and welfare</t>
  </si>
  <si>
    <t xml:space="preserve">A theory paper finds a geo-blocking ban cuts prices in the short run but could reduce firms' investment in online sales in the long run.</t>
  </si>
  <si>
    <t xml:space="preserve">theory</t>
  </si>
  <si>
    <t xml:space="preserve">theoretical</t>
  </si>
  <si>
    <t xml:space="preserve">https://doi.org/10.1016/j.ijindorg.2022.102892</t>
  </si>
  <si>
    <t xml:space="preserve">eca-2025-geoblocking</t>
  </si>
  <si>
    <t xml:space="preserve">European Court of Auditors (2025), Special report 03/2025: Geo-blocking, ECA special report 03/2025</t>
  </si>
  <si>
    <t xml:space="preserve">EU audit</t>
  </si>
  <si>
    <t xml:space="preserve">audit (documents, interviews, enforcement data)</t>
  </si>
  <si>
    <t xml:space="preserve">enforcement; consumer awareness</t>
  </si>
  <si>
    <t xml:space="preserve">Progress made, but unjustified geo-blocking persists; weak and uneven enforcement (penalties from EUR 26 to EUR 5m); low awareness of support; recommends examining extension to audiovisual services</t>
  </si>
  <si>
    <t xml:space="preserve">The EU's auditors found the Regulation helped but unjustified geo-blocking persists and enforcement differs sharply between countries.</t>
  </si>
  <si>
    <t xml:space="preserve">EU, 2018-24</t>
  </si>
  <si>
    <t xml:space="preserve">audit</t>
  </si>
  <si>
    <t xml:space="preserve">https://www.eca.europa.eu/ECAHTMLNews/NEWS-SR-2025-03/en/body.html</t>
  </si>
  <si>
    <t xml:space="preserve">ec-2017-sdg-ia</t>
  </si>
  <si>
    <t xml:space="preserve">European Commission (2017), Impact Assessment accompanying the proposal for a Regulation on establishing a single digital gateway (executive summary), SWD(2017) 214 (full IA SWD(2017) 213)</t>
  </si>
  <si>
    <t xml:space="preserve">administrative burden; cross-border trade; public costs</t>
  </si>
  <si>
    <t xml:space="preserve">Could reduce business costs by EUR 11-55bn a year (based on 9 procedures and 9 information topics); set-up cost about EUR 5.8m per Member State, EUR 4.3-4.8m for the Commission</t>
  </si>
  <si>
    <t xml:space="preserve">The Commission estimated that a single EU portal for information and online procedures could save businesses EUR 11-55 billion a year.</t>
  </si>
  <si>
    <t xml:space="preserve">forecast; wide range</t>
  </si>
  <si>
    <t xml:space="preserve">https://eur-lex.europa.eu/legal-content/EN/TXT/?uri=CELEX:52017SC0214</t>
  </si>
  <si>
    <t xml:space="preserve">ec-2023-sdg-report</t>
  </si>
  <si>
    <t xml:space="preserve">European Commission (2023), First Implementation Report on the Single Digital Gateway, COM(2023) 534</t>
  </si>
  <si>
    <t xml:space="preserve">monitoring report (usage statistics, user surveys, eGovernment Benchmark)</t>
  </si>
  <si>
    <t xml:space="preserve">usage; satisfaction; online procedures; obstacles</t>
  </si>
  <si>
    <t xml:space="preserve">positive (partial)</t>
  </si>
  <si>
    <t xml:space="preserve">43m Your Europe visits in 2022; 90%+ satisfaction; 76-77% found information; 6.5m assistance cases 2021-22; SDG procedures 84% online for nationals vs 47% for cross-border users; ~EUR 2.5m/yr saved in legal advice</t>
  </si>
  <si>
    <t xml:space="preserve">The first implementation report shows heavy use and high satisfaction with the Your Europe portal, but fewer than half of key procedures could yet be completed online by people from other EU countries.</t>
  </si>
  <si>
    <t xml:space="preserve">Commission self-assessment; usage data robust, savings minimal</t>
  </si>
  <si>
    <t xml:space="preserve">https://eur-lex.europa.eu/legal-content/EN/TXT/?uri=CELEX:52023DC0534</t>
  </si>
  <si>
    <t xml:space="preserve">graux-2021-sdg-once-only</t>
  </si>
  <si>
    <t xml:space="preserve">Graux (2021), The Single Digital Gateway Regulation as an Enabler and Constraint of Once-Only in Europe, in The Once-Only Principle, Lecture Notes in Computer Science 12621, Springer</t>
  </si>
  <si>
    <t xml:space="preserve">peer-reviewed (book chapter)</t>
  </si>
  <si>
    <t xml:space="preserve">legal analysis</t>
  </si>
  <si>
    <t xml:space="preserve">once-only principle; cross-border evidence exchange</t>
  </si>
  <si>
    <t xml:space="preserve">Analyses how the Regulation enables the once-only principle for cross-border procedures while its design constrains its scope</t>
  </si>
  <si>
    <t xml:space="preserve">A legal analysis argues the Regulation both pushes forward and limits the 'tell us once' idea for cross-border paperwork.</t>
  </si>
  <si>
    <t xml:space="preserve">qualitative; no impact data</t>
  </si>
  <si>
    <t xml:space="preserve">metadata only (Crossref); content not read</t>
  </si>
  <si>
    <t xml:space="preserve">https://doi.org/10.1007/978-3-030-79851-2_5</t>
  </si>
  <si>
    <t xml:space="preserve">ec-2022-eudpr-report</t>
  </si>
  <si>
    <t xml:space="preserve">European Commission (2022), First report on the application of the Data Protection Regulation for EU institutions, bodies, offices and agencies (Regulation 2018/1725), COM(2022) 530</t>
  </si>
  <si>
    <t xml:space="preserve">review (survey of 56 EU bodies, EDPS contribution)</t>
  </si>
  <si>
    <t xml:space="preserve">compliance; enforcement; resources</t>
  </si>
  <si>
    <t xml:space="preserve">positive (self-assessment)</t>
  </si>
  <si>
    <t xml:space="preserve">Regulation 'working well and fit for purpose'; 54% of bodies gave more resources to DPOs; DPIAs replaced prior checking and cut routine consultations of the EDPS; EDPS had not used its power to fine; proposes aligning rules for Europol/Eurojust/EPPO</t>
  </si>
  <si>
    <t xml:space="preserve">The Commission found the rules for EU institutions work well: bodies invested more in data protection officers and risk assessments, and the supervisor used bans but never fines.</t>
  </si>
  <si>
    <t xml:space="preserve">EU institutions, 2018-2021</t>
  </si>
  <si>
    <t xml:space="preserve">self-evaluation based on self-reported survey; no outcome measures</t>
  </si>
  <si>
    <t xml:space="preserve">https://eur-lex.europa.eu/legal-content/EN/TXT/?uri=CELEX:52022DC0530</t>
  </si>
  <si>
    <t xml:space="preserve">http://web.archive.org/web/20251208125840/https://eur-lex.europa.eu/legal-content/EN/TXT/?uri=CELEX%3A52022DC0530</t>
  </si>
  <si>
    <t xml:space="preserve">ec-2025-digital-omnibus-swd</t>
  </si>
  <si>
    <t xml:space="preserve">European Commission (2025), Staff working document accompanying the Digital Omnibus proposals, SWD(2025) 836</t>
  </si>
  <si>
    <t xml:space="preserve">Commission staff working document</t>
  </si>
  <si>
    <t xml:space="preserve">review (simplification analysis)</t>
  </si>
  <si>
    <t xml:space="preserve">compliance burden</t>
  </si>
  <si>
    <t xml:space="preserve">Proposes mirroring the Omnibus GDPR amendments in Regulation 2018/1725 to keep EU-institution rules aligned with the GDPR; no new evidence on the Regulation's effects</t>
  </si>
  <si>
    <t xml:space="preserve">The Commission's 2025 simplification package would change these rules in step with planned GDPR changes, but presents no new evidence on how they have worked.</t>
  </si>
  <si>
    <t xml:space="preserve">policy document; no ex-post data on EUDPR</t>
  </si>
  <si>
    <t xml:space="preserve">https://eur-lex.europa.eu/legal-content/EN/TXT/?uri=CELEX:52025SC0836</t>
  </si>
  <si>
    <t xml:space="preserve">ec-2017-ffd-ia</t>
  </si>
  <si>
    <t xml:space="preserve">European Commission (2017), Impact Assessment accompanying the proposal on a framework for the free flow of non-personal data (executive summary SWD(2017) 305), SWD(2017) 304</t>
  </si>
  <si>
    <t xml:space="preserve">ex-ante (relies on ECIPE and Deloitte modelling)</t>
  </si>
  <si>
    <t xml:space="preserve">GDP; cloud market competition</t>
  </si>
  <si>
    <t xml:space="preserve">Removing localisation restrictions could raise GDP by up to EUR 8bn (0.06%) a year (ECIPE); Deloitte estimate of EUR 11.6bn net present value for cloud users and providers; moderate costs for cloud providers</t>
  </si>
  <si>
    <t xml:space="preserve">The Commission expected that banning unjustified national rules on where data must be stored would add up to EUR 8 billion a year to EU GDP.</t>
  </si>
  <si>
    <t xml:space="preserve">https://eur-lex.europa.eu/legal-content/EN/TXT/?uri=CELEX:52017SC0304</t>
  </si>
  <si>
    <t xml:space="preserve">http://web.archive.org/web/20240606105617/https://eur-lex.europa.eu/legal-content/EN/TXT/?uri=celex%3A52017SC0304</t>
  </si>
  <si>
    <t xml:space="preserve">bauer-et-al-2016-ecipe</t>
  </si>
  <si>
    <t xml:space="preserve">Bauer, Ferracane, Lee-Makiyama &amp; van der Marel (2016), Unleashing Internal Data Flows in the EU: An Economic Assessment of Data Localisation Measures in the EU Member States, ECIPE Policy Brief 3/2016</t>
  </si>
  <si>
    <t xml:space="preserve">think-tank study</t>
  </si>
  <si>
    <t xml:space="preserve">ex-ante (computable general equilibrium modelling)</t>
  </si>
  <si>
    <t xml:space="preserve">Identified 22 localisation measures in EU Member States; removing them would raise GDP by up to EUR 8bn a year (0.06%)</t>
  </si>
  <si>
    <t xml:space="preserve">A think-tank model found 22 national data localisation rules in the EU and estimated that scrapping them could add up to EUR 8 billion a year to GDP.</t>
  </si>
  <si>
    <t xml:space="preserve">model-based forecast, not an evaluation</t>
  </si>
  <si>
    <t xml:space="preserve">https://ecipe.org/publications/unleashing-internal-data-flows-in-the-eu/</t>
  </si>
  <si>
    <t xml:space="preserve">http://web.archive.org/web/20260118033233/https://ecipe.org/publications/unleashing-internal-data-flows-in-the-eu/</t>
  </si>
  <si>
    <t xml:space="preserve">open-evidence-2026-ffd-eval-study</t>
  </si>
  <si>
    <t xml:space="preserve">Open Evidence et al. for the European Commission (2026), Study supporting the evaluation of the free flow of non-personal data regulation, open data directive and data governance act, Publications Office of the EU</t>
  </si>
  <si>
    <t xml:space="preserve">evaluation support study (contractor for Commission)</t>
  </si>
  <si>
    <t xml:space="preserve">evaluation (consultation, desk research)</t>
  </si>
  <si>
    <t xml:space="preserve">data localisation; legal certainty</t>
  </si>
  <si>
    <t xml:space="preserve">limited effect</t>
  </si>
  <si>
    <t xml:space="preserve">Regulation has shown limited effectiveness in removing data localisation requirements, hampered by the national-security exemption and legal uncertainty about mixed data sets</t>
  </si>
  <si>
    <t xml:space="preserve">An evaluation study for the Commission concluded the Regulation did little to remove national data localisation rules.</t>
  </si>
  <si>
    <t xml:space="preserve">EU, 2019-2025</t>
  </si>
  <si>
    <t xml:space="preserve">qualitative evaluation; no quantified effect</t>
  </si>
  <si>
    <t xml:space="preserve">page summary via search (contractor's announcement)</t>
  </si>
  <si>
    <t xml:space="preserve">https://op.europa.eu/en/publication-detail/-/publication/3a2a3e8b-edd1-11f0-8d3c-01aa75ed71a1/language-en</t>
  </si>
  <si>
    <t xml:space="preserve">review (public consultation, SME panel)</t>
  </si>
  <si>
    <t xml:space="preserve">uptake; enforcement; cloud switching</t>
  </si>
  <si>
    <t xml:space="preserve">Limited uptake and modest stakeholder interest; no publicly reported cases under cooperation or penalty mechanisms; switching codes superseded by the Data Act; fewer than 4 in 10 consultation respondents see any objective fully met; proposes repealing the Regulation and moving the free-flow principle into the Data Act</t>
  </si>
  <si>
    <t xml:space="preserve">The Commission found little use of the Regulation and proposes folding its core principle into the Data Act and repealing it.</t>
  </si>
  <si>
    <t xml:space="preserve">consultation-based; no quantitative outcome data</t>
  </si>
  <si>
    <t xml:space="preserve">ec-2017-ncpfraud-ia</t>
  </si>
  <si>
    <t xml:space="preserve">European Commission (2017), Impact Assessment accompanying the proposal on combating fraud and counterfeiting of non-cash means of payment (executive summary SWD(2017) 299), SWD(2017) 298</t>
  </si>
  <si>
    <t xml:space="preserve">law enforcement effectiveness; costs to Member States</t>
  </si>
  <si>
    <t xml:space="preserve">Expected more effective law enforcement, better cross-border and public-private cooperation and more trust in the digital single market; costs EUR 561,000 one-off and about EUR 2.3m a year for Member States; no impact on SMEs</t>
  </si>
  <si>
    <t xml:space="preserve">The Commission expected the update of criminal law on payment fraud to make police work more effective at a modest cost to national authorities, but gave no forecast of reduced fraud.</t>
  </si>
  <si>
    <t xml:space="preserve">forecast; benefits not quantified</t>
  </si>
  <si>
    <t xml:space="preserve">https://eur-lex.europa.eu/legal-content/EN/TXT/?uri=CELEX:52017SC0299</t>
  </si>
  <si>
    <t xml:space="preserve">http://web.archive.org/web/20240706033523/https://eur-lex.europa.eu/legal-content/EN/TXT/?uri=celex%3A52017SC0299</t>
  </si>
  <si>
    <t xml:space="preserve">ec-2023-ncpfraud-transposition</t>
  </si>
  <si>
    <t xml:space="preserve">European Commission (2023), Report assessing the extent to which Member States have taken the necessary measures to comply with Directive (EU) 2019/713, COM(2023) 363</t>
  </si>
  <si>
    <t xml:space="preserve">legal transposition review</t>
  </si>
  <si>
    <t xml:space="preserve">Only 9 Member States transposed on time; infringement procedures against 16 in July 2021; transposition largely complete by 2023 but gaps remain, notably on coverage of virtual currencies</t>
  </si>
  <si>
    <t xml:space="preserve">The Commission's check found most countries transposed the payment-fraud rules late but largely correctly, with gaps on virtual currencies.</t>
  </si>
  <si>
    <t xml:space="preserve">EU, 2021-2023</t>
  </si>
  <si>
    <t xml:space="preserve">legal compliance only; no impact data</t>
  </si>
  <si>
    <t xml:space="preserve">https://eur-lex.europa.eu/legal-content/EN/TXT/?uri=CELEX:52023DC0363</t>
  </si>
  <si>
    <t xml:space="preserve">http://web.archive.org/web/20260215091959/https://eur-lex.europa.eu/legal-content/EN/TXT/?uri=CELEX%3A52023DC0363</t>
  </si>
  <si>
    <t xml:space="preserve">eba-ecb-2024-payment-fraud</t>
  </si>
  <si>
    <t xml:space="preserve">European Banking Authority &amp; European Central Bank (2024), 2024 Report on Payment Fraud, EBA/ECB joint report (1 August 2024)</t>
  </si>
  <si>
    <t xml:space="preserve">supervisory statistics</t>
  </si>
  <si>
    <t xml:space="preserve">descriptive (PSD2 fraud reporting data)</t>
  </si>
  <si>
    <t xml:space="preserve">fraud losses</t>
  </si>
  <si>
    <t xml:space="preserve">n/a (not attributable)</t>
  </si>
  <si>
    <t xml:space="preserve">Payment fraud in the EEA totalled EUR 4.3bn in 2022 and EUR 2.0bn in H1 2023; card fraud about 0.031% of card payment value, mostly in remote transactions</t>
  </si>
  <si>
    <t xml:space="preserve">European regulators' statistics show payment fraud of about EUR 4 billion a year, mostly online, but they do not show whether this Directive made a difference.</t>
  </si>
  <si>
    <t xml:space="preserve">EEA, 2022-H1 2023</t>
  </si>
  <si>
    <t xml:space="preserve">descriptive; no link to the Directive</t>
  </si>
  <si>
    <t xml:space="preserve">https://www.ecb.europa.eu/press/pr/date/2024/html/ecb.pr240801~f21cc4a009.en.html</t>
  </si>
  <si>
    <t xml:space="preserve">https://eba.europa.eu/sites/default/files/2024-08/465e3044-4773-4e9d-8ca8-b1cd031295fc/EBA_ECB%202024%20Report%20on%20Payment%20Fraud.pdf</t>
  </si>
  <si>
    <t xml:space="preserve">http://web.archive.org/web/20261001003502/https://www.ecb.europa.eu/press/pr/date/2024/html/ecb.pr240801~f21cc4a009.en.html</t>
  </si>
  <si>
    <t xml:space="preserve">ec-2015-dcd-sgd-ia</t>
  </si>
  <si>
    <t xml:space="preserve">European Commission (2015), Impact Assessment accompanying the proposals for Directives on contracts for the supply of digital content and for online and other distance sales of goods (executive summary SWD(2015) 275), SWD(2015) 274</t>
  </si>
  <si>
    <t xml:space="preserve">ex-ante (survey-based estimates and CGE macro model)</t>
  </si>
  <si>
    <t xml:space="preserve">cross-border trade; prices; consumption; GDP</t>
  </si>
  <si>
    <t xml:space="preserve">Joint package forecast: 122,000 more firms selling cross-border online, 8-13m more cross-border online shoppers, retail prices -0.25%, household consumption +0.23% (EUR 18bn), GDP +0.03% (EUR 4bn a year); one-off contract adaptation cost about EUR 7,000 per firm; consumer detriment from faulty digital content EUR 9-11bn a year</t>
  </si>
  <si>
    <t xml:space="preserve">The Commission expected the digital content and sale of goods rules together to add about EUR 4 billion a year to EU GDP and bring millions more people to shop online across borders.</t>
  </si>
  <si>
    <t xml:space="preserve">forecast for the original (fully harmonised, online-only) proposals, later changed in negotiation</t>
  </si>
  <si>
    <t xml:space="preserve">https://eur-lex.europa.eu/legal-content/EN/TXT/?uri=CELEX:52015SC0275</t>
  </si>
  <si>
    <t xml:space="preserve">http://web.archive.org/web/20240513084932/https://eur-lex.europa.eu/legal-content/EN/TXT/?uri=celex%3A52015SC0275</t>
  </si>
  <si>
    <t xml:space="preserve">eli-2016-dcd-statement</t>
  </si>
  <si>
    <t xml:space="preserve">European Law Institute (2016), Statement of the European Law Institute on the European Commission's Proposed Directive on the Supply of Digital Content to Consumers, ELI statement</t>
  </si>
  <si>
    <t xml:space="preserve">expert legal commentary</t>
  </si>
  <si>
    <t xml:space="preserve">legal analysis (ex-ante)</t>
  </si>
  <si>
    <t xml:space="preserve">consumer protection level</t>
  </si>
  <si>
    <t xml:space="preserve">Supports EU rules on digital content but argues some provisions give insufficient protection and could lower protection existing under national laws</t>
  </si>
  <si>
    <t xml:space="preserve">Europe's leading law reform body backed the idea of EU rules on digital content but warned some provisions could reduce consumer protection in some countries.</t>
  </si>
  <si>
    <t xml:space="preserve">legal opinion on the proposal; not an impact study</t>
  </si>
  <si>
    <t xml:space="preserve">https://www.europeanlawinstitute.eu/fileadmin/user_upload/p_eli/Publications/ELI_Statement_on_DCD.pdf</t>
  </si>
  <si>
    <t xml:space="preserve">http://web.archive.org/web/20260617200235/https://europeanlawinstitute.eu/fileadmin/user_upload/p_eli/Publications/ELI_Statement_on_DCD.pdf</t>
  </si>
  <si>
    <t xml:space="preserve">Removing contract-law barriers would raise the share of firms selling cross-border online by more than 5 pp (122,000 firms), cut retail prices 0.25%, add 8-13m cross-border shoppers and raise GDP 0.03% (EUR 4bn a year); one-off cost about EUR 7,000 per firm</t>
  </si>
  <si>
    <t xml:space="preserve">The Commission expected common EU rules on faulty goods to cut prices slightly, bring more shops and shoppers online across borders and add about EUR 4 billion a year to GDP.</t>
  </si>
  <si>
    <t xml:space="preserve">forecast for the original online-only proposal; the adopted Directive covers all sales</t>
  </si>
  <si>
    <t xml:space="preserve">ec-2023-repair-ia</t>
  </si>
  <si>
    <t xml:space="preserve">European Commission (2023), Impact Assessment Report accompanying the proposal on common rules promoting the repair of goods, SWD(2023) 59</t>
  </si>
  <si>
    <t xml:space="preserve">ex-ante (with consultation on functioning of Sale of Goods remedies)</t>
  </si>
  <si>
    <t xml:space="preserve">repair; product lifetimes; remedies</t>
  </si>
  <si>
    <t xml:space="preserve">Uses the Sale of Goods Directive as the vehicle for repair incentives; notes Member States' concern that it was too early to change rules that had only just applied; no ex-post measurement of the Directive's effect on trade or prices</t>
  </si>
  <si>
    <t xml:space="preserve">When proposing a right to repair, the Commission built on these rules but did not measure how they have affected trade or prices.</t>
  </si>
  <si>
    <t xml:space="preserve">not an evaluation</t>
  </si>
  <si>
    <t xml:space="preserve">https://eur-lex.europa.eu/legal-content/EN/TXT/?uri=CELEX:52023SC0059</t>
  </si>
  <si>
    <t xml:space="preserve">http://web.archive.org/web/20261002210650/https://eur-lex.europa.eu/legal-content/EN/TXT/?uri=celex:52023SC0059</t>
  </si>
  <si>
    <t xml:space="preserve">European Commission (2016), Impact Assessment on the modernisation of EU copyright rules (executive summary SWD(2016) 302), SWD(2016) 301</t>
  </si>
  <si>
    <t xml:space="preserve">ex-ante (qualitative)</t>
  </si>
  <si>
    <t xml:space="preserve">rights-clearance costs; cross-border availability of broadcasts</t>
  </si>
  <si>
    <t xml:space="preserve">Country-of-origin principle for broadcasters' ancillary online services and mandatory collective management for retransmission over closed networks would reduce transaction costs and enhance cross-border distribution of and access to TV and radio programmes; benefits not quantified</t>
  </si>
  <si>
    <t xml:space="preserve">The Commission expected simpler copyright clearance to make more TV and radio programmes available online across borders, but did not put a number on the gain.</t>
  </si>
  <si>
    <t xml:space="preserve">forecast; qualitative only; the adopted scope was narrowed to news, current affairs and fully financed own productions</t>
  </si>
  <si>
    <t xml:space="preserve">https://eur-lex.europa.eu/legal-content/EN/TXT/?uri=CELEX:52016SC0302</t>
  </si>
  <si>
    <t xml:space="preserve">http://web.archive.org/web/20240714024358/https://eur-lex.europa.eu/legal-content/EN/TXT/?uri=celex%3A52016SC0302</t>
  </si>
  <si>
    <t xml:space="preserve">licensing revenue; compliance costs; legal certainty</t>
  </si>
  <si>
    <t xml:space="preserve">Qualitative only: press publishers' right to strengthen bargaining position without higher fees for services already licensing; upload-platform obligation to generate extra revenue for right holders with limited costs; costs could not be quantified overall for lack of data</t>
  </si>
  <si>
    <t xml:space="preserve">The Commission expected the new rules to help publishers and right holders license content to online platforms, but put no numbers on the gains.</t>
  </si>
  <si>
    <t xml:space="preserve">forecast; largely unquantified</t>
  </si>
  <si>
    <t xml:space="preserve">ec-2024-art17-6-assessment</t>
  </si>
  <si>
    <t xml:space="preserve">European Commission (2024), Assessment of the impact of Article 17(6) of Directive (EU) 2019/790, SWD(2024) 259 final (Council doc. 15441/24)</t>
  </si>
  <si>
    <t xml:space="preserve">consultation of Member States and stakeholders</t>
  </si>
  <si>
    <t xml:space="preserve">start-up liability regime; licensing</t>
  </si>
  <si>
    <t xml:space="preserve">inconclusive</t>
  </si>
  <si>
    <t xml:space="preserve">Limited evidence; very few Member States identified any platform under the start-up regime; no platform replied; right holders allege abuses without substantiation; 'difficult to draw at this stage any further conclusion'. Full Art. 17 review due no sooner than June 2026</t>
  </si>
  <si>
    <t xml:space="preserve">The Commission's first look at the lighter rules for upload start-ups found almost no evidence either way, partly because transposition was late.</t>
  </si>
  <si>
    <t xml:space="preserve">EU, 2023-24</t>
  </si>
  <si>
    <t xml:space="preserve">consultation-based; low response</t>
  </si>
  <si>
    <t xml:space="preserve">https://data.consilium.europa.eu/doc/document/ST-15441-2024-INIT/en/pdf</t>
  </si>
  <si>
    <t xml:space="preserve">calzada-gil-2020-news-aggregators</t>
  </si>
  <si>
    <t xml:space="preserve">Calzada &amp; Gil (2020), What Do News Aggregators Do? Evidence from Google News in Spain and Germany, Marketing Science 39(1)</t>
  </si>
  <si>
    <t xml:space="preserve">difference-in-differences (Google News closure in Spain, Dec 2014; France and Italy as controls)</t>
  </si>
  <si>
    <t xml:space="preserve">news traffic; advertising revenue</t>
  </si>
  <si>
    <t xml:space="preserve">negative (for ancillary right)</t>
  </si>
  <si>
    <t xml:space="preserve">Spain's 2014 ancillary right led Google News to close; daily visits to Spanish news outlets fell 8-14% relative to France/Italy, with lower ad revenue; Germany's opt-in did not affect opted-out outlets overall but cut Axel Springer visits by 7%</t>
  </si>
  <si>
    <t xml:space="preserve">When Spain's publishers' right made Google News leave the country, visits to Spanish news sites fell by 8-14%, suggesting aggregators send readers to publishers rather than replace them.</t>
  </si>
  <si>
    <t xml:space="preserve">Spain, Germany, 2014-15</t>
  </si>
  <si>
    <t xml:space="preserve">causal (DiD); predecessor national laws, not Art. 15 itself</t>
  </si>
  <si>
    <t xml:space="preserve">https://doi.org/10.1287/mksc.2019.1150</t>
  </si>
  <si>
    <t xml:space="preserve">https://diposit.ub.edu/dspace/handle/2445/150425</t>
  </si>
  <si>
    <t xml:space="preserve">athey-mobius-pal-2021-aggregators</t>
  </si>
  <si>
    <t xml:space="preserve">Athey, Mobius &amp; Pal (2021), The Impact of Aggregators on Internet News Consumption, NBER Working Paper 28746</t>
  </si>
  <si>
    <t xml:space="preserve">synthetic control (browsing data of 100,000+ users in Spain around Google News closure)</t>
  </si>
  <si>
    <t xml:space="preserve">news consumption; publisher traffic</t>
  </si>
  <si>
    <t xml:space="preserve">Google News shutdown cut overall news consumption of its users by about 20% and page views on other publishers by 10%; losses concentrated on small publishers</t>
  </si>
  <si>
    <t xml:space="preserve">After Google News closed in Spain, its users read about 20% less news and small publishers lost the most traffic.</t>
  </si>
  <si>
    <t xml:space="preserve">Spain, 2014-15</t>
  </si>
  <si>
    <t xml:space="preserve">causal (synthetic control); predecessor national law</t>
  </si>
  <si>
    <t xml:space="preserve">Data from Microsoft users; Athey and Mobius affiliated with Microsoft Research</t>
  </si>
  <si>
    <t xml:space="preserve">https://www.nber.org/papers/w28746</t>
  </si>
  <si>
    <t xml:space="preserve">https://www.nber.org/system/files/working_papers/w28746/w28746.pdf</t>
  </si>
  <si>
    <t xml:space="preserve">jrc-2016-news-aggregation</t>
  </si>
  <si>
    <t xml:space="preserve">European Commission Joint Research Centre (2017), The economics of online news aggregation and neighbouring rights for news publishers (draft, released after access-to-documents request), JRC draft presented 2016, disclosed Dec 2017</t>
  </si>
  <si>
    <t xml:space="preserve">Commission research (draft)</t>
  </si>
  <si>
    <t xml:space="preserve">literature and evidence review (Spain, Germany)</t>
  </si>
  <si>
    <t xml:space="preserve">publisher revenue; traffic</t>
  </si>
  <si>
    <t xml:space="preserve">Aggregators increase traffic and ad revenue for newspapers; the market value of the German and Spanish rights 'so far remain zero'</t>
  </si>
  <si>
    <t xml:space="preserve">An internal Commission research paper, not published at the time, found that earlier national publishers' rights had raised no money and that news aggregators help publishers.</t>
  </si>
  <si>
    <t xml:space="preserve">Spain, Germany</t>
  </si>
  <si>
    <t xml:space="preserve">draft; not peer-reviewed</t>
  </si>
  <si>
    <t xml:space="preserve">https://www.create.ac.uk/?p=16974</t>
  </si>
  <si>
    <t xml:space="preserve">adlc-2021-2024-google-neighbouring-rights</t>
  </si>
  <si>
    <t xml:space="preserve">Autorité de la concurrence (France) (2024), Decisions 21-D-17 (EUR 500m fine, July 2021) and 24-D-03 (EUR 250m fine, March 2024) against Google on press publishers' related rights, French competition authority decisions</t>
  </si>
  <si>
    <t xml:space="preserve">national regulator enforcement</t>
  </si>
  <si>
    <t xml:space="preserve">negotiation with publishers</t>
  </si>
  <si>
    <t xml:space="preserve">Google fined EUR 500m for not negotiating in good faith with publishers after interim measures (2020), then EUR 250m for breaching four of seven commitments made in 2022</t>
  </si>
  <si>
    <t xml:space="preserve">France's competition authority had to fine Google twice (EUR 500m and EUR 250m) to make it negotiate payments to news publishers under the new right.</t>
  </si>
  <si>
    <t xml:space="preserve">France, 2019-24</t>
  </si>
  <si>
    <t xml:space="preserve">https://www.autoritedelaconcurrence.fr/fr/entityprint/pdf/node/10179</t>
  </si>
  <si>
    <t xml:space="preserve">doseva-et-al-2022-uploaders</t>
  </si>
  <si>
    <t xml:space="preserve">Doseva, Schmid-Petri, Schillmöller &amp; Heckmann (2022), Uploaders' perceptions of the German implementation of the EU copyright reform and their preferences for copyright regulation, Internet Policy Review 11(4)</t>
  </si>
  <si>
    <t xml:space="preserve">qualitative interviews (n=19) and content analysis of consultation comments (n=17)</t>
  </si>
  <si>
    <t xml:space="preserve">freedom of expression; user perceptions</t>
  </si>
  <si>
    <t xml:space="preserve">negative (perceived)</t>
  </si>
  <si>
    <t xml:space="preserve">Uploaders see state-mandated upload filters as restricting free expression and consider the German safeguards against filters ineffective in practice</t>
  </si>
  <si>
    <t xml:space="preserve">Interviews with German content creators found they see upload filters as a threat to free expression and doubt national safeguards work.</t>
  </si>
  <si>
    <t xml:space="preserve">Germany, 2021-22</t>
  </si>
  <si>
    <t xml:space="preserve">qualitative; small sample</t>
  </si>
  <si>
    <t xml:space="preserve">https://policyreview.info/articles/analysis/uploaders-perceptions-german-implementation-eu-copyright-reform</t>
  </si>
  <si>
    <t xml:space="preserve">http://web.archive.org/web/20260607102546/https://policyreview.info/articles/analysis/uploaders-perceptions-german-implementation-eu-copyright-reform</t>
  </si>
  <si>
    <t xml:space="preserve">ec-2018-psi-ia</t>
  </si>
  <si>
    <t xml:space="preserve">European Commission (2018), Impact Assessment accompanying the proposal for a Directive on the re-use of public sector information (executive summary SWD(2018) 128), SWD(2018) 127</t>
  </si>
  <si>
    <t xml:space="preserve">ex-ante (Deloitte support study model)</t>
  </si>
  <si>
    <t xml:space="preserve">economic value; jobs; costs</t>
  </si>
  <si>
    <t xml:space="preserve">Direct economic value of PSI EUR 52bn in 2018; preferred option lifts it to about EUR 194bn in 2028 (30% above EUR 150bn baseline); jobs 709,000 vs 518,000; cost of opening data EUR 2.7bn vs 4.1bn baseline</t>
  </si>
  <si>
    <t xml:space="preserve">The Commission forecast that the recast would make public data worth about EUR 194 billion a year to the economy by 2028, 30% more than without it, and support about 190,000 extra jobs.</t>
  </si>
  <si>
    <t xml:space="preserve">EU-28, forecast to 2028/2030</t>
  </si>
  <si>
    <t xml:space="preserve">forecast; model-based</t>
  </si>
  <si>
    <t xml:space="preserve">https://eur-lex.europa.eu/legal-content/EN/TXT/?uri=CELEX:52018SC0127</t>
  </si>
  <si>
    <t xml:space="preserve">ec-2018-psi-evaluation</t>
  </si>
  <si>
    <t xml:space="preserve">European Commission (2018), Evaluation of Directive 2003/98/EC on the re-use of public sector information (executive summary SWD(2018) 129), SWD(2018) 145</t>
  </si>
  <si>
    <t xml:space="preserve">review (Deloitte study, Open Data Maturity report, consultations)</t>
  </si>
  <si>
    <t xml:space="preserve">competition; jobs and services; cross-border re-use</t>
  </si>
  <si>
    <t xml:space="preserve">PSI Directive effective in ensuring fairer competition and enabling new jobs and services, less so for cross-border re-use; positive cost-benefit balance; challenges remain on dynamic data, charging above marginal cost, data lock-in</t>
  </si>
  <si>
    <t xml:space="preserve">The Commission's evaluation of the earlier PSI rules found they helped create services and jobs but that real-time data and high fees were still holding re-use back.</t>
  </si>
  <si>
    <t xml:space="preserve">EU, 2003-2017</t>
  </si>
  <si>
    <t xml:space="preserve">self-evaluation; benefits largely qualitative</t>
  </si>
  <si>
    <t xml:space="preserve">https://eur-lex.europa.eu/legal-content/EN/TXT/?uri=CELEX:52018SC0145</t>
  </si>
  <si>
    <t xml:space="preserve">ec-2022-hvd-ia</t>
  </si>
  <si>
    <t xml:space="preserve">European Commission (2022), Impact assessment report accompanying the Implementing Regulation laying down a list of specific high-value datasets (executive summary SWD(2022) 433), SWD(2022) 432</t>
  </si>
  <si>
    <t xml:space="preserve">economic value of high-value datasets</t>
  </si>
  <si>
    <t xml:space="preserve">Direct effect of preferred option EUR 75bn in 2028, EUR 6bn above baseline; indirect forward effect EUR 201bn (EUR 16bn above baseline); figures described as estimates as dataset value is hard to isolate</t>
  </si>
  <si>
    <t xml:space="preserve">The Commission expected free, API-based access to key public datasets to add about EUR 6 billion a year in direct value by 2028.</t>
  </si>
  <si>
    <t xml:space="preserve">EU, forecast to 2028</t>
  </si>
  <si>
    <t xml:space="preserve">https://eur-lex.europa.eu/legal-content/EN/TXT/?uri=CELEX:52022SC0433</t>
  </si>
  <si>
    <t xml:space="preserve">https://edz.bib.uni-mannheim.de/edz/pdf/swd/2022/swd-2022-0433-en.pdf</t>
  </si>
  <si>
    <t xml:space="preserve">odm-2025</t>
  </si>
  <si>
    <t xml:space="preserve">data.europa.eu (European Commission) (2025), Open Data Maturity Report 2025, data.europa.eu</t>
  </si>
  <si>
    <t xml:space="preserve">self-assessment questionnaire of national administrations</t>
  </si>
  <si>
    <t xml:space="preserve">policy; portals; quality; impact</t>
  </si>
  <si>
    <t xml:space="preserve">positive (activity)</t>
  </si>
  <si>
    <t xml:space="preserve">EU-27 average maturity 86% in 2025 (+3 pp); impact dimension least mature at 82%; HVD implementation ongoing</t>
  </si>
  <si>
    <t xml:space="preserve">Countries rate their open data policies and portals highly (86% on average), but score lowest on showing actual impact.</t>
  </si>
  <si>
    <t xml:space="preserve">EU-27, 2025</t>
  </si>
  <si>
    <t xml:space="preserve">self-reported; measures readiness, not outcomes</t>
  </si>
  <si>
    <t xml:space="preserve">https://data.europa.eu/sites/default/files/2025-12/2025_odm_report_7.pdf</t>
  </si>
  <si>
    <t xml:space="preserve">edp-2020-economic-impact</t>
  </si>
  <si>
    <t xml:space="preserve">European Data Portal (Capgemini Invent et al.) (2020), The Economic Impact of Open Data: Opportunities for value creation in Europe, European Data Portal study for the European Commission</t>
  </si>
  <si>
    <t xml:space="preserve">market sizing model</t>
  </si>
  <si>
    <t xml:space="preserve">market size; jobs; efficiency gains</t>
  </si>
  <si>
    <t xml:space="preserve">positive (estimate)</t>
  </si>
  <si>
    <t xml:space="preserve">Open data market size estimated at EUR 184bn (2019), forecast EUR 199.5-334.2bn in 2025</t>
  </si>
  <si>
    <t xml:space="preserve">A Commission-funded study put the value of Europe's open data market at EUR 184 billion in 2019, but did not test what the Directive itself contributed.</t>
  </si>
  <si>
    <t xml:space="preserve">EU27+, 2019-2025</t>
  </si>
  <si>
    <t xml:space="preserve">modelled estimate; no attribution to the Directive</t>
  </si>
  <si>
    <t xml:space="preserve">https://data.europa.eu/en/publications/open-data-impact</t>
  </si>
  <si>
    <t xml:space="preserve">http://web.archive.org/web/20260303070732/https://data.europa.eu/en/publications/open-data-impact</t>
  </si>
  <si>
    <t xml:space="preserve">nagaraj-2022-landsat</t>
  </si>
  <si>
    <t xml:space="preserve">Nagaraj (2022), The Private Impact of Public Data: Landsat Satellite Maps Increased Gold Discoveries and Encouraged Entry, Management Science 68(1), 564-582</t>
  </si>
  <si>
    <t xml:space="preserve">causal: quasi-experiment using timing and cloud-cover variation in Landsat coverage</t>
  </si>
  <si>
    <t xml:space="preserve">discoveries; firm entry</t>
  </si>
  <si>
    <t xml:space="preserve">Free public satellite data nearly doubled the rate of significant gold discoveries in newly mapped regions and raised new entrants' share of discoveries from about 10% to 25%</t>
  </si>
  <si>
    <t xml:space="preserve">When the US released free satellite maps, gold discoveries nearly doubled and newcomers found a much bigger share - evidence that opening public data can boost competition, though not a test of the EU Directive.</t>
  </si>
  <si>
    <t xml:space="preserve">global gold exploration, US data release</t>
  </si>
  <si>
    <t xml:space="preserve">not EU-specific; indirect evidence for the Directive's logic</t>
  </si>
  <si>
    <t xml:space="preserve">https://doi.org/10.1287/mnsc.2020.3878</t>
  </si>
  <si>
    <t xml:space="preserve">ec-2024-fdi-evaluation</t>
  </si>
  <si>
    <t xml:space="preserve">European Commission (2024), Evaluation of Regulation (EU) 2019/452 establishing a framework for the screening of foreign direct investments into the Union (executive summary SWD(2024) 24), SWD(2024) 23</t>
  </si>
  <si>
    <t xml:space="preserve">review (OECD study, ECA report, stakeholder consultation)</t>
  </si>
  <si>
    <t xml:space="preserve">security; FDI flows; administrative burden</t>
  </si>
  <si>
    <t xml:space="preserve">Positive impact on protecting security and public order; 'has not had chilling effects on the flow of FDI into the EU'; burden reasonable; blind spots from Member States without screening, intra-EU structured investments outside scope, short timelines and divergent national rules</t>
  </si>
  <si>
    <t xml:space="preserve">The Commission concluded that the screening framework helps protect security without deterring investment, but has gaps because some countries do not screen and national rules differ.</t>
  </si>
  <si>
    <t xml:space="preserve">EU, Oct 2020-Jun 2023</t>
  </si>
  <si>
    <t xml:space="preserve">self-evaluation; no causal test of chilling effect</t>
  </si>
  <si>
    <t xml:space="preserve">https://eur-lex.europa.eu/legal-content/EN/TXT/?uri=CELEX:52024SC0023</t>
  </si>
  <si>
    <t xml:space="preserve">ec-2025-fdi-fifth-annual-report</t>
  </si>
  <si>
    <t xml:space="preserve">European Commission (2025), Fifth Annual Report on the screening of foreign direct investments into the Union, COM(2025) 632</t>
  </si>
  <si>
    <t xml:space="preserve">administrative statistics</t>
  </si>
  <si>
    <t xml:space="preserve">screening activity; FDI flows</t>
  </si>
  <si>
    <t xml:space="preserve">n/a (activity)</t>
  </si>
  <si>
    <t xml:space="preserve">2024: 477 notifications from 21 Member States (488 in 2023); 92% closed in Phase 1; Commission opinions in &lt;2% of cases; 3,136 national cases (1,808 in 2023); 86% of screened cases cleared unconditionally, 9% with conditions, ~1% blocked; 24 Member States with screening legislation; EU FDI inflows down 8.4% in 2024</t>
  </si>
  <si>
    <t xml:space="preserve">In 2024 EU countries handled over 3,000 screening cases and blocked about 1% of those formally screened; the Commission cleared 92% of cross-border notifications within 15 days.</t>
  </si>
  <si>
    <t xml:space="preserve">activity data only</t>
  </si>
  <si>
    <t xml:space="preserve">https://eur-lex.europa.eu/legal-content/EN/TXT/?uri=CELEX:52025DC0632</t>
  </si>
  <si>
    <t xml:space="preserve">https://data.consilium.europa.eu/doc/document/ST-13990-2025-INIT/en/pdf</t>
  </si>
  <si>
    <t xml:space="preserve">http://web.archive.org/web/20260516224510/https://eur-lex.europa.eu/legal-content/EN/TXT/?uri=CELEX:52025DC0632</t>
  </si>
  <si>
    <t xml:space="preserve">eca-2023-fdi-screening</t>
  </si>
  <si>
    <t xml:space="preserve">European Court of Auditors (2023), Screening foreign direct investments in the EU: First steps taken, but significant limitations remain in addressing security and public-order risks effectively, Special Report 27/2023</t>
  </si>
  <si>
    <t xml:space="preserve">audit (sample of notified cases, all Commission opinions 2020-2022)</t>
  </si>
  <si>
    <t xml:space="preserve">effectiveness; efficiency</t>
  </si>
  <si>
    <t xml:space="preserve">Commission took appropriate steps, but 'significant limitations' reduce effectiveness: six Member States lacked screening, divergent scope create 'multiple blind spots'; cooperation mechanism only 'partially effective'; high volume of low-risk cases overburdens it</t>
  </si>
  <si>
    <t xml:space="preserve">The EU's auditors found the framework a useful first step but riddled with blind spots because several countries did not screen investments at all.</t>
  </si>
  <si>
    <t xml:space="preserve">EU, 2020-2022</t>
  </si>
  <si>
    <t xml:space="preserve">audit; no economic impact analysis</t>
  </si>
  <si>
    <t xml:space="preserve">https://www.eca.europa.eu/ECAHTML/SR-2023-27/en/body.html</t>
  </si>
  <si>
    <t xml:space="preserve">oecd-2022-fdi-framework</t>
  </si>
  <si>
    <t xml:space="preserve">OECD (2022), Framework for Screening Foreign Direct Investment into the EU: Assessing effectiveness and efficiency, OECD Publishing (study for the European Commission)</t>
  </si>
  <si>
    <t xml:space="preserve">desk research and interviews with authorities</t>
  </si>
  <si>
    <t xml:space="preserve">Positive overall assessment but 12 issues diminish effectiveness or efficiency, first among them Member States without any screening mechanism; reforms suggested for each</t>
  </si>
  <si>
    <t xml:space="preserve">An OECD review for the Commission judged the system broadly positive but listed 12 weaknesses, starting with countries that had no screening at all.</t>
  </si>
  <si>
    <t xml:space="preserve">process evaluation; co-financed by the EU</t>
  </si>
  <si>
    <t xml:space="preserve">https://www.oecd.org/en/publications/framework-for-screening-foreign-direct-investment-into-the-eu_f75ec890-en.html</t>
  </si>
  <si>
    <t xml:space="preserve">eichenauer-wang-2024</t>
  </si>
  <si>
    <t xml:space="preserve">Eichenauer &amp; Wang (2024), Mild Deglobalization: Foreign Investment Screening and Cross-Border Investment, Kiel Working Paper 2265</t>
  </si>
  <si>
    <t xml:space="preserve">causal: staggered triple-difference (deal-level cross-border M&amp;A, OECD and EU countries, 2007-2022)</t>
  </si>
  <si>
    <t xml:space="preserve">cross-border M&amp;A</t>
  </si>
  <si>
    <t xml:space="preserve">Introducing screening reduces the number of M&amp;A in a newly screened sector by 11.7-16.0%; driven by minority acquisitions and by deals involving foreign governments/SOEs or US investors; no reduction for intra-EU/EFTA deals</t>
  </si>
  <si>
    <t xml:space="preserve">The first cross-country study finds that when a sector becomes subject to investment screening, foreign takeovers in it fall by roughly 12-16%.</t>
  </si>
  <si>
    <t xml:space="preserve">OECD and EU countries, 2007-2022</t>
  </si>
  <si>
    <t xml:space="preserve">measures national screening, not the EU Regulation alone</t>
  </si>
  <si>
    <t xml:space="preserve">https://ifw-kiel.de/publications/mild-deglobalization-foreign-investment-screening-and-cross-border-investment-32640</t>
  </si>
  <si>
    <t xml:space="preserve">mau-2023-ism</t>
  </si>
  <si>
    <t xml:space="preserve">Mau (2023), Screening or deterring investments into the European Union?, Maastricht University SBE blog (summary of working paper Mau 2023)</t>
  </si>
  <si>
    <t xml:space="preserve">working paper (blog summary)</t>
  </si>
  <si>
    <t xml:space="preserve">regression analysis of M&amp;A by non-EU buyers in EU countries adopting screening mechanisms</t>
  </si>
  <si>
    <t xml:space="preserve">EU countries adopting a screening mechanism in line with the EU framework saw significantly larger decreases in overall M&amp;A activity; cannot confirm the effect is driven by Chinese or state-controlled investors</t>
  </si>
  <si>
    <t xml:space="preserve">An early study finds that EU countries which introduced screening under the EU framework saw bigger drops in foreign takeovers, and not only from China.</t>
  </si>
  <si>
    <t xml:space="preserve">EU, 2005-2022</t>
  </si>
  <si>
    <t xml:space="preserve">early results; full paper not reviewed</t>
  </si>
  <si>
    <t xml:space="preserve">page summary (blog read)</t>
  </si>
  <si>
    <t xml:space="preserve">https://maastrichtuniversity.nl/news/screening-or-deterring-investments-european-union</t>
  </si>
  <si>
    <t xml:space="preserve">ec-2018-doteu-ia</t>
  </si>
  <si>
    <t xml:space="preserve">European Commission (2018), Impact Assessment accompanying the proposal on the implementation and functioning of the .eu top-level domain (executive summary SWD(2018) 121), SWD(2018) 120</t>
  </si>
  <si>
    <t xml:space="preserve">governance; flexibility; attractiveness of .eu</t>
  </si>
  <si>
    <t xml:space="preserve">Preferred option: principles-based framework, separate multistakeholder advisory body, relaxed eligibility (EU citizenship criterion) and direct registration; no quantified targets</t>
  </si>
  <si>
    <t xml:space="preserve">The Commission expected simpler, more flexible rules and wider eligibility to make the .eu domain more attractive, without setting numerical targets.</t>
  </si>
  <si>
    <t xml:space="preserve">https://eur-lex.europa.eu/legal-content/EN/TXT/?uri=CELEX:52018SC0121</t>
  </si>
  <si>
    <t xml:space="preserve">ec-2018-doteu-refit-eval</t>
  </si>
  <si>
    <t xml:space="preserve">European Commission (2018), REFIT evaluation of Regulations 733/2002 and 874/2004 on the .eu top-level domain (executive summary), SWD(2018) 122</t>
  </si>
  <si>
    <t xml:space="preserve">REFIT evaluation of predecessor rules</t>
  </si>
  <si>
    <t xml:space="preserve">Old framework still delivered its benefits but was outdated and rigid, with governance and accountability deficiencies and poor fit with a fast-changing domain market</t>
  </si>
  <si>
    <t xml:space="preserve">The Commission's evaluation of the old .eu rules found them still useful but outdated and too rigid.</t>
  </si>
  <si>
    <t xml:space="preserve">EU, 2002-2017</t>
  </si>
  <si>
    <t xml:space="preserve">self-evaluation of predecessor</t>
  </si>
  <si>
    <t xml:space="preserve">https://eur-lex.europa.eu/legal-content/EN/TXT/?uri=CELEX:52018SC0122</t>
  </si>
  <si>
    <t xml:space="preserve">ec-2022-doteu-report</t>
  </si>
  <si>
    <t xml:space="preserve">European Commission (2022), Report on the implementation, functioning and effectiveness of the .eu Top-Level Domain from April 2019 to April 2021, COM(2022) 1</t>
  </si>
  <si>
    <t xml:space="preserve">monitoring report (registry data)</t>
  </si>
  <si>
    <t xml:space="preserve">registrations; security</t>
  </si>
  <si>
    <t xml:space="preserve">3.7 million .eu domains in April 2021 (8th largest ccTLD); growth flattened as Brexit losses were offset by pandemic demand; citizens abroad allowed to register; 100% availability</t>
  </si>
  <si>
    <t xml:space="preserve">In 2021 the .eu domain had 3.7 million registrations and growth had flattened.</t>
  </si>
  <si>
    <t xml:space="preserve">EU, 2019-2021 (mostly before the new Regulation applied)</t>
  </si>
  <si>
    <t xml:space="preserve">https://eur-lex.europa.eu/legal-content/EN/TXT/?uri=CELEX:52022DC0001</t>
  </si>
  <si>
    <t xml:space="preserve">eurid-2025-q4</t>
  </si>
  <si>
    <t xml:space="preserve">EURid (registry) (2026), Q4 2025 quarterly update, EURid quarterly report</t>
  </si>
  <si>
    <t xml:space="preserve">registry statistics</t>
  </si>
  <si>
    <t xml:space="preserve">registrations</t>
  </si>
  <si>
    <t xml:space="preserve">3,790,453 .eu registrations at end-2025; 193,047 new registrations in Q4 2025</t>
  </si>
  <si>
    <t xml:space="preserve">By end-2025 the .eu domain had about 3.79 million registrations, roughly the same as in 2021.</t>
  </si>
  <si>
    <t xml:space="preserve">EU, 2025</t>
  </si>
  <si>
    <t xml:space="preserve">descriptive; registry operator data</t>
  </si>
  <si>
    <t xml:space="preserve">EURid is the registry operator under contract with the Commission</t>
  </si>
  <si>
    <t xml:space="preserve">https://cdn.eurid.eu/assets/q4-2025.pdf</t>
  </si>
  <si>
    <t xml:space="preserve">ec-2017-interop-ia</t>
  </si>
  <si>
    <t xml:space="preserve">European Commission (2017), Impact Assessment accompanying the proposals on interoperability between EU information systems (executive summary SWD(2017) 474), SWD(2017) 473</t>
  </si>
  <si>
    <t xml:space="preserve">border management; identity fraud; costs</t>
  </si>
  <si>
    <t xml:space="preserve">Direct savings EUR 77.5m a year (training, resolving multiple identities); one-off costs EUR 169.8m, running costs EUR 28.5m a year; positive for border control and law enforcement</t>
  </si>
  <si>
    <t xml:space="preserve">The Commission expected linking the EU's border and security databases to save national administrations about EUR 77.5 million a year for a one-off cost of about EUR 170 million.</t>
  </si>
  <si>
    <t xml:space="preserve">https://eur-lex.europa.eu/legal-content/EN/TXT/?uri=CELEX:52017SC0474</t>
  </si>
  <si>
    <t xml:space="preserve">http://web.archive.org/web/20251206070935/https://eur-lex.europa.eu/legal-content/EN/TXT/?uri=CELEX:52017SC0474</t>
  </si>
  <si>
    <t xml:space="preserve">ec-2026-interop-state-of-play</t>
  </si>
  <si>
    <t xml:space="preserve">European Commission (2026), Sixth report on the state of play of preparations for the full implementation of the Interoperability Regulations (covering 2025), COM(2026) 446</t>
  </si>
  <si>
    <t xml:space="preserve">monitoring report</t>
  </si>
  <si>
    <t xml:space="preserve">delivery timeline; costs</t>
  </si>
  <si>
    <t xml:space="preserve">n/a (implementation delayed)</t>
  </si>
  <si>
    <t xml:space="preserve">Shared biometric matching service launched 19 May 2025; Entry/Exit System rolled out 12 Oct 2025; search portal and common identity repository to start 12 June 2026; reporting repository Q4 2026; eu-LISA contracts EUR 170.8m signed, EUR 133.2m paid by Dec 2025</t>
  </si>
  <si>
    <t xml:space="preserve">Six years on, the first building block went live in 2025 and the rest is due in 2026, about three years later than planned, with spending already above the original estimate.</t>
  </si>
  <si>
    <t xml:space="preserve">self-reported progress; no outcome data</t>
  </si>
  <si>
    <t xml:space="preserve">https://eur-lex.europa.eu/legal-content/EN/TXT/?uri=CELEX:52026DC0446</t>
  </si>
  <si>
    <t xml:space="preserve">ec-2026-eulisa-eval</t>
  </si>
  <si>
    <t xml:space="preserve">European Commission (2026), Report on the evaluation of eu-LISA under Article 39 of Regulation (EU) 2018/1726, COM(2026) 32 (SWD(2026) 980)</t>
  </si>
  <si>
    <t xml:space="preserve">agency evaluation</t>
  </si>
  <si>
    <t xml:space="preserve">delivery of large-scale IT systems</t>
  </si>
  <si>
    <t xml:space="preserve">Operational management of existing systems effective, but development of new systems less so: contractor management, internal coordination and resource problems caused significant delays to EES, ETIAS, ECRIS-TCN and revised VIS; warns new tasks would raise the risk of further delays to the interoperability project</t>
  </si>
  <si>
    <t xml:space="preserve">The Commission's evaluation of the EU IT agency found it runs existing systems well but has struggled to deliver new ones on time, which has held up the interoperability project.</t>
  </si>
  <si>
    <t xml:space="preserve">EU, agency mandate period</t>
  </si>
  <si>
    <t xml:space="preserve">agency evaluation, not of the Regulation's effects</t>
  </si>
  <si>
    <t xml:space="preserve">https://eur-lex.europa.eu/legal-content/EN/TXT/?uri=CELEX:52026DC0032</t>
  </si>
  <si>
    <t xml:space="preserve">ec-2017-csa-ia</t>
  </si>
  <si>
    <t xml:space="preserve">European Commission (2017), Impact Assessment accompanying the Cybersecurity Act proposal (executive summary SWD(2017) 501), SWD(2017) 500</t>
  </si>
  <si>
    <t xml:space="preserve">cyber resilience; certification market fragmentation</t>
  </si>
  <si>
    <t xml:space="preserve">Preferred option: permanent, reinforced ENISA plus an EU ICT security certification framework enabling mutual recognition; moderate extra EU budget cost; benefits not quantified (context: cyber incidents cost about 0.41% of EU GDP)</t>
  </si>
  <si>
    <t xml:space="preserve">The Commission expected a stronger EU cyber agency and EU-wide certification to reduce fragmentation and raise trust, without quantifying the benefits.</t>
  </si>
  <si>
    <t xml:space="preserve">https://eur-lex.europa.eu/legal-content/EN/TXT/?uri=CELEX:52017SC0501</t>
  </si>
  <si>
    <t xml:space="preserve">http://web.archive.org/web/20231112102655/https://eur-lex.europa.eu/legal-content/EN/TXT/?uri=CELEX:52017SC0501</t>
  </si>
  <si>
    <t xml:space="preserve">ec-2026-csa-evaluation</t>
  </si>
  <si>
    <t xml:space="preserve">European Commission (2026), Report on the evaluation of ENISA and the European Cybersecurity Certification Framework, COM(2026) 9 (SWD(2026) 2)</t>
  </si>
  <si>
    <t xml:space="preserve">evaluation (interviews, surveys, document review; external study completed Dec 2024)</t>
  </si>
  <si>
    <t xml:space="preserve">ENISA effectiveness; certification</t>
  </si>
  <si>
    <t xml:space="preserve">ENISA delivered nearly all planned outputs but lacked indicators and resources; the certification framework failed to reduce fragmentation: first scheme (EUCC) took 57 months and was adopted only in early 2024, cloud scheme stalled over data-sovereignty debates</t>
  </si>
  <si>
    <t xml:space="preserve">The Commission's evaluation found the EU cyber agency does useful work but is stretched, while the certification system has been slow and has not reduced fragmentation: only one scheme was adopted in five years.</t>
  </si>
  <si>
    <t xml:space="preserve">self-evaluation; no outcome indicators</t>
  </si>
  <si>
    <t xml:space="preserve">https://eur-lex.europa.eu/legal-content/EN/TXT/?uri=CELEX:52026DC0009</t>
  </si>
  <si>
    <t xml:space="preserve">ec-2026-csa2-ia</t>
  </si>
  <si>
    <t xml:space="preserve">European Commission (2026), Impact Assessment accompanying the proposal for a Cybersecurity Act 2 (executive summary SWD(2026) 12), SWD(2026) 11</t>
  </si>
  <si>
    <t xml:space="preserve">costs; compliance burden; certification reform</t>
  </si>
  <si>
    <t xml:space="preserve">Proposes repealing and replacing Regulation 2019/881: reformed certification framework with scheme maintenance; ENISA costs up to EUR 161.3m over five years; compliance savings for businesses of up to EUR 14.6bn</t>
  </si>
  <si>
    <t xml:space="preserve">Building on the evaluation, the Commission proposed in 2026 to replace the Cybersecurity Act and fix its certification process.</t>
  </si>
  <si>
    <t xml:space="preserve">full text read (executive summary, partly)</t>
  </si>
  <si>
    <t xml:space="preserve">https://eur-lex.europa.eu/legal-content/EN/TXT/?uri=CELEX:52026SC0012</t>
  </si>
  <si>
    <t xml:space="preserve">ec-2017-msr-ia</t>
  </si>
  <si>
    <t xml:space="preserve">European Commission (2017), Impact Assessment accompanying the proposal on compliance with and enforcement of Union harmonisation legislation on products (executive summary SWD(2017) 467), SWD(2017) 466</t>
  </si>
  <si>
    <t xml:space="preserve">product compliance; enforcement efficiency</t>
  </si>
  <si>
    <t xml:space="preserve">Products under EU harmonised rules worth over EUR 2,400bn a year (69% of manufactured output); expected fewer non-compliant products, more efficient import checks and a level playing field; EU Product Compliance Network costs about EUR 18m a year</t>
  </si>
  <si>
    <t xml:space="preserve">The Commission expected stronger, better coordinated market surveillance to reduce unsafe and non-compliant products, without quantifying the gain.</t>
  </si>
  <si>
    <t xml:space="preserve">https://eur-lex.europa.eu/legal-content/EN/TXT/?uri=CELEX:52017SC0467</t>
  </si>
  <si>
    <t xml:space="preserve">http://web.archive.org/web/20241119073230/https://eur-lex.europa.eu/legal-content/EN/TXT/?uri=celex%3A52017SC0467</t>
  </si>
  <si>
    <t xml:space="preserve">ec-2025-msr-art4-report</t>
  </si>
  <si>
    <t xml:space="preserve">European Commission (2025), Report on the implementation of Article 4 of Regulation (EU) 2019/1020, COM(2025) 63</t>
  </si>
  <si>
    <t xml:space="preserve">review (survey of 108 market surveillance authorities, joint actions, evaluation study)</t>
  </si>
  <si>
    <t xml:space="preserve">compliance; cooperation with operators</t>
  </si>
  <si>
    <t xml:space="preserve">85% of authorities checked Article 4; operator absent in 7% and incorrect in 5% of checks; only 34% of indicated operators confirmed in a 2023 online joint action; non-compliance about 10% of checks with no clear change; half of authorities saw no change; not a full evaluation</t>
  </si>
  <si>
    <t xml:space="preserve">A Commission review found the rule requiring an EU-based contact for products has had no clear effect on compliance yet, and online sellers often give wrong details.</t>
  </si>
  <si>
    <t xml:space="preserve">partial report; survey-based; low business response</t>
  </si>
  <si>
    <t xml:space="preserve">https://eur-lex.europa.eu/legal-content/EN/TXT/?uri=CELEX:52025DC0063</t>
  </si>
  <si>
    <t xml:space="preserve">http://web.archive.org/web/20251119145820/https://eur-lex.europa.eu/legal-content/EN/TXT/?uri=CELEX%3A52025DC0063</t>
  </si>
  <si>
    <t xml:space="preserve">ec-2025-ecommerce-toolbox</t>
  </si>
  <si>
    <t xml:space="preserve">European Commission (2025), A comprehensive EU toolbox for safe and sustainable e-commerce, COM(2025) 37</t>
  </si>
  <si>
    <t xml:space="preserve">Commission communication</t>
  </si>
  <si>
    <t xml:space="preserve">policy document with customs statistics</t>
  </si>
  <si>
    <t xml:space="preserve">imports; product safety</t>
  </si>
  <si>
    <t xml:space="preserve">4.6bn low-value consignments imported in 2024, nearly double 2023 (2.4bn) and more than triple 2022 (1.4bn); surge of non-compliant products strains authorities; calls for stronger enforcement</t>
  </si>
  <si>
    <t xml:space="preserve">The Commission says direct imports of cheap parcels tripled in two years to 4.6 billion in 2024, overwhelming product checks.</t>
  </si>
  <si>
    <t xml:space="preserve">EU, 2022-2024</t>
  </si>
  <si>
    <t xml:space="preserve">context, not an evaluation of the Regulation</t>
  </si>
  <si>
    <t xml:space="preserve">https://eur-lex.europa.eu/legal-content/EN/TXT/?uri=CELEX:52025DC0037</t>
  </si>
  <si>
    <t xml:space="preserve">http://web.archive.org/web/20261001140548/https://eur-lex.europa.eu/legal-content/EN/TXT/?uri=CELEX%3A52025DC0037</t>
  </si>
  <si>
    <t xml:space="preserve">ec-2018-p2b-ia</t>
  </si>
  <si>
    <t xml:space="preserve">European Commission (2018), Impact assessment accompanying the proposal on fairness and transparency for business users of online intermediation services (executive summary SWD(2018) 139), SWD(2018) 138</t>
  </si>
  <si>
    <t xml:space="preserve">platform economy turnover; compliance costs</t>
  </si>
  <si>
    <t xml:space="preserve">Preferred option would reverse a trust-related dampening effect on the platform economy worth EUR 0.81-4.05bn; costs up to about 1 FTE for small platforms and about 0.03% of turnover for large ones; no costs for merchants</t>
  </si>
  <si>
    <t xml:space="preserve">The Commission expected fairer, more transparent platform terms to unlock EUR 0.8-4 billion of extra online trade at small cost to platforms.</t>
  </si>
  <si>
    <t xml:space="preserve">https://eur-lex.europa.eu/legal-content/EN/TXT/?uri=CELEX:52018SC0139</t>
  </si>
  <si>
    <t xml:space="preserve">http://web.archive.org/web/20240516075522/https://eur-lex.europa.eu/legal-content/EN/TXT/?uri=celex%3A52018SC0139</t>
  </si>
  <si>
    <t xml:space="preserve">ec-2023-p2b-review</t>
  </si>
  <si>
    <t xml:space="preserve">European Commission (2023), First preliminary review on the implementation of Regulation (EU) 2019/1150 (with SWD(2023) 300), COM(2023) 525</t>
  </si>
  <si>
    <t xml:space="preserve">review (support study: 308 interviews, survey of business users in 8 Member States, review of terms of 300 platforms, focus groups)</t>
  </si>
  <si>
    <t xml:space="preserve">compliance; awareness; complaint handling</t>
  </si>
  <si>
    <t xml:space="preserve">positive but limited</t>
  </si>
  <si>
    <t xml:space="preserve">Initial positive effects but full potential not reached; widespread non-compliance and low awareness; only about a third of platforms disclose ranking parameters; 19 of 179 publish complaint reports; 25 of 179 list two mediators</t>
  </si>
  <si>
    <t xml:space="preserve">Three years in, the Commission found that most platforms were not fully complying and most businesses did not know their rights.</t>
  </si>
  <si>
    <t xml:space="preserve">https://eur-lex.europa.eu/legal-content/EN/TXT/?uri=CELEX:52023DC0525</t>
  </si>
  <si>
    <t xml:space="preserve">sovrano-lognoul-bacchelli-2024</t>
  </si>
  <si>
    <t xml:space="preserve">Sovrano, Lognoul &amp; Bacchelli (2024), An Empirical Study on Compliance with Ranking Transparency in the Software Documentation of EU Online Platforms, ICSE-SEIS 2024 (arXiv 2312.14794)</t>
  </si>
  <si>
    <t xml:space="preserve">descriptive compliance audit (six platforms) plus automated assessment tools</t>
  </si>
  <si>
    <t xml:space="preserve">ranking transparency compliance</t>
  </si>
  <si>
    <t xml:space="preserve">Substantial differences in how Amazon, Bing, Booking, Google, Tripadvisor and Yahoo document ranking under P2B Article 5; compliance remains a challenge</t>
  </si>
  <si>
    <t xml:space="preserve">An audit of six major platforms found very uneven explanations of how they rank sellers and results, as the Regulation requires.</t>
  </si>
  <si>
    <t xml:space="preserve">EU, 2023</t>
  </si>
  <si>
    <t xml:space="preserve">https://arxiv.org/abs/2312.14794</t>
  </si>
  <si>
    <t xml:space="preserve">https://arxiv.org/pdf/2312.14794</t>
  </si>
  <si>
    <t xml:space="preserve">ccpc-2023-p2b-survey</t>
  </si>
  <si>
    <t xml:space="preserve">Competition and Consumer Protection Commission (Ireland) / Ipsos (2023), Platform to Business research: survey of businesses using online platforms (Q4 2022), CCPC</t>
  </si>
  <si>
    <t xml:space="preserve">national regulator</t>
  </si>
  <si>
    <t xml:space="preserve">survey (n=177, not fully representative)</t>
  </si>
  <si>
    <t xml:space="preserve">awareness</t>
  </si>
  <si>
    <t xml:space="preserve">negative (low awareness)</t>
  </si>
  <si>
    <t xml:space="preserve">51% of businesses had no knowledge of the P2B Regulation, 21% knew only its name, 24% its main provisions, 4% detailed knowledge</t>
  </si>
  <si>
    <t xml:space="preserve">Half of Irish businesses selling through platforms had never heard of the rules meant to protect them.</t>
  </si>
  <si>
    <t xml:space="preserve">Ireland, autumn 2022</t>
  </si>
  <si>
    <t xml:space="preserve">small, indicative sample</t>
  </si>
  <si>
    <t xml:space="preserve">https://www.ccpc.ie/business/wp-content/uploads/sites/3/2023/01/P2B-Survey-Q4-2022.pdf</t>
  </si>
  <si>
    <t xml:space="preserve">http://web.archive.org/web/20260412053132/https://www.ccpc.ie/business/wp-content/uploads/sites/3/2023/01/P2B-Survey-Q4-2022.pdf</t>
  </si>
  <si>
    <t xml:space="preserve">ccpc-2026-p2b-sweep</t>
  </si>
  <si>
    <t xml:space="preserve">Competition and Consumer Protection Commission (Ireland) (2026), CCPC conducts sweep of online platforms to identify potential breaches of the Platform to Business Regulation, CCPC press release, 1 May 2026</t>
  </si>
  <si>
    <t xml:space="preserve">national regulator (enforcement)</t>
  </si>
  <si>
    <t xml:space="preserve">enforcement sweep (17 platforms, late 2025)</t>
  </si>
  <si>
    <t xml:space="preserve">About 80% of platforms swept had some element of non-compliance (complaint handling, mediation, terms); followed a notable rise in complaints in 2025</t>
  </si>
  <si>
    <t xml:space="preserve">Six years after the rules took effect, Ireland's regulator found about four in five platforms checked still breached them in some way.</t>
  </si>
  <si>
    <t xml:space="preserve">Ireland, late 2025</t>
  </si>
  <si>
    <t xml:space="preserve">https://www.ccpc.ie/business/ccpc-conducts-sweep-of-online-platforms-to-identify-potential-breaches-of-the-platform-to-business-regulation/</t>
  </si>
  <si>
    <t xml:space="preserve">ec-2025-digital-omnibus-p2b</t>
  </si>
  <si>
    <t xml:space="preserve">European Commission (2025), Proposal for a Digital Omnibus Regulation (repealing, among others, Regulation (EU) 2019/1150), COM(2025) 837</t>
  </si>
  <si>
    <t xml:space="preserve">Commission legislative proposal</t>
  </si>
  <si>
    <t xml:space="preserve">policy assessment (internal analysis, consultation)</t>
  </si>
  <si>
    <t xml:space="preserve">regulatory overlap; burden</t>
  </si>
  <si>
    <t xml:space="preserve">Proposes repeal of the P2B Regulation: DSA and DMA have largely overtaken it, it has 'only residual value'; cites 2023 review finding low awareness, insufficient compliance and very limited complaints</t>
  </si>
  <si>
    <t xml:space="preserve">In November 2025 the Commission proposed scrapping the P2B Regulation, saying newer platform laws had overtaken it.</t>
  </si>
  <si>
    <t xml:space="preserve">proposal; not an evaluation</t>
  </si>
  <si>
    <t xml:space="preserve">https://eur-lex.europa.eu/legal-content/EN/TXT/?uri=CELEX:52025PC0837</t>
  </si>
  <si>
    <t xml:space="preserve">ec-2024-rrf-midterm-evaluation</t>
  </si>
  <si>
    <t xml:space="preserve">European Commission (2024), Mid-term evaluation of the Recovery and Resilience Facility (Staff Working Document accompanying COM(2024) 82), SWD(2024) 70</t>
  </si>
  <si>
    <t xml:space="preserve">mid-term evaluation; QUEST and NiGEM macro-model simulations (ex-ante style)</t>
  </si>
  <si>
    <t xml:space="preserve">GDP; employment; spreads; implementation</t>
  </si>
  <si>
    <t xml:space="preserve">positive (model-based)</t>
  </si>
  <si>
    <t xml:space="preserve">QUEST: NGEU could raise EU real GDP by up to 1.4% in 2026 and employment by up to 0.8%; largest gains (about 3.5%) in Spain and Bulgaria; spillovers worth a quarter to a third of the total. NiGEM: EU GDP 0.4% higher in 2022, unemployment about 0.2 pp lower. Commission stresses these are model predictions, not ex-post estimates</t>
  </si>
  <si>
    <t xml:space="preserve">The Commission's mid-term evaluation used economic models to estimate the fund could lift EU output by up to 1.4% by 2026, but says these are model forecasts, not measured effects.</t>
  </si>
  <si>
    <t xml:space="preserve">EU, 2021-2026</t>
  </si>
  <si>
    <t xml:space="preserve">model simulation; no counterfactual data</t>
  </si>
  <si>
    <t xml:space="preserve">full text read (macro section)</t>
  </si>
  <si>
    <t xml:space="preserve">https://eur-lex.europa.eu/legal-content/EN/TXT/?uri=CELEX:52024SC0070</t>
  </si>
  <si>
    <t xml:space="preserve">https://eur-lex.europa.eu/legal-content/EN/TXT/PDF/?uri=CELEX:52024SC0070</t>
  </si>
  <si>
    <t xml:space="preserve">ec-2026-rrf-implementation-report</t>
  </si>
  <si>
    <t xml:space="preserve">European Commission (2026), Report on the implementation of the Recovery and Resilience Facility, COM(2026) 546</t>
  </si>
  <si>
    <t xml:space="preserve">monitoring report (disbursements, milestones, common indicators)</t>
  </si>
  <si>
    <t xml:space="preserve">absorption; milestones and targets; outputs</t>
  </si>
  <si>
    <t xml:space="preserve">EUR 450bn (79% of envelope) disbursed by 1 Oct 2026; 4,082 of 5,981 milestones and targets fulfilled (68%); EUR 123bn final requests under assessment; common indicators lack targets and counterfactual and data cannot be audited by the Commission</t>
  </si>
  <si>
    <t xml:space="preserve">By October 2026, the EU had paid out EUR 450 billion (79% of the fund) and countries had met about two-thirds of their agreed milestones; the Commission admits its indicators cannot show what the money achieved.</t>
  </si>
  <si>
    <t xml:space="preserve">administrative data; self-reported by Member States</t>
  </si>
  <si>
    <t xml:space="preserve">full text read (summary, disbursement and indicator sections)</t>
  </si>
  <si>
    <t xml:space="preserve">https://eur-lex.europa.eu/legal-content/EN/TXT/?uri=CELEX:52026DC0546</t>
  </si>
  <si>
    <t xml:space="preserve">https://eur-lex.europa.eu/legal-content/EN/TXT/PDF/?uri=CELEX:52026DC0546</t>
  </si>
  <si>
    <t xml:space="preserve">bankowski-et-al-2024-ecb-op362</t>
  </si>
  <si>
    <t xml:space="preserve">Bańkowski, K., Benalal, N., Bouabdallah, O., De Stefani, R., Dorrucci, E., Huber, C., Jacquinot, P., Modery, W., Nerlich, C., Rodríguez-Vives, M., Szörfi, B., Zorell, N. &amp; Zwick, C. (2024), Four years into NextGenerationEU: what impact on the euro area economy?, ECB Occasional Paper No 362</t>
  </si>
  <si>
    <t xml:space="preserve">central bank research</t>
  </si>
  <si>
    <t xml:space="preserve">macro-model simulations (several models and scenarios) plus tentative panel evidence on reforms</t>
  </si>
  <si>
    <t xml:space="preserve">GDP; inflation; public debt; institutional quality</t>
  </si>
  <si>
    <t xml:space="preserve">positive (smaller and later than first expected)</t>
  </si>
  <si>
    <t xml:space="preserve">RRF spending and reforms could raise euro-area GDP by around 0.4-0.9% by 2026 and 0.8-1.2% by 2031 depending on capital productivity and absorption; limited inflation effect; impact shifted over time due to widespread implementation delays; tentative evidence reforms modestly improved institutional quality</t>
  </si>
  <si>
    <t xml:space="preserve">ECB staff estimate the recovery fund could raise euro-area output by 0.4-0.9% by 2026, less and later than first hoped because of widespread delays.</t>
  </si>
  <si>
    <t xml:space="preserve">euro area, 2021-2031</t>
  </si>
  <si>
    <t xml:space="preserve">model-based; scenario range</t>
  </si>
  <si>
    <t xml:space="preserve">https://www.ecb.europa.eu/pub/pdf/scpops/ecb.op362~c055a591dd.en.pdf</t>
  </si>
  <si>
    <t xml:space="preserve">http://web.archive.org/web/20260801032817/https://www.ecb.europa.eu/pub/pdf/scpops/ecb.op362~c055a591dd.en.pdf</t>
  </si>
  <si>
    <t xml:space="preserve">eca-2024-sr13-rrf-absorption</t>
  </si>
  <si>
    <t xml:space="preserve">European Court of Auditors (2024), Absorption of funds from the Recovery and Resilience Facility - Progressing with delays and risks remain regarding the completion of measures and therefore the achievement of RRF objectives (Special report 13/2024), ECA Special report 13/2024</t>
  </si>
  <si>
    <t xml:space="preserve">performance audit (incl. visits to ES, IT, SK, RO)</t>
  </si>
  <si>
    <t xml:space="preserve">absorption; delays; flow to final recipients</t>
  </si>
  <si>
    <t xml:space="preserve">negative (implementation risks)</t>
  </si>
  <si>
    <t xml:space="preserve">EUR 213bn disbursed by end-2023 (incl. EUR 56.5bn pre-financing); seven Member States had received no milestone-based payments; about half of funds received had reached final recipients by Oct 2023; delays from inflation, underestimated timelines, rule uncertainty and weak administrative capacity; disbursements do not necessarily reflect the quantity and importance of milestones achieved</t>
  </si>
  <si>
    <t xml:space="preserve">EU auditors found the recovery fund was being spent late, only about half the money paid to governments had reached final recipients by late 2023, and payments did not always match what was achieved.</t>
  </si>
  <si>
    <t xml:space="preserve">https://www.eca.europa.eu/ECAPublications/SR-2024-13/SR-2024-13_EN.pdf</t>
  </si>
  <si>
    <t xml:space="preserve">eca-2023-sr26-rrf-performance</t>
  </si>
  <si>
    <t xml:space="preserve">European Court of Auditors (2023), The Recovery and Resilience Facility's performance monitoring framework - Measuring implementation progress but not sufficient to capture performance (Special report 26/2023), ECA Special report 26/2023</t>
  </si>
  <si>
    <t xml:space="preserve">monitoring framework</t>
  </si>
  <si>
    <t xml:space="preserve">negative (measurement gap)</t>
  </si>
  <si>
    <t xml:space="preserve">Milestones and targets measure implementation progress but are limited for assessing performance; common indicators give an incomplete view of outputs and results</t>
  </si>
  <si>
    <t xml:space="preserve">EU auditors concluded that for a fund billed as performance-based, the EU can track progress but cannot measure actual performance.</t>
  </si>
  <si>
    <t xml:space="preserve">https://www.eca.europa.eu/ECAPublications/SR-2023-26/SR-2023-26_EN.pdf</t>
  </si>
  <si>
    <t xml:space="preserve">busse-caselli-fotiou-2026-imf</t>
  </si>
  <si>
    <t xml:space="preserve">Busse, M., Caselli, F. &amp; Fotiou, A. (2026), The EU's Recovery and Resilience Facility: Experience and Lessons for the Next Multiannual Financial Framework, IMF Working Paper WP/26/114</t>
  </si>
  <si>
    <t xml:space="preserve">working paper (IMF)</t>
  </si>
  <si>
    <t xml:space="preserve">sectoral and cross-country empirical analysis</t>
  </si>
  <si>
    <t xml:space="preserve">output; employment; sovereign debt markets; reforms</t>
  </si>
  <si>
    <t xml:space="preserve">positive (short-term)</t>
  </si>
  <si>
    <t xml:space="preserve">Short-term demand boost supported jobs and output, especially in countries with large allocations; much growth impact still expected as absorption accelerates; joint borrowing helped stabilise sovereign debt markets; performance conditionality supported reforms in some countries; slow absorption remains a constraint</t>
  </si>
  <si>
    <t xml:space="preserve">IMF economists find the fund gave a short-term boost to jobs and output in countries that received most, and calmed debt markets, but slow spending limits its impact so far.</t>
  </si>
  <si>
    <t xml:space="preserve">EU, 2021-2025</t>
  </si>
  <si>
    <t xml:space="preserve">empirical, early; identification details not verified</t>
  </si>
  <si>
    <t xml:space="preserve">https://www.elibrary.imf.org/view/journals/001/2026/114/article-A001-en.xml</t>
  </si>
  <si>
    <t xml:space="preserve">https://www.astrid-online.it/static/upload/wpie/wpiea2026114-source-pdf.pdf</t>
  </si>
  <si>
    <t xml:space="preserve">pfeiffer-varga-intveld-2022</t>
  </si>
  <si>
    <t xml:space="preserve">Pfeiffer, P., Varga, J. &amp; in 't Veld, J. (2022), Quantifying spillovers of coordinated investment stimulus in the EU, Macroeconomic Dynamics 27: 1843-1865</t>
  </si>
  <si>
    <t xml:space="preserve">DSGE model simulation (QUEST)</t>
  </si>
  <si>
    <t xml:space="preserve">GDP; cross-border spillovers</t>
  </si>
  <si>
    <t xml:space="preserve">Basis of the Commission's NGEU estimates: coordinated investment across Member States generates substantial positive cross-border spillovers</t>
  </si>
  <si>
    <t xml:space="preserve">Commission economists' model showing that spending the recovery funds at the same time in all countries amplifies the boost to growth through cross-border spillovers.</t>
  </si>
  <si>
    <t xml:space="preserve">EU, simulation</t>
  </si>
  <si>
    <t xml:space="preserve">model; authors are Commission staff</t>
  </si>
  <si>
    <t xml:space="preserve">Authors are European Commission (DG ECFIN) staff</t>
  </si>
  <si>
    <t xml:space="preserve">page summary via search (bibliographic data via Crossref)</t>
  </si>
  <si>
    <t xml:space="preserve">https://doi.org/10.1017/s1365100522000487</t>
  </si>
  <si>
    <t xml:space="preserve">ec-2018-investeu-ia</t>
  </si>
  <si>
    <t xml:space="preserve">European Commission (2018), Impact Assessment accompanying the proposal establishing the InvestEU Programme, SWD(2018) 314</t>
  </si>
  <si>
    <t xml:space="preserve">ex-ante (builds on EFSI and financial instrument evaluations)</t>
  </si>
  <si>
    <t xml:space="preserve">investment mobilised</t>
  </si>
  <si>
    <t xml:space="preserve">Single EU guarantee of EUR 38bn expected to mobilise EUR 650bn of investment, with a more cautious multiplier than EFSI because of riskier, policy-targeted products; EFSI multiplier 13.5 at end-2017 against a target of 15</t>
  </si>
  <si>
    <t xml:space="preserve">The Commission expected merging EU investment instruments into one guarantee programme to unlock EUR 650 billion of investment; the final, smaller programme targets EUR 372 billion.</t>
  </si>
  <si>
    <t xml:space="preserve">forecast for original 2018 proposal; budget later reduced</t>
  </si>
  <si>
    <t xml:space="preserve">https://eur-lex.europa.eu/legal-content/EN/TXT/?uri=CELEX:52018SC0314</t>
  </si>
  <si>
    <t xml:space="preserve">ec-2024-investeu-interim-eval</t>
  </si>
  <si>
    <t xml:space="preserve">European Commission (based on ICF study) (2024), Interim evaluation of the InvestEU Programme, SWD(2024) 228 (executive summary SWD(2024) 229)</t>
  </si>
  <si>
    <t xml:space="preserve">interim evaluation (portfolio data to end-2023, interviews, surveys)</t>
  </si>
  <si>
    <t xml:space="preserve">investment mobilised; additionality</t>
  </si>
  <si>
    <t xml:space="preserve">About EUR 218bn expected to be mobilised by end-2023 (65% private), anticipated multiplier 14.76; 90% of the EUR 26.2bn guarantee allocated; meaningful crowding-in and high additionality; budget insufficient relative to demand</t>
  </si>
  <si>
    <t xml:space="preserve">The Commission's mid-term review says InvestEU was on track to unlock EUR 218 billion of investment by end-2023, most of it private, and that demand exceeds its budget.</t>
  </si>
  <si>
    <t xml:space="preserve">self-evaluation; mobilisation figures are expected, not realised; no counterfactual</t>
  </si>
  <si>
    <t xml:space="preserve">page summary (Commission page and press report)</t>
  </si>
  <si>
    <t xml:space="preserve">https://investeu.europa.eu/interim-evaluation-investeu-programme_en</t>
  </si>
  <si>
    <t xml:space="preserve">eca-2025-efsi-sr07</t>
  </si>
  <si>
    <t xml:space="preserve">European Court of Auditors (2025), The European Fund for Strategic Investments: contributed substantially to addressing the investment gap, but had not fully reached the EUR 500 billion target in the real economy by the end of 2022, ECA Special Report 07/2025</t>
  </si>
  <si>
    <t xml:space="preserve">audit of reported results</t>
  </si>
  <si>
    <t xml:space="preserve">negative (for predecessor's reporting)</t>
  </si>
  <si>
    <t xml:space="preserve">EFSI contributed substantially to closing the investment gap, but its reported EUR 503bn of mobilised investment was overstated by EUR 131bn (26%) against the EUR 500bn target (undisbursed financing counted, double counting with other EU instruments, cancellations not deducted); additionality not sufficiently demonstrated; no ex-post check of additionality</t>
  </si>
  <si>
    <t xml:space="preserve">The EU's auditors found that InvestEU's predecessor overstated the investment it unlocked by about a quarter and could not prove it funded projects that would not have happened anyway, a warning for how InvestEU's figures are read.</t>
  </si>
  <si>
    <t xml:space="preserve">EU, 2015-2022 (EFSI)</t>
  </si>
  <si>
    <t xml:space="preserve">audit of predecessor programme, same methodology lineage</t>
  </si>
  <si>
    <t xml:space="preserve">abstract read (ECA press release and report contents)</t>
  </si>
  <si>
    <t xml:space="preserve">https://www.eca.europa.eu/ECAPublications/SR-2025-07/SR-2025-07_EN.pdf</t>
  </si>
  <si>
    <t xml:space="preserve">http://web.archive.org/web/20250803150211/https://www.eca.europa.eu/ECAPublications/SR-2025-07/SR-2025-07_EN.pdf</t>
  </si>
  <si>
    <t xml:space="preserve">frayman-2026-efsi</t>
  </si>
  <si>
    <t xml:space="preserve">Frayman (2026), The European Fund for Strategic Investments (EFSI): causal effects of a state lending policy, Journal of Economic Policy Reform</t>
  </si>
  <si>
    <t xml:space="preserve">causal: difference-in-differences with matched controls</t>
  </si>
  <si>
    <t xml:space="preserve">firm investment (fixed assets)</t>
  </si>
  <si>
    <t xml:space="preserve">EFSI-backed direct EIB loans raised recipients' fixed-asset growth by about 12 percentage points on average after treatment</t>
  </si>
  <si>
    <t xml:space="preserve">A causal study of InvestEU's predecessor finds firms receiving its loans grew their fixed assets about 12 percentage points faster than similar firms.</t>
  </si>
  <si>
    <t xml:space="preserve">EU firms, EFSI period</t>
  </si>
  <si>
    <t xml:space="preserve">predecessor programme; direct loans, not guarantees</t>
  </si>
  <si>
    <t xml:space="preserve">page summary via search (Crossref metadata confirmed)</t>
  </si>
  <si>
    <t xml:space="preserve">https://doi.org/10.1080/17487870.2026.2613781</t>
  </si>
  <si>
    <t xml:space="preserve">ec-2018-smp-ia</t>
  </si>
  <si>
    <t xml:space="preserve">European Commission (2018), Impact Assessment accompanying the proposal establishing the Single Market Programme, SWD(2018) 320</t>
  </si>
  <si>
    <t xml:space="preserve">ex-ante (programme design; qualitative)</t>
  </si>
  <si>
    <t xml:space="preserve">programme design; single market functioning</t>
  </si>
  <si>
    <t xml:space="preserve">Merges six predecessor programmes (COSME, consumer, standardisation, food chain, statistics, internal market tools) into one; justification largely qualitative, citing evaluations of predecessors; no macro forecast of programme impact</t>
  </si>
  <si>
    <t xml:space="preserve">The Commission argued that combining six existing funding lines into one Single Market Programme would make support for SMEs, consumers and enforcement simpler and more flexible, but did not forecast measurable economic effects.</t>
  </si>
  <si>
    <t xml:space="preserve">EU, 2021-2027</t>
  </si>
  <si>
    <t xml:space="preserve">full text skimmed</t>
  </si>
  <si>
    <t xml:space="preserve">https://eur-lex.europa.eu/legal-content/EN/TXT/?uri=CELEX:52018SC0320</t>
  </si>
  <si>
    <t xml:space="preserve">http://web.archive.org/web/20251122023230/https://eur-lex.europa.eu/legal-content/EN/TXT/?uri=celex%3A52018SC0320</t>
  </si>
  <si>
    <t xml:space="preserve">ec-2025-smp-interim</t>
  </si>
  <si>
    <t xml:space="preserve">European Commission (2025), Report on the interim evaluation of the Single Market Programme 2021-2027 (with SWD(2025) 172), COM(2025) 347</t>
  </si>
  <si>
    <t xml:space="preserve">interim evaluation (external study by Prognos consortium; surveys, monitoring data, case studies)</t>
  </si>
  <si>
    <t xml:space="preserve">outputs; user satisfaction; SME support</t>
  </si>
  <si>
    <t xml:space="preserve">Positive conclusions for 2021-2023 across all pillars; EUR 1.9bn (44%) of EUR 4.35bn allocated; flagship SME services highly rated; but data collection weak, indicators need refining, and impact on SME growth should be measured with a harmonised survey</t>
  </si>
  <si>
    <t xml:space="preserve">The Commission's mid-term review rates the programme as effective, but most evidence is satisfaction surveys and activity counts; it admits impact on firms' growth is not yet measured.</t>
  </si>
  <si>
    <t xml:space="preserve">self-evaluation; no counterfactual</t>
  </si>
  <si>
    <t xml:space="preserve">https://eur-lex.europa.eu/legal-content/EN/TXT/?uri=CELEX:52025DC0347</t>
  </si>
  <si>
    <t xml:space="preserve">http://web.archive.org/web/20260213153009/https://eur-lex.europa.eu/legal-content/EN/TXT/?uri=CELEX:52025DC0347</t>
  </si>
  <si>
    <t xml:space="preserve">ec-2018-dep-ia</t>
  </si>
  <si>
    <t xml:space="preserve">European Commission (2018), Impact Assessment accompanying the proposal establishing the Digital Europe programme (executive summary SWD(2018) 306), SWD(2018) 305</t>
  </si>
  <si>
    <t xml:space="preserve">ex-ante (problem analysis; qualitative)</t>
  </si>
  <si>
    <t xml:space="preserve">digital investment gap; HPC; AI; cybersecurity; skills</t>
  </si>
  <si>
    <t xml:space="preserve">Identifies an upstream investment gap: EU consumes one third of world HPC resources but provides about 5%; HPC investment at 60% of US level; only 20% of SMEs highly digitised; no quantified impact forecast</t>
  </si>
  <si>
    <t xml:space="preserve">The Commission said Europe was under-investing in supercomputers, AI, cybersecurity and digital skills and proposed a dedicated deployment programme, without forecasting measurable economic gains.</t>
  </si>
  <si>
    <t xml:space="preserve">https://eur-lex.europa.eu/legal-content/EN/TXT/?uri=CELEX:52018SC0305</t>
  </si>
  <si>
    <t xml:space="preserve">ec-2025-dep-interim</t>
  </si>
  <si>
    <t xml:space="preserve">European Commission (2025), Interim Evaluation of the Digital Europe Programme (Staff Working Document) and report COM(2025) 771, SWD(2025) 420; COM(2025) 771</t>
  </si>
  <si>
    <t xml:space="preserve">interim evaluation (monitoring data, surveys, perceived-value study)</t>
  </si>
  <si>
    <t xml:space="preserve">outputs; HPC; EDIHs; skills; cybersecurity</t>
  </si>
  <si>
    <t xml:space="preserve">Implementation initially delayed by late legal basis but accelerated; on track or ahead on outputs; JUPITER exascale system; 150+ EDIHs serving 54,600 companies; 20,700 people trained; 26 CyberHubs; administrative costs 4.9%; outcome-level benefits only emerging</t>
  </si>
  <si>
    <t xml:space="preserve">The Commission's mid-term review finds the EUR 8.2bn programme has delivered its planned supercomputers, innovation hubs and training places, but evidence on effects for firms or the economy is still limited to user ratings.</t>
  </si>
  <si>
    <t xml:space="preserve">full text read (report; SWD key sections)</t>
  </si>
  <si>
    <t xml:space="preserve">https://eur-lex.europa.eu/legal-content/EN/TXT/?uri=CELEX:52025SC0420</t>
  </si>
  <si>
    <t xml:space="preserve">ec-2018-horizon-europe-ia</t>
  </si>
  <si>
    <t xml:space="preserve">European Commission (2018), Impact Assessment accompanying the proposals for Horizon Europe (executive summary SWD(2018) 308), SWD(2018) 307</t>
  </si>
  <si>
    <t xml:space="preserve">ex-ante (QUEST, RHOMOLO and NEMESIS macro models)</t>
  </si>
  <si>
    <t xml:space="preserve">GDP; jobs; leverage</t>
  </si>
  <si>
    <t xml:space="preserve">Continuation scenario: average GDP increase of 0.08-0.19% over 25 years, up to EUR 11 of GDP per euro invested; up to 100,000 direct R&amp;I jobs in 2021-2027 and up to 200,000 indirect jobs in 2027-2036; Horizon Europe changes add +0.04% to +0.1% of GDP (EUR 800-975bn over 25 years)</t>
  </si>
  <si>
    <t xml:space="preserve">The Commission forecast that Horizon Europe would add up to EUR 11 to EU output for every euro spent over 25 years and create up to 100,000 research jobs during the programme.</t>
  </si>
  <si>
    <t xml:space="preserve">EU, forecast 2021-2045</t>
  </si>
  <si>
    <t xml:space="preserve">full text read (Part 1 key sections)</t>
  </si>
  <si>
    <t xml:space="preserve">https://eur-lex.europa.eu/legal-content/EN/TXT/?uri=CELEX:52018SC0307</t>
  </si>
  <si>
    <t xml:space="preserve">ec-2024-h2020-expost</t>
  </si>
  <si>
    <t xml:space="preserve">European Commission (2024), Ex-post evaluation of Horizon 2020, the EU Framework Programme for Research and Innovation (Staff Working Document), SWD(2024) 29</t>
  </si>
  <si>
    <t xml:space="preserve">ex-post evaluation; synthesis incl. counterfactual studies and macro models</t>
  </si>
  <si>
    <t xml:space="preserve">firm growth; investment; GDP</t>
  </si>
  <si>
    <t xml:space="preserve">Counterfactual studies show positive causal effects on beneficiary firms (employment +20%, assets and revenues ~+30%; SME Instrument beneficiaries attracted 46-97% more follow-on investment); macro models put peak GDP gain at +0.18-0.25% and total gains to 2040 at EUR 429bn (RHOMOLO), below the interim evaluation's expectations except in NEMESIS</t>
  </si>
  <si>
    <t xml:space="preserve">The Commission's final evaluation of Horizon 2020 found funded firms grew faster than similar rejected applicants, while model-based GDP gains came in lower than previously expected in two of three models.</t>
  </si>
  <si>
    <t xml:space="preserve">EU, 2014-2020 (outcomes to 2022)</t>
  </si>
  <si>
    <t xml:space="preserve">mixed: some causal firm-level studies plus models</t>
  </si>
  <si>
    <t xml:space="preserve">full text read (effectiveness sections)</t>
  </si>
  <si>
    <t xml:space="preserve">https://eur-lex.europa.eu/legal-content/EN/TXT/?uri=CELEX:52024SC0029</t>
  </si>
  <si>
    <t xml:space="preserve">http://web.archive.org/web/20240627150752/https://eur-lex.europa.eu/legal-content/EN/TXT/?uri=CELEX:52024SC0029</t>
  </si>
  <si>
    <t xml:space="preserve">ec-2025-horizon-europe-interim</t>
  </si>
  <si>
    <t xml:space="preserve">European Commission (2025), Interim Evaluation of the Horizon Europe Framework Programme for Research and Innovation (2021-2024), SWD(2025) 110</t>
  </si>
  <si>
    <t xml:space="preserve">interim evaluation; monitoring data and macro-model simulations (NEMESIS, RHOMOLO, FIDELIO)</t>
  </si>
  <si>
    <t xml:space="preserve">jobs; leverage; GDP; success rates</t>
  </si>
  <si>
    <t xml:space="preserve">39,543 FTE jobs created or maintained (21% of projects reporting); EUR 10.2bn co-investment; GDP multiplier of 4-11 by 2045 and 'on track' vs the IA; success rate 16.4% but 7 in 10 high-quality proposals unfunded</t>
  </si>
  <si>
    <t xml:space="preserve">The interim evaluation says Horizon Europe is on track, but its growth estimates are model re-runs and 7 in 10 high-quality proposals go unfunded.</t>
  </si>
  <si>
    <t xml:space="preserve">monitoring and models; no counterfactual on Horizon Europe yet</t>
  </si>
  <si>
    <t xml:space="preserve">full text read (impact and efficiency sections)</t>
  </si>
  <si>
    <t xml:space="preserve">https://eur-lex.europa.eu/legal-content/EN/TXT/?uri=CELEX:52025SC0110</t>
  </si>
  <si>
    <t xml:space="preserve">http://web.archive.org/web/20260919202535/https://eur-lex.europa.eu/legal-content/EN/TXT/?uri=celex%3A52025SC0110</t>
  </si>
  <si>
    <t xml:space="preserve">santoleri-et-al-2024-rd-grants</t>
  </si>
  <si>
    <t xml:space="preserve">Santoleri, P., Mina, A., Di Minin, A. &amp; Martelli, I. (2024), The Causal Effects of R&amp;D Grants: Evidence from a Regression Discontinuity, Review of Economics and Statistics 106(6): 1495-1510</t>
  </si>
  <si>
    <t xml:space="preserve">regression discontinuity (Horizon 2020 SME Instrument evaluation scores)</t>
  </si>
  <si>
    <t xml:space="preserve">investment; patents; growth; survival; entry</t>
  </si>
  <si>
    <t xml:space="preserve">Grants trigger sizable impacts on firm outcomes, consistent with reduced financial frictions; effect due to funding, not certification ('Seal of Excellence' quality stamps alone do not improve performance); private returns comparable to US SBIR; spillovers via higher entrepreneurial entry. Commission evaluation cites 15-31% more citation-weighted patents</t>
  </si>
  <si>
    <t xml:space="preserve">A rigorous study of the EU's SME Instrument found that winning a grant (rather than just a quality label) made small firms invest, patent and grow more and made them less likely to fail.</t>
  </si>
  <si>
    <t xml:space="preserve">EU, Horizon 2020 (2014-2017 calls)</t>
  </si>
  <si>
    <t xml:space="preserve">causal (RD); predecessor programme</t>
  </si>
  <si>
    <t xml:space="preserve">https://doi.org/10.1162/rest_a_01233</t>
  </si>
  <si>
    <t xml:space="preserve">https://papers.ssrn.com/sol3/papers.cfm?abstract_id=3637867</t>
  </si>
  <si>
    <t xml:space="preserve">mitra-niakaros-2023-horizon-effect</t>
  </si>
  <si>
    <t xml:space="preserve">Mitra, A. &amp; Niakaros, K. (European Commission, DG RTD) (2023), The Horizon effect: A counterfactual analysis of EU research &amp; innovation grants, Publications Office of the EU (R&amp;I Paper Series)</t>
  </si>
  <si>
    <t xml:space="preserve">Commission staff working paper</t>
  </si>
  <si>
    <t xml:space="preserve">difference-in-differences (about 40,000 applicant firms, CORDA + ORBIS, 2010-2022)</t>
  </si>
  <si>
    <t xml:space="preserve">employment; assets; revenues</t>
  </si>
  <si>
    <t xml:space="preserve">Firms receiving a first Horizon 2020 grant increased employment by about 20% and total assets and revenues by about 30% relative to comparable non-funded applicants with high-quality proposals; effects concentrated in ICT and professional/scientific services, insignificant elsewhere</t>
  </si>
  <si>
    <t xml:space="preserve">Commission economists found companies that won Horizon 2020 grants grew jobs by about a fifth and revenue by about 30% compared with similar firms that narrowly missed out, mostly in tech and professional services.</t>
  </si>
  <si>
    <t xml:space="preserve">EU, 2014-2022</t>
  </si>
  <si>
    <t xml:space="preserve">quasi-experimental (DiD); authors are Commission staff</t>
  </si>
  <si>
    <t xml:space="preserve">Authors are European Commission (DG Research and Innovation) staff evaluating their own programme</t>
  </si>
  <si>
    <t xml:space="preserve">https://data.europa.eu/doi/10.2777/584781</t>
  </si>
  <si>
    <t xml:space="preserve">ghirelli-et-al-2023-erc</t>
  </si>
  <si>
    <t xml:space="preserve">Ghirelli, C., Havari, E., Meroni, E. &amp; Verzillo, S. (2023), The Long-Term Causal Effects of Winning an ERC Grant, IZA Discussion Paper 16108 / Banco de España Working Paper 2313</t>
  </si>
  <si>
    <t xml:space="preserve">regression discontinuity and difference-in-differences (all ERC applicants 2007-2013, Scopus records)</t>
  </si>
  <si>
    <t xml:space="preserve">scientific productivity; citation impact; further EU funding</t>
  </si>
  <si>
    <t xml:space="preserve">Near the funding cut-off (RD) no significant effect on productivity or quality; DiD on broader population finds positive long-term effects in some fields (Chemistry, Universe and Earth Sciences, Medicine, etc.), driven by top-ranked applicants</t>
  </si>
  <si>
    <t xml:space="preserve">A study of European Research Council grants found winning made no measurable difference to the output of researchers just above the funding line, though top-ranked winners in some fields did gain.</t>
  </si>
  <si>
    <t xml:space="preserve">EU, ERC 2007-2013 (FP7)</t>
  </si>
  <si>
    <t xml:space="preserve">causal (RD) plus DiD; predecessor programme</t>
  </si>
  <si>
    <t xml:space="preserve">https://docs.iza.org/dp16108.pdf</t>
  </si>
  <si>
    <t xml:space="preserve">http://web.archive.org/web/20260920142540/https://docs.iza.org/dp16108.pdf</t>
  </si>
  <si>
    <t xml:space="preserve">ec-2018-tco-ia</t>
  </si>
  <si>
    <t xml:space="preserve">European Commission (2018), Impact Assessment accompanying the proposal on preventing the dissemination of terrorist content online (executive summary SWD(2018) 409), SWD(2018) 408</t>
  </si>
  <si>
    <t xml:space="preserve">ex-ante (qualitative option comparison)</t>
  </si>
  <si>
    <t xml:space="preserve">removal speed; transparency; fundamental rights; compliance costs</t>
  </si>
  <si>
    <t xml:space="preserve">Preferred option (one-hour removal orders, referrals, proactive measures for exposed providers, safeguards, transparency) judged most effective, with highest costs and highest benefits; no quantified headline</t>
  </si>
  <si>
    <t xml:space="preserve">The Commission expected binding one-hour removal orders and transparency duties to cut the spread of terrorist propaganda online, and accepted higher costs for platforms.</t>
  </si>
  <si>
    <t xml:space="preserve">https://eur-lex.europa.eu/legal-content/EN/TXT/?uri=CELEX:52018SC0409</t>
  </si>
  <si>
    <t xml:space="preserve">http://web.archive.org/web/20250226073143/https://eur-lex.europa.eu/legal-content/EN/TXT/?uri=celex%3A52018SC0409</t>
  </si>
  <si>
    <t xml:space="preserve">ec-2024-tco-implementation</t>
  </si>
  <si>
    <t xml:space="preserve">European Commission (2024), Report on the implementation of Regulation (EU) 2021/784 on addressing the dissemination of terrorist content online (with SWD(2024) 36), COM(2024) 64</t>
  </si>
  <si>
    <t xml:space="preserve">implementation report (Member State, Europol and provider data)</t>
  </si>
  <si>
    <t xml:space="preserve">removal orders; authority designation; safeguards</t>
  </si>
  <si>
    <t xml:space="preserve">By 31 Dec 2023: 349+ removal orders from six Member States, mostly executed quickly; 23 Member States designated authorities; 14,615 referrals via PERCI; no orders challenged; Commission concludes a positive impact in limiting spread of terrorist content</t>
  </si>
  <si>
    <t xml:space="preserve">The Commission's first report counts about 350 removal orders in 2023, mostly acted on quickly, and calls the law a success - but the evidence is activity counts, not a measured drop in terrorist content.</t>
  </si>
  <si>
    <t xml:space="preserve">EU, June 2022-Dec 2023</t>
  </si>
  <si>
    <t xml:space="preserve">self-assessment; descriptive</t>
  </si>
  <si>
    <t xml:space="preserve">https://eur-lex.europa.eu/legal-content/EN/TXT/?uri=CELEX:52024DC0064</t>
  </si>
  <si>
    <t xml:space="preserve">http://web.archive.org/web/20260603022448/https://eur-lex.europa.eu/legal-content/EN/TXT/?uri=celex%3A52024DC0064</t>
  </si>
  <si>
    <t xml:space="preserve">fra-2026-terrorist-content</t>
  </si>
  <si>
    <t xml:space="preserve">EU Agency for Fundamental Rights (FRA) (2026), Regulating online terrorist content - Balancing public safety and fundamental rights, FRA report, 22 January 2026</t>
  </si>
  <si>
    <t xml:space="preserve">EU agency report</t>
  </si>
  <si>
    <t xml:space="preserve">qualitative (fieldwork interviews with 62 practitioners and experts)</t>
  </si>
  <si>
    <t xml:space="preserve">fundamental rights; over-removal; discrimination</t>
  </si>
  <si>
    <t xml:space="preserve">Moderation by authorities and platforms may disproportionately affect Muslims and Arabic speakers while far-right content gets less scrutiny; risks of over-removal and chilling of free expression; recommends clearer definitions, transparency and avoiding incentives to over-remove</t>
  </si>
  <si>
    <t xml:space="preserve">The EU's rights agency warns that the terrorist content rules may lead platforms to over-remove legal posts and hit Muslim and Arabic-speaking users hardest, based on interviews with experts.</t>
  </si>
  <si>
    <t xml:space="preserve">EU, 2024-2025</t>
  </si>
  <si>
    <t xml:space="preserve">qualitative; interviews</t>
  </si>
  <si>
    <t xml:space="preserve">https://fra.europa.eu/en/publication/2025/regulating-online-terrorist-content</t>
  </si>
  <si>
    <t xml:space="preserve">ec-2018-eccc-ia</t>
  </si>
  <si>
    <t xml:space="preserve">European Commission (2018), Impact Assessment accompanying the proposal establishing the European Cybersecurity Industrial, Technology and Research Competence Centre and the Network of National Coordination Centres (executive summary SWD(2018) 404), SWD(2018) 403</t>
  </si>
  <si>
    <t xml:space="preserve">industrial competitiveness; market share; R&amp;D uptake</t>
  </si>
  <si>
    <t xml:space="preserve">Fragmented EU cybersecurity market dominated by non-EU firms; preferred option (Competence Centre plus network, Art. 173/187 TFEU) expected to help EU industry raise market share; target 25% global market share by 2027</t>
  </si>
  <si>
    <t xml:space="preserve">The Commission expected a new competence centre pooling EU and national money to strengthen Europe's cybersecurity industry, aiming for a 25% global market share by 2027.</t>
  </si>
  <si>
    <t xml:space="preserve">https://eur-lex.europa.eu/legal-content/EN/TXT/?uri=CELEX:52018SC0403</t>
  </si>
  <si>
    <t xml:space="preserve">ec-2025-dep-interim-cyber</t>
  </si>
  <si>
    <t xml:space="preserve">European Commission (2025), The Digital Europe Programme: Main findings of the interim evaluation (cybersecurity objective), COM(2025) 771 (SWD(2025) 420)</t>
  </si>
  <si>
    <t xml:space="preserve">interim evaluation of the funding programme the ECCC implements</t>
  </si>
  <si>
    <t xml:space="preserve">outputs; infrastructure; network</t>
  </si>
  <si>
    <t xml:space="preserve">26 CyberHubs procured in line with targets; 27 national coordination centres; first 12 cybersecurity tools deployed with first users in health</t>
  </si>
  <si>
    <t xml:space="preserve">The Commission's review of Digital Europe reports that the cybersecurity infrastructure the Centre oversees has been bought on schedule, but says nothing yet about effects on Europe's cybersecurity industry.</t>
  </si>
  <si>
    <t xml:space="preserve">self-evaluation; outputs only</t>
  </si>
  <si>
    <t xml:space="preserve">https://eur-lex.europa.eu/legal-content/EN/TXT/?uri=CELEX:52025DC0771</t>
  </si>
  <si>
    <t xml:space="preserve">http://web.archive.org/web/20260120151444/https://eur-lex.europa.eu/legal-content/EN/TXT/?uri=CELEX:52025DC0771</t>
  </si>
  <si>
    <t xml:space="preserve">eca-2025-ju-annual-2024</t>
  </si>
  <si>
    <t xml:space="preserve">European Court of Auditors (2025), Annual report on EU joint undertakings for the 2024 financial year, ECA annual report</t>
  </si>
  <si>
    <t xml:space="preserve">financial and compliance audit</t>
  </si>
  <si>
    <t xml:space="preserve">governance; contributions; internal control</t>
  </si>
  <si>
    <t xml:space="preserve">ECCC achieved financial autonomy only on 24 Sept 2024; did not disclose members' cumulative contributions or compare them with targets; internal control framework only partly implemented</t>
  </si>
  <si>
    <t xml:space="preserve">EU auditors found the Centre became independent from the Commission only in 2024 and cannot yet show how much Member States have contributed.</t>
  </si>
  <si>
    <t xml:space="preserve">https://www.eca.europa.eu/ECAPublications/SAR-JUS-2024/SAR-JUS-2024_EN.pdf</t>
  </si>
  <si>
    <t xml:space="preserve">ec-2018-cef-ia</t>
  </si>
  <si>
    <t xml:space="preserve">European Commission (2018), Impact Assessment accompanying the proposal for the Connecting Europe Facility 2021-2027 (executive summary SWD(2018) 313), SWD(2018) 312</t>
  </si>
  <si>
    <t xml:space="preserve">ex-ante (MFF programme IA; draws on mid-term evaluation of CEF 2014-2020)</t>
  </si>
  <si>
    <t xml:space="preserve">programme design; delivery options</t>
  </si>
  <si>
    <t xml:space="preserve">Focused on structure, priorities and delivery of a continued programme; Regulatory Scrutiny Board asked for stronger monitoring and evaluation arrangements; no quantified impact forecast</t>
  </si>
  <si>
    <t xml:space="preserve">The Commission's assessment argued for continuing the Connecting Europe Facility with a broader digital and energy scope, but did not forecast measurable economic effects.</t>
  </si>
  <si>
    <t xml:space="preserve">https://eur-lex.europa.eu/legal-content/EN/TXT/?uri=CELEX:52018SC0312</t>
  </si>
  <si>
    <t xml:space="preserve">http://web.archive.org/web/20240816172818/https://eur-lex.europa.eu/legal-content/EN/TXT/?uri=celex%3A52018SC0312</t>
  </si>
  <si>
    <t xml:space="preserve">ec-2025-cef-progress</t>
  </si>
  <si>
    <t xml:space="preserve">European Commission (2025), Progress report on the implementation of the 2021-2027 Connecting Europe Facility for the years 2021-2024, COM(2025) 516</t>
  </si>
  <si>
    <t xml:space="preserve">progress report (monitoring data)</t>
  </si>
  <si>
    <t xml:space="preserve">commitments; projects; delays</t>
  </si>
  <si>
    <t xml:space="preserve">Transport calls oversubscribed up to ~3x and budget fully committed by 2025, but most projects in early stages (23 of 600+ finished); energy EUR 3.5bn awarded with some delays; digital 117 projects &gt;EUR 640m, start delayed, judged on track; interim evaluation ongoing</t>
  </si>
  <si>
    <t xml:space="preserve">The Commission's first progress report shows the money is being committed quickly - transport calls were nearly three times oversubscribed - but few projects are finished, so no results on traffic, energy flows or growth are available yet.</t>
  </si>
  <si>
    <t xml:space="preserve">https://eur-lex.europa.eu/legal-content/EN/TXT/?uri=CELEX:52025DC0516</t>
  </si>
  <si>
    <t xml:space="preserve">http://web.archive.org/web/20251119145236/https://eur-lex.europa.eu/legal-content/EN/TXT/?uri=CELEX%3A52025DC0516</t>
  </si>
  <si>
    <t xml:space="preserve">ec-2018-eurohpc-ia</t>
  </si>
  <si>
    <t xml:space="preserve">European Commission (2018), Impact Assessment accompanying the proposal for a Council Regulation on establishing the European High Performance Computing Joint Undertaking, SWD(2018) 6</t>
  </si>
  <si>
    <t xml:space="preserve">HPC capacity; European supply; access</t>
  </si>
  <si>
    <t xml:space="preserve">EU consumes about a third of world HPC resources but lags US, China and Japan; joint undertaking to pool EU and national money; cites goal of exascale systems around 2022 ranking among the world's top three; reused for the 2021 Regulation</t>
  </si>
  <si>
    <t xml:space="preserve">The Commission argued that only pooled EU and national money could buy world-class supercomputers, aiming for European exascale machines among the world's top three around 2022.</t>
  </si>
  <si>
    <t xml:space="preserve">https://eur-lex.europa.eu/legal-content/EN/TXT/?uri=CELEX:52018SC0006</t>
  </si>
  <si>
    <t xml:space="preserve">ec-2025-dep-interim-hpc</t>
  </si>
  <si>
    <t xml:space="preserve">European Commission (2025), Interim Evaluation of the Digital Europe Programme (HPC objective implemented by EuroHPC), SWD(2025) 420; COM(2025) 771</t>
  </si>
  <si>
    <t xml:space="preserve">interim evaluation (monitoring data)</t>
  </si>
  <si>
    <t xml:space="preserve">procurements; rankings; AI Factories</t>
  </si>
  <si>
    <t xml:space="preserve">19 of 30 planned HPC procurements done (milestone met); JUPITER first EU exascale system, 4th on TOP500 and top of Green500; 19 AI Factories</t>
  </si>
  <si>
    <t xml:space="preserve">The Commission reports that EuroHPC has delivered Europe's first exascale supercomputer, ranked fourth in the world, a few years later than first hoped.</t>
  </si>
  <si>
    <t xml:space="preserve">self-evaluation; outputs</t>
  </si>
  <si>
    <t xml:space="preserve">eca-2025-ju-annual-2024-eurohpc</t>
  </si>
  <si>
    <t xml:space="preserve">private contributions; budget implementation; staffing</t>
  </si>
  <si>
    <t xml:space="preserve">EuroHPC private members contributed about EUR 19.8m against a EUR 420m minimum target (Horizon 2020/CEF1 period); risk of missing the significantly higher new target rated medium; low implementation of Digital Europe budget; recruitment objective not met</t>
  </si>
  <si>
    <t xml:space="preserve">EU auditors found industry partners have put in only about EUR 20m of the EUR 420m they were meant to contribute, and doubt the higher new target will be met.</t>
  </si>
  <si>
    <t xml:space="preserve">ec-2023-csam-interim-report</t>
  </si>
  <si>
    <t xml:space="preserve">European Commission (2023), Report on the implementation of Regulation (EU) 2021/1232 (temporary derogation from the ePrivacy Directive to combat online child sexual abuse), COM(2023) 797</t>
  </si>
  <si>
    <t xml:space="preserve">implementation report (provider and Member State statistics)</t>
  </si>
  <si>
    <t xml:space="preserve">reports; children identified; error rates; data quality</t>
  </si>
  <si>
    <t xml:space="preserve">Member States reported for differing periods so EU-level totals of reports and identified child victims could not be calculated; large disparities between NCMEC and national figures</t>
  </si>
  <si>
    <t xml:space="preserve">The Commission's first report found national data too patchy to say how many abuse reports or rescued children the voluntary scanning produced.</t>
  </si>
  <si>
    <t xml:space="preserve">descriptive; poor data</t>
  </si>
  <si>
    <t xml:space="preserve">full text read (key sections)</t>
  </si>
  <si>
    <t xml:space="preserve">https://eur-lex.europa.eu/legal-content/EN/TXT/?uri=CELEX:52023DC0797</t>
  </si>
  <si>
    <t xml:space="preserve">ec-2025-csam-interim-report</t>
  </si>
  <si>
    <t xml:space="preserve">European Commission (2025), Second report on the implementation of Regulation (EU) 2021/1232, COM(2025) 740</t>
  </si>
  <si>
    <t xml:space="preserve">implementation report (provider and Member State statistics 2023-2024)</t>
  </si>
  <si>
    <t xml:space="preserve">reports; error rates; proportionality</t>
  </si>
  <si>
    <t xml:space="preserve">Data still incomplete and not comparable; providers did not use the mandated reporting form; false-positive ratios reported between 0% and 1.14% with inconsistent methods; data insufficient to answer the proportionality question definitively, but thousands of children identified and millions of items removed</t>
  </si>
  <si>
    <t xml:space="preserve">The second Commission report still cannot measure the law's effect reliably, but concludes voluntary scanning helps identify thousands of abused children; error rates reported by platforms are low but calculated inconsistently.</t>
  </si>
  <si>
    <t xml:space="preserve">EU, 2023-2024</t>
  </si>
  <si>
    <t xml:space="preserve">https://eur-lex.europa.eu/legal-content/EN/TXT/?uri=CELEX:52025DC0740</t>
  </si>
  <si>
    <t xml:space="preserve">http://web.archive.org/web/20260829151130/https://eur-lex.europa.eu/legal-content/EN/TXT/?uri=celex%3A52025DC0740</t>
  </si>
  <si>
    <t xml:space="preserve">edps-2026-opinion-7</t>
  </si>
  <si>
    <t xml:space="preserve">European Data Protection Supervisor (2026), Opinion 7/2026 on the Proposal for a Regulation extending the application of Regulation (EU) 2021/1232, EDPS Opinion, 16 February 2026</t>
  </si>
  <si>
    <t xml:space="preserve">EU supervisory opinion</t>
  </si>
  <si>
    <t xml:space="preserve">legal opinion</t>
  </si>
  <si>
    <t xml:space="preserve">privacy; proportionality; safeguards</t>
  </si>
  <si>
    <t xml:space="preserve">negative (on safeguards)</t>
  </si>
  <si>
    <t xml:space="preserve">Recognises child protection as general-interest objective, but says the extension is the time to address key shortcomings of the interim regime and to ensure effective safeguards against general and indiscriminate scanning</t>
  </si>
  <si>
    <t xml:space="preserve">The EU's data protection watchdog accepts the aim but says the temporary scanning rules still lack safeguards against blanket monitoring of private messages.</t>
  </si>
  <si>
    <t xml:space="preserve">https://www.edps.europa.eu/data-protection/our-work/publications/opinions/2026-02-16-edps-opinion-72026-regulation-extending-application-regulation-eu-20211232</t>
  </si>
  <si>
    <t xml:space="preserve">ec-2021-ju-ia</t>
  </si>
  <si>
    <t xml:space="preserve">European Commission (2021), Impact Assessment accompanying the proposal for a Council Regulation establishing the Joint Undertakings under Horizon Europe (executive summary SWD(2021) 38), SWD(2021) 37</t>
  </si>
  <si>
    <t xml:space="preserve">ex-ante (coordinated IA of 9 partnerships; option comparison)</t>
  </si>
  <si>
    <t xml:space="preserve">leverage; sector R&amp;I targets</t>
  </si>
  <si>
    <t xml:space="preserve">Institutionalised partnerships preferred for each area; e.g. Key Digital Technologies expected leverage of 1:3 (EUR 1 EU, EUR 1 states, EUR 2 private) with SMEs at least one-third of participants; aviation and rail options with over 60% of costs covered by private partners</t>
  </si>
  <si>
    <t xml:space="preserve">The Commission argued that public-private joint undertakings would multiply EU research money with industry and national funds, e.g. three extra euros for every EU euro in chips research.</t>
  </si>
  <si>
    <t xml:space="preserve">EU, 2021-2031</t>
  </si>
  <si>
    <t xml:space="preserve">forecast; qualitative plus cost estimates</t>
  </si>
  <si>
    <t xml:space="preserve">https://eur-lex.europa.eu/legal-content/EN/TXT/?uri=CELEX:52021SC0038</t>
  </si>
  <si>
    <t xml:space="preserve">ec-2025-horizon-interim-jus</t>
  </si>
  <si>
    <t xml:space="preserve">European Commission (2025), Interim Evaluation of the Horizon Europe Framework Programme 2021-2024 (incl. annexes on 19 institutionalised partnerships), SWD(2025) 110</t>
  </si>
  <si>
    <t xml:space="preserve">interim evaluation (partnership evaluations, monitoring data)</t>
  </si>
  <si>
    <t xml:space="preserve">leverage; openness; innovation</t>
  </si>
  <si>
    <t xml:space="preserve">JUs have highest direct leverage (0.8; EU covers 55% of eligible costs); older partnerships leverage much more than newer ones; impacts on knowledge and value-chain resilience, but only some JUs accelerated uptake of innovations; few newcomers; SMEs members in only three JUs</t>
  </si>
  <si>
    <t xml:space="preserve">The Commission's mid-term review finds the joint undertakings bring in co-funding and help strategic technologies, but few newcomers join and only some speed up market uptake.</t>
  </si>
  <si>
    <t xml:space="preserve">eca-2025-ju-annual-2024-jus</t>
  </si>
  <si>
    <t xml:space="preserve">leverage targets; contributions</t>
  </si>
  <si>
    <t xml:space="preserve">Planned 2021-2027 leverage (123%) lower than 2014-2020 (158%); by end of Horizon 2020 period members met 96% of contribution targets on average but with shortfalls (SESAR 3, IHI, EuroHPC); Global Health EDCTP3 at 4% of contributing-partner target</t>
  </si>
  <si>
    <t xml:space="preserve">EU auditors find the joint undertakings' finances sound overall, but several are well short of the private or partner money they promised.</t>
  </si>
  <si>
    <t xml:space="preserve">ec-2025-state-digital-decade</t>
  </si>
  <si>
    <t xml:space="preserve">European Commission (2025), State of the Digital Decade 2025: Keep building the EU's sovereignty and digital future, COM(2025) 290</t>
  </si>
  <si>
    <t xml:space="preserve">annual KPI monitoring against 2030 targets</t>
  </si>
  <si>
    <t xml:space="preserve">connectivity; skills; business digitalisation; public services</t>
  </si>
  <si>
    <t xml:space="preserve">Uneven progress: edge nodes, e-health and basic 5G near targets; AI, cloud, data analytics, ICT specialists and basic skills 'deeply unsatisfactory'; FTTP 69%, VHCN 82%; national roadmaps worth EUR 288.6bn; 57% of 2024 recommendations addressed</t>
  </si>
  <si>
    <t xml:space="preserve">The Commission's own scorecard shows the EU on track for basic 5G and online services but far off its 2030 goals for AI use by firms, digital skills, fibre and chips.</t>
  </si>
  <si>
    <t xml:space="preserve">EU-27, 2024 data</t>
  </si>
  <si>
    <t xml:space="preserve">monitoring; descriptive</t>
  </si>
  <si>
    <t xml:space="preserve">full text read (main report)</t>
  </si>
  <si>
    <t xml:space="preserve">https://eur-lex.europa.eu/legal-content/EN/TXT/?uri=CELEX:52025DC0290</t>
  </si>
  <si>
    <t xml:space="preserve">https://ec.europa.eu/newsroom/dae/redirection/document/116741</t>
  </si>
  <si>
    <t xml:space="preserve">http://web.archive.org/web/20260701092527/https://eur-lex.europa.eu/legal-content/EN/TXT/?uri=CELEX%3A52025DC0290</t>
  </si>
  <si>
    <t xml:space="preserve">ec-2026-state-digital-decade</t>
  </si>
  <si>
    <t xml:space="preserve">European Commission (2026), State of the Digital Decade 2026 report (news summary), Commission news, 17 June 2026</t>
  </si>
  <si>
    <t xml:space="preserve">connectivity; skills; business digitalisation</t>
  </si>
  <si>
    <t xml:space="preserve">96.8% of households have basic 5G; fibre, semiconductors and computing capacity lag; more than 60% have basic digital skills; ICT specialist shortages persist; targets to be reviewed in 2027</t>
  </si>
  <si>
    <t xml:space="preserve">The 2026 scorecard shows more progress on mobile coverage and skills, but fibre, chips and business use of advanced technology still trail the 2030 goals; the targets will be reviewed in 2027.</t>
  </si>
  <si>
    <t xml:space="preserve">EU-27, 2025 data</t>
  </si>
  <si>
    <t xml:space="preserve">full text read (news page)</t>
  </si>
  <si>
    <t xml:space="preserve">https://commission.europa.eu/news-and-media/news/state-digital-decade-report-progress-made-gaps-remain-2026-06-17_en</t>
  </si>
  <si>
    <t xml:space="preserve">http://web.archive.org/web/20260620124641/https://commission.europa.eu/news-and-media/news/state-digital-decade-report-progress-made-gaps-remain-2026-06-17_en</t>
  </si>
  <si>
    <t xml:space="preserve">ec-2020-nis2-ia</t>
  </si>
  <si>
    <t xml:space="preserve">European Commission (2020), Impact Assessment accompanying the proposal for a Directive on measures for a high common level of cybersecurity across the Union (executive summary SWD(2020) 344), SWD(2020) 345</t>
  </si>
  <si>
    <t xml:space="preserve">ex-ante (economic modelling from support study)</t>
  </si>
  <si>
    <t xml:space="preserve">incident costs; ICT security spending; authorities' resources</t>
  </si>
  <si>
    <t xml:space="preserve">Preferred option may cut the cost of cybersecurity incidents by EUR 11.3bn over ten years; entities in scope would need up to 22% more ICT security spending in the first years (12% for those already covered); authorities' resources up about 20-30%</t>
  </si>
  <si>
    <t xml:space="preserve">The Commission expected NIS 2 to cut the cost of cyber incidents by EUR 11.3 billion over ten years, while companies newly covered would raise security spending by up to 22%.</t>
  </si>
  <si>
    <t xml:space="preserve">EU, 10-year forecast</t>
  </si>
  <si>
    <t xml:space="preserve">forecast; IA notes lack of systematic data</t>
  </si>
  <si>
    <t xml:space="preserve">https://eur-lex.europa.eu/legal-content/EN/TXT/?uri=CELEX:52020SC0344</t>
  </si>
  <si>
    <t xml:space="preserve">http://web.archive.org/web/20240705204139/https://eur-lex.europa.eu/legal-content/EN/TXT/?uri=celex%3A52020SC0344</t>
  </si>
  <si>
    <t xml:space="preserve">ec-2020-nis1-evaluation</t>
  </si>
  <si>
    <t xml:space="preserve">European Commission (2020), Evaluation of the functioning of the NIS Directive (Annex 5 of the NIS 2 impact assessment), SWD(2020) 345, Part 2</t>
  </si>
  <si>
    <t xml:space="preserve">ex-post evaluation (desk research, surveys, country visits)</t>
  </si>
  <si>
    <t xml:space="preserve">scope; consistency; cooperation</t>
  </si>
  <si>
    <t xml:space="preserve">NIS1 raised awareness and capabilities but scope was too narrow and national identification of operators very inconsistent; no data available to measure NIS1's actual impact on security spending; evaluation limited on effectiveness and efficiency by data gaps</t>
  </si>
  <si>
    <t xml:space="preserve">The Commission's review of the first NIS Directive found it changed mindsets but left large gaps between countries - e.g. major hospitals covered in one country but not another - and no data existed to measure its effect on spending.</t>
  </si>
  <si>
    <t xml:space="preserve">EU-27, 2018-2020</t>
  </si>
  <si>
    <t xml:space="preserve">qualitative; data gaps acknowledged</t>
  </si>
  <si>
    <t xml:space="preserve">https://eur-lex.europa.eu/legal-content/EN/TXT/?uri=CELEX:52020SC0345</t>
  </si>
  <si>
    <t xml:space="preserve">wavestone-icf-ceps-2021-nis-review</t>
  </si>
  <si>
    <t xml:space="preserve">Wavestone, ICF &amp; CEPS (Adami, Cole, Massacci, Polito, Pupillo et al.) for DG CONNECT (2021), Study to support the review of Directive (EU) 2016/1148 (NIS Directive), No. 2020-665, Publications Office of the EU, ISBN 978-92-76-31316-8</t>
  </si>
  <si>
    <t xml:space="preserve">Commission-contracted study</t>
  </si>
  <si>
    <t xml:space="preserve">retrospective evaluation + forward-looking support to IA; surveys of authorities and operators</t>
  </si>
  <si>
    <t xml:space="preserve">effectiveness; costs; scope</t>
  </si>
  <si>
    <t xml:space="preserve">Support study behind the NIS1 evaluation and the IA's EUR 11.3bn benefit estimate; surveys covered 46 competent authorities, 49 operators of essential services and 9 digital service providers</t>
  </si>
  <si>
    <t xml:space="preserve">The contractor study that fed the Commission's review of the first NIS Directive and its cost-benefit model for NIS 2.</t>
  </si>
  <si>
    <t xml:space="preserve">EU, 2020</t>
  </si>
  <si>
    <t xml:space="preserve">contractor study; small survey samples</t>
  </si>
  <si>
    <t xml:space="preserve">CEPS (co-author) hosts this metrics project</t>
  </si>
  <si>
    <t xml:space="preserve">https://op.europa.eu/en/publication-detail/-/publication/3b6ad641-d23c-11eb-ac72-01aa75ed71a1</t>
  </si>
  <si>
    <t xml:space="preserve">http://web.archive.org/web/20241111142217/https://op.europa.eu/en/publication-detail/-/publication/3b6ad641-d23c-11eb-ac72-01aa75ed71a1</t>
  </si>
  <si>
    <t xml:space="preserve">enisa-2020-nis-investments</t>
  </si>
  <si>
    <t xml:space="preserve">ENISA (2020), NIS Investments (first edition), ENISA report, 11 Dec 2020</t>
  </si>
  <si>
    <t xml:space="preserve">agency report (survey)</t>
  </si>
  <si>
    <t xml:space="preserve">survey of 251 operators and digital service providers in FR, DE, IT, ES, PL</t>
  </si>
  <si>
    <t xml:space="preserve">perceived effect; security spending</t>
  </si>
  <si>
    <t xml:space="preserve">positive (self-reported)</t>
  </si>
  <si>
    <t xml:space="preserve">82% of respondents said the NIS Directive had a positive effect on their information security; EU organisations spend on average 41% less on information security than US counterparts</t>
  </si>
  <si>
    <t xml:space="preserve">In ENISA's first survey, 82% of operators said the first NIS Directive improved their security, though EU firms spent 41% less on security than US firms.</t>
  </si>
  <si>
    <t xml:space="preserve">5 Member States, 2019-20</t>
  </si>
  <si>
    <t xml:space="preserve">self-reported; no counterfactual</t>
  </si>
  <si>
    <t xml:space="preserve">https://www.enisa.europa.eu/news/enisa-news/nis-directive-has-positive-effect-though-study-finds-gaps-in-cybersecurity-investment-exist</t>
  </si>
  <si>
    <t xml:space="preserve">enisa-2024-nis-investments</t>
  </si>
  <si>
    <t xml:space="preserve">ENISA (2024), NIS Investments 2024, ENISA report, Nov 2024</t>
  </si>
  <si>
    <t xml:space="preserve">survey of 1,350 organisations, 27 Member States; old-vs-new-sector comparison (descriptive)</t>
  </si>
  <si>
    <t xml:space="preserve">security spending; staffing; maturity</t>
  </si>
  <si>
    <t xml:space="preserve">Organisations earmark 9.0% of IT investment for information security (+1.9 pp); 89% need more security staff for NIS2; 34% of SMEs cannot request the extra budget; sectors already under NIS1 report higher maturity (e.g. 6.8 vs 6.2 risk management) than newly covered sectors</t>
  </si>
  <si>
    <t xml:space="preserve">Pre-NIS 2 baseline: firms spend 9% of IT budgets on security, most expect NIS 2 to raise costs, and sectors already regulated under the first directive report better security than newcomers.</t>
  </si>
  <si>
    <t xml:space="preserve">EU-27, 2023-24</t>
  </si>
  <si>
    <t xml:space="preserve">descriptive; old-vs-new sector gap not causal</t>
  </si>
  <si>
    <t xml:space="preserve">https://www.enisa.europa.eu/publications/nis-investments-2024</t>
  </si>
  <si>
    <t xml:space="preserve">https://www.enisa.europa.eu/sites/default/files/2024-11/CSPA%20-%20NIS%20Investments%20-%202024_0.pdf</t>
  </si>
  <si>
    <t xml:space="preserve">http://web.archive.org/web/20261001031158/https://www.enisa.europa.eu/publications/nis-investments-2024</t>
  </si>
  <si>
    <t xml:space="preserve">enisa-2025-nis-investments</t>
  </si>
  <si>
    <t xml:space="preserve">ENISA (2025), NIS Investments 2025, ENISA report, Dec 2025</t>
  </si>
  <si>
    <t xml:space="preserve">survey of 1,080 professionals (83% large firms)</t>
  </si>
  <si>
    <t xml:space="preserve">security spending; compliance drivers; patching; talent</t>
  </si>
  <si>
    <t xml:space="preserve">Security spending stable at about 9% of IT budgets (median EUR 1.5m), shifting to technology and outsourcing; compliance is the main investment driver (70%); 28% take over three months to patch critical vulnerabilities; 30% did no assessment in 12 months</t>
  </si>
  <si>
    <t xml:space="preserve">In the first year of NIS 2, security budgets held at about 9% of IT spending, compliance drove most investment, but many firms still patch slowly.</t>
  </si>
  <si>
    <t xml:space="preserve">EU-27, 2024-25</t>
  </si>
  <si>
    <t xml:space="preserve">descriptive survey</t>
  </si>
  <si>
    <t xml:space="preserve">https://www.enisa.europa.eu/publications/nis-investments-2025</t>
  </si>
  <si>
    <t xml:space="preserve">https://www.enisa.europa.eu/sites/default/files/2026-02/NIS%20Investments%202025%20-%20Main%20report.pdf</t>
  </si>
  <si>
    <t xml:space="preserve">http://web.archive.org/web/20260806080039/https://www.enisa.europa.eu/publications/nis-investments-2025</t>
  </si>
  <si>
    <t xml:space="preserve">enisa-2024-state-of-cybersecurity</t>
  </si>
  <si>
    <t xml:space="preserve">ENISA with NIS Cooperation Group and European Commission (2024), 2024 Report on the State of Cybersecurity in the Union, ENISA report (NIS2 Art. 18), Dec 2024</t>
  </si>
  <si>
    <t xml:space="preserve">agency report</t>
  </si>
  <si>
    <t xml:space="preserve">descriptive assessment</t>
  </si>
  <si>
    <t xml:space="preserve">threat level; national capabilities</t>
  </si>
  <si>
    <t xml:space="preserve">n/a (baseline)</t>
  </si>
  <si>
    <t xml:space="preserve">First report under NIS2 Art. 18; finds a substantial threat level and broadly aligned national strategies; data collected while transposition ongoing, intended as baseline for later NIS2 assessments</t>
  </si>
  <si>
    <t xml:space="preserve">ENISA's first EU-wide state-of-cybersecurity report, intended as the baseline against which NIS 2 will be judged.</t>
  </si>
  <si>
    <t xml:space="preserve">https://www.enisa.europa.eu/publications/2024-report-on-the-state-of-the-cybersecurity-in-the-union</t>
  </si>
  <si>
    <t xml:space="preserve">ec-2026-nis2-referral</t>
  </si>
  <si>
    <t xml:space="preserve">European Commission (2026), Commission refers Ireland, Spain, France and the Netherlands to the Court of Justice for failing to transpose the rules on cybersecurity, Press release IP/26/1499, 8 July 2026</t>
  </si>
  <si>
    <t xml:space="preserve">Deadline 17 Oct 2024; formal notices 28 Nov 2024, reasoned opinions 7 May 2025; four Member States referred with request for financial sanctions; targeted NIS2 amendments proposed 20 Jan 2026</t>
  </si>
  <si>
    <t xml:space="preserve">Nearly two years after the deadline, four countries had still not fully transposed NIS 2 and were taken to court.</t>
  </si>
  <si>
    <t xml:space="preserve">https://ec.europa.eu/commission/presscorner/detail/en/ip_26_1499</t>
  </si>
  <si>
    <t xml:space="preserve">http://web.archive.org/web/20260811180832/https://ec.europa.eu/commission/presscorner/detail/en/ip_26_1499</t>
  </si>
  <si>
    <t xml:space="preserve">ec-2021-roaming-ia</t>
  </si>
  <si>
    <t xml:space="preserve">European Commission (2021), Impact Assessment accompanying the Roaming Regulation recast (executive summary SWD(2021) 27), SWD(2021) 28</t>
  </si>
  <si>
    <t xml:space="preserve">ex-ante (sustainability model)</t>
  </si>
  <si>
    <t xml:space="preserve">operator margins; surcharges; quality of service</t>
  </si>
  <si>
    <t xml:space="preserve">Lower wholesale caps reduce unsustainable negative roaming margins by 42% (2023) and 52% (2025) vs baseline; users at risk of surcharges cut by more than 40%; compliance costs under 6 person-days per operator per year; about 170 million roaming customers</t>
  </si>
  <si>
    <t xml:space="preserve">The Commission expected lower wholesale caps to keep roaming at home prices sustainable for operators and to cut the number of people facing surcharges by over 40%.</t>
  </si>
  <si>
    <t xml:space="preserve">EU/EEA, forecast</t>
  </si>
  <si>
    <t xml:space="preserve">https://eur-lex.europa.eu/legal-content/EN/TXT/?uri=CELEX:52021SC0027</t>
  </si>
  <si>
    <t xml:space="preserve">ec-2019-roaming-review</t>
  </si>
  <si>
    <t xml:space="preserve">European Commission (2019), Report on the review of the roaming market, COM(2019) 616</t>
  </si>
  <si>
    <t xml:space="preserve">descriptive (BEREC data)</t>
  </si>
  <si>
    <t xml:space="preserve">roaming traffic</t>
  </si>
  <si>
    <t xml:space="preserve">Summer 2018 roaming data use 12 times and voice 3 times summer 2016 levels; average roaming data use 440 MB/month vs 60 MB</t>
  </si>
  <si>
    <t xml:space="preserve">Two years after roaming charges ended, people used 12 times more mobile data when travelling in the EU.</t>
  </si>
  <si>
    <t xml:space="preserve">EU/EEA, 2016-19</t>
  </si>
  <si>
    <t xml:space="preserve">https://eur-lex.europa.eu/legal-content/EN/TXT/?uri=CELEX:52019DC0616</t>
  </si>
  <si>
    <t xml:space="preserve">ec-2025-roaming-review</t>
  </si>
  <si>
    <t xml:space="preserve">European Commission (2025), Report on the review of the roaming market, COM(2025) 324 (with SWD(2025) 164)</t>
  </si>
  <si>
    <t xml:space="preserve">descriptive (BEREC data, Eurobarometer, QoS measurement study)</t>
  </si>
  <si>
    <t xml:space="preserve">traffic; wholesale prices; domestic prices; quality of service</t>
  </si>
  <si>
    <t xml:space="preserve">positive (with QoS gaps)</t>
  </si>
  <si>
    <t xml:space="preserve">RLAH fit for purpose; data roaming up 48-fold (Q3) since 2017; wholesale data prices EUR 0.7/GB in Q3 2024 (-50% vs 2021); no MNO derogations since 2022; domestic ARPU stable 2019-24; but 76% of roamers get slower download speeds than at home</t>
  </si>
  <si>
    <t xml:space="preserve">The Commission found roaming at home prices working well, with no sign of higher domestic bills, but most travellers still get slower mobile internet abroad than at home.</t>
  </si>
  <si>
    <t xml:space="preserve">EU/EEA, 2017-24</t>
  </si>
  <si>
    <t xml:space="preserve">https://eur-lex.europa.eu/legal-content/EN/TXT/?uri=CELEX:52025DC0324</t>
  </si>
  <si>
    <t xml:space="preserve">http://web.archive.org/web/20260727101405/https://eur-lex.europa.eu/legal-content/EN/TXT/?uri=CELEX:52025DC0324</t>
  </si>
  <si>
    <t xml:space="preserve">quinn-godinho-peukert-2024-rlah</t>
  </si>
  <si>
    <t xml:space="preserve">Quinn, Godinho de Matos &amp; Peukert (2024), The Welfare Effects of Mobile Internet Access: Evidence from Roam-Like-at-Home, The Economic Journal 134(659)</t>
  </si>
  <si>
    <t xml:space="preserve">demand/welfare estimation on individual-level mobile consumption data around the June 2017 reform</t>
  </si>
  <si>
    <t xml:space="preserve">consumer surplus; mobile data use</t>
  </si>
  <si>
    <t xml:space="preserve">Consumer surplus rose by about EUR 2.44 per user per travel day; around 40% of gains from new users (lower deadweight loss); effects differ by usage intensity and business vs leisure travel</t>
  </si>
  <si>
    <t xml:space="preserve">Ending roaming charges was worth about EUR 2.44 per traveller per day to consumers, partly because many people started using mobile internet abroad for the first time.</t>
  </si>
  <si>
    <t xml:space="preserve">EEA travellers, around 2017</t>
  </si>
  <si>
    <t xml:space="preserve">quasi-experimental; individual-level data from operator records</t>
  </si>
  <si>
    <t xml:space="preserve">https://doi.org/10.1093/ej/uead101</t>
  </si>
  <si>
    <t xml:space="preserve">https://www.cesifo.org/DocDL/cesifo1_wp9612.pdf</t>
  </si>
  <si>
    <t xml:space="preserve">canzian-et-al-2025-price-caps</t>
  </si>
  <si>
    <t xml:space="preserve">Canzian, Mazzarella, Ronchail, Verboven &amp; Verzillo (2025), Evaluating the impact of price caps - Evidence from the European roam-like-at-home regulation, International Journal of Industrial Organization 103 (earlier CEPR DP16554, CESifo WP 9303)</t>
  </si>
  <si>
    <t xml:space="preserve">difference-in-differences (rest-of-world roaming as control) plus welfare analysis</t>
  </si>
  <si>
    <t xml:space="preserve">roaming traffic; revenues; consumer surplus; profits</t>
  </si>
  <si>
    <t xml:space="preserve">Large but uneven effects on retail and wholesale traffic and revenues; consumer surplus gains large, mainly from data, and bigger in small open economies and countries with previously high prices; total welfare rises as consumer gains outweigh profit losses</t>
  </si>
  <si>
    <t xml:space="preserve">A study by JRC and university economists found ending roaming charges raised total welfare: consumers' gains, especially on data, far outweighed operators' lost profits.</t>
  </si>
  <si>
    <t xml:space="preserve">EEA vs rest of world, around 2017</t>
  </si>
  <si>
    <t xml:space="preserve">causal (DiD)</t>
  </si>
  <si>
    <t xml:space="preserve">https://doi.org/10.1016/j.ijindorg.2024.103115</t>
  </si>
  <si>
    <t xml:space="preserve">https://www.cesifo.org/DocDL/cesifo1_wp9303.pdf</t>
  </si>
  <si>
    <t xml:space="preserve">grzybowski-munoz-2023-roaming</t>
  </si>
  <si>
    <t xml:space="preserve">Grzybowski &amp; Muñoz-Acevedo (2023), Impact of roaming regulation on revenues and prices of mobile operators in the EU, International Journal of Industrial Organization 89</t>
  </si>
  <si>
    <t xml:space="preserve">difference-in-differences and hedonic price regressions (operator and plan-level data)</t>
  </si>
  <si>
    <t xml:space="preserve">operator ARPU; domestic tariffs</t>
  </si>
  <si>
    <t xml:space="preserve">Roaming regulation decreased mobile operators' revenues per user but had no impact on tariffs in the latest phase (no domestic waterbed)</t>
  </si>
  <si>
    <t xml:space="preserve">Roaming rules cut operators' revenue per customer but did not push up domestic mobile prices.</t>
  </si>
  <si>
    <t xml:space="preserve">EU, 2010s</t>
  </si>
  <si>
    <t xml:space="preserve">https://doi.org/10.1016/j.ijindorg.2023.102927</t>
  </si>
  <si>
    <t xml:space="preserve">https://www.cesifo.org/DocDL/cesifo1_wp9235.pdf</t>
  </si>
  <si>
    <t xml:space="preserve">boto-garcia-santana-2026-tourism</t>
  </si>
  <si>
    <t xml:space="preserve">Boto-García &amp; Santana-Gallego (2026), Roam Like at Home: The Effect of Zero-Roaming Charges on Tourism Flows, SSRN working paper</t>
  </si>
  <si>
    <t xml:space="preserve">structural gravity model with difference-in-differences (world tourist arrivals 2012-2019) plus survey microdata</t>
  </si>
  <si>
    <t xml:space="preserve">tourism flows</t>
  </si>
  <si>
    <t xml:space="preserve">Abolishing roaming charges significantly increased intra-EEA tourism flows, especially from higher-income origins and between distant country pairs; survey evidence shows more trips and more mobile internet use abroad</t>
  </si>
  <si>
    <t xml:space="preserve">A new working paper finds that ending roaming charges led to more tourist trips within Europe.</t>
  </si>
  <si>
    <t xml:space="preserve">EEA vs world, 2012-19</t>
  </si>
  <si>
    <t xml:space="preserve">causal (DiD); not peer-reviewed</t>
  </si>
  <si>
    <t xml:space="preserve">https://doi.org/10.2139/ssrn.7076621</t>
  </si>
  <si>
    <t xml:space="preserve">ec-2020-vber-evaluation</t>
  </si>
  <si>
    <t xml:space="preserve">European Commission (2020), Evaluation of the Vertical Block Exemption Regulation and Vertical Guidelines (Staff Working Document), SWD(2020) 172</t>
  </si>
  <si>
    <t xml:space="preserve">ex-post evaluation (external study, public consultation, case studies)</t>
  </si>
  <si>
    <t xml:space="preserve">legal certainty; compliance costs; online sales</t>
  </si>
  <si>
    <t xml:space="preserve">2010 VBER useful and still relevant but not adapted to growth of online sales and platforms; some definitions unclear; diverging national interpretation; costs could not be quantified robustly due to lack of data</t>
  </si>
  <si>
    <t xml:space="preserve">The Commission's review of the 2010 rules found them still useful but outdated for e-commerce and online platforms, and could not put numbers on their costs or benefits.</t>
  </si>
  <si>
    <t xml:space="preserve">EU, 2010-2019</t>
  </si>
  <si>
    <t xml:space="preserve">self-evaluation; mostly qualitative</t>
  </si>
  <si>
    <t xml:space="preserve">https://eur-lex.europa.eu/legal-content/EN/TXT/?uri=CELEX:52020SC0172</t>
  </si>
  <si>
    <t xml:space="preserve">http://web.archive.org/web/20260417022317/https://eur-lex.europa.eu/legal-content/EN/TXT/?uri=CELEX:52020SC0172</t>
  </si>
  <si>
    <t xml:space="preserve">ec-2022-vber-ia</t>
  </si>
  <si>
    <t xml:space="preserve">European Commission (2022), Impact assessment report accompanying the revised Vertical Block Exemption Regulation and Vertical Guidelines, Commission staff working document (May 2022)</t>
  </si>
  <si>
    <t xml:space="preserve">legal certainty; online sales; parity clauses; dual distribution</t>
  </si>
  <si>
    <t xml:space="preserve">Published with the revised rules (VBER adopted 10 May 2022, in force 1 June 2022; Guidelines 30 June 2022); SWD reference not confirmed</t>
  </si>
  <si>
    <t xml:space="preserve">The Commission's assessment underpinned changes to how the competition rules treat online sales, platforms and price-parity clauses.</t>
  </si>
  <si>
    <t xml:space="preserve">https://competition-policy.ec.europa.eu/public-consultations/2018-vber_en</t>
  </si>
  <si>
    <t xml:space="preserve">http://web.archive.org/web/20250419202236/https://competition-policy.ec.europa.eu/public-consultations/2018-vber_en</t>
  </si>
  <si>
    <t xml:space="preserve">hunold-et-al-2018</t>
  </si>
  <si>
    <t xml:space="preserve">Hunold, Kesler, Laitenberger &amp; Schlutter (2018), Evaluation of best price clauses in online hotel bookings, International Journal of Industrial Organization 61: 542-571</t>
  </si>
  <si>
    <t xml:space="preserve">difference-in-differences (meta-search price data, ~30,000 hotels, several countries)</t>
  </si>
  <si>
    <t xml:space="preserve">availability; prices; channel competition</t>
  </si>
  <si>
    <t xml:space="preserve">positive (of banning parity clauses)</t>
  </si>
  <si>
    <t xml:space="preserve">After Booking.com's narrow parity clause was abolished in Germany, hotels offered rooms more often on Booking.com and more often promoted their direct channel; chain hotels' direct channel more often had the strictly lowest price</t>
  </si>
  <si>
    <t xml:space="preserve">A study of nearly 30,000 hotels found that when price-parity clauses were removed, hotels listed more rooms and more often undercut booking platforms on their own websites.</t>
  </si>
  <si>
    <t xml:space="preserve">Germany and other European countries, mid-2010s</t>
  </si>
  <si>
    <t xml:space="preserve">causal; predates 2022 VBER (background)</t>
  </si>
  <si>
    <t xml:space="preserve">https://doi.org/10.1016/j.ijindorg.2018.03.008</t>
  </si>
  <si>
    <t xml:space="preserve">mantovani-piga-reggiani-2021</t>
  </si>
  <si>
    <t xml:space="preserve">Mantovani, Piga &amp; Reggiani (2021), Online platform price parity clauses: Evidence from the EU Booking.com case, European Economic Review 131: 103625</t>
  </si>
  <si>
    <t xml:space="preserve">difference-in-differences (posted Booking.com prices, France vs controls)</t>
  </si>
  <si>
    <t xml:space="preserve">prices</t>
  </si>
  <si>
    <t xml:space="preserve">Removal of price parity clauses in France in 2015 led to significant price decreases in the short run but a more limited effect in the medium run; hotels with more complex structures cut prices more</t>
  </si>
  <si>
    <t xml:space="preserve">Hotel prices on Booking.com fell after France banned price-parity clauses, though the effect faded over time.</t>
  </si>
  <si>
    <t xml:space="preserve">France (2015 ban) vs comparison countries</t>
  </si>
  <si>
    <t xml:space="preserve">https://doi.org/10.1016/j.euroecorev.2020.103625</t>
  </si>
  <si>
    <t xml:space="preserve">ec-2020-crypto-dlt-ia</t>
  </si>
  <si>
    <t xml:space="preserve">European Commission (2020), Impact Assessment accompanying the proposals on markets in crypto-assets and on a pilot regime for DLT market infrastructures (executive summary SWD(2020) 202), SWD(2020) 201</t>
  </si>
  <si>
    <t xml:space="preserve">ex-ante (option comparison)</t>
  </si>
  <si>
    <t xml:space="preserve">security token trading and settlement; competition; supervisory costs</t>
  </si>
  <si>
    <t xml:space="preserve">Pilot regime preferred for security tokens: enables new DLT-based infrastructures to compete with legacy ones in the medium to long term; small compliance costs for venues; NCA costs EUR 150,000-250,000 per year</t>
  </si>
  <si>
    <t xml:space="preserve">The Commission expected a three-year sandbox for blockchain-based trading and settlement to let new entrants compete with existing stock exchanges and depositories at little cost.</t>
  </si>
  <si>
    <t xml:space="preserve">https://eur-lex.europa.eu/legal-content/EN/TXT/?uri=CELEX:52020SC0202</t>
  </si>
  <si>
    <t xml:space="preserve">http://web.archive.org/web/20260322014319/https://eur-lex.europa.eu/legal-content/EN/TXT/?uri=celex%3A52020SC0202</t>
  </si>
  <si>
    <t xml:space="preserve">esma-2025-dlt-review</t>
  </si>
  <si>
    <t xml:space="preserve">European Securities and Markets Authority (2025), ESMA Report on the Functioning and Review of the DLT Pilot Regime pursuant to Article 14 of Regulation (EU) 2022/858, ESMA75-117376770-460, 25 June 2025</t>
  </si>
  <si>
    <t xml:space="preserve">review report (supervisory data to 31 May 2025)</t>
  </si>
  <si>
    <t xml:space="preserve">uptake; activity; thresholds; interoperability</t>
  </si>
  <si>
    <t xml:space="preserve">Uptake limited: only three authorised DLT market infrastructures and minimal live trading; regime stimulated experimentation; frictions include interoperability and access to central bank money; thresholds restrict participation; recommends recalibrating thresholds and clarifying long-term status</t>
  </si>
  <si>
    <t xml:space="preserve">The EU securities regulator found that after two years only three blockchain market infrastructures had been licensed and trading was minimal, and recommended loosening the size caps.</t>
  </si>
  <si>
    <t xml:space="preserve">EU, Mar 2023-May 2025</t>
  </si>
  <si>
    <t xml:space="preserve">descriptive; supervisory data</t>
  </si>
  <si>
    <t xml:space="preserve">https://www.consob.it/documents/d/asset-library-1912910/esma75-117376770-460</t>
  </si>
  <si>
    <t xml:space="preserve">ec-2025-misp-dlt</t>
  </si>
  <si>
    <t xml:space="preserve">European Commission (2025), Market integration and supervision package: proposal amending Regulation (EU) 2022/858 and others, with impact assessment, SWD(2025) 943 (procedure 2025/0381 COD), 4 December 2025</t>
  </si>
  <si>
    <t xml:space="preserve">ex-ante (review of pilot regime)</t>
  </si>
  <si>
    <t xml:space="preserve">thresholds; scope; permanence</t>
  </si>
  <si>
    <t xml:space="preserve">Proposes making the regime permanent, removing product-specific limits and raising the aggregate market value cap from EUR 6bn (EUR 9bn transition trigger) to EUR 100bn (EUR 150bn), with a simplified tier capped at EUR 10bn; Commission says current thresholds constrained the framework</t>
  </si>
  <si>
    <t xml:space="preserve">Responding to the low take-up, the Commission proposed in December 2025 to make the pilot permanent and raise its size cap from EUR 6bn to EUR 100bn.</t>
  </si>
  <si>
    <t xml:space="preserve">page summary via search (figures checked against a Council working paper quoting the proposal)</t>
  </si>
  <si>
    <t xml:space="preserve">https://eur-lex.europa.eu/legal-content/EN/TXT/?uri=CELEX:52025SC0943</t>
  </si>
  <si>
    <t xml:space="preserve">http://web.archive.org/web/20260225043623/https://eur-lex.europa.eu/legal-content/EN/TXT/?uri=CELEX:52025SC0943</t>
  </si>
  <si>
    <t xml:space="preserve">ec-2020-dga-ia</t>
  </si>
  <si>
    <t xml:space="preserve">European Commission (2020), Impact assessment report accompanying the Data Governance Act proposal (executive summary SWD(2020) 296), SWD(2020) 295</t>
  </si>
  <si>
    <t xml:space="preserve">data economy value; compliance costs; public-sector savings</t>
  </si>
  <si>
    <t xml:space="preserve">Preferred package worth EUR 7.2-10.9bn to the EU data economy in 2028; labelling cost EUR 20,000-50,000 per intermediary; public-sector set-up EUR 10.6m per Member State with efficiency savings of about EUR 684m a year</t>
  </si>
  <si>
    <t xml:space="preserve">The Commission expected the DGA to add EUR 7-11 billion to the EU data economy by 2028 by building trust in data sharing.</t>
  </si>
  <si>
    <t xml:space="preserve">https://eur-lex.europa.eu/legal-content/EN/TXT/?uri=CELEX:52020SC0296</t>
  </si>
  <si>
    <t xml:space="preserve">http://web.archive.org/web/20240613060225/https://eur-lex.europa.eu/legal-content/EN/TXT/?uri=celex%3A52020SC0296</t>
  </si>
  <si>
    <t xml:space="preserve">vonditfurth-lienemann-2022</t>
  </si>
  <si>
    <t xml:space="preserve">von Ditfurth &amp; Lienemann (2022), The Data Governance Act: Promoting or Restricting Data Intermediaries?, Competition and Regulation in Network Industries 23(4)</t>
  </si>
  <si>
    <t xml:space="preserve">legal, policy and competition-economics analysis (ex-ante)</t>
  </si>
  <si>
    <t xml:space="preserve">market entry; competition among intermediaries</t>
  </si>
  <si>
    <t xml:space="preserve">negative/mixed (expected)</t>
  </si>
  <si>
    <t xml:space="preserve">Examines the DGA's prior-notification regime and conditions on data intermediaries (Art. 10-15) and asks whether they promote or restrict trustworthy, competitive data sharing; highlights risks that the conditions restrict intermediaries' business models</t>
  </si>
  <si>
    <t xml:space="preserve">Researchers warn that the DGA's strict conditions on data intermediaries may hold back the very services it aims to encourage.</t>
  </si>
  <si>
    <t xml:space="preserve">conceptual</t>
  </si>
  <si>
    <t xml:space="preserve">https://doi.org/10.1177/17835917221141324</t>
  </si>
  <si>
    <t xml:space="preserve">carovano-finck-2023</t>
  </si>
  <si>
    <t xml:space="preserve">Carovano &amp; Finck (2023), Regulating data intermediaries: The impact of the Data Governance Act on the EU's data economy, Computer Law &amp; Security Review 50: 105830</t>
  </si>
  <si>
    <t xml:space="preserve">viability of intermediaries; legal coherence</t>
  </si>
  <si>
    <t xml:space="preserve">negative (expected)</t>
  </si>
  <si>
    <t xml:space="preserve">DGA rests on questionable assumptions, imposes requirements not all intermediaries can meet and entrenches a form of intermediation that may be economically non-viable; inconsistencies with GDPR, Data Act and DMA; may hinder its own objectives</t>
  </si>
  <si>
    <t xml:space="preserve">Legal scholars argue the DGA's design could make data intermediaries commercially unviable and clashes with other EU data laws.</t>
  </si>
  <si>
    <t xml:space="preserve">paywalled (SSRN version open)</t>
  </si>
  <si>
    <t xml:space="preserve">https://doi.org/10.1016/j.clsr.2023.105830</t>
  </si>
  <si>
    <t xml:space="preserve">https://ssrn.com/abstract=4422263</t>
  </si>
  <si>
    <t xml:space="preserve">ec-2024-dga-infringements</t>
  </si>
  <si>
    <t xml:space="preserve">European Commission (2024), Commission calls on 10 Member States to comply with the Data Governance Act, Press release, 16 December 2024</t>
  </si>
  <si>
    <t xml:space="preserve">infringement procedure</t>
  </si>
  <si>
    <t xml:space="preserve">negative (slow implementation)</t>
  </si>
  <si>
    <t xml:space="preserve">Reasoned opinions to Czechia, Germany, Estonia, Greece, Cyprus, Luxembourg, Austria, Poland, Portugal and Slovenia for not designating or empowering DGA authorities, following letters of formal notice in 2024</t>
  </si>
  <si>
    <t xml:space="preserve">Over a year after the DGA applied, ten countries still had not set up the authorities needed to run it.</t>
  </si>
  <si>
    <t xml:space="preserve">administrative record</t>
  </si>
  <si>
    <t xml:space="preserve">https://digital-strategy.ec.europa.eu/en/news/commission-calls-10-member-states-comply-data-governance-act</t>
  </si>
  <si>
    <t xml:space="preserve">ec-2026-dga-registers</t>
  </si>
  <si>
    <t xml:space="preserve">European Commission (2026), EU registers of data intermediation services and of recognised data altruism organisations, Shaping Europe's digital future (pages updated July-August 2026)</t>
  </si>
  <si>
    <t xml:space="preserve">count of notified entities</t>
  </si>
  <si>
    <t xml:space="preserve">uptake</t>
  </si>
  <si>
    <t xml:space="preserve">low uptake</t>
  </si>
  <si>
    <t xml:space="preserve">38 data intermediation services notified in 10 Member States; 7 recognised data altruism organisations in 4 Member States</t>
  </si>
  <si>
    <t xml:space="preserve">Nearly three years after the DGA applied, 38 data intermediaries and 7 data altruism organisations had registered EU-wide.</t>
  </si>
  <si>
    <t xml:space="preserve">EU, to August 2026</t>
  </si>
  <si>
    <t xml:space="preserve">count only; no data on volumes shared</t>
  </si>
  <si>
    <t xml:space="preserve">https://digital-strategy.ec.europa.eu/en/policies/data-intermediary-services</t>
  </si>
  <si>
    <t xml:space="preserve">https://digital-strategy.ec.europa.eu/en/policies/data-altruism-organisations</t>
  </si>
  <si>
    <t xml:space="preserve">http://web.archive.org/web/20261007005451/https://digital-strategy.ec.europa.eu/en/policies/data-intermediary-services</t>
  </si>
  <si>
    <t xml:space="preserve">ec-2025-digital-omnibus-dga</t>
  </si>
  <si>
    <t xml:space="preserve">European Commission (2025), Proposal for a Digital Omnibus Regulation (repealing Regulation (EU) 2022/868), COM(2025) 837</t>
  </si>
  <si>
    <t xml:space="preserve">regulatory burden; uptake</t>
  </si>
  <si>
    <t xml:space="preserve">Proposes repealing the DGA and moving streamlined rules on data intermediation and data altruism into the Data Act; mandatory notification for intermediaries becomes a voluntary label 'for this market to grow'; reporting duties for altruism organisations dropped</t>
  </si>
  <si>
    <t xml:space="preserve">In November 2025 the Commission proposed scrapping the DGA as a separate law and making its intermediary rules voluntary, implicitly acknowledging weak uptake.</t>
  </si>
  <si>
    <t xml:space="preserve">ec-2020-dma-ia</t>
  </si>
  <si>
    <t xml:space="preserve">European Commission (2020), Impact Assessment Report accompanying the DMA proposal, SWD(2020) 363; Executive summary SWD(2020) 364</t>
  </si>
  <si>
    <t xml:space="preserve">ex-ante assessment / modelling</t>
  </si>
  <si>
    <t xml:space="preserve">consumer welfare; compliance costs; SMEs</t>
  </si>
  <si>
    <t xml:space="preserve">Consumer surplus +EUR 13bn/yr; compliance costs for gatekeepers not quantified; SMEs expected to benefit</t>
  </si>
  <si>
    <t xml:space="preserve">The Commission forecast that the DMA would raise consumer surplus by about EUR 13 billion a year, but did not estimate compliance costs for gatekeepers.</t>
  </si>
  <si>
    <t xml:space="preserve">forecast; no compliance-cost figure</t>
  </si>
  <si>
    <t xml:space="preserve">https://eur-lex.europa.eu/legal-content/EN/TXT/?uri=CELEX:52020SC0364</t>
  </si>
  <si>
    <t xml:space="preserve">http://web.archive.org/web/20250615204207/https://eur-lex.europa.eu/legal-content/EN/TXT/?uri=CELEX:52020SC0364</t>
  </si>
  <si>
    <t xml:space="preserve">ec-2026-dma-review</t>
  </si>
  <si>
    <t xml:space="preserve">European Commission (2026), Staff Working Document accompanying the Report on the Review of the DMA, SWD(2026) 123, 28 April 2026</t>
  </si>
  <si>
    <t xml:space="preserve">qualitative review using compliance data, compliance reports and consultation</t>
  </si>
  <si>
    <t xml:space="preserve">conduct change; user choice; entry of alternative providers</t>
  </si>
  <si>
    <t xml:space="preserve">positive (early, qualitative)</t>
  </si>
  <si>
    <t xml:space="preserve">DMA 'has already created positive impacts' but 'has not yet achieved its full potential'; no legislative changes proposed; most impacts 'not yet fully observable'</t>
  </si>
  <si>
    <t xml:space="preserve">The Commission finds that the DMA has started to change how gatekeepers behave and to open their ecosystems, but says most effects cannot yet be measured and proposes no legislative changes.</t>
  </si>
  <si>
    <t xml:space="preserve">EU, 2023-2025</t>
  </si>
  <si>
    <t xml:space="preserve">self-evaluation; no quantified outcome indicators</t>
  </si>
  <si>
    <t xml:space="preserve">https://eur-lex.europa.eu/legal-content/EN/TXT/?uri=CELEX:52026SC0123</t>
  </si>
  <si>
    <t xml:space="preserve">http://web.archive.org/web/20261002180620/https://eur-lex.europa.eu/legal-content/EN/TXT/?uri=celex%3A52026SC0123</t>
  </si>
  <si>
    <t xml:space="preserve">ec-2025-apple-meta-fines</t>
  </si>
  <si>
    <t xml:space="preserve">European Commission (2025), press release: Commission finds Apple and Meta in breach of the DMA, 23 April 2025</t>
  </si>
  <si>
    <t xml:space="preserve">Commission enforcement</t>
  </si>
  <si>
    <t xml:space="preserve">sanctions</t>
  </si>
  <si>
    <t xml:space="preserve">Apple EUR 500m, Meta EUR 200m</t>
  </si>
  <si>
    <t xml:space="preserve">First DMA fines: EUR 500 million for Apple (anti-steering in the App Store) and EUR 200 million for Meta (pay-or-consent).</t>
  </si>
  <si>
    <t xml:space="preserve">primary source</t>
  </si>
  <si>
    <t xml:space="preserve">page read</t>
  </si>
  <si>
    <t xml:space="preserve">https://digital-strategy.ec.europa.eu/en/news/commission-finds-apple-and-meta-breach-digital-markets-act</t>
  </si>
  <si>
    <t xml:space="preserve">http://web.archive.org/web/20260928170608/https://digital-strategy.ec.europa.eu/en/news/commission-finds-apple-and-meta-breach-digital-markets-act</t>
  </si>
  <si>
    <t xml:space="preserve">ec-2026-google-fines</t>
  </si>
  <si>
    <t xml:space="preserve">European Commission (2026), press release: Commission fines Google EUR 890 million for breaches of the DMA, 23 July 2026</t>
  </si>
  <si>
    <t xml:space="preserve">EUR 460m (search self-preferencing, Art 6(5)) and EUR 430m (Google Play anti-steering, Art 5(4))</t>
  </si>
  <si>
    <t xml:space="preserve">Google fined EUR 460 million for favouring its own services in search results and EUR 430 million for restricting app developers from steering users to cheaper offers outside Google Play.</t>
  </si>
  <si>
    <t xml:space="preserve">https://digital-strategy.ec.europa.eu/en/news/commission-fines-google-eu890-million-breaches-digital-markets-act</t>
  </si>
  <si>
    <t xml:space="preserve">http://web.archive.org/web/20260919064216/https://digital-strategy.ec.europa.eu/en/news/commission-fines-google-eu890-million-breaches-digital-markets-act</t>
  </si>
  <si>
    <t xml:space="preserve">akesson-2026-choice-screens</t>
  </si>
  <si>
    <t xml:space="preserve">Akesson, J., Amlani, K., Cepeda Suarez, R., Chissell, E., Hunt, S., Luca, M. &amp; Petrie, G. (2026), Active Choice Interventions at Scale: Browser Defaults under the Digital Markets Act, NBER Working Paper 35112 (first issued April 2026 as "The Effect of Choice Screens on Mobile Browser Usage: Evidence from the EU Digital Markets Act")</t>
  </si>
  <si>
    <t xml:space="preserve">causal: difference-in-differences</t>
  </si>
  <si>
    <t xml:space="preserve">user switching; market shares (browsers)</t>
  </si>
  <si>
    <t xml:space="preserve">positive (more switching away from defaults)</t>
  </si>
  <si>
    <t xml:space="preserve">From month 15, Firefox usage +91% on iOS and +13% on Android vs no-mandate counterfactual; Safari declined on iOS with gains concentrated in Chrome</t>
  </si>
  <si>
    <t xml:space="preserve">Browser choice screens required by the DMA substantially increased use of rival browsers: Firefox usage rose 91% on iPhones and 13% on Android compared with what would otherwise have happened.</t>
  </si>
  <si>
    <t xml:space="preserve">EU vs non-EU, 2024-2025</t>
  </si>
  <si>
    <t xml:space="preserve">strong design (difference-in-differences); not peer-reviewed; two authors are Mozilla employees and Mozilla provided the data (Firefox is an affected rival)</t>
  </si>
  <si>
    <t xml:space="preserve">Two authors are Mozilla employees; Mozilla provided the data</t>
  </si>
  <si>
    <t xml:space="preserve">abstract only</t>
  </si>
  <si>
    <t xml:space="preserve">https://www.nber.org/papers/w35112</t>
  </si>
  <si>
    <t xml:space="preserve">https://www.nber.org/system/files/working_papers/w35112/w35112.pdf</t>
  </si>
  <si>
    <t xml:space="preserve">http://web.archive.org/web/20260920031758/https://www.nber.org/papers/w35112</t>
  </si>
  <si>
    <t xml:space="preserve">pape-rossi-2026-maps</t>
  </si>
  <si>
    <t xml:space="preserve">Pape, L. &amp; Rossi, M. (2026), research on the DMA's self-preferencing ban and Google Maps; summarised in ProMarket, 18 May 2026</t>
  </si>
  <si>
    <t xml:space="preserve">working paper (summary)</t>
  </si>
  <si>
    <t xml:space="preserve">causal: difference-in-differences (search volumes, web traffic)</t>
  </si>
  <si>
    <t xml:space="preserve">user switching; competition (map services)</t>
  </si>
  <si>
    <t xml:space="preserve">null for rivals; small negative for user experience</t>
  </si>
  <si>
    <t xml:space="preserve">Searches for 'google maps' +21% in EU vs non-EU; no robust gain for Bing Maps, Mappy, OpenStreetMap; total Google Maps desktop traffic unchanged; visit duration -5%, bounce rate +16%</t>
  </si>
  <si>
    <t xml:space="preserve">When Google removed the direct link to Google Maps from EU search results, users simply searched for "google maps" instead; rival map services gained no meaningful traffic.</t>
  </si>
  <si>
    <t xml:space="preserve">EU vs European non-EU, 2024</t>
  </si>
  <si>
    <t xml:space="preserve">strong design; one remedy only</t>
  </si>
  <si>
    <t xml:space="preserve">open (summary)</t>
  </si>
  <si>
    <t xml:space="preserve">summary article read</t>
  </si>
  <si>
    <t xml:space="preserve">https://www.promarket.org/2026/05/18/the-dmas-google-maps-experiment-shows-that-competition-is-not-one-click-away/</t>
  </si>
  <si>
    <t xml:space="preserve">yang-2025-entry-investment</t>
  </si>
  <si>
    <t xml:space="preserve">Yang, J. (2025), Unintended effects of Digital Market Act on new entry and investment, Digital Policy, Regulation and Governance, doi:10.1108/DPRG-03-2025-0080</t>
  </si>
  <si>
    <t xml:space="preserve">causal: difference-in-differences (1,034 start-up and investment records, 27 EU countries, 2020-2024)</t>
  </si>
  <si>
    <t xml:space="preserve">firm entry; venture investment</t>
  </si>
  <si>
    <t xml:space="preserve">DMA negatively affected new entry and investment in DMA-related industries</t>
  </si>
  <si>
    <t xml:space="preserve">Using start-up and investment records from 27 EU countries, the study finds fewer new entrants and less investment in industries affected by the DMA.</t>
  </si>
  <si>
    <t xml:space="preserve">small sample; short post-period; abstract only</t>
  </si>
  <si>
    <t xml:space="preserve">paywalled (abstract open)</t>
  </si>
  <si>
    <t xml:space="preserve">https://doi.org/10.1108/DPRG-03-2025-0080</t>
  </si>
  <si>
    <t xml:space="preserve">decarolis-li-paternollo-defaults</t>
  </si>
  <si>
    <t xml:space="preserve">Decarolis, F., Li, M. &amp; Paternollo, F. A., Competition and Defaults in Online Search (working paper, Bocconi)</t>
  </si>
  <si>
    <t xml:space="preserve">causal: event studies of default interventions (EEA, Russia, Turkey)</t>
  </si>
  <si>
    <t xml:space="preserve">market shares (search engines)</t>
  </si>
  <si>
    <t xml:space="preserve">positive (default changes reduce Google share)</t>
  </si>
  <si>
    <t xml:space="preserve">Changes to default settings reduced Google's market share in all three cases; DMA-specific estimate not verified</t>
  </si>
  <si>
    <t xml:space="preserve">Across the EEA, Russia and Turkey, changes to default search settings reduced Google's market share; the DMA-specific effect has not been separately confirmed here.</t>
  </si>
  <si>
    <t xml:space="preserve">EEA, Russia, Turkey</t>
  </si>
  <si>
    <t xml:space="preserve">abstract only; DMA-specific effect not confirmed</t>
  </si>
  <si>
    <t xml:space="preserve">abstract seen via search</t>
  </si>
  <si>
    <t xml:space="preserve">https://www.tse-fr.eu/sites/default/files/TSE/documents/conf/2022/Yale/decarolis.pdf</t>
  </si>
  <si>
    <t xml:space="preserve">http://web.archive.org/web/20240330211131/https://www.tse-fr.eu/sites/default/files/TSE/documents/conf/2022/Yale/decarolis.pdf</t>
  </si>
  <si>
    <t xml:space="preserve">jrc-2021-expert-panel</t>
  </si>
  <si>
    <t xml:space="preserve">Cabral, L., Haucap, J., Parker, G., Petropoulos, G., Valletti, T. &amp; Van Alstyne, M. (2021), The EU Digital Markets Act: A Report from a Panel of Economic Experts, JRC</t>
  </si>
  <si>
    <t xml:space="preserve">policy (JRC)</t>
  </si>
  <si>
    <t xml:space="preserve">expert assessment (ex-ante)</t>
  </si>
  <si>
    <t xml:space="preserve">innovation; competition</t>
  </si>
  <si>
    <t xml:space="preserve">Supports intervention but warns legal uncertainty could chill innovation</t>
  </si>
  <si>
    <t xml:space="preserve">Before adoption, a panel of economists supported intervention but warned that legal uncertainty could discourage innovation.</t>
  </si>
  <si>
    <t xml:space="preserve">ex-ante expert opinion</t>
  </si>
  <si>
    <t xml:space="preserve">seen via search</t>
  </si>
  <si>
    <t xml:space="preserve">https://ide.mit.edu/wp-content/uploads/2021/02/jrc122910_external_study_report_-_the_eu_digital_markets_act.pdf</t>
  </si>
  <si>
    <t xml:space="preserve">http://web.archive.org/web/20260622103357/https://ide.mit.edu/wp-content/uploads/2021/02/jrc122910_external_study_report_-_the_eu_digital_markets_act.pdf</t>
  </si>
  <si>
    <t xml:space="preserve">oxera-2021-innovation</t>
  </si>
  <si>
    <t xml:space="preserve">Oxera (2021), The Digital Markets Act and incentives to innovate: behavioural experiment (prepared for Amazon)</t>
  </si>
  <si>
    <t xml:space="preserve">industry-funded</t>
  </si>
  <si>
    <t xml:space="preserve">lab experiment (ex-ante)</t>
  </si>
  <si>
    <t xml:space="preserve">innovation</t>
  </si>
  <si>
    <t xml:space="preserve">negative (forecast)</t>
  </si>
  <si>
    <t xml:space="preserve">Interventions of this type likely to reduce total innovation in high digital-intensity industries</t>
  </si>
  <si>
    <t xml:space="preserve">An experiment commissioned by Amazon suggests rules of this kind would reduce innovation in highly digital industries.</t>
  </si>
  <si>
    <t xml:space="preserve">experimental</t>
  </si>
  <si>
    <t xml:space="preserve">funded by a gatekeeper; ex-ante</t>
  </si>
  <si>
    <t xml:space="preserve">Commissioned by Amazon, a designated gatekeeper</t>
  </si>
  <si>
    <t xml:space="preserve">https://www.oxera.com/wp-content/uploads/2021/05/The-Digital-Markets-Act-and-incentives-to-innovate_final.pdf</t>
  </si>
  <si>
    <t xml:space="preserve">cerre-2025-dma-evaluation</t>
  </si>
  <si>
    <t xml:space="preserve">CERRE (2025), Evaluating the DMA (DMA Implementation Forum), March 2025</t>
  </si>
  <si>
    <t xml:space="preserve">policy (CERRE)</t>
  </si>
  <si>
    <t xml:space="preserve">evaluation framework</t>
  </si>
  <si>
    <t xml:space="preserve">evaluation design</t>
  </si>
  <si>
    <t xml:space="preserve">Proposes effectiveness, efficiency and consistency dimensions and indicators for the Article 53 review; first year shows gains for users and complexity for firms and regulators</t>
  </si>
  <si>
    <t xml:space="preserve">Sets out how the DMA should be evaluated (effectiveness, efficiency, consistency) and which indicators to use; notes early gains for users and complexity for firms and regulators.</t>
  </si>
  <si>
    <t xml:space="preserve">methodological, not impact evidence</t>
  </si>
  <si>
    <t xml:space="preserve">https://cerre.eu/wp-content/uploads/2025/03/DMA-Evaluation_FINAL.pdf</t>
  </si>
  <si>
    <t xml:space="preserve">http://web.archive.org/web/20260211002559/https://cerre.eu/wp-content/uploads/2025/03/DMA-Evaluation_FINAL.pdf</t>
  </si>
  <si>
    <t xml:space="preserve">madio-manenti-motta-2026-tying</t>
  </si>
  <si>
    <t xml:space="preserve">Madio, L., Manenti, F. M. &amp; Motta, M. (2026), Platform Tying and its Effects, CEPR Discussion Paper 21771 (version of 21 July 2026)</t>
  </si>
  <si>
    <t xml:space="preserve">theory (two-sided market model with simulations)</t>
  </si>
  <si>
    <t xml:space="preserve">consumer surplus; welfare; competition (self-preferencing remedies)</t>
  </si>
  <si>
    <t xml:space="preserve">supports DMA design (theory)</t>
  </si>
  <si>
    <t xml:space="preserve">Tying a gatekeeper's own service can harm consumers who never use the gatekeeper, by shrinking rivals' seller base; demotion of rivals is always welfare-reducing in their simulations; a common-access rule of the DMA type removes the harm and remains profitable for the platform</t>
  </si>
  <si>
    <t xml:space="preserve">A theory paper showing why favouring a platform's own services can hurt even consumers who reach rivals directly, and that the DMA's equal-access approach removes this harm while remaining profitable for the platform. It does not measure the DMA's actual effects.</t>
  </si>
  <si>
    <t xml:space="preserve">theory, not impact evidence; presented at "The Economics of the DMA" workshop (Brussels, 2025) and to DG Competition</t>
  </si>
  <si>
    <t xml:space="preserve">https://www.dropbox.com/scl/fi/mti6y93fgwpj2n55mz9uf/3M__Platform_Tying_and_its_effects-21July2026.pdf?rlkey=fgdxhc9hzw1pnrros19ce71kt&amp;dl=0</t>
  </si>
  <si>
    <t xml:space="preserve">https://www.dropbox.com/scl/fi/mti6y93fgwpj2n55mz9uf/3M__Platform_Tying_and_its_effects-21July2026.pdf?rlkey=fgdxhc9hzw1pnrros19ce71kt&amp;dl=1</t>
  </si>
  <si>
    <t xml:space="preserve">waldfogel-2024-amazon</t>
  </si>
  <si>
    <t xml:space="preserve">Waldfogel, J. (2024), Amazon Self-preferencing in the Shadow of the Digital Markets Act, NBER Working Paper 32299</t>
  </si>
  <si>
    <t xml:space="preserve">causal-leaning: before/after gatekeeper designation, compared with 142 other brands (8m+ search results, 22 Amazon domains)</t>
  </si>
  <si>
    <t xml:space="preserve">self-preferencing (search ranking)</t>
  </si>
  <si>
    <t xml:space="preserve">positive (less self-preferencing)</t>
  </si>
  <si>
    <t xml:space="preserve">Amazon's own products ranked about 30 positions better than comparable products; shortly after Amazon's designation as gatekeeper (Sept 2023) the advantage fell to about 20 positions, with no change for other brands; the change appeared in Europe and elsewhere</t>
  </si>
  <si>
    <t xml:space="preserve">Using over 8 million Amazon search results, the study finds Amazon's ranking advantage for its own products fell by about a third soon after the EU designated it a gatekeeper - and the change also showed up outside the EU.</t>
  </si>
  <si>
    <t xml:space="preserve">22 Amazon domains (US, Europe, other), 2023-2024</t>
  </si>
  <si>
    <t xml:space="preserve">strong data; not peer-reviewed; designation-timing comparison, no formal control market (change was global)</t>
  </si>
  <si>
    <t xml:space="preserve">https://www.nber.org/papers/w32299</t>
  </si>
  <si>
    <t xml:space="preserve">https://www.nber.org/system/files/working_papers/w32299/w32299.pdf</t>
  </si>
  <si>
    <t xml:space="preserve">http://web.archive.org/web/20260731120857/https://www.nber.org/papers/w32299</t>
  </si>
  <si>
    <t xml:space="preserve">farronato-fradkin-mackay-2023</t>
  </si>
  <si>
    <t xml:space="preserve">Farronato, C., Fradkin, A. &amp; MacKay, A. (2023), Self-Preferencing at Amazon: Evidence from Search Rankings, AEA Papers and Proceedings 113: 239-243 (NBER w30894)</t>
  </si>
  <si>
    <t xml:space="preserve">descriptive/econometric (pre-DMA baseline)</t>
  </si>
  <si>
    <t xml:space="preserve">context (pre-DMA)</t>
  </si>
  <si>
    <t xml:space="preserve">Documents that Amazon-branded products rank higher in Amazon search than observably similar products (pre-DMA baseline for the self-preferencing ban)</t>
  </si>
  <si>
    <t xml:space="preserve">Pre-DMA evidence that Amazon ranks its own-brand products higher in search results than similar products - the kind of conduct the DMA's self-preferencing ban targets.</t>
  </si>
  <si>
    <t xml:space="preserve">Amazon US, pre-DMA</t>
  </si>
  <si>
    <t xml:space="preserve">context, not a DMA effect</t>
  </si>
  <si>
    <t xml:space="preserve">cited by Madio-Manenti-Motta; title/DOI checked (Crossref)</t>
  </si>
  <si>
    <t xml:space="preserve">https://doi.org/10.1257/pandp.20231068</t>
  </si>
  <si>
    <t xml:space="preserve">motta-2023-self-preferencing</t>
  </si>
  <si>
    <t xml:space="preserve">Motta, M. (2023), Self-preferencing and foreclosure in digital markets: Theories of harm for abuse cases, International Journal of Industrial Organization 90: 102974</t>
  </si>
  <si>
    <t xml:space="preserve">competition (self-preferencing theories of harm)</t>
  </si>
  <si>
    <t xml:space="preserve">context (theory)</t>
  </si>
  <si>
    <t xml:space="preserve">Sets out when self-preferencing by platforms can foreclose rivals and harm consumers; underpins the rationale for ex ante self-preferencing rules</t>
  </si>
  <si>
    <t xml:space="preserve">Explains the economic mechanisms by which a platform favouring its own products can exclude rivals - the theory behind the DMA's self-preferencing ban.</t>
  </si>
  <si>
    <t xml:space="preserve">theory, not impact evidence</t>
  </si>
  <si>
    <t xml:space="preserve">paywalled (CEPR DP17730 version)</t>
  </si>
  <si>
    <t xml:space="preserve">cited by Madio-Manenti-Motta; listed on author homepage</t>
  </si>
  <si>
    <t xml:space="preserve">https://doi.org/10.1016/j.ijindorg.2023.102974</t>
  </si>
  <si>
    <t xml:space="preserve">motta-peitz-2020-expert-report</t>
  </si>
  <si>
    <t xml:space="preserve">Motta, M. &amp; Peitz, M. (2020), Intervention triggers and underlying theories of harm: expert advice for the Impact Assessment of a New Competition Tool, report for DG Competition</t>
  </si>
  <si>
    <t xml:space="preserve">policy (expert report for the Commission)</t>
  </si>
  <si>
    <t xml:space="preserve">competition</t>
  </si>
  <si>
    <t xml:space="preserve">context (ex-ante)</t>
  </si>
  <si>
    <t xml:space="preserve">One of the expert reports the Commission commissioned for the New Competition Tool / DMA impact assessment, on structural competition problems and theories of harm</t>
  </si>
  <si>
    <t xml:space="preserve">An expert report commissioned by the Commission that fed into the impact assessment behind the DMA, setting out when intervention in digital markets is justified.</t>
  </si>
  <si>
    <t xml:space="preserve">ex-ante expert opinion; cited in SWD(2020) 363 part 2</t>
  </si>
  <si>
    <t xml:space="preserve">open (via impact assessment annex)</t>
  </si>
  <si>
    <t xml:space="preserve">citation seen in impact assessment (search result); report text not read</t>
  </si>
  <si>
    <t xml:space="preserve">https://competition-policy.ec.europa.eu/system/files/2021-09/DMA_impact_assessment_part2.pdf</t>
  </si>
  <si>
    <t xml:space="preserve">ec-2020-dsa-ia</t>
  </si>
  <si>
    <t xml:space="preserve">European Commission (2020), Impact Assessment accompanying the DSA proposal (executive summary SWD(2020) 349), SWD(2020) 348</t>
  </si>
  <si>
    <t xml:space="preserve">cross-border trade; compliance costs</t>
  </si>
  <si>
    <t xml:space="preserve">Cross-border digital trade expected to rise 1-1.8%; direct costs proportionate to size and reach; less legal fragmentation</t>
  </si>
  <si>
    <t xml:space="preserve">The Commission expected the DSA to raise cross-border digital trade by 1-1.8% by replacing diverging national rules.</t>
  </si>
  <si>
    <t xml:space="preserve">https://eur-lex.europa.eu/legal-content/EN/TXT/?uri=CELEX:52020SC0349</t>
  </si>
  <si>
    <t xml:space="preserve">http://web.archive.org/web/20240527030044/https://eur-lex.europa.eu/legal-content/EN/TXT/?uri=celex%3A52020SC0349</t>
  </si>
  <si>
    <t xml:space="preserve">ec-2025-x-dsa-fine</t>
  </si>
  <si>
    <t xml:space="preserve">European Commission (2025), First DSA non-compliance decision: X fined EUR 120 million, Decision of 5 December 2025 (as reported by eucrim)</t>
  </si>
  <si>
    <t xml:space="preserve">Commission enforcement (secondary report)</t>
  </si>
  <si>
    <t xml:space="preserve">EUR 120m for deceptive 'blue checkmark' verification, inadequate advertising repository and refusing researchers access to public data</t>
  </si>
  <si>
    <t xml:space="preserve">The first DSA fine: EUR 120 million against X for misleading verification badges, an incomplete ad library and blocking researchers.</t>
  </si>
  <si>
    <t xml:space="preserve">secondary report of Commission decision</t>
  </si>
  <si>
    <t xml:space="preserve">https://eucrim.eu/news/eu-fines-x-120-million-in-first-dsa-non-compliance-decision/</t>
  </si>
  <si>
    <t xml:space="preserve">kaushal-et-al-2024</t>
  </si>
  <si>
    <t xml:space="preserve">Kaushal, van de Kerkhof, Goanta, Spanakis &amp; Iamnitchi (2024), Automated Transparency: A Legal and Empirical Analysis of the Digital Services Act Transparency Database, ACM FAccT 2024 (arXiv 2404.02894)</t>
  </si>
  <si>
    <t xml:space="preserve">descriptive (sample of 131m statements of reasons, Nov 2023)</t>
  </si>
  <si>
    <t xml:space="preserve">transparency; content moderation</t>
  </si>
  <si>
    <t xml:space="preserve">Some transparency gains, but compliance problematic because the database lets platforms exercise wide discretion; terms-of-service grounds dominate over illegal content</t>
  </si>
  <si>
    <t xml:space="preserve">The DSA's public database of moderation decisions adds some transparency, but platforms report so inconsistently that it is hard to rely on.</t>
  </si>
  <si>
    <t xml:space="preserve">EU, Nov 2023</t>
  </si>
  <si>
    <t xml:space="preserve">descriptive; early period</t>
  </si>
  <si>
    <t xml:space="preserve">https://arxiv.org/abs/2404.02894</t>
  </si>
  <si>
    <t xml:space="preserve">https://arxiv.org/pdf/2404.02894</t>
  </si>
  <si>
    <t xml:space="preserve">http://web.archive.org/web/20260810112321/https://arxiv.org/abs/2404.02894</t>
  </si>
  <si>
    <t xml:space="preserve">trujillo-fagni-cresci-2023</t>
  </si>
  <si>
    <t xml:space="preserve">Trujillo, Fagni &amp; Cresci (2023), The DSA Transparency Database: Auditing Self-reported Moderation Actions by Social Media, arXiv 2312.10269</t>
  </si>
  <si>
    <t xml:space="preserve">descriptive (all 353m records from 8 largest platforms, first 100 days)</t>
  </si>
  <si>
    <t xml:space="preserve">Platforms adhered only in part to the database's structure; structure partly inadequate; large cross-platform differences; database contents inconsistent with platforms' own transparency reports</t>
  </si>
  <si>
    <t xml:space="preserve">An audit of 353 million moderation records found the big platforms only partly comply with the DSA database and that their submissions contradict their own reports.</t>
  </si>
  <si>
    <t xml:space="preserve">EU, Sept-Dec 2023</t>
  </si>
  <si>
    <t xml:space="preserve">https://arxiv.org/abs/2312.10269</t>
  </si>
  <si>
    <t xml:space="preserve">https://arxiv.org/pdf/2312.10269</t>
  </si>
  <si>
    <t xml:space="preserve">ec-2020-dora-ia</t>
  </si>
  <si>
    <t xml:space="preserve">European Commission (2020), Impact Assessment accompanying the proposal for a Regulation on digital operational resilience for the financial sector (executive summary SWD(2020) 199), SWD(2020) 198</t>
  </si>
  <si>
    <t xml:space="preserve">incident costs; reporting burden; testing costs</t>
  </si>
  <si>
    <t xml:space="preserve">Operational incident costs for EU financial sector estimated at EUR 2-27bn a year (industry assessments), which DORA would mitigate; removing overlapping reporting could save some of the largest banks EUR 40-100m a year; threat-led penetration testing 0.1-0.3% of ICT budget; one-off IT costs hard to quantify</t>
  </si>
  <si>
    <t xml:space="preserve">The Commission expected DORA to curb ICT incidents that may cost EU finance EUR 2-27 billion a year and to save the biggest banks up to EUR 100 million a year in duplicate reporting.</t>
  </si>
  <si>
    <t xml:space="preserve">forecast; benefits not monetised</t>
  </si>
  <si>
    <t xml:space="preserve">https://eur-lex.europa.eu/legal-content/EN/TXT/?uri=CELEX:52020SC0199</t>
  </si>
  <si>
    <t xml:space="preserve">esas-2024-dora-dry-run</t>
  </si>
  <si>
    <t xml:space="preserve">EBA, EIOPA &amp; ESMA (Joint Committee) (2024), DORA dry run exercise on reporting of registers of information - summary report, ESA 2024 35, 17 Dec 2024</t>
  </si>
  <si>
    <t xml:space="preserve">administrative data (voluntary dry run)</t>
  </si>
  <si>
    <t xml:space="preserve">data quality of third-party registers</t>
  </si>
  <si>
    <t xml:space="preserve">1,039 financial entities participated; of 947 registers analysed only 6.5% passed all 116 data-quality checks; missing mandatory information made up 86% of errors</t>
  </si>
  <si>
    <t xml:space="preserve">In a 2024 test run, only 6.5% of financial firms' registers of their IT suppliers passed all quality checks, showing how little firms knew about their dependencies.</t>
  </si>
  <si>
    <t xml:space="preserve">best-efforts exercise</t>
  </si>
  <si>
    <t xml:space="preserve">https://eba.europa.eu/sites/default/files/2024-12/c1454b59-15cc-445e-be14-966e3338cedc/ESA%202024%2035%20DORA%20Dry%20Run%20exercise%20summary%20report%20for%20publication.pdf</t>
  </si>
  <si>
    <t xml:space="preserve">http://web.archive.org/web/20251122234947/https://www.eba.europa.eu/sites/default/files/2024-12/c1454b59-15cc-445e-be14-966e3338cedc/ESA%202024%2035%20DORA%20Dry%20Run%20exercise%20summary%20report%20for%20publication.pdf</t>
  </si>
  <si>
    <t xml:space="preserve">esas-2025-ctpp-list</t>
  </si>
  <si>
    <t xml:space="preserve">EBA, EIOPA &amp; ESMA (2025), List of designated critical ICT third-party service providers under DORA, ESAs publication, 18 Nov 2025</t>
  </si>
  <si>
    <t xml:space="preserve">agency decision</t>
  </si>
  <si>
    <t xml:space="preserve">third-party oversight</t>
  </si>
  <si>
    <t xml:space="preserve">19 providers designated as critical (Accenture, AWS, Bloomberg, Capgemini, Colt, Deutsche Telekom, Equinix, FIS, Google Cloud, IBM, InterXion, Kyndryl, LSEG Data, Microsoft, NTT DATA, Oracle, Orange, SAP, TCS) based on registers of information</t>
  </si>
  <si>
    <t xml:space="preserve">In November 2025 EU regulators put 19 tech suppliers to banks and insurers - including the big cloud providers - under direct oversight.</t>
  </si>
  <si>
    <t xml:space="preserve">https://www.eiopa.europa.eu/european-supervisory-authorities-designate-critical-ict-third-party-providers-under-digital-2025-11-18_en</t>
  </si>
  <si>
    <t xml:space="preserve">http://web.archive.org/web/20260510102504/https://www.eiopa.europa.eu/european-supervisory-authorities-designate-critical-ict-third-party-providers-under-digital-2025-11-18_en</t>
  </si>
  <si>
    <t xml:space="preserve">enisa-2024-nis-investments-dora</t>
  </si>
  <si>
    <t xml:space="preserve">ENISA (2024), NIS Investments 2024 (section on readiness for DORA and other legislation), ENISA report, Nov 2024</t>
  </si>
  <si>
    <t xml:space="preserve">survey of 1,350 organisations</t>
  </si>
  <si>
    <t xml:space="preserve">staffing needs for compliance</t>
  </si>
  <si>
    <t xml:space="preserve">84% of surveyed organisations will need additional cybersecurity staff to comply with DORA (89% for NIS2, 85% for CRA)</t>
  </si>
  <si>
    <t xml:space="preserve">Most organisations surveyed by ENISA said DORA will require them to hire more security staff.</t>
  </si>
  <si>
    <t xml:space="preserve">EU-27, 2024</t>
  </si>
  <si>
    <t xml:space="preserve">self-reported; not limited to financial entities</t>
  </si>
  <si>
    <t xml:space="preserve">rubrik-2025-dora-costs</t>
  </si>
  <si>
    <t xml:space="preserve">Rubrik Zero Labs (reported by Infosecurity Magazine) (2025), DORA Compliance Costs Soar Past EUR 1m for Many UK and EU Businesses, Infosecurity Magazine, 16 Jan 2025</t>
  </si>
  <si>
    <t xml:space="preserve">industry survey</t>
  </si>
  <si>
    <t xml:space="preserve">survey of 350 CISOs (UK and EU)</t>
  </si>
  <si>
    <t xml:space="preserve">compliance costs</t>
  </si>
  <si>
    <t xml:space="preserve">negative (cost)</t>
  </si>
  <si>
    <t xml:space="preserve">38% of EU (47% of UK) CISOs said their organisation spent over EUR 1m on DORA/PRA compliance in 24 months; 30% of EU respondents EUR 501k-1m</t>
  </si>
  <si>
    <t xml:space="preserve">A vendor survey found more than a third of EU financial security chiefs had spent over EUR 1 million preparing for DORA.</t>
  </si>
  <si>
    <t xml:space="preserve">UK and EU, 2023-24</t>
  </si>
  <si>
    <t xml:space="preserve">vendor survey; mixes DORA with UK rules</t>
  </si>
  <si>
    <t xml:space="preserve">Rubrik sells data-resilience software marketed for DORA compliance</t>
  </si>
  <si>
    <t xml:space="preserve">https://www.infosecurity-magazine.com/news/dora-compliance-costs-soar/</t>
  </si>
  <si>
    <t xml:space="preserve">http://web.archive.org/web/20260722070138/https://www.infosecurity-magazine.com/news/dora-compliance-costs-soar/</t>
  </si>
  <si>
    <t xml:space="preserve">veeam-censuswide-2025-dora</t>
  </si>
  <si>
    <t xml:space="preserve">Censuswide for Veeam Software (reported by Help Net Security) (2025), Six months into DORA, most financial firms are still not ready, Help Net Security, 25 July 2025</t>
  </si>
  <si>
    <t xml:space="preserve">survey of senior IT decision-makers in UK, FR, DE, NL</t>
  </si>
  <si>
    <t xml:space="preserve">readiness; costs</t>
  </si>
  <si>
    <t xml:space="preserve">96% say their data resilience is not where it needs to be; 37% face higher costs passed on by ICT vendors; 22% see digital regulation as a barrier to innovation or competition; about a quarter had not implemented incident reporting or resilience testing</t>
  </si>
  <si>
    <t xml:space="preserve">Six months after DORA applied, a vendor survey found most financial firms still felt unprepared, and over a third faced higher prices from IT suppliers.</t>
  </si>
  <si>
    <t xml:space="preserve">4 countries, 2025</t>
  </si>
  <si>
    <t xml:space="preserve">vendor survey; sample size not stated</t>
  </si>
  <si>
    <t xml:space="preserve">Veeam sells backup/resilience software</t>
  </si>
  <si>
    <t xml:space="preserve">https://www.helpnetsecurity.com/2025/07/25/dora-compliance-challenges-financial-firms/</t>
  </si>
  <si>
    <t xml:space="preserve">http://web.archive.org/web/20260616055036/https://www.helpnetsecurity.com/2025/07/25/dora-compliance-challenges-financial-firms/</t>
  </si>
  <si>
    <t xml:space="preserve">ec-2021-fsr-ia</t>
  </si>
  <si>
    <t xml:space="preserve">European Commission (2021), Impact Assessment accompanying the proposal for a Regulation on foreign subsidies distorting the internal market (executive summary SWD(2021) 100), SWD(2021) 99</t>
  </si>
  <si>
    <t xml:space="preserve">level playing field; compliance costs; FDI</t>
  </si>
  <si>
    <t xml:space="preserve">New instrument with notification for large mergers and tenders; low burden for SMEs; possible short-term drop in FDI offset by fairer competition</t>
  </si>
  <si>
    <t xml:space="preserve">The Commission expected the new tool to restore fair competition with foreign-subsidised firms at modest cost, while warning that foreign investment might dip at first.</t>
  </si>
  <si>
    <t xml:space="preserve">forecast; few quantified impacts</t>
  </si>
  <si>
    <t xml:space="preserve">https://eur-lex.europa.eu/legal-content/EN/TXT/?uri=CELEX:52021SC0100</t>
  </si>
  <si>
    <t xml:space="preserve">ec-2026-fsr-review</t>
  </si>
  <si>
    <t xml:space="preserve">European Commission (2026), Report on the implementation and enforcement of Regulation (EU) 2022/2560 (first review, with SWD(2026) 183), COM(2026) 368</t>
  </si>
  <si>
    <t xml:space="preserve">implementation review (case statistics, consultation, call for evidence)</t>
  </si>
  <si>
    <t xml:space="preserve">enforcement activity; administrative burden</t>
  </si>
  <si>
    <t xml:space="preserve">Fit for purpose; 273 merger notifications to 31 May 2026 (about 100 a year vs 30-40 projected), 97% cleared in preliminary review; 5,150 procurement submissions in 863 procedures; commitments in e&amp;/PPF and ADNOC/Covestro; deterrence via bidder withdrawals; stakeholders report disproportionate costs; targeted simplification planned</t>
  </si>
  <si>
    <t xml:space="preserve">The Commission's first review says the regime works and has deterred some subsidised bidders, but handles far more filings than expected and firms complain of heavy paperwork.</t>
  </si>
  <si>
    <t xml:space="preserve">EU, Oct 2023-May 2026</t>
  </si>
  <si>
    <t xml:space="preserve">self-assessment; no counterfactual</t>
  </si>
  <si>
    <t xml:space="preserve">https://eur-lex.europa.eu/legal-content/EN/TXT/?uri=CELEX:52026DC0368</t>
  </si>
  <si>
    <t xml:space="preserve">ec-2022-iris2-ia</t>
  </si>
  <si>
    <t xml:space="preserve">European Commission (2022), Impact Assessment accompanying the proposal establishing the Union Secure Connectivity Programme 2023-2027 (executive summary SWD(2022) 31), SWD(2022) 30</t>
  </si>
  <si>
    <t xml:space="preserve">cost; security of supply; space industry competitiveness</t>
  </si>
  <si>
    <t xml:space="preserve">Public-private concession preferred; rough total infrastructure cost EUR 6bn (EUR 4bn public, EUR 2bn private); initial services 2024-25, full operational capability 2027; jobs and value added in the space industry (not quantified in summary)</t>
  </si>
  <si>
    <t xml:space="preserve">The Commission expected a EUR 6 billion public-private satellite network giving governments secure links by 2027 and boosting Europe's space industry.</t>
  </si>
  <si>
    <t xml:space="preserve">https://eur-lex.europa.eu/legal-content/EN/TXT/?uri=CELEX:52022SC0031</t>
  </si>
  <si>
    <t xml:space="preserve">http://web.archive.org/web/20240713175116/https://eur-lex.europa.eu/legal-content/EN/TXT/?uri=celex%3A52022SC0031</t>
  </si>
  <si>
    <t xml:space="preserve">parsonson-2026-iris2-review</t>
  </si>
  <si>
    <t xml:space="preserve">Parsonson (European Spaceflight) (2026), IRIS2 Gets Green Light With More Money and More Satellites, European Spaceflight, 8 August 2026</t>
  </si>
  <si>
    <t xml:space="preserve">trade press</t>
  </si>
  <si>
    <t xml:space="preserve">news report of Commission/ESA/SpaceRISE review and company releases</t>
  </si>
  <si>
    <t xml:space="preserve">cost; schedule</t>
  </si>
  <si>
    <t xml:space="preserve">negative (cost and delay)</t>
  </si>
  <si>
    <t xml:space="preserve">Concession signed Dec 2024 at EUR 10.55bn for 290 satellites with initial capacity in 2030; Aug 2026 review: total investment over EUR 15.6bn (Hispasat), EUR 11.6bn public, partners up to EUR 4bn; 348 satellites (Commission) vs 342 (Hispasat); first launches 2029</t>
  </si>
  <si>
    <t xml:space="preserve">Europe's secure satellite network now looks set to cost over EUR 15.6 billion - more than double the original EUR 6 billion estimate - with first launches only in 2029.</t>
  </si>
  <si>
    <t xml:space="preserve">EU, 2024-2026</t>
  </si>
  <si>
    <t xml:space="preserve">journalistic; figures from official and company releases</t>
  </si>
  <si>
    <t xml:space="preserve">https://europeanspaceflight.com/iris2-gets-green-light-with-more-money-and-more-satellites/</t>
  </si>
  <si>
    <t xml:space="preserve">http://web.archive.org/web/20261007091836/https://europeanspaceflight.com/iris2-gets-green-light-with-more-money-and-more-satellites/</t>
  </si>
  <si>
    <t xml:space="preserve">gorman-2026-iris2-build</t>
  </si>
  <si>
    <t xml:space="preserve">Gorman (Payload) (2026), Europe's IRIS2 Constellation Enters the Build Phase, Payload, 10 August 2026</t>
  </si>
  <si>
    <t xml:space="preserve">news report</t>
  </si>
  <si>
    <t xml:space="preserve">cost; industrial participation</t>
  </si>
  <si>
    <t xml:space="preserve">About 50% budget increase to ~EUR 15.6bn; at least 348 satellites; ~EUR 11.6bn from EU and member states; national commitments from Spain (up to EUR 2bn), Poland, Hungary; first launch on European launcher targeted 2029</t>
  </si>
  <si>
    <t xml:space="preserve">Trade press reports the network's budget rose by about half in the 2026 renegotiation, with most of the extra money coming from public sources.</t>
  </si>
  <si>
    <t xml:space="preserve">EU, 2026</t>
  </si>
  <si>
    <t xml:space="preserve">journalistic</t>
  </si>
  <si>
    <t xml:space="preserve">https://payloadspace.com/europes-iris2-constellation-enters-the-build-phase/</t>
  </si>
  <si>
    <t xml:space="preserve">ec-2021-gpsr-ia</t>
  </si>
  <si>
    <t xml:space="preserve">European Commission (2021), Impact Assessment accompanying the proposal for a Regulation on general product safety (executive summary SWD(2021) 169), SWD(2021) 168</t>
  </si>
  <si>
    <t xml:space="preserve">consumer detriment; business costs; enforcement costs</t>
  </si>
  <si>
    <t xml:space="preserve">Consumer detriment from unsafe products EUR 19.3bn/yr expected to fall by ~EUR 1.0bn in year one and ~EUR 5.5bn over a decade; recall detriment down &gt;EUR 400m/yr; business costs EUR 196.6m in year one (0.02% of turnover), EUR 177.8m/yr recurrent; fragmentation savings EUR 59m/yr</t>
  </si>
  <si>
    <t xml:space="preserve">The Commission expected the new rules to cut the harm from unsafe products by about EUR 5.5 billion over ten years, at a cost to business of under EUR 200 million a year.</t>
  </si>
  <si>
    <t xml:space="preserve">https://eur-lex.europa.eu/legal-content/EN/TXT/?uri=CELEX:52021SC0169</t>
  </si>
  <si>
    <t xml:space="preserve">http://web.archive.org/web/20240805024925/https://eur-lex.europa.eu/legal-content/EN/TXT/?uri=celex%3A52021SC0169</t>
  </si>
  <si>
    <t xml:space="preserve">ec-2026-safety-gate-2025</t>
  </si>
  <si>
    <t xml:space="preserve">European Commission (2026), Increased action against dangerous products in the EU in 2025 (Safety Gate annual report 2025), Commission news, 9 March 2026</t>
  </si>
  <si>
    <t xml:space="preserve">enforcement activity</t>
  </si>
  <si>
    <t xml:space="preserve">Record 4,671 alerts in 2025 (+13%); follow-up actions +35%; cosmetics and toys over half of cases; more than 1,200 online marketplaces registered in the Safety Gate Portal under the GPSR</t>
  </si>
  <si>
    <t xml:space="preserve">Alerts about dangerous products hit a record in 2025 and more than 1,200 online marketplaces registered with the EU's safety system, as the new rules require.</t>
  </si>
  <si>
    <t xml:space="preserve">EU/EEA, 2025</t>
  </si>
  <si>
    <t xml:space="preserve">activity counts; no outcome measure</t>
  </si>
  <si>
    <t xml:space="preserve">https://commission.europa.eu/news-and-media/news/increased-action-against-dangerous-products-eu-2025-2026-03-09_en</t>
  </si>
  <si>
    <t xml:space="preserve">http://web.archive.org/web/20260510210622/https://commission.europa.eu/news-and-media/news/increased-action-against-dangerous-products-eu-2025-2026-03-09_en</t>
  </si>
  <si>
    <t xml:space="preserve">euroconsumers-2025-temu-shein</t>
  </si>
  <si>
    <t xml:space="preserve">Euroconsumers / Testachats-Testaankoop (2025), Systemic failures in product compliance on TEMU and Shein, Euroconsumers</t>
  </si>
  <si>
    <t xml:space="preserve">consumer organisation report</t>
  </si>
  <si>
    <t xml:space="preserve">mystery shopping and accredited lab tests (81 products per platform)</t>
  </si>
  <si>
    <t xml:space="preserve">product compliance on online marketplaces</t>
  </si>
  <si>
    <t xml:space="preserve">Almost two-thirds of Temu products and 73% of Shein products failed at least one requirement; 26/27 Temu and 27/27 Shein children's products non-compliant; serious electrical risks in chargers</t>
  </si>
  <si>
    <t xml:space="preserve">Lab tests of 162 products bought on Temu and Shein in 2025 found most failed EU safety or labelling rules, showing unsafe imports still reach consumers.</t>
  </si>
  <si>
    <t xml:space="preserve">Belgium/EU, 2025</t>
  </si>
  <si>
    <t xml:space="preserve">small sample; not causal; date from search summary</t>
  </si>
  <si>
    <t xml:space="preserve">Consumer organisation (advocacy for stronger enforcement)</t>
  </si>
  <si>
    <t xml:space="preserve">https://euroconsumers.org/systemic-failures-in-product-compliance-on-temu-and-shein</t>
  </si>
  <si>
    <t xml:space="preserve">http://web.archive.org/web/20260919053429/https://www.euroconsumers.org/systemic-failures-in-product-compliance-on-temu-and-shein/</t>
  </si>
  <si>
    <t xml:space="preserve">ec-2021-hber-evaluation</t>
  </si>
  <si>
    <t xml:space="preserve">European Commission (2021), Evaluation of the Horizontal Block Exemption Regulations (R&amp;D and Specialisation) and the Horizontal Guidelines, SWD(2021) 103</t>
  </si>
  <si>
    <t xml:space="preserve">evaluation (public consultation 2019-20, external evaluation study, NCA survey)</t>
  </si>
  <si>
    <t xml:space="preserve">legal certainty; compliance costs; relevance</t>
  </si>
  <si>
    <t xml:space="preserve">HBERs and Guidelines made economically desirable cooperation easier and gave legal certainty, but some rules unduly strict or unclear and outdated for digitalisation and sustainability; compliance-cost savings could not be quantified</t>
  </si>
  <si>
    <t xml:space="preserve">The Commission's evaluation found the old rules useful for firms that cooperate on research or production, but in need of updating and unable to put a number on the money saved.</t>
  </si>
  <si>
    <t xml:space="preserve">EU, 2011-2020</t>
  </si>
  <si>
    <t xml:space="preserve">self-assessment; largely qualitative</t>
  </si>
  <si>
    <t xml:space="preserve">https://eur-lex.europa.eu/legal-content/EN/TXT/?uri=CELEX:52021SC0103</t>
  </si>
  <si>
    <t xml:space="preserve">http://web.archive.org/web/20240806153639/https://eur-lex.europa.eu/legal-content/EN/TXT/?uri=CELEX:52021SC0103</t>
  </si>
  <si>
    <t xml:space="preserve">ec-2023-hber-note</t>
  </si>
  <si>
    <t xml:space="preserve">European Commission (DG Competition) (2023), Explanatory note on the 2023 Horizontal Block Exemption Regulations, DG Competition</t>
  </si>
  <si>
    <t xml:space="preserve">Commission explanatory note</t>
  </si>
  <si>
    <t xml:space="preserve">rule changes</t>
  </si>
  <si>
    <t xml:space="preserve">Revision addresses issues found in the evaluation, informed by an impact assessment phase with stakeholder workshops and five support studies; changes to market-share calculation, innovation competition and SME usability</t>
  </si>
  <si>
    <t xml:space="preserve">The Commission explains that the 2023 rules fix problems found in the evaluation, but publishes no forecast of their economic effect.</t>
  </si>
  <si>
    <t xml:space="preserve">https://competition-policy.ec.europa.eu/system/files/2023-06/2023_HBERs_explanatory_note_en.pdf</t>
  </si>
  <si>
    <t xml:space="preserve">ruble-versaevel-2014</t>
  </si>
  <si>
    <t xml:space="preserve">Ruble &amp; Versaevel (2014), Market shares, R&amp;D agreements, and the EU block exemption, International Review of Law and Economics 37: 15-25</t>
  </si>
  <si>
    <t xml:space="preserve">R&amp;D incentives; welfare</t>
  </si>
  <si>
    <t xml:space="preserve">Incentives to innovate under cooperation depend on several effects; an 'outsider effect' can raise R&amp;D when combined market share is high, so theory does not support limiting the exemption to low market shares</t>
  </si>
  <si>
    <t xml:space="preserve">A theory paper argues that the market-share cap in the R&amp;D block exemption may exclude cooperation that would actually boost innovation.</t>
  </si>
  <si>
    <t xml:space="preserve">theory (Regulation 1217/2010)</t>
  </si>
  <si>
    <t xml:space="preserve">theory only; no data</t>
  </si>
  <si>
    <t xml:space="preserve">https://doi.org/10.1016/j.irle.2013.04.008</t>
  </si>
  <si>
    <t xml:space="preserve">ec-2020-mica-ia</t>
  </si>
  <si>
    <t xml:space="preserve">European Commission (2020), Impact Assessment accompanying the proposal for a Regulation on Markets in Crypto-assets (executive summary SWD(2020) 381), SWD(2020) 380</t>
  </si>
  <si>
    <t xml:space="preserve">remittance costs; funding costs; compliance costs</t>
  </si>
  <si>
    <t xml:space="preserve">Remittance cost savings EUR 220-570m a year; crypto-asset funding costs 20-40% lower than IPOs of similar size; one-off compliance costs EUR 2.8-16.5m and ongoing EUR 2.2-24m for newly regulated service providers; about EUR 35,000 per SME issuance</t>
  </si>
  <si>
    <t xml:space="preserve">The Commission expected MiCA to save EUR 220-570 million a year on remittances and give start-ups cheaper funding than stock-market listings, at modest compliance cost.</t>
  </si>
  <si>
    <t xml:space="preserve">https://eur-lex.europa.eu/legal-content/EN/TXT/?uri=CELEX:52020SC0381</t>
  </si>
  <si>
    <t xml:space="preserve">esma-2026-mica-register</t>
  </si>
  <si>
    <t xml:space="preserve">ESMA (2026), Interim MiCA register (authorised CASPs, e-money token issuers, ART issuers, non-compliant entities), ESMA CSV files, accessed 10 Oct 2026</t>
  </si>
  <si>
    <t xml:space="preserve">administrative data (own count)</t>
  </si>
  <si>
    <t xml:space="preserve">authorisations</t>
  </si>
  <si>
    <t xml:space="preserve">370 authorised CASP entries (365 entities) in 27 EU/EEA states (Germany 103, France 36, Netherlands 29); 25 e-money token issuers; no asset-referenced token issuers; 173 entities flagged as non-compliant</t>
  </si>
  <si>
    <t xml:space="preserve">By October 2026, about 365 crypto firms had a MiCA licence, more than a quarter of them in Germany, while no one had been authorised to issue an asset-backed 'stablecoin' basket.</t>
  </si>
  <si>
    <t xml:space="preserve">EU/EEA, Dec 2024-Oct 2026</t>
  </si>
  <si>
    <t xml:space="preserve">administrative data; own tabulation</t>
  </si>
  <si>
    <t xml:space="preserve">https://www.esma.europa.eu/esmas-activities/digital-finance-and-innovation/markets-crypto-assets-regulation-mica</t>
  </si>
  <si>
    <t xml:space="preserve">http://web.archive.org/web/20261004232619/https://www.esma.europa.eu/esmas-activities/digital-finance-and-innovation/markets-crypto-assets-regulation-mica</t>
  </si>
  <si>
    <t xml:space="preserve">calissano-giuglini-reiche-2024</t>
  </si>
  <si>
    <t xml:space="preserve">Calissano, Giuglini &amp; Reiche (ESMA) (2024), Crypto-assets: Market structures and EU relevance, ESMA TRV Risk Analysis, 10 April 2024</t>
  </si>
  <si>
    <t xml:space="preserve">descriptive market data analysis</t>
  </si>
  <si>
    <t xml:space="preserve">trading structure; euro share; concentration</t>
  </si>
  <si>
    <t xml:space="preserve">Only 20-30% of transactions involve fiat; euro plays a minor role and MiCA's announcement has not raised euro transactions; ten exchanges process about 90% of trades; about 55% of volume on exchanges holding an EU VASP licence, though most likely occurs outside the EU</t>
  </si>
  <si>
    <t xml:space="preserve">Before MiCA applied, ESMA found the euro played only a minor role in crypto trading and the new law's announcement had not changed that.</t>
  </si>
  <si>
    <t xml:space="preserve">Global/EU, to early 2024</t>
  </si>
  <si>
    <t xml:space="preserve">https://www.esma.europa.eu/sites/default/files/2024-04/ESMA50-524821-3153_risk_article_crypto_assets_market_structures_and_eu_relevance.pdf</t>
  </si>
  <si>
    <t xml:space="preserve">http://web.archive.org/web/20261008165323/https://www.esma.europa.eu/sites/default/files/2024-04/ESMA50-524821-3153_risk_article_crypto_assets_market_structures_and_eu_relevance.pdf</t>
  </si>
  <si>
    <t xml:space="preserve">borri-shakhnov-2026</t>
  </si>
  <si>
    <t xml:space="preserve">Borri &amp; Shakhnov (2026), Does Regulation Bite at Gateways? Evidence from MiCA and Stablecoins, arXiv 2607.09514</t>
  </si>
  <si>
    <t xml:space="preserve">event study / treated-vs-control comparison of 14 exchanges (EEA-facing vs global), daily 2024-2025</t>
  </si>
  <si>
    <t xml:space="preserve">stablecoin market shares; trading volume</t>
  </si>
  <si>
    <t xml:space="preserve">Aggregate stablecoin market shares and volumes barely move after MiCA-driven USDT delistings; on EEA-facing exchanges USDC share rises by 0.82 and relative volume by 0.54 pre-event standard deviations as USDT trading contracts</t>
  </si>
  <si>
    <t xml:space="preserve">MiCA pushed EU-facing exchanges from the unlicensed USDT stablecoin to the licensed USDC, but barely changed the global market.</t>
  </si>
  <si>
    <t xml:space="preserve">14 exchanges, Jan 2024-Dec 2025</t>
  </si>
  <si>
    <t xml:space="preserve">quasi-experimental; recent preprint</t>
  </si>
  <si>
    <t xml:space="preserve">https://arxiv.org/abs/2607.09514</t>
  </si>
  <si>
    <t xml:space="preserve">https://arxiv.org/pdf/2607.09514</t>
  </si>
  <si>
    <t xml:space="preserve">fauche-2025-micar-euro-stablecoins</t>
  </si>
  <si>
    <t xml:space="preserve">Fauche (2025), The impact of MiCAR on the stablecoin market (summary of master's thesis), Financial Forum / Bank- en Financiewezen, 10 Dec 2025</t>
  </si>
  <si>
    <t xml:space="preserve">master's thesis (summary article)</t>
  </si>
  <si>
    <t xml:space="preserve">event study (5 euro stablecoins) and difference-in-differences vs non-EU stablecoins, around EP approval 20 April 2023</t>
  </si>
  <si>
    <t xml:space="preserve">returns; volatility; trading volume</t>
  </si>
  <si>
    <t xml:space="preserve">no effect</t>
  </si>
  <si>
    <t xml:space="preserve">No significant effect of MiCAR approval on returns, volatility or trading volume overall; positive return response for the three largest euro stablecoins</t>
  </si>
  <si>
    <t xml:space="preserve">A student study found MiCA's approval had no measurable effect on euro stablecoins' prices or trading, apart from a small positive reaction for the largest coins.</t>
  </si>
  <si>
    <t xml:space="preserve">EU, Mar-May 2023</t>
  </si>
  <si>
    <t xml:space="preserve">short window; small sample; not peer reviewed</t>
  </si>
  <si>
    <t xml:space="preserve">https://financialforum.be/en/bfw-digitaal/the-impact-of-micar-on-the-stablecoin-market</t>
  </si>
  <si>
    <t xml:space="preserve">http://web.archive.org/web/20260411232523/https://financialforum.be/en/bfw-digitaal/the-impact-of-micar-on-the-stablecoin-market</t>
  </si>
  <si>
    <t xml:space="preserve">decta-2026-euro-stablecoins</t>
  </si>
  <si>
    <t xml:space="preserve">Decta (2026), Euro Stablecoin Trends Report 2026: The MiCA-Compliant Coins in the EU Market, Decta (payments company) report</t>
  </si>
  <si>
    <t xml:space="preserve">industry report</t>
  </si>
  <si>
    <t xml:space="preserve">descriptive (market data, 52 weeks)</t>
  </si>
  <si>
    <t xml:space="preserve">euro stablecoin market cap and volume</t>
  </si>
  <si>
    <t xml:space="preserve">positive (descriptive)</t>
  </si>
  <si>
    <t xml:space="preserve">Market cap of eight MiCA-compliant euro stablecoins rose 128% from USD 295.6m to USD 673.9m (June 2025-June 2026); average daily trading volume up 43%</t>
  </si>
  <si>
    <t xml:space="preserve">Licensed euro stablecoins more than doubled in value over the year after MiCA, though from a very small base.</t>
  </si>
  <si>
    <t xml:space="preserve">EU, 2025-26</t>
  </si>
  <si>
    <t xml:space="preserve">Decta is a payments/card-processing company</t>
  </si>
  <si>
    <t xml:space="preserve">https://www.decta.com/company/media/euro-stablecoin-trends-report-2026</t>
  </si>
  <si>
    <t xml:space="preserve">ec-2021-machinery-ia</t>
  </si>
  <si>
    <t xml:space="preserve">European Commission (2021), Impact Assessment accompanying the proposal for a Regulation on machinery products (executive summary SWD(2021) 83), SWD(2021) 82</t>
  </si>
  <si>
    <t xml:space="preserve">compliance costs; printing savings; safety</t>
  </si>
  <si>
    <t xml:space="preserve">Printing savings of up to EUR 16.6bn (EUR 201,000 per company) from digital documentation; EUR 5,000-10,000 per instance saved on interpretation differences; EUR 202m one-off for third-party assessment of high-risk machines; EUR 29m one-off and EUR 48m/yr server costs; EUR 15m/yr saved on vibration-related sick leave. Sector: EUR 663bn turnover (2017), 98% SMEs</t>
  </si>
  <si>
    <t xml:space="preserve">The Commission expected the new machinery rules to save manufacturers billions in printing costs by allowing digital manuals, at modest extra cost for checking high-risk machines.</t>
  </si>
  <si>
    <t xml:space="preserve">https://eur-lex.europa.eu/legal-content/EN/TXT/?uri=CELEX:52021SC0083</t>
  </si>
  <si>
    <t xml:space="preserve">http://web.archive.org/web/20260121232154/https://eur-lex.europa.eu/legal-content/EN/TXT/?uri=CELEX%3A52021SC0083</t>
  </si>
  <si>
    <t xml:space="preserve">tcworld-2024-machinery-digital</t>
  </si>
  <si>
    <t xml:space="preserve">tcworld magazine (based on DIN Mitteilungen, May 2024) (2024), The European Machinery Regulation: New requirements for digital instructions for use, tcworld, June 2024</t>
  </si>
  <si>
    <t xml:space="preserve">commentary on IA assumptions</t>
  </si>
  <si>
    <t xml:space="preserve">printing cost savings</t>
  </si>
  <si>
    <t xml:space="preserve">IA assumed printing costs of 1-4% of turnover (EUR 6.63-26.5bn/yr), implying savings of about EUR 4bn to EUR 16.6bn (EUR 48,000-201,000 per company); no systematic comparison of usability of digital vs paper formats</t>
  </si>
  <si>
    <t xml:space="preserve">A trade article shows the headline savings rest on a broad assumption about printing costs and that the real figure could be a quarter of the top estimate.</t>
  </si>
  <si>
    <t xml:space="preserve">Technical-communication industry (tekom) lobbied for digital instructions</t>
  </si>
  <si>
    <t xml:space="preserve">https://www.tcworld.info/news/the-european-machinery-regulation-1327</t>
  </si>
  <si>
    <t xml:space="preserve">http://web.archive.org/web/20250806174308/https://www.tcworld.info/news/the-european-machinery-regulation-1327</t>
  </si>
  <si>
    <t xml:space="preserve">ec-2018-eevidence-ia</t>
  </si>
  <si>
    <t xml:space="preserve">European Commission (2018), Impact Assessment accompanying the proposals on European Production and Preservation Orders for electronic evidence and on legal representatives (executive summary SWD(2018) 119), SWD(2018) 118</t>
  </si>
  <si>
    <t xml:space="preserve">investigation effectiveness; administrative costs</t>
  </si>
  <si>
    <t xml:space="preserve">More effective and efficient investigations and prosecutions; one-off costs EUR 3.3m (Member States) and EUR 1.7m (providers); no recurrent costs; recurrent savings &gt;EUR 7.1m/yr for Member States and &gt;EUR 4.3m/yr for providers; possible crime reduction through deterrence</t>
  </si>
  <si>
    <t xml:space="preserve">The Commission expected the new orders to speed up police access to online evidence across borders and to save authorities and providers more than EUR 11 million a year.</t>
  </si>
  <si>
    <t xml:space="preserve">https://eur-lex.europa.eu/legal-content/EN/TXT/?uri=CELEX:52018SC0119</t>
  </si>
  <si>
    <t xml:space="preserve">euroispa-2026-eevidence</t>
  </si>
  <si>
    <t xml:space="preserve">EuroISPA (2026), e-Evidence Regulation: Closing the implementation gap before August 2026, EuroISPA position paper, June 2026</t>
  </si>
  <si>
    <t xml:space="preserve">industry position paper</t>
  </si>
  <si>
    <t xml:space="preserve">descriptive (member survey and national engagement)</t>
  </si>
  <si>
    <t xml:space="preserve">implementation readiness</t>
  </si>
  <si>
    <t xml:space="preserve">Systemic readiness gap: Directive transposition deadline (18 Feb 2026) met by few states; Commission formal notices to 22 Member States on 27 Mar 2026; decentralised e-CODEX system still under development; providers need at least 18 months after technical specifications; asks for a grace period</t>
  </si>
  <si>
    <t xml:space="preserve">Internet providers warned in mid-2026 that neither governments nor the IT system were ready for the new e-evidence rules.</t>
  </si>
  <si>
    <t xml:space="preserve">advocacy document</t>
  </si>
  <si>
    <t xml:space="preserve">Association of internet service providers subject to the obligations</t>
  </si>
  <si>
    <t xml:space="preserve">https://www.euroispa.org/wp-content/uploads/2026/06/final_e-Evidence-implementation-paper.pdf</t>
  </si>
  <si>
    <t xml:space="preserve">ec-2026-chips-evaluation</t>
  </si>
  <si>
    <t xml:space="preserve">European Commission (2026), Impact Assessment report accompanying the Chips Act 2.0 proposal, including the evaluation of the Chips Act (Annex I), SWD(2026) 504</t>
  </si>
  <si>
    <t xml:space="preserve">evaluation (Sept 2023-Nov 2025; consultation, workshops, interviews, IDC data)</t>
  </si>
  <si>
    <t xml:space="preserve">investment; capacity; market share; crisis preparedness</t>
  </si>
  <si>
    <t xml:space="preserve">Chips Act created a framework quickly and mobilised substantial investment (~EUR 80bn announced; 11 FOAK projects &gt;EUR 31.6bn; capacity +30% by 2030) but EU production share still only 8.1% by 2030 and value-chain share ~11.6%; weak demand aggregation and supply-chain monitoring; long State aid procedures</t>
  </si>
  <si>
    <t xml:space="preserve">The Commission's own evaluation says the Chips Act triggered big investment announcements but will leave the EU's share of world chip production roughly unchanged, prompting a 'Chips Act 2.0'.</t>
  </si>
  <si>
    <t xml:space="preserve">self-assessment; projections</t>
  </si>
  <si>
    <t xml:space="preserve">https://eur-lex.europa.eu/legal-content/EN/TXT/?uri=CELEX:52026SC0504</t>
  </si>
  <si>
    <t xml:space="preserve">eca-2025-chips</t>
  </si>
  <si>
    <t xml:space="preserve">European Court of Auditors (2025), The EU's strategy for microchips: Reasonable progress in its implementation, but the Chips Act is very unlikely to be sufficient to reach the overly ambitious Digital Decade target, ECA Special Report 12/2025</t>
  </si>
  <si>
    <t xml:space="preserve">market share target; funding; monitoring</t>
  </si>
  <si>
    <t xml:space="preserve">20% target very unlikely; Commission's July 2024 forecast: share from 9.8% (2022) to 11.7% (2030); meeting target would need ~4x capacity; Commission manages only EUR 4.5bn (5%) of EUR 86bn; targets and monitoring unclear; no impact assessment or prior evaluation</t>
  </si>
  <si>
    <t xml:space="preserve">The EU's auditors concluded the Chips Act will not get Europe near its goal of 20% of world chip production by 2030 and lacks clear targets and monitoring.</t>
  </si>
  <si>
    <t xml:space="preserve">ECA press release read in full</t>
  </si>
  <si>
    <t xml:space="preserve">https://www.eca.europa.eu/en/publications/SR-2025-12</t>
  </si>
  <si>
    <t xml:space="preserve">http://web.archive.org/web/20260929052219/https://www.eca.europa.eu/en/publications/SR-2025-12</t>
  </si>
  <si>
    <t xml:space="preserve">garcia-herrero-poitiers-2022</t>
  </si>
  <si>
    <t xml:space="preserve">García-Herrero &amp; Poitiers (Bruegel) (2022), Europe's promised semiconductor subsidies need to be better targeted, Bruegel Blog, 17 October 2022</t>
  </si>
  <si>
    <t xml:space="preserve">think tank analysis</t>
  </si>
  <si>
    <t xml:space="preserve">ex-ante policy analysis</t>
  </si>
  <si>
    <t xml:space="preserve">subsidy design</t>
  </si>
  <si>
    <t xml:space="preserve">The proposed Chips Act over-emphasises production subsidies and focuses too little on raising value added in research</t>
  </si>
  <si>
    <t xml:space="preserve">Bruegel economists warned before adoption that the Act bet too heavily on factory subsidies rather than research where Europe adds most value.</t>
  </si>
  <si>
    <t xml:space="preserve">EU, 2022</t>
  </si>
  <si>
    <t xml:space="preserve">ex-ante commentary</t>
  </si>
  <si>
    <t xml:space="preserve">https://www.bruegel.org/blog-post/europes-promised-semiconductor-subsidies-need-be-better-targeted</t>
  </si>
  <si>
    <t xml:space="preserve">eca-2022-euiba-cyber</t>
  </si>
  <si>
    <t xml:space="preserve">European Court of Auditors (2022), Cybersecurity of EU institutions, bodies and agencies: Level of preparedness overall not commensurate with the threats, ECA Special Report 05/2022</t>
  </si>
  <si>
    <t xml:space="preserve">performance audit (baseline)</t>
  </si>
  <si>
    <t xml:space="preserve">cyber preparedness</t>
  </si>
  <si>
    <t xml:space="preserve">Preparedness not commensurate with threats; very different maturity levels across bodies; significant incidents up more than tenfold 2018-2021; recommended binding rules and more resources for CERT-EU</t>
  </si>
  <si>
    <t xml:space="preserve">Before the regulation, the EU's auditors found EU bodies poorly and unevenly prepared for cyberattacks and called for binding rules - which this regulation introduced.</t>
  </si>
  <si>
    <t xml:space="preserve">independent audit; pre-regulation baseline</t>
  </si>
  <si>
    <t xml:space="preserve">https://op.europa.eu/webpub/eca/special-reports/hack-proofing-eu-institutions-05-2022/en</t>
  </si>
  <si>
    <t xml:space="preserve">http://web.archive.org/web/20260313155014/https://op.europa.eu/webpub/eca/special-reports/hack-proofing-eu-institutions-05-2022/en/</t>
  </si>
  <si>
    <t xml:space="preserve">iicb-2025-annual-report</t>
  </si>
  <si>
    <t xml:space="preserve">Interinstitutional Cybersecurity Board (IICB) (2025), IICB Annual Report 2025 on the implementation of Regulation (EU, Euratom) 2023/2841, IICB, adopted 16 December 2025</t>
  </si>
  <si>
    <t xml:space="preserve">official implementation report</t>
  </si>
  <si>
    <t xml:space="preserve">self-reported implementation monitoring</t>
  </si>
  <si>
    <t xml:space="preserve">frameworks; incidents; resources</t>
  </si>
  <si>
    <t xml:space="preserve">2025 milestones met on time; entities completed maturity and risk assessments; 8 significant incidents to early November 2025 (down from 2024); &gt;800 malicious activities analysed; staffing would need to rise ~75% by 2027</t>
  </si>
  <si>
    <t xml:space="preserve">The board overseeing the rules reports that EU bodies met their 2025 deadlines and suffered fewer serious incidents, but warns that threats remain very high and staff are short.</t>
  </si>
  <si>
    <t xml:space="preserve">EU institutions, 2025</t>
  </si>
  <si>
    <t xml:space="preserve">self-assessment by the governing body</t>
  </si>
  <si>
    <t xml:space="preserve">https://www.cert.europa.eu/iicb/annual-report-2025/</t>
  </si>
  <si>
    <t xml:space="preserve">http://web.archive.org/web/20260928225406/https://cert.europa.eu/iicb/annual-report-2025/</t>
  </si>
  <si>
    <t xml:space="preserve">ec-2021-ejustice-ia</t>
  </si>
  <si>
    <t xml:space="preserve">European Commission (2021), Impact Assessment accompanying the proposals on the digitalisation of judicial cooperation and access to justice in cross-border civil, commercial and criminal matters (executive summary SWD(2021) 393), SWD(2021) 392</t>
  </si>
  <si>
    <t xml:space="preserve">administrative costs; case duration; access to justice</t>
  </si>
  <si>
    <t xml:space="preserve">Yearly savings EUR 25.59m in postage and paper at EU level (EUR 4.49m for individuals and legal entities); total case duration cut by ~15.4m days a year; one-off IT cost EUR 18.7m over 5 years; recurrent EUR 8.1m/yr; videoconferencing emits 7% of the carbon of physical meetings</t>
  </si>
  <si>
    <t xml:space="preserve">The Commission expected that moving cross-border court paperwork online would save about EUR 25 million a year in postage and paper and shorten proceedings.</t>
  </si>
  <si>
    <t xml:space="preserve">https://eur-lex.europa.eu/legal-content/EN/TXT/?uri=CELEX:52021SC0393</t>
  </si>
  <si>
    <t xml:space="preserve">http://web.archive.org/web/20240602054854/https://eur-lex.europa.eu/legal-content/EN/TXT/?uri=celex%3A52021SC0393</t>
  </si>
  <si>
    <t xml:space="preserve">ec-2022-dataact-ia</t>
  </si>
  <si>
    <t xml:space="preserve">European Commission (2022), Impact assessment report accompanying the Data Act proposal (executive summary SWD(2022) 35), SWD(2022) 34</t>
  </si>
  <si>
    <t xml:space="preserve">ex-ante (support study; macroeconomic modelling)</t>
  </si>
  <si>
    <t xml:space="preserve">GDP; jobs; data-access value; compliance costs</t>
  </si>
  <si>
    <t xml:space="preserve">Preferred option raises EU-27 GDP by 1.98 percentage points by 2028 and creates 2.2m jobs; benefits up to EUR 196.7bn a year from IoT data access, EUR 7.4bn from contractual fairness, EUR 7.1bn from cloud switching; one-off costs EUR 410m for manufacturers and EUR 552.5m for B2G</t>
  </si>
  <si>
    <t xml:space="preserve">The Commission forecast that giving users and businesses rights to device data would add about 2% to EU GDP by 2028 at modest cost.</t>
  </si>
  <si>
    <t xml:space="preserve">EU-27, forecast 2024-2028</t>
  </si>
  <si>
    <t xml:space="preserve">forecast; large modelled gains</t>
  </si>
  <si>
    <t xml:space="preserve">https://eur-lex.europa.eu/legal-content/EN/TXT/?uri=CELEX:52022SC0035</t>
  </si>
  <si>
    <t xml:space="preserve">http://web.archive.org/web/20251123045340/https://eur-lex.europa.eu/legal-content/EN/TXT/?uri=CELEX:52022SC0035</t>
  </si>
  <si>
    <t xml:space="preserve">ec-2022-dataact-press</t>
  </si>
  <si>
    <t xml:space="preserve">European Commission (2022), Data Act: Commission proposes measures for a fair and innovative data economy (press release), IP/22/1113, 23 February 2022</t>
  </si>
  <si>
    <t xml:space="preserve">ex-ante (summary of IA)</t>
  </si>
  <si>
    <t xml:space="preserve">New rules expected to create EUR 270 billion of additional GDP by 2028</t>
  </si>
  <si>
    <t xml:space="preserve">The headline promise: EUR 270 billion of extra GDP by 2028.</t>
  </si>
  <si>
    <t xml:space="preserve">https://ec.europa.eu/commission/presscorner/detail/en/ip_22_1113</t>
  </si>
  <si>
    <t xml:space="preserve">kerber-2023-iot-data</t>
  </si>
  <si>
    <t xml:space="preserve">Kerber (2023), Governance of IoT Data: Why the EU Data Act Will not Fulfill Its Objectives, GRUR International 72(2): 120-135</t>
  </si>
  <si>
    <t xml:space="preserve">law-and-economics analysis (ex-ante)</t>
  </si>
  <si>
    <t xml:space="preserve">data access; innovation; consumers</t>
  </si>
  <si>
    <t xml:space="preserve">Act correctly identifies manufacturers' de facto exclusive control of IoT data, but its user-access mechanism is likely weak and largely ineffective because it protects data holders' control too strongly; it will not achieve its goals of empowering users and unlocking data for innovation</t>
  </si>
  <si>
    <t xml:space="preserve">An economist argues the Data Act leaves device makers in control of the data, so it is unlikely to deliver the promised innovation.</t>
  </si>
  <si>
    <t xml:space="preserve">EU, proposal</t>
  </si>
  <si>
    <t xml:space="preserve">conceptual; not empirical</t>
  </si>
  <si>
    <t xml:space="preserve">https://doi.org/10.1093/grurint/ikac107</t>
  </si>
  <si>
    <t xml:space="preserve">martens-2023-bruegel-dataact</t>
  </si>
  <si>
    <t xml:space="preserve">Martens (2023), Pro- and anti-competitive provisions in the proposed European Union Data Act, Bruegel Working Paper 01/2023</t>
  </si>
  <si>
    <t xml:space="preserve">think tank working paper</t>
  </si>
  <si>
    <t xml:space="preserve">economic analysis (ex-ante)</t>
  </si>
  <si>
    <t xml:space="preserve">competition; data markets</t>
  </si>
  <si>
    <t xml:space="preserve">mixed (expected)</t>
  </si>
  <si>
    <t xml:space="preserve">Access and portability rights weaken manufacturers' de facto monopoly over product data, but the Act gives them a de jure right to monopolistic pricing of data transfers, bans using data to build competing products and bars transfers to DMA gatekeepers; fuzzy definitions add uncertainty</t>
  </si>
  <si>
    <t xml:space="preserve">A Bruegel economist finds the Data Act both opens up device data and protects manufacturers in ways that could hold back competition.</t>
  </si>
  <si>
    <t xml:space="preserve">https://www.bruegel.org/working-paper/pro-and-anti-competitive-provisions-proposed-european-union-data-act</t>
  </si>
  <si>
    <t xml:space="preserve">https://hdl.handle.net/10419/274180</t>
  </si>
  <si>
    <t xml:space="preserve">http://web.archive.org/web/20260927001100/https://www.bruegel.org/working-paper/pro-and-anti-competitive-provisions-proposed-european-union-data-act</t>
  </si>
  <si>
    <t xml:space="preserve">cerre-2023-dataact</t>
  </si>
  <si>
    <t xml:space="preserve">Krämer (coord.), Colangelo, Richter &amp; Schnurr (CERRE) (2023), Data Act: Towards a Balanced EU Data Regulation, CERRE report, March 2023</t>
  </si>
  <si>
    <t xml:space="preserve">think tank report</t>
  </si>
  <si>
    <t xml:space="preserve">legal-economic analysis (ex-ante)</t>
  </si>
  <si>
    <t xml:space="preserve">B2B/B2C access; B2G; cloud switching</t>
  </si>
  <si>
    <t xml:space="preserve">Supports a new data-portability style access right but calls for simpler, clearer rules; recommends limiting B2G sharing to ad hoc access with cost-based compensation; warns of complexity and legal uncertainty</t>
  </si>
  <si>
    <t xml:space="preserve">A CERRE expert group backed the Data Act's aims but warned its rules were complex and uncertain, and proposed simplifications.</t>
  </si>
  <si>
    <t xml:space="preserve">CERRE is funded partly by industry members, including large digital firms</t>
  </si>
  <si>
    <t xml:space="preserve">https://cerre.eu/publications/data-act-towards-a-balanced-eu-data-regulation/</t>
  </si>
  <si>
    <t xml:space="preserve">http://web.archive.org/web/20260514230429/https://cerre.eu/publications/data-act-towards-a-balanced-eu-data-regulation/</t>
  </si>
  <si>
    <t xml:space="preserve">bitkom-2025-dataact-survey</t>
  </si>
  <si>
    <t xml:space="preserve">Bitkom (2025), Data Act: Kaum Unternehmen vorbereitet (survey of 605 companies), Bitkom press release, 20 May 2025</t>
  </si>
  <si>
    <t xml:space="preserve">survey (605 German firms with 20+ employees, March-April 2025)</t>
  </si>
  <si>
    <t xml:space="preserve">compliance readiness</t>
  </si>
  <si>
    <t xml:space="preserve">negative (low readiness)</t>
  </si>
  <si>
    <t xml:space="preserve">Only 1% of companies had fully and 4% partly implemented the Data Act; 10% had just started, 30% had not started; 52% believed it did not apply to them</t>
  </si>
  <si>
    <t xml:space="preserve">Months before the Act applied, almost no German companies were ready and half thought it did not concern them.</t>
  </si>
  <si>
    <t xml:space="preserve">Germany, spring 2025</t>
  </si>
  <si>
    <t xml:space="preserve">industry-commissioned survey</t>
  </si>
  <si>
    <t xml:space="preserve">Bitkom is the German digital industry association and lobbied on the Act</t>
  </si>
  <si>
    <t xml:space="preserve">https://www.bitkom.org/Presse/Presseinformation/Data-Act-Kaum-Unternehmen-vorbereitet</t>
  </si>
  <si>
    <t xml:space="preserve">ec-2025-digital-omnibus-dataact</t>
  </si>
  <si>
    <t xml:space="preserve">European Commission (2025), Proposal for a Digital Omnibus Regulation (amending Regulation (EU) 2023/2854), COM(2025) 837</t>
  </si>
  <si>
    <t xml:space="preserve">regulatory burden; consolidation</t>
  </si>
  <si>
    <t xml:space="preserve">Folds the Data Governance Act, Free Flow Regulation and Open Data Directive into the Data Act and amends it; claims savings of at least EUR 1bn a year plus EUR 1bn one-off across the package; Data Act evaluation by 12 September 2028</t>
  </si>
  <si>
    <t xml:space="preserve">Barely two months after the Data Act applied, the Commission proposed amending it and merging other data laws into it to cut red tape.</t>
  </si>
  <si>
    <t xml:space="preserve">proposal; savings not independently checked</t>
  </si>
  <si>
    <t xml:space="preserve">ec-2022-vaw-ia</t>
  </si>
  <si>
    <t xml:space="preserve">European Commission (2022), Impact Assessment accompanying the proposal for a Directive on combating violence against women and domestic violence (executive summary SWD(2022) 63), SWD(2022) 62</t>
  </si>
  <si>
    <t xml:space="preserve">prevalence of violence; economic cost of violence; compliance costs</t>
  </si>
  <si>
    <t xml:space="preserve">Preferred option 2A: reduced prevalence could bring economic benefits of around EUR 53.1bn, up to EUR 82.7bn in the long term; compliance costs EUR 5-6.6bn, mostly borne by Member States, EUR 1.9bn by employers; no negative impacts noted</t>
  </si>
  <si>
    <t xml:space="preserve">The Commission estimated that the law could save around EUR 53 billion (up to EUR 83 billion in the long run) by reducing violence, against EUR 5-6.6 billion in costs, mostly for national authorities.</t>
  </si>
  <si>
    <t xml:space="preserve">EU-27, forecast</t>
  </si>
  <si>
    <t xml:space="preserve">https://eur-lex.europa.eu/legal-content/EN/TXT/?uri=CELEX:52022SC0063</t>
  </si>
  <si>
    <t xml:space="preserve">eige-fra-eurostat-2024-gbv-survey</t>
  </si>
  <si>
    <t xml:space="preserve">Eurostat, EU Agency for Fundamental Rights (FRA) &amp; European Institute for Gender Equality (EIGE) (2024), EU gender-based violence survey - key results (2024 edition), Eurostat/FRA/EIGE joint publication, 25 November 2024</t>
  </si>
  <si>
    <t xml:space="preserve">official statistics (survey)</t>
  </si>
  <si>
    <t xml:space="preserve">descriptive (survey of about 114,000 women aged 18-74, fieldwork Sept 2020-Mar 2024)</t>
  </si>
  <si>
    <t xml:space="preserve">prevalence of violence (baseline)</t>
  </si>
  <si>
    <t xml:space="preserve">About 1 in 3 women in the EU (30.7%) have experienced physical violence, threats and/or sexual violence; about 1 in 6 sexual violence including rape; 1 in 5 violence by a partner, relative or household member</t>
  </si>
  <si>
    <t xml:space="preserve">The EU's first joint survey since the Directive was proposed found about one in three women have experienced physical or sexual violence or threats - the baseline against which the Directive will be judged.</t>
  </si>
  <si>
    <t xml:space="preserve">baseline only; not an impact study</t>
  </si>
  <si>
    <t xml:space="preserve">https://eige.europa.eu/newsroom/news/one-three-women-eu-have-experienced-violence</t>
  </si>
  <si>
    <t xml:space="preserve">http://web.archive.org/web/20261005124409/https://eige.europa.eu/newsroom/news/one-three-women-eu-have-experienced-violence</t>
  </si>
  <si>
    <t xml:space="preserve">European Commission (2023), Impact Assessment accompanying the proposal for a Directive on common rules promoting the repair of goods (executive summary SWD(2023) 60), SWD(2023) 59</t>
  </si>
  <si>
    <t xml:space="preserve">CO2 emissions; consumer savings; business turnover</t>
  </si>
  <si>
    <t xml:space="preserve">In 15 years the initiative saves 18.4 Mt CO2 and EUR 176.5bn for consumers; producers and retailers lose sales; overall slightly beneficial for SMEs as a whole</t>
  </si>
  <si>
    <t xml:space="preserve">The Commission expected the right to repair to save consumers EUR 176.5 billion and 18.4 million tonnes of CO2 over 15 years, with manufacturers and retailers selling fewer new goods.</t>
  </si>
  <si>
    <t xml:space="preserve">EU, forecast over 15 years</t>
  </si>
  <si>
    <t xml:space="preserve">https://eur-lex.europa.eu/legal-content/EN/TXT/?uri=CELEX:52023SC0060</t>
  </si>
  <si>
    <t xml:space="preserve">http://web.archive.org/web/20260507090730/https://eur-lex.europa.eu/legal-content/EN/TXT/?uri=CELEX%3A52023SC0060</t>
  </si>
  <si>
    <t xml:space="preserve">lopez-bermudez-vence-2025-repair</t>
  </si>
  <si>
    <t xml:space="preserve">López-Bermúdez &amp; Vence (2025), A critical assessment of the European Directive proposal on the common rules promoting the repair of goods, Resources, Conservation and Recycling 212, 107996</t>
  </si>
  <si>
    <t xml:space="preserve">legal-economic policy analysis (qualitative)</t>
  </si>
  <si>
    <t xml:space="preserve">barriers to repair; repair market structure</t>
  </si>
  <si>
    <t xml:space="preserve">negative (critique)</t>
  </si>
  <si>
    <t xml:space="preserve">The Directive fails to address the most important barriers to repair (planned obsolescence, repair instructions and spare parts, economic incentives), may add administrative burdens for independent repairers, relies mainly on information tools and gives manufacturers power over the repair market</t>
  </si>
  <si>
    <t xml:space="preserve">Researchers argue the Directive mostly adds information duties and leaves untouched the biggest obstacles to repair, such as spare-part availability and cost, while strengthening manufacturers' grip on repair.</t>
  </si>
  <si>
    <t xml:space="preserve">qualitative assessment; no outcome data</t>
  </si>
  <si>
    <t xml:space="preserve">https://doi.org/10.1016/j.resconrec.2024.107996</t>
  </si>
  <si>
    <t xml:space="preserve">European Commission (2022), Impact Assessment accompanying the proposals to amend the Community Design Regulation and recast the Design Directive (executive summary SWD(2022) 369), SWD(2022) 368</t>
  </si>
  <si>
    <t xml:space="preserve">spare-part prices; consumer savings; registration costs</t>
  </si>
  <si>
    <t xml:space="preserve">Liberalising must-match spare parts (option 1.2) would save consumers EUR 340-544m a year after a 10-year transition, matched by lost income for carmakers; lower fees save EUR 6m a year and simpler procedures EUR 1.6m</t>
  </si>
  <si>
    <t xml:space="preserve">The Commission expected that opening the market for visible car spare parts would save consumers EUR 340-544 million a year once fully in effect.</t>
  </si>
  <si>
    <t xml:space="preserve">https://eur-lex.europa.eu/legal-content/EN/TXT/?uri=CELEX:52022SC0369</t>
  </si>
  <si>
    <t xml:space="preserve">herz-mejer-2020-design-spare-parts</t>
  </si>
  <si>
    <t xml:space="preserve">Herz &amp; Mejer (2020), The effect of design protection on price and price dispersion: Evidence from automotive spare parts, MPRA Paper 104137</t>
  </si>
  <si>
    <t xml:space="preserve">difference-in-differences (cross-country variation in repair-clause coverage, detailed spare-part price data)</t>
  </si>
  <si>
    <t xml:space="preserve">spare-part prices; price dispersion</t>
  </si>
  <si>
    <t xml:space="preserve">negative effect of design protection on consumers (supports reform)</t>
  </si>
  <si>
    <t xml:space="preserve">Design protection raises spare-part prices by about 5-8%, with large differences across carmakers; lack of harmonisation plus pricing-to-market explains part of large cross-country price gaps for identical parts</t>
  </si>
  <si>
    <t xml:space="preserve">Comparing countries with and without a repair clause, the study finds design protection makes visible car spare parts about 5-8% more expensive - the kind of saving the Directive aims to unlock.</t>
  </si>
  <si>
    <t xml:space="preserve">EU car spare-parts markets</t>
  </si>
  <si>
    <t xml:space="preserve">causal (DiD); pre-reform evidence, not an evaluation of the Directive</t>
  </si>
  <si>
    <t xml:space="preserve">Co-author Mejer is European Commission staff (ec.europa.eu affiliation); the study fed the Commission's analysis</t>
  </si>
  <si>
    <t xml:space="preserve">https://mpra.ub.uni-muenchen.de/104137/</t>
  </si>
  <si>
    <t xml:space="preserve">European Commission (2020), Evaluation of EU legislation on design protection, SWD(2020) 264</t>
  </si>
  <si>
    <t xml:space="preserve">ex-post evaluation (of Directive 98/71/EC and Regulation 6/2002)</t>
  </si>
  <si>
    <t xml:space="preserve">functioning of design protection system</t>
  </si>
  <si>
    <t xml:space="preserve">Design protection system works well overall but has shortcomings: outdated procedures and fees, divergent national rules, and an unharmonised spare-parts aftermarket</t>
  </si>
  <si>
    <t xml:space="preserve">The Commission's 2020 review found EU design law worked well overall but was outdated and left the car spare-parts market split between countries.</t>
  </si>
  <si>
    <t xml:space="preserve">evaluation of the predecessor law</t>
  </si>
  <si>
    <t xml:space="preserve">page summary (as summarised in SWD(2022) 369)</t>
  </si>
  <si>
    <t xml:space="preserve">ec-2021-platformwork-ia</t>
  </si>
  <si>
    <t xml:space="preserve">European Commission (2021), Impact Assessment accompanying the proposal for a Directive on improving working conditions in platform work (executive summary SWD(2021) 397), SWD(2021) 396</t>
  </si>
  <si>
    <t xml:space="preserve">employment status; earnings; platform costs; public revenue</t>
  </si>
  <si>
    <t xml:space="preserve">1.7-4.1 million people reclassified as workers; earnings up to +EUR 484m a year; platform costs EUR 1.9-4.5bn a year, partly passed on; up to EUR 4bn a year extra public revenue</t>
  </si>
  <si>
    <t xml:space="preserve">The Commission expected 1.7-4.1 million people working through apps to be reclassified as employees, gaining up to EUR 484 million a year, at a cost to platforms of EUR 1.9-4.5 billion a year.</t>
  </si>
  <si>
    <t xml:space="preserve">forecast; based on the proposal's criteria, later dropped</t>
  </si>
  <si>
    <t xml:space="preserve">https://eur-lex.europa.eu/legal-content/EN/TXT/?uri=CELEX:52021SC0397</t>
  </si>
  <si>
    <t xml:space="preserve">dolado-janez-wellschmied-2025-riders</t>
  </si>
  <si>
    <t xml:space="preserve">Dolado, Jáñez &amp; Wellschmied (2025), Riders on the Storm, IZA Discussion Paper 17740 (also CEPR DP19974)</t>
  </si>
  <si>
    <t xml:space="preserve">structural search-and-matching model calibrated to Spain's 2021 Riders' Law (presumption of employment)</t>
  </si>
  <si>
    <t xml:space="preserve">employment; wages; welfare of delivery riders</t>
  </si>
  <si>
    <t xml:space="preserve">Spain's presumption of employment for riders raised the share of employees but did not absorb the large outflow from self-employment and lowered riders' wages, causing welfare losses; adding a payroll tax cut for platforms hiring employees would preserve employment and raise welfare</t>
  </si>
  <si>
    <t xml:space="preserve">Spain's 2021 law presuming delivery riders are employees - a model for the EU Directive - increased the share of riders on employment contracts but, according to this model, cut overall rider jobs and wages.</t>
  </si>
  <si>
    <t xml:space="preserve">Spain, 2021 reform (national precursor)</t>
  </si>
  <si>
    <t xml:space="preserve">model-based, not quasi-experimental; analogous national law</t>
  </si>
  <si>
    <t xml:space="preserve">https://www.iza.org/publications/dp/17740</t>
  </si>
  <si>
    <t xml:space="preserve">https://docs.iza.org/dp17740.pdf</t>
  </si>
  <si>
    <t xml:space="preserve">http://web.archive.org/web/20260421110729/https://www.iza.org/publications/dp/17740</t>
  </si>
  <si>
    <t xml:space="preserve">ec-2022-pld-ia</t>
  </si>
  <si>
    <t xml:space="preserve">European Commission (2022), Impact Assessment accompanying the proposal for a Directive on liability for defective products (executive summary SWD(2022) 317), SWD(2022) 316</t>
  </si>
  <si>
    <t xml:space="preserve">compensation to victims; insurance premiums; legal costs</t>
  </si>
  <si>
    <t xml:space="preserve">Extending no-fault liability to software and other actors raises annual compensation by EUR 0.15-22.13m and easing the burden of proof by EUR 0.20-43.54m; premiums rise EUR 4.35-8.69m and EUR 14.35-28.71m a year; small unquantified price rises for non-EU products</t>
  </si>
  <si>
    <t xml:space="preserve">The Commission expected modest effects: tens of millions of euros a year more compensation for people harmed by defective products, including software, and a small rise in producers' insurance premiums.</t>
  </si>
  <si>
    <t xml:space="preserve">https://eur-lex.europa.eu/legal-content/EN/TXT/?uri=CELEX:52022SC0317</t>
  </si>
  <si>
    <t xml:space="preserve">http://web.archive.org/web/20240519073228/https://eur-lex.europa.eu/legal-content/EN/TXT/?uri=celex%3A52022SC0317</t>
  </si>
  <si>
    <t xml:space="preserve">ec-2018-pld-evaluation</t>
  </si>
  <si>
    <t xml:space="preserve">European Commission (2018), Evaluation of Council Directive 85/374/EEC on liability for defective products, SWD(2018) 157</t>
  </si>
  <si>
    <t xml:space="preserve">ex-post evaluation (qualitative; cost-benefit analysis not possible for lack of data)</t>
  </si>
  <si>
    <t xml:space="preserve">consumer protection; single market; burden of proof</t>
  </si>
  <si>
    <t xml:space="preserve">The 1985 Directive contributes to consumer protection and a level playing field at reasonable cost, but the burden of proof, the EUR 500 threshold and unclear coverage of software and digital products limit its effectiveness</t>
  </si>
  <si>
    <t xml:space="preserve">The Commission's review of the 1985 law found it broadly worked but was hard for victims to use, especially for complex and digital products - the problems the new Directive targets.</t>
  </si>
  <si>
    <t xml:space="preserve">EU, 1985-2017</t>
  </si>
  <si>
    <t xml:space="preserve">https://eur-lex.europa.eu/legal-content/EN/TXT/?uri=CELEX:52018SC0157</t>
  </si>
  <si>
    <t xml:space="preserve">http://web.archive.org/web/20260906162828/https://eur-lex.europa.eu/legal-content/EN/TXT/?uri=celex%3A52018SC0157</t>
  </si>
  <si>
    <t xml:space="preserve">insurance-europe-2022-pld</t>
  </si>
  <si>
    <t xml:space="preserve">Insurance Europe (2022), Key messages on the European Commission's proposal for a revision of the Product Liability Directive (PLD), Position paper, December 2022</t>
  </si>
  <si>
    <t xml:space="preserve">stakeholder position paper</t>
  </si>
  <si>
    <t xml:space="preserve">qualitative argument</t>
  </si>
  <si>
    <t xml:space="preserve">insurability; litigation; innovation</t>
  </si>
  <si>
    <t xml:space="preserve">Proposal would compromise insurers' ability to price risk (psychological harm, data loss, cyber), increase litigation and ultimately consumer costs, and could harm innovation</t>
  </si>
  <si>
    <t xml:space="preserve">The insurance industry warned that the reform would make some risks hard to insure and lead to more lawsuits and higher costs.</t>
  </si>
  <si>
    <t xml:space="preserve">advocacy; no data</t>
  </si>
  <si>
    <t xml:space="preserve">Insurance industry federation; members underwrite product liability risk</t>
  </si>
  <si>
    <t xml:space="preserve">https://insuranceeurope.eu/publications/2788/key-messages-on-the-ec-proposal-for-a-revision-of-the-pld</t>
  </si>
  <si>
    <t xml:space="preserve">ec-2023-step-proposal</t>
  </si>
  <si>
    <t xml:space="preserve">European Commission (2023), Proposal for a Regulation establishing the Strategic Technologies for Europe Platform (STEP), COM(2023) 335</t>
  </si>
  <si>
    <t xml:space="preserve">Commission proposal (no impact assessment)</t>
  </si>
  <si>
    <t xml:space="preserve">ex-ante (explanatory memorandum)</t>
  </si>
  <si>
    <t xml:space="preserve">Total estimated new investment through STEP could reach up to EUR 160bn; no impact assessment because STEP works through existing instruments</t>
  </si>
  <si>
    <t xml:space="preserve">The Commission claimed STEP could trigger up to EUR 160 billion of investment in critical technologies, without a dedicated impact assessment.</t>
  </si>
  <si>
    <t xml:space="preserve">https://eur-lex.europa.eu/legal-content/EN/TXT/?uri=CELEX:52023PC0335</t>
  </si>
  <si>
    <t xml:space="preserve">ec-2025-step-interim-evaluation</t>
  </si>
  <si>
    <t xml:space="preserve">European Commission (2025), Interim evaluation of the Strategic Technologies for Europe Platform (STEP), COM(2025) 421 and SWD(2025) 194</t>
  </si>
  <si>
    <t xml:space="preserve">interim evaluation (implementation monitoring, first 13 months)</t>
  </si>
  <si>
    <t xml:space="preserve">funds mobilised; STEP Seals; regional distribution</t>
  </si>
  <si>
    <t xml:space="preserve">About EUR 6.3bn of cohesion funds redirected (38 programme amendments, 11 Member States); EUR 9.5bn of STEP calls in centrally managed programmes with over EUR 5.1bn awarded; 190 STEP Seals but no Seal project yet funded from cohesion or RRF; complexity of 11 programmes limits impact; too early for full assessment</t>
  </si>
  <si>
    <t xml:space="preserve">The Commission's own interim review found about EUR 15 billion of existing EU money steered towards strategic technologies, but said the quality label has not yet unlocked new funding and it is too early to judge impact.</t>
  </si>
  <si>
    <t xml:space="preserve">EU, Mar 2024-Mar 2025</t>
  </si>
  <si>
    <t xml:space="preserve">self-assessment; activity data only</t>
  </si>
  <si>
    <t xml:space="preserve">https://eur-lex.europa.eu/legal-content/EN/TXT/?uri=CELEX:52025DC0421</t>
  </si>
  <si>
    <t xml:space="preserve">http://web.archive.org/web/20251116092010/https://eur-lex.europa.eu/legal-content/EN/TXT/?uri=celex:52025DC0421</t>
  </si>
  <si>
    <t xml:space="preserve">ec-2021-polads-ia</t>
  </si>
  <si>
    <t xml:space="preserve">European Commission (2021), Impact Assessment accompanying the proposal for a Regulation on the transparency and targeting of political advertising (executive summary SWD(2021) 356), SWD(2021) 355</t>
  </si>
  <si>
    <t xml:space="preserve">legal certainty; transparency; compliance costs</t>
  </si>
  <si>
    <t xml:space="preserve">Expected more legal certainty and lower fragmentation costs, transparency of targeting, better oversight and public trust; compliance costs offset by efficiency gains; no quantified headline</t>
  </si>
  <si>
    <t xml:space="preserve">The Commission expected clearer, EU-wide rules to make political ads more transparent and cheaper to run across borders, but gave no figures.</t>
  </si>
  <si>
    <t xml:space="preserve">https://eur-lex.europa.eu/legal-content/EN/TXT/?uri=CELEX:52021SC0356</t>
  </si>
  <si>
    <t xml:space="preserve">http://web.archive.org/web/20240813033958/https://eur-lex.europa.eu/legal-content/EN/TXT/?uri=celex%3A52021SC0356</t>
  </si>
  <si>
    <t xml:space="preserve">edmo-2025-eu-election-ads</t>
  </si>
  <si>
    <t xml:space="preserve">Meyer et al. (European Digital Media Observatory) (2025), A Cross-Country Analysis of Electoral Advertising on Meta and Google during the EU 2024 Elections: Compliance, Transparency, and Targeting, EDMO report, September 2025</t>
  </si>
  <si>
    <t xml:space="preserve">research report (EU-funded observatory)</t>
  </si>
  <si>
    <t xml:space="preserve">descriptive audit of ad libraries across 15 Member States (before the Regulation applied)</t>
  </si>
  <si>
    <t xml:space="preserve">platform transparency; ad spend; targeting</t>
  </si>
  <si>
    <t xml:space="preserve">Meta and Google definitions not fully aligned with Regulation 2024/900; Meta met 9 and Google 7 of 19 transparency criteria; about 30,000 ads and EUR 8.7m spent by parties in 15 countries; targeting common but mostly broad; Meta targeting details disappearing by Aug 2025</t>
  </si>
  <si>
    <t xml:space="preserve">Before the rules applied, an audit of the 2024 EU election found Meta and Google only partly met the new transparency standards, with parties spending about EUR 8.7 million on 30,000 ads in 15 countries.</t>
  </si>
  <si>
    <t xml:space="preserve">15 EU countries, 2024 EP elections</t>
  </si>
  <si>
    <t xml:space="preserve">descriptive baseline</t>
  </si>
  <si>
    <t xml:space="preserve">Funded by the European Union</t>
  </si>
  <si>
    <t xml:space="preserve">https://edmo.eu/wp-content/uploads/2025/09/EDMO-Analysis-of-Electoral-Advertising.pdf</t>
  </si>
  <si>
    <t xml:space="preserve">http://web.archive.org/web/20260114162950/https://edmo.eu/wp-content/uploads/2025/09/EDMO-Analysis-of-Electoral-Advertising.pdf</t>
  </si>
  <si>
    <t xml:space="preserve">meta-2025-ttpa-exit</t>
  </si>
  <si>
    <t xml:space="preserve">Meta (2025), Ending Political, Electoral and Social Issue Advertising in the EU in Response to Incoming European Regulation, Meta Newsroom, 25 July 2025 (updated 6 October 2025)</t>
  </si>
  <si>
    <t xml:space="preserve">company statement</t>
  </si>
  <si>
    <t xml:space="preserve">announcement</t>
  </si>
  <si>
    <t xml:space="preserve">availability of political advertising</t>
  </si>
  <si>
    <t xml:space="preserve">From 6 October 2025 Meta no longer delivers political, electoral and social-issue ads in the EU, citing 'unworkable requirements and legal uncertainties' of the Regulation; notes other platforms have done the same</t>
  </si>
  <si>
    <t xml:space="preserve">Meta stopped all political and social-issue ads in the EU in October 2025, blaming the new rules; Google had already announced the same in 2024.</t>
  </si>
  <si>
    <t xml:space="preserve">EU, Oct 2025</t>
  </si>
  <si>
    <t xml:space="preserve">self-reported; company position</t>
  </si>
  <si>
    <t xml:space="preserve">Regulated company; statement explains its own commercial decision</t>
  </si>
  <si>
    <t xml:space="preserve">https://about.fb.com/news/2025/07/ending-political-electoral-and-social-issue-advertising-in-the-eu/</t>
  </si>
  <si>
    <t xml:space="preserve">http://web.archive.org/web/20261006124032/https://about.fb.com/news/2025/07/ending-political-electoral-and-social-issue-advertising-in-the-eu/</t>
  </si>
  <si>
    <t xml:space="preserve">ec-2022-iea-ia</t>
  </si>
  <si>
    <t xml:space="preserve">European Commission (2022), Impact Assessment accompanying the proposal for an Interoperable Europe Act (executive summary SWD(2022) 722), SWD(2022) 721</t>
  </si>
  <si>
    <t xml:space="preserve">administrative time and cost savings</t>
  </si>
  <si>
    <t xml:space="preserve">Direct impact hard to quantify; cites JRC estimate (Ulrich et al. 2022, doi:10.2760/72064) of savings potential of up to 24 million hours (EUR 543m) a year for citizens and EUR 568bn a year for businesses, of which cross-border EUR 5.5-6.3m (citizens) and EUR 5.7-19.2bn (businesses)</t>
  </si>
  <si>
    <t xml:space="preserve">The Commission, citing its Joint Research Centre, put the potential savings from better-connected public services at up to EUR 543 million a year for citizens and far more for businesses, while admitting the law's own effect is hard to quantify.</t>
  </si>
  <si>
    <t xml:space="preserve">forecast; savings potential of interoperability in general, not attributable to the Act</t>
  </si>
  <si>
    <t xml:space="preserve">https://eur-lex.europa.eu/legal-content/EN/TXT/?uri=CELEX:52022SC0722</t>
  </si>
  <si>
    <t xml:space="preserve">http://web.archive.org/web/20250120045558/https://eur-lex.europa.eu/legal-content/EN/TXT/?uri=celex%3A52022SC0722</t>
  </si>
  <si>
    <t xml:space="preserve">ec-2022-eif-evaluation</t>
  </si>
  <si>
    <t xml:space="preserve">European Commission (2022), Final evaluation of the European Interoperability Framework (EIF), SWD(2022) 720</t>
  </si>
  <si>
    <t xml:space="preserve">ex-post evaluation (supported by CEPS study)</t>
  </si>
  <si>
    <t xml:space="preserve">interoperability cooperation</t>
  </si>
  <si>
    <t xml:space="preserve">Voluntary EU interoperability cooperation was beneficial but limited by weak incentives, lack of shared ownership and common resources, motivating a binding framework</t>
  </si>
  <si>
    <t xml:space="preserve">The Commission's review of the earlier voluntary approach found it useful but too weak, which led to the Act.</t>
  </si>
  <si>
    <t xml:space="preserve">EU, 2017-2021</t>
  </si>
  <si>
    <t xml:space="preserve">evaluation of the predecessor framework</t>
  </si>
  <si>
    <t xml:space="preserve">page summary (as summarised in SWD(2022) 722)</t>
  </si>
  <si>
    <t xml:space="preserve">https://eur-lex.europa.eu/legal-content/EN/TXT/?uri=CELEX:52022SC0720</t>
  </si>
  <si>
    <t xml:space="preserve">ec-2025-interop-annual-report</t>
  </si>
  <si>
    <t xml:space="preserve">European Commission (2025), First Annual Report on Interoperability in the Union, Commission news, 16 December 2025</t>
  </si>
  <si>
    <t xml:space="preserve">implementation monitoring</t>
  </si>
  <si>
    <t xml:space="preserve">governance; assessments; take-up</t>
  </si>
  <si>
    <t xml:space="preserve">Board and portal established; interoperability assessments mandatory since January 2025; sandbox implementing act adopted; 12,000+ Academy enrolments; Council version notes comprehensive monitoring data not yet available</t>
  </si>
  <si>
    <t xml:space="preserve">In its first annual report the Commission says the new governance and mandatory interoperability checks are up and running, but has no data yet on savings.</t>
  </si>
  <si>
    <t xml:space="preserve">EU, Apr 2024-2025</t>
  </si>
  <si>
    <t xml:space="preserve">self-reported activity</t>
  </si>
  <si>
    <t xml:space="preserve">full text read (news summary)</t>
  </si>
  <si>
    <t xml:space="preserve">https://commission.europa.eu/news-and-media/news/state-interoperability-union-2025-12-16_en</t>
  </si>
  <si>
    <t xml:space="preserve">http://web.archive.org/web/20260512082745/https://commission.europa.eu/news-and-media/news/state-interoperability-union-2025-12-16_en</t>
  </si>
  <si>
    <t xml:space="preserve">ec-2022-str-ia</t>
  </si>
  <si>
    <t xml:space="preserve">European Commission (2022), Impact Assessment accompanying the proposal on data collection and sharing relating to short-term accommodation rental services (executive summary SWD(2022) 349), SWD(2022) 350</t>
  </si>
  <si>
    <t xml:space="preserve">compliance costs; administrative savings</t>
  </si>
  <si>
    <t xml:space="preserve">Platform savings EUR 54-115m over 5 years; host time savings above EUR 1.48bn over 5 years; one-off costs ~EUR 8.2m for platforms (~EUR 30,000 each) and ~EUR 3m for national authorities</t>
  </si>
  <si>
    <t xml:space="preserve">The Commission expected the rules to save platforms EUR 54-115 million and new hosts more than EUR 1.4 billion in registration time over five years, at small set-up costs.</t>
  </si>
  <si>
    <t xml:space="preserve">https://eur-lex.europa.eu/legal-content/EN/TXT/?uri=CELEX:52022SC0349</t>
  </si>
  <si>
    <t xml:space="preserve">http://web.archive.org/web/20251007083040/https://eur-lex.europa.eu/legal-content/EN/TXT/?uri=celex%3A52022SC0349</t>
  </si>
  <si>
    <t xml:space="preserve">ec-2022-emfa-ia</t>
  </si>
  <si>
    <t xml:space="preserve">European Commission (2022), Impact Assessment accompanying the European Media Freedom Act proposal (executive summary SWD(2022) 287), SWD(2022) 286</t>
  </si>
  <si>
    <t xml:space="preserve">media revenues; compliance costs; regulator costs</t>
  </si>
  <si>
    <t xml:space="preserve">Annual net economic benefits EUR 2.9bn in higher media revenues; one-off business costs EUR 9.4-14m and recurrent EUR 5.6-14.5m; public authority costs EUR 6.1m a year</t>
  </si>
  <si>
    <t xml:space="preserve">The Commission expected the Act to raise media companies' revenues by about EUR 2.9 billion a year, at negligible cost to businesses.</t>
  </si>
  <si>
    <t xml:space="preserve">https://eur-lex.europa.eu/legal-content/EN/TXT/?uri=CELEX:52022SC0287</t>
  </si>
  <si>
    <t xml:space="preserve">http://web.archive.org/web/20251120144216/https://eur-lex.europa.eu/legal-content/EN/TXT/?uri=celex%3A52022SC0287</t>
  </si>
  <si>
    <t xml:space="preserve">blagojev-et-al-2025-mpm</t>
  </si>
  <si>
    <t xml:space="preserve">Blagojev, Bleyer-Simon, Brogi, Carlini, Da Costa Leite Borges, Kermer, Nenadic, Palmer, Parcu, Reviglio, Trevisan &amp; Verza (2025), Monitoring media pluralism in the European Union: results of the MPM2025, EUI Centre for Media Pluralism and Media Freedom, RSC Research Report (doi:10.2870/2415644)</t>
  </si>
  <si>
    <t xml:space="preserve">independent monitoring report (EU co-financed)</t>
  </si>
  <si>
    <t xml:space="preserve">expert risk assessment (indicator-based)</t>
  </si>
  <si>
    <t xml:space="preserve">media pluralism; editorial independence; ownership transparency</t>
  </si>
  <si>
    <t xml:space="preserve">Risk assessment for 2024 across 32 countries, with insights on EMFA-related themes before the Act fully applied; new six-tier scale not strictly comparable with earlier years</t>
  </si>
  <si>
    <t xml:space="preserve">The EU-funded Media Pluralism Monitor gives a pre-EMFA baseline of risks to media freedom; commentary on it describes uneven readiness to apply the Act.</t>
  </si>
  <si>
    <t xml:space="preserve">EU27 + 5 candidates, 2024</t>
  </si>
  <si>
    <t xml:space="preserve">descriptive baseline; methodology break</t>
  </si>
  <si>
    <t xml:space="preserve">Centre is co-financed by the EU and its MPM is the Act's own monitoring indicator source</t>
  </si>
  <si>
    <t xml:space="preserve">https://cadmus.eui.eu/handle/1814/92916</t>
  </si>
  <si>
    <t xml:space="preserve">http://web.archive.org/web/20260126133633/https://cadmus.eui.eu/handle/1814/92916</t>
  </si>
  <si>
    <t xml:space="preserve">ec-2023-crma-ia</t>
  </si>
  <si>
    <t xml:space="preserve">European Commission (2023), Impact Assessment accompanying the Critical Raw Materials Act proposal (executive summary SWD(2023) 162), SWD(2023) 161</t>
  </si>
  <si>
    <t xml:space="preserve">supply security; value-chain capacity; costs</t>
  </si>
  <si>
    <t xml:space="preserve">Preferred option (Strategic Projects with streamlined permitting and finance) expected to help meet EU capacity targets and benefit downstream competitiveness; benefits and costs described qualitatively, IA notes the more ambitious option would have been more effective</t>
  </si>
  <si>
    <t xml:space="preserve">The Commission expected Strategic Projects and faster permits to raise EU capacity in critical raw materials, but gave no headline economic figures.</t>
  </si>
  <si>
    <t xml:space="preserve">https://eur-lex.europa.eu/legal-content/EN/TXT/?uri=CELEX:52023SC0162</t>
  </si>
  <si>
    <t xml:space="preserve">http://web.archive.org/web/20250618162233/https://eur-lex.europa.eu/legal-content/EN/TXT/?uri=celex%3A52023SC0162</t>
  </si>
  <si>
    <t xml:space="preserve">ec-2025-crma-strategic-projects</t>
  </si>
  <si>
    <t xml:space="preserve">European Commission (2025), Commission selects 47 Strategic Projects to secure and diversify access to raw materials in the EU, Press release, 25 March 2025 (as reported by Global Mining Review)</t>
  </si>
  <si>
    <t xml:space="preserve">Commission implementation record (secondary report)</t>
  </si>
  <si>
    <t xml:space="preserve">investment; project pipeline</t>
  </si>
  <si>
    <t xml:space="preserve">47 projects in 13 Member States, expected capital investment EUR 22.5bn, covering 14 of 17 strategic raw materials (22 lithium projects)</t>
  </si>
  <si>
    <t xml:space="preserve">In March 2025 the Commission designated 47 EU mining, processing and recycling projects with EUR 22.5 billion of planned investment.</t>
  </si>
  <si>
    <t xml:space="preserve">activity data; planned not realised investment</t>
  </si>
  <si>
    <t xml:space="preserve">https://www.globalminingreview.com/mining/27032025/commission-selects-47-strategic-projects-to-secure-and-diversify-access-to-raw-materials-in-the-eu/</t>
  </si>
  <si>
    <t xml:space="preserve">http://web.archive.org/web/20260211035010/https://www.globalminingreview.com/mining/27032025/commission-selects-47-strategic-projects-to-secure-and-diversify-access-to-raw-materials-in-the-eu/</t>
  </si>
  <si>
    <t xml:space="preserve">eca-2026-crm</t>
  </si>
  <si>
    <t xml:space="preserve">European Court of Auditors (2026), Special report 04/2026: Critical raw materials for the energy transition - Not a rock-solid policy, European Court of Auditors</t>
  </si>
  <si>
    <t xml:space="preserve">performance audit (document review, trade data, project analysis)</t>
  </si>
  <si>
    <t xml:space="preserve">import diversification; domestic production; recycling</t>
  </si>
  <si>
    <t xml:space="preserve">EU unlikely to secure sufficient strategic raw materials by 2030; CRMA targets non-binding with unclear methodology; imports from strategic partners fell for about half of materials 2020-2024; permitting delays and energy costs hold back domestic projects</t>
  </si>
  <si>
    <t xml:space="preserve">The EU's auditors concluded the EU is unlikely to hit its 2030 raw-materials goals: diversification has produced little and recycling is in its infancy.</t>
  </si>
  <si>
    <t xml:space="preserve">EU, 2020-2025</t>
  </si>
  <si>
    <t xml:space="preserve">https://www.eca.europa.eu/en/publications/SR-2026-04</t>
  </si>
  <si>
    <t xml:space="preserve">http://web.archive.org/web/20260930163305/https://www.eca.europa.eu/en/publications/sr-2026-04</t>
  </si>
  <si>
    <t xml:space="preserve">ec-2023-gia-ia</t>
  </si>
  <si>
    <t xml:space="preserve">European Commission (2023), Impact Assessment accompanying the Gigabit Infrastructure Act proposal (executive summary SWD(2023) 47), SWD(2023) 46</t>
  </si>
  <si>
    <t xml:space="preserve">deployment costs; subsidies; admin costs; emissions</t>
  </si>
  <si>
    <t xml:space="preserve">Deployment costs EUR 14.5bn lower and public subsidies EUR 2.4bn lower; 470,000 km of network via re-use (vs 250,000 km); one-off costs EUR 70m; operator admin savings EUR 40m a year; 0.7 Mt GHG avoided to 2030</t>
  </si>
  <si>
    <t xml:space="preserve">The Commission expected the Act to cut the cost of rolling out fibre and 5G by EUR 14.5 billion and save EUR 2.4 billion of public subsidies.</t>
  </si>
  <si>
    <t xml:space="preserve">EU, to 2030</t>
  </si>
  <si>
    <t xml:space="preserve">https://eur-lex.europa.eu/legal-content/EN/TXT/?uri=CELEX:52023SC0047</t>
  </si>
  <si>
    <t xml:space="preserve">http://web.archive.org/web/20241111040005/https://eur-lex.europa.eu/legal-content/EN/TXT/?uri=CELEX:52023SC0047</t>
  </si>
  <si>
    <t xml:space="preserve">cullen-2026-gia-implementation</t>
  </si>
  <si>
    <t xml:space="preserve">Cullen International (2026), National implementation of the EU Gigabit Infrastructure Act, Cullen International benchmark (March 2026)</t>
  </si>
  <si>
    <t xml:space="preserve">consultancy benchmark</t>
  </si>
  <si>
    <t xml:space="preserve">legal benchmarking</t>
  </si>
  <si>
    <t xml:space="preserve">Main provisions applied from 12 Nov 2025; about half of Member States had begun adopting implementing legislation; approaches diverge on tacit approval, access to private buildings and fibre-ready labels</t>
  </si>
  <si>
    <t xml:space="preserve">A March 2026 survey found only about half of EU countries had started adapting national law, with different approaches to automatic permit approval.</t>
  </si>
  <si>
    <t xml:space="preserve">EU27, 2025-26</t>
  </si>
  <si>
    <t xml:space="preserve">descriptive; full detail paywalled</t>
  </si>
  <si>
    <t xml:space="preserve">Commercial regulatory-intelligence firm whose clients include telecom operators</t>
  </si>
  <si>
    <t xml:space="preserve">https://www.cullen-international.com/news/2026/03/National-implementation-of-the-EU-Gigabit-Infrastructure-Act.html</t>
  </si>
  <si>
    <t xml:space="preserve">http://web.archive.org/web/20260401130938/https://www.cullen-international.com/news/2026/03/National-implementation-of-the-EU-Gigabit-Infrastructure-Act.html</t>
  </si>
  <si>
    <t xml:space="preserve">ec-2021-aml-package-ia</t>
  </si>
  <si>
    <t xml:space="preserve">European Commission (2021), Impact Assessment accompanying the Anti-money laundering package (executive summary SWD(2021) 191), SWD(2021) 190</t>
  </si>
  <si>
    <t xml:space="preserve">ex-ante (qualitative; cost estimates for new Authority)</t>
  </si>
  <si>
    <t xml:space="preserve">money laundering detection; compliance costs; supervision</t>
  </si>
  <si>
    <t xml:space="preserve">More consistent rules and an EU authority expected to reduce undetected ML/TF (Europol estimate: well over EUR 100bn/yr); EUR 10,000 cash ceiling; AMLA cost about EUR 40m/yr; lower compliance costs for cross-border institutions; monitoring via STR counts, STR quality and FIU information exchange</t>
  </si>
  <si>
    <t xml:space="preserve">The Commission expected harmonised rules, a cash-payment cap and a new EU authority to cut money laundering, at a cost of about EUR 40 million a year for the authority, but gave no estimate of how much laundering would fall.</t>
  </si>
  <si>
    <t xml:space="preserve">full text read (executive summary and monitoring section)</t>
  </si>
  <si>
    <t xml:space="preserve">https://eur-lex.europa.eu/legal-content/EN/TXT/?uri=CELEX:52021SC0190</t>
  </si>
  <si>
    <t xml:space="preserve">https://eur-lex.europa.eu/legal-content/EN/TXT/PDF/?uri=CELEX:52021SC0190</t>
  </si>
  <si>
    <t xml:space="preserve">http://web.archive.org/web/20260403050307/https://eur-lex.europa.eu/legal-content/EN/TXT/?uri=celex:52021SC0190</t>
  </si>
  <si>
    <t xml:space="preserve">pol-2020-aml-effectiveness</t>
  </si>
  <si>
    <t xml:space="preserve">Pol, R.F. (2020), Anti-money laundering: The world's least effective policy experiment? Together, we can fix it, Policy Design and Practice 3(1): 73-94</t>
  </si>
  <si>
    <t xml:space="preserve">review and synthesis of published estimates (global)</t>
  </si>
  <si>
    <t xml:space="preserve">criminal finances; compliance costs</t>
  </si>
  <si>
    <t xml:space="preserve">AML policy has less than 0.1% impact on criminal finances; compliance costs exceed recovered criminal funds more than a hundred times over; data poorly validated so findings not definitive</t>
  </si>
  <si>
    <t xml:space="preserve">A widely cited review estimates that anti-money-laundering rules worldwide remove less than 0.1% of criminal money while costing over a hundred times more than they recover, though the data are weak.</t>
  </si>
  <si>
    <t xml:space="preserve">global</t>
  </si>
  <si>
    <t xml:space="preserve">synthesis of weak data; not specific to the AMLR</t>
  </si>
  <si>
    <t xml:space="preserve">https://doi.org/10.1080/25741292.2020.1725366</t>
  </si>
  <si>
    <t xml:space="preserve">https://www.tandfonline.com/doi/pdf/10.1080/25741292.2020.1725366</t>
  </si>
  <si>
    <t xml:space="preserve">slutzky-villamizar-williams-2026</t>
  </si>
  <si>
    <t xml:space="preserve">Slutzky, P., Villamizar-Villegas, M. &amp; Williams, T. (2026), Drug money and bank lending: the unintended consequences of anti-money laundering policies, Journal of Law, Economics, and Organization (earlier IIEP Working Paper 2019-5)</t>
  </si>
  <si>
    <t xml:space="preserve">difference-in-differences (Colombia's 2008 SARLAFT AML reform; bank-municipality and bank-firm credit data)</t>
  </si>
  <si>
    <t xml:space="preserve">deposits; bank lending; firm sales, investment, employment</t>
  </si>
  <si>
    <t xml:space="preserve">negative (unintended costs)</t>
  </si>
  <si>
    <t xml:space="preserve">After the AML reform deposits fell in high drug-trafficking municipalities; banks reliant on those deposits cut lending elsewhere; small firms dependent on affected banks saw lower sales, investment, profitability and employment</t>
  </si>
  <si>
    <t xml:space="preserve">A study of a Colombian anti-money-laundering reform found it drained deposits from drug-trafficking areas, leading banks to cut lending to small firms elsewhere, which then invested and hired less.</t>
  </si>
  <si>
    <t xml:space="preserve">Colombia, 2008</t>
  </si>
  <si>
    <t xml:space="preserve">causal; non-EU setting</t>
  </si>
  <si>
    <t xml:space="preserve">https://doi.org/10.1093/jleo/ewaf024</t>
  </si>
  <si>
    <t xml:space="preserve">https://www.runi.ac.il/media/rlci13b3/drug-money-and-bank-lending.pdf</t>
  </si>
  <si>
    <t xml:space="preserve">eba-2022-derisking-opinion</t>
  </si>
  <si>
    <t xml:space="preserve">European Banking Authority (2022), Opinion of the European Banking Authority on 'de-risking' (EBA/Op/2022/01), EBA, 5 January 2022</t>
  </si>
  <si>
    <t xml:space="preserve">survey of competent authorities and stakeholders (2020-21)</t>
  </si>
  <si>
    <t xml:space="preserve">de-risking; financial exclusion; competition</t>
  </si>
  <si>
    <t xml:space="preserve">De-risking occurs across the EU and affects payment and e-money institutions, asylum seekers from high-risk jurisdictions and non-profits; can cause adverse economic outcomes or financial exclusion; scale cannot be quantified for lack of statistics</t>
  </si>
  <si>
    <t xml:space="preserve">The EU banking authority found banks across the EU drop whole groups of customers - payment firms, charities, asylum seekers - to avoid money-laundering risk, causing financial exclusion, though it could not measure how much.</t>
  </si>
  <si>
    <t xml:space="preserve">EU, 2020-21</t>
  </si>
  <si>
    <t xml:space="preserve">qualitative; scale unquantified</t>
  </si>
  <si>
    <t xml:space="preserve">https://www.eba.europa.eu/publications-and-media/press-releases/eba-alerts-detrimental-impact-unwarranted-de-risking-and</t>
  </si>
  <si>
    <t xml:space="preserve">http://web.archive.org/web/20260926054127/https://www.eba.europa.eu/publications-and-media/press-releases/eba-alerts-detrimental-impact-unwarranted-de-risking-and</t>
  </si>
  <si>
    <t xml:space="preserve">rice-vonpeter-boar-2020</t>
  </si>
  <si>
    <t xml:space="preserve">Rice, T., von Peter, G. &amp; Boar, C. (2020), On the global retreat of correspondent banks, BIS Quarterly Review, March 2020</t>
  </si>
  <si>
    <t xml:space="preserve">descriptive panel analysis of SWIFT data, 2011-2018</t>
  </si>
  <si>
    <t xml:space="preserve">correspondent banking relationships; de-risking</t>
  </si>
  <si>
    <t xml:space="preserve">Active correspondent banks fell about 20% since 2011; jurisdictions with weaker governance and AML controls lost more relationships; payments may shift to less regulated channels</t>
  </si>
  <si>
    <t xml:space="preserve">BIS research shows the number of active correspondent banks fell about 20% since 2011, hitting countries with weaker anti-money-laundering controls hardest and potentially pushing payments into less regulated channels.</t>
  </si>
  <si>
    <t xml:space="preserve">global, 2011-2018</t>
  </si>
  <si>
    <t xml:space="preserve">descriptive/correlational</t>
  </si>
  <si>
    <t xml:space="preserve">https://www.bis.org/publ/qtrpdf/r_qt2003g.htm</t>
  </si>
  <si>
    <t xml:space="preserve">https://www.bis.org/publ/qtrpdf/r_qt2003g.pdf</t>
  </si>
  <si>
    <t xml:space="preserve">http://web.archive.org/web/20260606174214/https://www.bis.org/publ/qtrpdf/r_qt2003g.htm</t>
  </si>
  <si>
    <t xml:space="preserve">eca-2021-aml-banking</t>
  </si>
  <si>
    <t xml:space="preserve">European Court of Auditors (2021), EU efforts to fight money laundering in the banking sector are fragmented and implementation is insufficient (Special report 13/2021), ECA Special report 13/2021</t>
  </si>
  <si>
    <t xml:space="preserve">supervision; enforcement</t>
  </si>
  <si>
    <t xml:space="preserve">negative (pre-reform baseline)</t>
  </si>
  <si>
    <t xml:space="preserve">Institutional fragmentation and poor coordination at EU level; supervision national with insufficient EU oversight; limited EU tools to ensure application of AML rules</t>
  </si>
  <si>
    <t xml:space="preserve">The EU's auditors found pre-reform anti-money-laundering supervision fragmented and weakly enforced - the problem the AMLR and new EU authority aim to fix.</t>
  </si>
  <si>
    <t xml:space="preserve">EU, pre-2021</t>
  </si>
  <si>
    <t xml:space="preserve">audit; baseline evidence</t>
  </si>
  <si>
    <t xml:space="preserve">https://op.europa.eu/webpub/eca/special-reports/fight-money-laundering-13-2021/en/</t>
  </si>
  <si>
    <t xml:space="preserve">http://web.archive.org/web/20251125175117/https://op.europa.eu/webpub/eca/special-reports/fight-money-laundering-13-2021/en/</t>
  </si>
  <si>
    <t xml:space="preserve">europol-2017-suspicion-action</t>
  </si>
  <si>
    <t xml:space="preserve">Europol (2017), From suspicion to action: Converting financial intelligence into greater operational impact, Europol</t>
  </si>
  <si>
    <t xml:space="preserve">descriptive (FIU and STR statistics, 2006-2014)</t>
  </si>
  <si>
    <t xml:space="preserve">suspicious transaction reports; confiscation</t>
  </si>
  <si>
    <t xml:space="preserve">Only around 10% of STRs lead to further investigation; barely 1% of criminal proceeds in the EU are confiscated</t>
  </si>
  <si>
    <t xml:space="preserve">Europol found only about one in ten suspicious-transaction reports is investigated further and barely 1% of criminal proceeds are confiscated - a baseline for judging the AMLR.</t>
  </si>
  <si>
    <t xml:space="preserve">EU, 2006-2014</t>
  </si>
  <si>
    <t xml:space="preserve">https://www.europol.europa.eu/publications-events/publications/suspicion-to-action-converting-financial-intelligence-greater-operational-impact</t>
  </si>
  <si>
    <t xml:space="preserve">ec-2021-aiact-ia</t>
  </si>
  <si>
    <t xml:space="preserve">European Commission (2021), Impact Assessment accompanying the AI Act proposal (executive summary SWD(2021) 85), SWD(2021) 84</t>
  </si>
  <si>
    <t xml:space="preserve">compliance costs; SMEs; trust</t>
  </si>
  <si>
    <t xml:space="preserve">Aggregate compliance cost EUR 100-500m by 2025 (up to 4-5% of investment in high-risk AI, assumed 5-15% of applications), plus 2-5% verification costs; SMEs expected to benefit from higher trust</t>
  </si>
  <si>
    <t xml:space="preserve">The Commission expected compliance to cost EUR 100-500 million in total by 2025, because only 5-15% of AI systems would count as high-risk.</t>
  </si>
  <si>
    <t xml:space="preserve">https://eur-lex.europa.eu/legal-content/EN/TXT/?uri=CELEX:52021SC0085</t>
  </si>
  <si>
    <t xml:space="preserve">http://web.archive.org/web/20260212030150/https://eur-lex.europa.eu/legal-content/EN/TXT/?uri=CELEX%3A52021SC0085</t>
  </si>
  <si>
    <t xml:space="preserve">eurostat-ai-use-2025</t>
  </si>
  <si>
    <t xml:space="preserve">Eurostat (2025), Use of artificial intelligence in enterprises, Statistics Explained (data extracted December 2025)</t>
  </si>
  <si>
    <t xml:space="preserve">official statistics</t>
  </si>
  <si>
    <t xml:space="preserve">AI uptake</t>
  </si>
  <si>
    <t xml:space="preserve">n/a (monitoring indicator)</t>
  </si>
  <si>
    <t xml:space="preserve">AI use by EU enterprises (10+ employees): 7.7% (2021), 8.1% (2023), 13.5% (2024), 19.95% (2025); large enterprises 55%; Denmark 42%, Romania 5%</t>
  </si>
  <si>
    <t xml:space="preserve">One in five EU firms used AI in 2025, up from one in thirteen in 2023 - one of the Act's own success indicators, though the rise reflects the generative-AI boom rather than the Act.</t>
  </si>
  <si>
    <t xml:space="preserve">EU-27, 2021-2025</t>
  </si>
  <si>
    <t xml:space="preserve">descriptive; not causal</t>
  </si>
  <si>
    <t xml:space="preserve">search summary of official release</t>
  </si>
  <si>
    <t xml:space="preserve">https://ec.europa.eu/eurostat/statistics-explained/index.php/Use_of_artificial_intelligence_in_enterprises</t>
  </si>
  <si>
    <t xml:space="preserve">ai-omnibus-2026</t>
  </si>
  <si>
    <t xml:space="preserve">Council of the EU / European Parliament (2026), Digital Omnibus on AI (amending the AI Act): postponement of high-risk obligations, Political agreement 7 May 2026; Parliament 16 June, Council 29 June 2026</t>
  </si>
  <si>
    <t xml:space="preserve">legislative record (secondary summary)</t>
  </si>
  <si>
    <t xml:space="preserve">legislative record</t>
  </si>
  <si>
    <t xml:space="preserve">High-risk obligations postponed from 2 Aug 2026 to 2 Dec 2027 (Annex III) and from 2 Aug 2027 to 2 Aug 2028 (Annex I)</t>
  </si>
  <si>
    <t xml:space="preserve">Two years after adoption, EU lawmakers postponed the AI Act's main high-risk rules by more than a year to give firms and standard-setters more time.</t>
  </si>
  <si>
    <t xml:space="preserve">law-firm summary; check Official Journal text</t>
  </si>
  <si>
    <t xml:space="preserve">search summary</t>
  </si>
  <si>
    <t xml:space="preserve">https://www.addleshawgoddard.com/en/insights/insights-briefings/2026/technology/ai-omnibus-provisional-agreement-changes-eu-ai-act-delayed-deadlines/</t>
  </si>
  <si>
    <t xml:space="preserve">http://web.archive.org/web/20260616000131/https://www.addleshawgoddard.com/en/insights/insights-briefings/2026/technology/ai-omnibus-provisional-agreement-changes-eu-ai-act-delayed-deadlines/</t>
  </si>
  <si>
    <t xml:space="preserve">appliedai-2022-startups</t>
  </si>
  <si>
    <t xml:space="preserve">appliedAI Institute / Digital Poland et al. (2022), AI Act Impact Survey: Exploring the impact of the AI Act on startups in Europe, Survey of 113 AI start-ups and VC firms</t>
  </si>
  <si>
    <t xml:space="preserve">industry/advocacy survey</t>
  </si>
  <si>
    <t xml:space="preserve">survey (ex-ante, draft Act)</t>
  </si>
  <si>
    <t xml:space="preserve">innovation; investment; compliance burden</t>
  </si>
  <si>
    <t xml:space="preserve">33-50% of start-ups expected their systems to be high-risk (vs 5-15% assumed by the Commission); about 16% considered stopping AI development or relocating outside the EU; 73% of surveyed VCs expected reduced competitiveness</t>
  </si>
  <si>
    <t xml:space="preserve">Before adoption, many AI start-ups expected far more of their products to be classed as high-risk than the Commission assumed, and some considered leaving the EU.</t>
  </si>
  <si>
    <t xml:space="preserve">EU start-ups, 2022</t>
  </si>
  <si>
    <t xml:space="preserve">small, self-selected sample; expectations not outcomes</t>
  </si>
  <si>
    <t xml:space="preserve">Start-up and digital-industry associations</t>
  </si>
  <si>
    <t xml:space="preserve">https://www.digitalpoland.org/en/blog/2022/12/artificial-intelligence-act-will-reduce-the-competitiveness-of-the-european-ai-ecosystem</t>
  </si>
  <si>
    <t xml:space="preserve">http://web.archive.org/web/20260514221615/https://digitalpoland.org/en/blog/2022/12/artificial-intelligence-act-will-reduce-the-competitiveness-of-the-european-ai-ecosystem</t>
  </si>
  <si>
    <t xml:space="preserve">ec-2023-nzia-proposal</t>
  </si>
  <si>
    <t xml:space="preserve">European Commission (2023), Proposal for a Net-Zero Industry Act, explanatory memorandum, COM(2023) 161</t>
  </si>
  <si>
    <t xml:space="preserve">ex-ante (no IA)</t>
  </si>
  <si>
    <t xml:space="preserve">manufacturing capacity; market size</t>
  </si>
  <si>
    <t xml:space="preserve">Proposal not accompanied by an impact assessment owing to urgency; global market for key mass-manufactured net-zero technologies expected to reach about EUR 600bn a year by 2030 (IEA)</t>
  </si>
  <si>
    <t xml:space="preserve">The Commission proposed the Act without an impact assessment, pointing to a global clean-tech market worth about EUR 600 billion a year by 2030.</t>
  </si>
  <si>
    <t xml:space="preserve">EU/global, forecast</t>
  </si>
  <si>
    <t xml:space="preserve">no impact assessment</t>
  </si>
  <si>
    <t xml:space="preserve">https://eur-lex.europa.eu/legal-content/EN/TXT/?uri=CELEX:52023PC0161</t>
  </si>
  <si>
    <t xml:space="preserve">ec-2023-nzia-swd68</t>
  </si>
  <si>
    <t xml:space="preserve">European Commission (2023), Investment needs assessment and funding availabilities to strengthen EU's Net-Zero technology manufacturing capacity, SWD(2023) 68</t>
  </si>
  <si>
    <t xml:space="preserve">investment needs</t>
  </si>
  <si>
    <t xml:space="preserve">n/a (needs estimate)</t>
  </si>
  <si>
    <t xml:space="preserve">Estimates EU investment needed in net-zero manufacturing; secondary reports put it at around EUR 92bn by 2030</t>
  </si>
  <si>
    <t xml:space="preserve">The Commission's background analysis estimated the investment needed to build EU clean-tech factories, reported at around EUR 92 billion by 2030.</t>
  </si>
  <si>
    <t xml:space="preserve">https://data.consilium.europa.eu/doc/document/ST-7613-2023-ADD-2/en/pdf</t>
  </si>
  <si>
    <t xml:space="preserve">tagliapietra-veugelers-zettelmeyer-2023</t>
  </si>
  <si>
    <t xml:space="preserve">Tagliapietra, Veugelers &amp; Zettelmeyer (2023), Rebooting the European Union's Net Zero Industry Act, Bruegel Policy Brief 15/2023</t>
  </si>
  <si>
    <t xml:space="preserve">think-tank policy brief</t>
  </si>
  <si>
    <t xml:space="preserve">policy analysis</t>
  </si>
  <si>
    <t xml:space="preserve">competitiveness; investment; governance</t>
  </si>
  <si>
    <t xml:space="preserve">Calls the proposal unconvincing: top-down technology picking, a poorly defined protectionist 40% self-sufficiency benchmark, reliance on permitting although it is not the main obstacle, ineffective procurement design and no governance structure</t>
  </si>
  <si>
    <t xml:space="preserve">Bruegel economists argued the Act picks technologies, sets a vague 40% self-sufficiency goal and targets permitting, which is not the main barrier to clean-tech investment.</t>
  </si>
  <si>
    <t xml:space="preserve">expert critique, not empirical</t>
  </si>
  <si>
    <t xml:space="preserve">https://hdl.handle.net/10419/274229</t>
  </si>
  <si>
    <t xml:space="preserve">ec-2022-espr-ia</t>
  </si>
  <si>
    <t xml:space="preserve">European Commission (2022), Impact Assessment accompanying the proposal for an Ecodesign for Sustainable Products Regulation (executive summary SWD(2022) 83), SWD(2022) 82</t>
  </si>
  <si>
    <t xml:space="preserve">environment; consumer costs; business costs</t>
  </si>
  <si>
    <t xml:space="preserve">Framework design means costs and benefits cannot be identified precisely; expects significant GHG reductions and market greening, some costs passed to consumers but offset by long-run savings; each delegated act to have its own IA (RSB first gave a negative opinion)</t>
  </si>
  <si>
    <t xml:space="preserve">The Commission expected greener, longer-lasting products and lower emissions, but said overall costs and benefits could only be estimated when rules for each product are set.</t>
  </si>
  <si>
    <t xml:space="preserve">https://eur-lex.europa.eu/legal-content/EN/TXT/?uri=CELEX:52022SC0083</t>
  </si>
  <si>
    <t xml:space="preserve">https://eur-lex.europa.eu/legal-content/EN/TXT/PDF/?uri=CELEX:52022SC0083</t>
  </si>
  <si>
    <t xml:space="preserve">http://web.archive.org/web/20251212160049/https://eur-lex.europa.eu/legal-content/EN/TXT/?uri=celex%3A52022SC0083</t>
  </si>
  <si>
    <t xml:space="preserve">inforse-2022-espr</t>
  </si>
  <si>
    <t xml:space="preserve">INFORSE-Europe (2022), EU Ecodesign for Sustainable Products proposal (summary page), INFORSE-Europe</t>
  </si>
  <si>
    <t xml:space="preserve">NGO summary of Commission figures</t>
  </si>
  <si>
    <t xml:space="preserve">energy savings</t>
  </si>
  <si>
    <t xml:space="preserve">Reports Commission estimate that the framework could deliver 132 Mtoe primary energy savings by 2030, about 150 bcm of gas, nearly equal to EU imports of Russian gas</t>
  </si>
  <si>
    <t xml:space="preserve">The Commission said the ecodesign framework could save energy by 2030 roughly equal to the EU's imports of Russian gas.</t>
  </si>
  <si>
    <t xml:space="preserve">secondary report of Commission forecast</t>
  </si>
  <si>
    <t xml:space="preserve">Environmental NGO network advocating energy-efficiency policy</t>
  </si>
  <si>
    <t xml:space="preserve">https://inforse.org/europe/eu_ecodesign_sust_products.htm</t>
  </si>
  <si>
    <t xml:space="preserve">ec-2022-smei-ia</t>
  </si>
  <si>
    <t xml:space="preserve">European Commission (2022), Impact Assessment accompanying the Single Market Emergency Instrument proposal (executive summary SWD(2022) 290), SWD(2022) 289</t>
  </si>
  <si>
    <t xml:space="preserve">free movement in crises; supply of crisis-relevant goods; business costs</t>
  </si>
  <si>
    <t xml:space="preserve">Benefits described qualitatively (fewer obstacles to free movement, better availability of crisis goods); costs for firms from information requests, ramp-up obligations and priority-rated orders; SMEs could be hit by mandatory information requests; no headline monetised figures</t>
  </si>
  <si>
    <t xml:space="preserve">The Commission expected better crisis coordination and supply of essential goods but did not put a figure on the benefits, and warned that information requests and priority orders could burden firms.</t>
  </si>
  <si>
    <t xml:space="preserve">forecast; unquantified</t>
  </si>
  <si>
    <t xml:space="preserve">https://eur-lex.europa.eu/legal-content/EN/TXT/?uri=CELEX:52022SC0290</t>
  </si>
  <si>
    <t xml:space="preserve">http://web.archive.org/web/20241106214056/https://eur-lex.europa.eu/legal-content/EN/TXT/?uri=celex%3A52022SC0290</t>
  </si>
  <si>
    <t xml:space="preserve">ec-2022-cra-ia</t>
  </si>
  <si>
    <t xml:space="preserve">European Commission (2022), Impact Assessment accompanying the Cyber Resilience Act proposal (executive summary SWD(2022) 283), SWD(2022) 282</t>
  </si>
  <si>
    <t xml:space="preserve">incident costs; compliance costs; prices</t>
  </si>
  <si>
    <t xml:space="preserve">Incident costs for businesses reduced by roughly EUR 180-290bn a year; compliance costs up to about EUR 29bn; possible higher prices for users; SMEs more affected as manufacturers</t>
  </si>
  <si>
    <t xml:space="preserve">The Commission expected the Act to cut the cost of cyber incidents for firms by EUR 180-290 billion a year, against compliance costs of up to EUR 29 billion.</t>
  </si>
  <si>
    <t xml:space="preserve">https://eur-lex.europa.eu/legal-content/EN/TXT/?uri=CELEX:52022SC0283</t>
  </si>
  <si>
    <t xml:space="preserve">lawson-hendrick-2025-cra</t>
  </si>
  <si>
    <t xml:space="preserve">Lawson &amp; Hendrick (2025), Unaware and Uncertain: The Stark Realities of Cyber Resilience Act Readiness in Open Source, Linux Foundation Research (with OpenSSF and LF Europe)</t>
  </si>
  <si>
    <t xml:space="preserve">industry survey report</t>
  </si>
  <si>
    <t xml:space="preserve">survey (descriptive)</t>
  </si>
  <si>
    <t xml:space="preserve">awareness; readiness; SBOM use</t>
  </si>
  <si>
    <t xml:space="preserve">negative (readiness gaps)</t>
  </si>
  <si>
    <t xml:space="preserve">Most respondents unfamiliar with the CRA (62% not at all or only slightly familiar), uncertain about deadlines and penalties; manufacturers rely passively on upstream fixes and few produce SBOMs; calls for funding, legal support and clear guidance</t>
  </si>
  <si>
    <t xml:space="preserve">A 2025 survey of the open-source community found most people knew little about the Act and many manufacturers were not ready.</t>
  </si>
  <si>
    <t xml:space="preserve">global open-source community, 2024-25</t>
  </si>
  <si>
    <t xml:space="preserve">non-random survey</t>
  </si>
  <si>
    <t xml:space="preserve">Linux Foundation and OpenSSF represent open-source projects and member companies directly affected by the CRA</t>
  </si>
  <si>
    <t xml:space="preserve">https://www.linuxfoundation.org/research/cra-readiness</t>
  </si>
  <si>
    <t xml:space="preserve">http://web.archive.org/web/20260515051911/https://www.linuxfoundation.org/research/cra-readiness</t>
  </si>
  <si>
    <t xml:space="preserve">VAT revenue; compliance costs; administrative burden</t>
  </si>
  <si>
    <t xml:space="preserve">Enhanced option: EUR 172-214bn net impact 2023-2032; EUR 135-177bn extra VAT revenue; EUR 50.6bn business savings vs EUR 11.3bn new reporting costs; EUR 2.2bn implementation costs for tax administrations; 280,000 SMEs save up to EUR 7bn</t>
  </si>
  <si>
    <t xml:space="preserve">The Commission expected the package to bring in EUR 135-177 billion of extra VAT and save businesses about EUR 51 billion over ten years, with new digital reporting costing firms about EUR 11 billion.</t>
  </si>
  <si>
    <t xml:space="preserve">EU-27, 2023-2032 forecast</t>
  </si>
  <si>
    <t xml:space="preserve">https://eur-lex.europa.eu/legal-content/EN/TXT/?uri=CELEX:52022SC0394</t>
  </si>
  <si>
    <t xml:space="preserve">case-2022-vida-study</t>
  </si>
  <si>
    <t xml:space="preserve">Economisti Associati, Oxford Research, CASE, Wavestone et al. (2022), VAT in the digital age: final report (Vol. 1 Digital Reporting Requirements), Study for DG TAXUD, Publications Office of the EU</t>
  </si>
  <si>
    <t xml:space="preserve">ex-ante / comparative review of national DRRs</t>
  </si>
  <si>
    <t xml:space="preserve">12 Member States had digital reporting requirements by Sept 2021; these showed positive net impacts as extra VAT revenue exceeded set-up and compliance costs; fragmentation of national systems identified as core problem</t>
  </si>
  <si>
    <t xml:space="preserve">The study behind the impact assessment found that national digital VAT reporting schemes raised more revenue than they cost, but that their patchwork burdens cross-border firms.</t>
  </si>
  <si>
    <t xml:space="preserve">EU-27, to 2021</t>
  </si>
  <si>
    <t xml:space="preserve">contracted study; underpins IA</t>
  </si>
  <si>
    <t xml:space="preserve">Commissioned by DG TAXUD</t>
  </si>
  <si>
    <t xml:space="preserve">https://case-research.eu/en/vat-in-the-digital-age-102154</t>
  </si>
  <si>
    <t xml:space="preserve">http://web.archive.org/web/20240529053042/http://www.case-research.eu/en/vat-in-the-digital-age-102154</t>
  </si>
  <si>
    <t xml:space="preserve">ec-2025-vat-gap</t>
  </si>
  <si>
    <t xml:space="preserve">European Commission (DG TAXUD) (2025), VAT Gap in the EU - 2025 report, Commission report and data hub</t>
  </si>
  <si>
    <t xml:space="preserve">Commission statistics</t>
  </si>
  <si>
    <t xml:space="preserve">descriptive (top-down gap estimate)</t>
  </si>
  <si>
    <t xml:space="preserve">VAT compliance gap (baseline)</t>
  </si>
  <si>
    <t xml:space="preserve">VAT compliance gap EUR 128bn in 2023 (+1.6 pp on 2022); actionable policy gap EUR 742bn</t>
  </si>
  <si>
    <t xml:space="preserve">Before ViDA takes effect, about EUR 128 billion of VAT due in 2023 went uncollected; this is the baseline ViDA aims to cut.</t>
  </si>
  <si>
    <t xml:space="preserve">EU-27, 2023</t>
  </si>
  <si>
    <t xml:space="preserve">official baseline</t>
  </si>
  <si>
    <t xml:space="preserve">https://taxation-customs.ec.europa.eu/taxation/vat/fight-against-vat-fraud/vat-gap_en</t>
  </si>
  <si>
    <t xml:space="preserve">http://web.archive.org/web/20261008142928/https://taxation-customs.ec.europa.eu/taxation/vat/fight-against-vat-fraud/vat-gap_en</t>
  </si>
  <si>
    <t xml:space="preserve">ec-2025-vida-implementation</t>
  </si>
  <si>
    <t xml:space="preserve">European Commission (DG TAXUD) (2025), VAT in the Digital Age: implementation strategy to support businesses and Member States, News item, 24 September 2025</t>
  </si>
  <si>
    <t xml:space="preserve">Commission implementation document</t>
  </si>
  <si>
    <t xml:space="preserve">roadmap</t>
  </si>
  <si>
    <t xml:space="preserve">Restates expected benefits of EUR 172-214bn over a decade including EUR 51bn savings for businesses; sets roadmap of action points to 2035</t>
  </si>
  <si>
    <t xml:space="preserve">The Commission's implementation plan restates the impact-assessment forecasts and sets out steps to 2035; no results yet.</t>
  </si>
  <si>
    <t xml:space="preserve">official claim</t>
  </si>
  <si>
    <t xml:space="preserve">https://taxation-customs.ec.europa.eu/news/vat-digital-age-implementation-strategy-support-businesses-and-member-states-2025-09-24_en</t>
  </si>
  <si>
    <t xml:space="preserve">http://web.archive.org/web/20260411234629/https://taxation-customs.ec.europa.eu/news/vat-digital-age-implementation-strategy-support-businesses-and-member-states-2025-09-24_en</t>
  </si>
  <si>
    <t xml:space="preserve">eca-2023-cyber-solidarity-opinion</t>
  </si>
  <si>
    <t xml:space="preserve">European Court of Auditors (2023), Opinion 02/2023 concerning the proposal for a Regulation laying down measures to strengthen solidarity and capacities in the Union to detect, prepare for and respond to cybersecurity threats and incidents, ECA Opinion 02/2023</t>
  </si>
  <si>
    <t xml:space="preserve">audit body opinion</t>
  </si>
  <si>
    <t xml:space="preserve">ex-ante review</t>
  </si>
  <si>
    <t xml:space="preserve">costs; governance; performance monitoring</t>
  </si>
  <si>
    <t xml:space="preserve">critical</t>
  </si>
  <si>
    <t xml:space="preserve">No impact assessment and no estimate of total costs; DEP IA does not cover the new measures; risk of added complexity and overlap in the EU cybersecurity landscape; proposed indicator measures output only</t>
  </si>
  <si>
    <t xml:space="preserve">The EU's auditors criticised the absence of an impact assessment or cost estimate and warned the new structures add complexity and that the planned indicator would only count activities, not results.</t>
  </si>
  <si>
    <t xml:space="preserve">official audit opinion</t>
  </si>
  <si>
    <t xml:space="preserve">https://www.eca.europa.eu/ECAPublications/OP-2023-02/OP-2023-02_EN.pdf</t>
  </si>
  <si>
    <t xml:space="preserve">http://web.archive.org/web/20250921122905/https://www.eca.europa.eu/ECAPublications/OP-2023-02/OP-2023-02_EN.pdf</t>
  </si>
  <si>
    <t xml:space="preserve">ec-2025-dep-interim-evaluation</t>
  </si>
  <si>
    <t xml:space="preserve">European Commission (2025), The Digital Europe Programme: Main findings of the interim evaluation, COM(2025) 771</t>
  </si>
  <si>
    <t xml:space="preserve">programme evaluation (monitoring data, stakeholder consultation)</t>
  </si>
  <si>
    <t xml:space="preserve">cybersecurity infrastructure outputs</t>
  </si>
  <si>
    <t xml:space="preserve">26 cybersecurity infrastructures (CyberHubs) procured including two cross-border CyberHubs, in line with targets; Cyber Solidarity Act introduced the Cyber Emergency Mechanism into Digital Europe</t>
  </si>
  <si>
    <t xml:space="preserve">The Commission reports that 26 security-operations hubs, two of them cross-border, have been funded on target, but gives no measure of whether they detect threats better.</t>
  </si>
  <si>
    <t xml:space="preserve">ec-2022-ehds-ia</t>
  </si>
  <si>
    <t xml:space="preserve">European Commission (2022), Impact assessment accompanying the proposal on the European Health Data Space (executive summary SWD(2022) 132), SWD(2022) 131</t>
  </si>
  <si>
    <t xml:space="preserve">economic benefits; costs; SMEs; access to health data</t>
  </si>
  <si>
    <t xml:space="preserve">Preferred option: total economic benefits above EUR 11bn over 10 years; costs EUR 0.7-2.5bn above baseline over 10 years, mainly digital infrastructure (MyHealth@EU, health data access bodies) and certification</t>
  </si>
  <si>
    <t xml:space="preserve">The Commission expected the health data space to bring more than EUR 11 billion in benefits over ten years for EUR 0.7-2.5 billion of costs.</t>
  </si>
  <si>
    <t xml:space="preserve">EU-27, 10-year forecast</t>
  </si>
  <si>
    <t xml:space="preserve">https://eur-lex.europa.eu/legal-content/EN/TXT/?uri=CELEX:52022SC0132</t>
  </si>
  <si>
    <t xml:space="preserve">http://web.archive.org/web/20240713074117/https://eur-lex.europa.eu/legal-content/EN/TXT/?uri=celex%3A52022SC0132</t>
  </si>
  <si>
    <t xml:space="preserve">marcus-et-al-2022-ehds</t>
  </si>
  <si>
    <t xml:space="preserve">Marcus, Martens, Carugati, Bucher &amp; Godlovitch (2022), The European Health Data Space, Study for the European Parliament ITRE committee (Policy Department for Economic, Scientific and Quality of Life Policies); SSRN 4300393</t>
  </si>
  <si>
    <t xml:space="preserve">Parliament-commissioned study</t>
  </si>
  <si>
    <t xml:space="preserve">legal and economic analysis (ex-ante)</t>
  </si>
  <si>
    <t xml:space="preserve">implementation costs; incentives for healthcare providers; governance</t>
  </si>
  <si>
    <t xml:space="preserve">Examines legal and economic challenges to implementing the proposed EHDS, including costs and incentives for health care providers and EU/Member State institutional interaction; recommends design improvements</t>
  </si>
  <si>
    <t xml:space="preserve">A study for the European Parliament found that providers' costs and weak incentives, and the split between EU and national bodies, could hold back the health data space, and proposed design changes.</t>
  </si>
  <si>
    <t xml:space="preserve">qualitative ex-ante analysis</t>
  </si>
  <si>
    <t xml:space="preserve">https://doi.org/10.2139/ssrn.4300393</t>
  </si>
  <si>
    <t xml:space="preserve">eit-health-2024-ehds-funding</t>
  </si>
  <si>
    <t xml:space="preserve">EIT Health Think Tank (2024), Report on implementing the European Health Data Space (released at EIT Health Summit, May 2024), EIT Health (as reported by Pulse IT and Research Professional News)</t>
  </si>
  <si>
    <t xml:space="preserve">think tank report (secondary report)</t>
  </si>
  <si>
    <t xml:space="preserve">expert consultation</t>
  </si>
  <si>
    <t xml:space="preserve">implementation funding</t>
  </si>
  <si>
    <t xml:space="preserve">Commission implementation budget 'significantly misaligned with the ambition level' of the regulation; Member States must increase their commitment to funding</t>
  </si>
  <si>
    <t xml:space="preserve">A health-innovation think tank warned that the money set aside to implement the health data space falls short of its ambitions and called on national governments to contribute more.</t>
  </si>
  <si>
    <t xml:space="preserve">expert opinion; report not read directly</t>
  </si>
  <si>
    <t xml:space="preserve">EIT Health network includes industry partners that would use health data</t>
  </si>
  <si>
    <t xml:space="preserve">https://www.researchprofessionalnews.com/rr-news-europe-innovation-2024-4-more-commitment-needed-for-european-health-data-space/</t>
  </si>
  <si>
    <t xml:space="preserve">http://web.archive.org/web/20240521223823/https://www.researchprofessionalnews.com/rr-news-europe-innovation-2024-4-more-commitment-needed-for-european-health-data-space/</t>
  </si>
  <si>
    <t xml:space="preserve">ec-2025-myhealth-status</t>
  </si>
  <si>
    <t xml:space="preserve">European Commission (DG SANTE) (2025), My rights over my health data, Commission web page</t>
  </si>
  <si>
    <t xml:space="preserve">cross-border exchange of health data (baseline)</t>
  </si>
  <si>
    <t xml:space="preserve">15 Member States support sharing patient summaries and ePrescriptions via MyHealth@EU; only a few countries can send or receive data digitally across borders in early 2025; 10 countries still use paper prescriptions</t>
  </si>
  <si>
    <t xml:space="preserve">In early 2025, 15 EU countries could share patient summaries and e-prescriptions across borders; the EHDS requires all to do so by 2029.</t>
  </si>
  <si>
    <t xml:space="preserve">EU, early 2025</t>
  </si>
  <si>
    <t xml:space="preserve">https://health.ec.europa.eu/ehealth-digital-health-and-care/my-rights-over-my-health-data_en</t>
  </si>
  <si>
    <t xml:space="preserve">European Commission (2023), Impact assessment accompanying the proposal for a Regulation on the safety of toys (executive summary SWD(2023) 270), SWD(2023) 269</t>
  </si>
  <si>
    <t xml:space="preserve">child health; compliance costs; market surveillance</t>
  </si>
  <si>
    <t xml:space="preserve">Health benefits EUR 240m-1.2bn/yr from endocrine-disruptor ban alone; one-off redesign costs EUR 23.5-397m; EUR 249-367m worth of products affected; product passport EUR 18m one-off + EUR 10.5m/yr, offset by EUR 13-20m/yr inspection savings and EUR 2.6-3.9m/yr digital information savings</t>
  </si>
  <si>
    <t xml:space="preserve">The Commission expected the new chemical bans to avoid EUR 240 million to 1.2 billion a year in health damage, at one-off costs to industry of up to about EUR 400 million.</t>
  </si>
  <si>
    <t xml:space="preserve">https://eur-lex.europa.eu/legal-content/EN/TXT/?uri=CELEX:52023SC0270</t>
  </si>
  <si>
    <t xml:space="preserve">http://web.archive.org/web/20231210004816/https://eur-lex.europa.eu/legal-content/EN/TXT/?uri=CELEX%3A52023SC0270</t>
  </si>
  <si>
    <t xml:space="preserve">ec-2025-safety-gate-2024</t>
  </si>
  <si>
    <t xml:space="preserve">European Commission (2025), Safety Gate: 2024 results, Commission annual report (as summarised by UL and SGS)</t>
  </si>
  <si>
    <t xml:space="preserve">Commission statistics (secondary report)</t>
  </si>
  <si>
    <t xml:space="preserve">dangerous product alerts (baseline)</t>
  </si>
  <si>
    <t xml:space="preserve">Record 4,137 alerts in 2024; toys 15% of alerts, second after cosmetics (36%); chemical risks 49% of all alerts</t>
  </si>
  <si>
    <t xml:space="preserve">Toys made up 15% of the EU's record 4,137 alerts on dangerous products in 2024, a baseline the new rules aim to reduce.</t>
  </si>
  <si>
    <t xml:space="preserve">official statistics, secondary summary</t>
  </si>
  <si>
    <t xml:space="preserve">https://www.ul.com/news/consumer-products-eu-commission-publishes-2024-safety-gate-report</t>
  </si>
  <si>
    <t xml:space="preserve">http://web.archive.org/web/20260511235541/https://www.ul.com/news/consumer-products-eu-commission-publishes-2024-safety-gate-report</t>
  </si>
  <si>
    <t xml:space="preserve">tie-2024-marketplace-toys</t>
  </si>
  <si>
    <t xml:space="preserve">Toy Industries of Europe (2024), 80% of toys bought from third-party traders on online marketplaces fail EU safety standards, TIE press release (October 2024)</t>
  </si>
  <si>
    <t xml:space="preserve">industry study</t>
  </si>
  <si>
    <t xml:space="preserve">test purchases (100+ toys, 10 marketplaces)</t>
  </si>
  <si>
    <t xml:space="preserve">non-compliance of toys sold online (baseline)</t>
  </si>
  <si>
    <t xml:space="preserve">80% of toys bought from third-party traders on 10 online marketplaces failed EU safety standards; no well-known brands tested; 2025 follow-up reported 86% of 70 toys posed direct safety risks</t>
  </si>
  <si>
    <t xml:space="preserve">An industry test of more than 100 toys bought from third-party sellers online found 80% broke EU safety rules, the problem the passport and marketplace duties are meant to address.</t>
  </si>
  <si>
    <t xml:space="preserve">EU marketplaces, 2024</t>
  </si>
  <si>
    <t xml:space="preserve">small non-random sample</t>
  </si>
  <si>
    <t xml:space="preserve">EU toy manufacturers' association; competes with non-EU online sellers</t>
  </si>
  <si>
    <t xml:space="preserve">https://toyindustries.eu/80-of-toys-bought-from-third-party-traders-on-online-marketplaces-fail-eu-safety-standards-and-could-be-a-danger-to-children</t>
  </si>
  <si>
    <t xml:space="preserve">http://web.archive.org/web/20260807081840/https://www.toyindustries.eu/80-of-toys-bought-from-third-party-traders-on-online-marketplaces-fail-eu-safety-standards-and-could-be-a-danger-to-children/</t>
  </si>
  <si>
    <t xml:space="preserve">ec-2024-gdpr-second-report</t>
  </si>
  <si>
    <t xml:space="preserve">European Commission (2024), Second Report on the application of the General Data Protection Regulation, COM(2024) 357</t>
  </si>
  <si>
    <t xml:space="preserve">Commission evaluation/review report</t>
  </si>
  <si>
    <t xml:space="preserve">review (DPA and stakeholder input)</t>
  </si>
  <si>
    <t xml:space="preserve">cross-border enforcement (baseline)</t>
  </si>
  <si>
    <t xml:space="preserve">Almost 2,400 cross-border case entries; ~1,500 draft decisions, 990 final infringement decisions (Nov 2023); DPAs receive 100,000+ complaints a year; calls for swift adoption of the procedural rules proposal to deliver quick remedies</t>
  </si>
  <si>
    <t xml:space="preserve">The Commission's 2024 GDPR review described slow, uneven cross-border enforcement and urged adoption of the procedural rules to speed it up.</t>
  </si>
  <si>
    <t xml:space="preserve">official review</t>
  </si>
  <si>
    <t xml:space="preserve">edpb-edps-2023-joint-opinion-procedural</t>
  </si>
  <si>
    <t xml:space="preserve">EDPB &amp; EDPS (2023), Joint Opinion 01/2023 on the Proposal for a Regulation laying down additional procedural rules relating to the enforcement of Regulation (EU) 2016/679, EDPB-EDPS Joint Opinion, September 2023</t>
  </si>
  <si>
    <t xml:space="preserve">regulator opinion</t>
  </si>
  <si>
    <t xml:space="preserve">procedural efficiency; complainants' rights</t>
  </si>
  <si>
    <t xml:space="preserve">Welcomes harmonised complaint admissibility and streamlining of cooperation; calls for swift adoption; stresses complainants' procedural rights</t>
  </si>
  <si>
    <t xml:space="preserve">Europe's data protection regulators backed the proposal as a way to speed up cross-border cases, while asking for stronger rights for complainants.</t>
  </si>
  <si>
    <t xml:space="preserve">expert opinion</t>
  </si>
  <si>
    <t xml:space="preserve">The regulators who apply the rules (the proposal followed the EDPB's own 2022 wish list)</t>
  </si>
  <si>
    <t xml:space="preserve">https://edps.europa.eu/system/files/2023-09/EDPS-EDPB-2023-10-Joint-Opinion-Procedural-Rules-GDPR_EN.pdf</t>
  </si>
  <si>
    <t xml:space="preserve">http://web.archive.org/web/20260306021907/https://www.edps.europa.eu/system/files/2023-09/EDPS-EDPB-2023-10-Joint-Opinion-Procedural-Rules-GDPR_EN.pdf</t>
  </si>
  <si>
    <t xml:space="preserve">euronews-2025-noyb-procedural</t>
  </si>
  <si>
    <t xml:space="preserve">Euronews (reporting noyb) (2025), EU plans to reform data protection rules are 'tangled mess', privacy advocates warn, Euronews, 18 April 2025</t>
  </si>
  <si>
    <t xml:space="preserve">NGO critique (press report)</t>
  </si>
  <si>
    <t xml:space="preserve">procedural complexity; enforcement speed</t>
  </si>
  <si>
    <t xml:space="preserve">noyb argued the trilogue draft would create around ten types of GDPR procedure and could lengthen investigations; Max Schrems called it 'the biggest legislative mess I have seen in a long time'</t>
  </si>
  <si>
    <t xml:space="preserve">Privacy group noyb warned that the negotiated text was so complex it could slow, rather than speed up, cross-border GDPR enforcement.</t>
  </si>
  <si>
    <t xml:space="preserve">EU, 2025 (pre-final text)</t>
  </si>
  <si>
    <t xml:space="preserve">advocacy view on draft text</t>
  </si>
  <si>
    <t xml:space="preserve">noyb files many cross-border GDPR complaints</t>
  </si>
  <si>
    <t xml:space="preserve">https://www.euronews.com/next/2025/04/18/eu-plans-to-reform-data-protection-rules-are-tangled-mess-privacy-advocates-warn</t>
  </si>
  <si>
    <t xml:space="preserve">http://web.archive.org/web/20251226081717/https://www.euronews.com/next/2025/04/18/eu-plans-to-reform-data-protection-rules-are-tangled-mess-privacy-advocates-warn</t>
  </si>
  <si>
    <t xml:space="preserve">ec-2023-compulsory-licensing-ia</t>
  </si>
  <si>
    <t xml:space="preserve">European Commission (2023), Impact assessment accompanying the proposal on compulsory licensing for crisis management (executive summary SWD(2023) 122), SWD(2023) 121</t>
  </si>
  <si>
    <t xml:space="preserve">ex-ante (qualitative scoring)</t>
  </si>
  <si>
    <t xml:space="preserve">crisis supply; negotiation costs; legal certainty; patent owners' control</t>
  </si>
  <si>
    <t xml:space="preserve">Single EU-level licence expected to cut negotiation and procedure costs and give significantly lower risk of delays or unavailability of critical products in crises; patent owners face some loss of control; compulsory licensing described as an 'extremely low probability event'; impacts scored qualitatively, not monetised</t>
  </si>
  <si>
    <t xml:space="preserve">The Commission expected an EU-wide compulsory licence to get critical products to people faster in a crisis, but gave no monetary estimates and expected the tool to be used rarely.</t>
  </si>
  <si>
    <t xml:space="preserve">https://eur-lex.europa.eu/legal-content/EN/TXT/?uri=CELEX:52023SC0122</t>
  </si>
  <si>
    <t xml:space="preserve">http://web.archive.org/web/20250723082015/https://eur-lex.europa.eu/legal-content/EN/TXT/?uri=CELEX:52023SC0122</t>
  </si>
  <si>
    <t xml:space="preserve">eprs-2025-compulsory-licensing</t>
  </si>
  <si>
    <t xml:space="preserve">European Parliamentary Research Service (2025), Union compulsory licensing of patents for crisis management (EU Legislation in Progress briefing, 4th edition), EPRS_BRI(2024)757634</t>
  </si>
  <si>
    <t xml:space="preserve">Parliament research briefing</t>
  </si>
  <si>
    <t xml:space="preserve">legislative analysis</t>
  </si>
  <si>
    <t xml:space="preserve">scope; stakeholder positions</t>
  </si>
  <si>
    <t xml:space="preserve">Civil society backed broad application, industry a narrow scope; the 21 May 2025 provisional agreement largely amended the proposal in favour of rights-holders, excluding semiconductor, gas supply and defence crises and dropping the proposed cap on licence fees</t>
  </si>
  <si>
    <t xml:space="preserve">The Parliament's researchers report that the final deal narrowed the tool in rights-holders' favour, excluding some crises and dropping a cap on royalties.</t>
  </si>
  <si>
    <t xml:space="preserve">https://www.europarl.europa.eu/thinktank/en/document/EPRS_BRI(2024)757634</t>
  </si>
  <si>
    <t xml:space="preserve">http://web.archive.org/web/20260617174349/https://www.europarl.europa.eu/thinktank/en/document/EPRS_BRI(2024)757634</t>
  </si>
  <si>
    <t xml:space="preserve">ec-2022-infosec-ia</t>
  </si>
  <si>
    <t xml:space="preserve">European Commission (2022), Executive summary of the impact analysis report accompanying the proposal for a Regulation on information security in the institutions, bodies, offices and agencies of the Union, SWD(2022) 65</t>
  </si>
  <si>
    <t xml:space="preserve">information security level; administrative efficiency</t>
  </si>
  <si>
    <t xml:space="preserve">Baseline rules expected to raise overall information security and remove weak links; implementation effort compensated by efficiency gains from common tasks (clearances, accreditation); 1 AD + 1 AST for secretariat; no economic impact on Member States or private sector</t>
  </si>
  <si>
    <t xml:space="preserve">The Commission expected common security rules to close weak links between EU bodies at little net cost, but gave no measurable targets.</t>
  </si>
  <si>
    <t xml:space="preserve">EU institutions</t>
  </si>
  <si>
    <t xml:space="preserve">https://eur-lex.europa.eu/legal-content/EN/TXT/?uri=CELEX:52022SC0065</t>
  </si>
  <si>
    <t xml:space="preserve">http://web.archive.org/web/20240619005429/https://eur-lex.europa.eu/legal-content/EN/TXT/?uri=celex%3A52022SC0065</t>
  </si>
  <si>
    <t xml:space="preserve">eca-2022-cybersecurity-euibas</t>
  </si>
  <si>
    <t xml:space="preserve">European Court of Auditors (2022), Cybersecurity of EU institutions, bodies and agencies: Level of preparedness overall not commensurate with the threats, Special report 05/2022</t>
  </si>
  <si>
    <t xml:space="preserve">cybersecurity preparedness (baseline)</t>
  </si>
  <si>
    <t xml:space="preserve">EU bodies' preparedness not commensurate with threats and maturity varies widely; significant incidents rose more than tenfold 2018-2021; recommends binding common rules and more resources for CERT-EU</t>
  </si>
  <si>
    <t xml:space="preserve">EU auditors found that many EU bodies were poorly prepared for cyberattacks, which had increased more than tenfold, and called for binding common rules.</t>
  </si>
  <si>
    <t xml:space="preserve">official audit</t>
  </si>
  <si>
    <t xml:space="preserve">ec-2022-csar-ia</t>
  </si>
  <si>
    <t xml:space="preserve">European Commission (2022), Impact assessment accompanying the proposal laying down rules to prevent and combat child sexual abuse (executive summary SWD(2022) 210), SWD(2022) 209</t>
  </si>
  <si>
    <t xml:space="preserve">detection and reporting; costs; fundamental rights</t>
  </si>
  <si>
    <t xml:space="preserve">Costs: providers EUR 1.6bn one-off and EUR 1.5bn/yr; public authorities EUR 5.4m one-off and EUR 825.6m/yr; EU Centre EUR 5m one-off and EUR 25.7m/yr; benefits described qualitatively (more reports, less fragmentation, better victim support)</t>
  </si>
  <si>
    <t xml:space="preserve">The Commission estimated the rules would cost online services about EUR 1.5 billion a year and public authorities about EUR 0.8 billion a year, in return for more detection and reporting of abuse.</t>
  </si>
  <si>
    <t xml:space="preserve">forecast; benefits not monetised in summary</t>
  </si>
  <si>
    <t xml:space="preserve">https://eur-lex.europa.eu/legal-content/EN/TXT/?uri=CELEX:52022SC0210</t>
  </si>
  <si>
    <t xml:space="preserve">http://web.archive.org/web/20250816235506/https://eur-lex.europa.eu/legal-content/EN/TXT/?uri=celex%3A52022SC0210</t>
  </si>
  <si>
    <t xml:space="preserve">eprs-2023-csar-complementary-ia</t>
  </si>
  <si>
    <t xml:space="preserve">Ecorys, Queen Mary University London et al. for EPRS (2023), Proposal for a regulation laying down rules to prevent and combat child sexual abuse: Complementary impact assessment, EPRS study PE 740.248 (requested by LIBE)</t>
  </si>
  <si>
    <t xml:space="preserve">Parliament complementary impact assessment</t>
  </si>
  <si>
    <t xml:space="preserve">ex-ante review (legal, technical and cost-benefit analysis)</t>
  </si>
  <si>
    <t xml:space="preserve">detection accuracy; fundamental rights; EU Centre cost-efficiency</t>
  </si>
  <si>
    <t xml:space="preserve">Weaknesses in Commission problem definition (limited treatment of end-to-end encryption); tools for known material accurate, for new material and grooming substantially less accurate; detection orders for new material and grooming would likely fail proportionality test; most cost-efficient EU Centre option is a hybrid with Europol</t>
  </si>
  <si>
    <t xml:space="preserve">An independent study for the European Parliament found that scanning for previously unknown abuse images and grooming is too inaccurate and intrusive to be proportionate, and that the Commission underplayed encryption.</t>
  </si>
  <si>
    <t xml:space="preserve">independent expert review</t>
  </si>
  <si>
    <t xml:space="preserve">https://www.europarl.europa.eu/thinktank/en/document/EPRS_STU(2023)740248</t>
  </si>
  <si>
    <t xml:space="preserve">https://edri.org/wp-content/uploads/2023/07/EPRS_STU2023740248_EN.pdf</t>
  </si>
  <si>
    <t xml:space="preserve">edpb-edps-2022-csam-opinion</t>
  </si>
  <si>
    <t xml:space="preserve">EDPB &amp; EDPS (2022), Joint Opinion 04/2022 on the Proposal for a Regulation laying down rules to prevent and combat child sexual abuse, EDPB-EDPS Joint Opinion, 28 July 2022</t>
  </si>
  <si>
    <t xml:space="preserve">privacy; data protection; confidentiality of communications</t>
  </si>
  <si>
    <t xml:space="preserve">Vague conditions for detection orders risk generalised and indiscriminate scanning; substantial degradation of confidentiality of communications; proposal may present more risks to individuals and society than to criminals pursued</t>
  </si>
  <si>
    <t xml:space="preserve">Europe's data protection authorities warned the proposal could lead to indiscriminate scanning of private messages and weaken confidentiality for everyone, children included.</t>
  </si>
  <si>
    <t xml:space="preserve">https://edps.europa.eu/system/files/2022-07/22-07-28_edpb-edps-joint-opinion-csam_en.pdf</t>
  </si>
  <si>
    <t xml:space="preserve">ec-2023-fida-ia</t>
  </si>
  <si>
    <t xml:space="preserve">European Commission (2023), Impact Assessment accompanying the proposal for a framework for Financial Data Access, SWD(2023) 224 (executive summary SWD(2023) 230)</t>
  </si>
  <si>
    <t xml:space="preserve">compliance costs; competition; innovation</t>
  </si>
  <si>
    <t xml:space="preserve">Preferred option: one-off API costs of EUR 2.2-2.4bn for 17,745 data holders and EUR 147-465m recurring annual costs, recouped from 3,838 data users through compensation; licensing 350 FISPs about EUR 22m one-off. Benefits (competition, new services, SME access) described qualitatively; cites an outside estimate that open financial data could add 1-1.5% to EU GDP by 2030</t>
  </si>
  <si>
    <t xml:space="preserve">The Commission expected FiDA to cost financial firms about EUR 2.2-2.4 billion up front to build data interfaces, in return for more competition and new data-driven services, which it did not put a figure on.</t>
  </si>
  <si>
    <t xml:space="preserve">executive summary read; full text searched</t>
  </si>
  <si>
    <t xml:space="preserve">https://eur-lex.europa.eu/legal-content/EN/TXT/?uri=CELEX:52023SC0224</t>
  </si>
  <si>
    <t xml:space="preserve">http://web.archive.org/web/20260517133706/https://eur-lex.europa.eu/legal-content/EN/TXT/?uri=CELEX%3A52023SC0224</t>
  </si>
  <si>
    <t xml:space="preserve">European Commission (2023), Report on the review of Directive 2015/2366/EU on payment services (PSD2), COM(2023) 365</t>
  </si>
  <si>
    <t xml:space="preserve">evaluation (ex-post, of predecessor open banking rules)</t>
  </si>
  <si>
    <t xml:space="preserve">open banking; competition</t>
  </si>
  <si>
    <t xml:space="preserve">PSD2 objectives only partly achieved; open banking grew but was hampered by poor-quality data interfaces - the experience FiDA builds on</t>
  </si>
  <si>
    <t xml:space="preserve">The Commission's review of the existing open banking rules found they helped new services grow but that banks' data interfaces were often poor, a lesson used in designing FiDA.</t>
  </si>
  <si>
    <t xml:space="preserve">Commission self-assessment</t>
  </si>
  <si>
    <t xml:space="preserve">ec-2023-psd3-psr-ia</t>
  </si>
  <si>
    <t xml:space="preserve">European Commission (2023), Impact Assessment accompanying the proposals for a Payment Services Regulation and a Payment Services Directive (PSD3), SWD(2023) 231 (executive summary SWD(2023) 232) - joint impact assessment for PSD3 and PSR</t>
  </si>
  <si>
    <t xml:space="preserve">fraud; open banking; competition; compliance costs</t>
  </si>
  <si>
    <t xml:space="preserve">Main benefit: reduction of social engineering fraud (APP fraud on SEPA credit transfers estimated at EUR 323m a year in 2020); more open banking innovation, more bank/non-bank competition. Costs: IBAN/name check for 1,200-1,300 PSPs (~EUR 50m one-off), permission dashboards up to EUR 47m, interface upgrades ~EUR 185m one-off offset by savings</t>
  </si>
  <si>
    <t xml:space="preserve">The Commission expected the payments package to cut fraud in which customers are tricked into paying scammers (put at about EUR 323 million a year) and to boost open banking, at one-off costs of a few hundred million euros.</t>
  </si>
  <si>
    <t xml:space="preserve">https://eur-lex.europa.eu/legal-content/EN/TXT/?uri=CELEX:52023SC0231</t>
  </si>
  <si>
    <t xml:space="preserve">evaluation (ex-post, of PSD2)</t>
  </si>
  <si>
    <t xml:space="preserve">fraud; open banking; competition</t>
  </si>
  <si>
    <t xml:space="preserve">PSD2 objectives only partly achieved: strong customer authentication cut fraud on authenticated payments, but social engineering fraud persists and open banking is hampered by inadequate interfaces</t>
  </si>
  <si>
    <t xml:space="preserve">The Commission's review of the previous payments directive found that strong authentication cut card fraud but scams and poor bank data interfaces remained problems.</t>
  </si>
  <si>
    <t xml:space="preserve">eba-ecb-2025-payment-fraud</t>
  </si>
  <si>
    <t xml:space="preserve">European Banking Authority &amp; European Central Bank (2025), 2025 Report on payment fraud, EBA-ECB joint report, 15 December 2025</t>
  </si>
  <si>
    <t xml:space="preserve">descriptive (reported fraud data, EEA)</t>
  </si>
  <si>
    <t xml:space="preserve">payment fraud</t>
  </si>
  <si>
    <t xml:space="preserve">EEA payment fraud EUR 3.4bn (2022), 3.5bn (2023), 4.2bn (2024); credit transfer fraud EUR 2.2bn in 2024 (+16%), ~85% borne by users, mainly manipulation scams; SCA still effective against fraud it targets</t>
  </si>
  <si>
    <t xml:space="preserve">Payment fraud in Europe rose to EUR 4.2 billion in 2024, with customers bearing most losses from scams - the baseline the new rules aim to improve.</t>
  </si>
  <si>
    <t xml:space="preserve">EEA, 2022-2024</t>
  </si>
  <si>
    <t xml:space="preserve">official statistics; pre-application baseline</t>
  </si>
  <si>
    <t xml:space="preserve">https://www.eba.europa.eu/publications-and-media/press-releases/joint-eba-ecb-report-payment-fraud-strong-authentication-remains-effective-fraudsters-are-adapting</t>
  </si>
  <si>
    <t xml:space="preserve">http://web.archive.org/web/20260711113023/https://www.eba.europa.eu/publications-and-media/press-releases/joint-eba-ecb-report-payment-fraud-strong-authentication-remains-effective-fraudsters-are-adapting</t>
  </si>
  <si>
    <t xml:space="preserve">ec-2023-digital-euro-ia</t>
  </si>
  <si>
    <t xml:space="preserve">European Commission (2023), Impact Assessment accompanying the proposals on the establishment of the digital euro and on digital euro services, SWD(2023) 233 (executive summary SWD(2023) 234)</t>
  </si>
  <si>
    <t xml:space="preserve">financial stability; payment choice; strategic autonomy; costs</t>
  </si>
  <si>
    <t xml:space="preserve">Long-term benefits judged to outweigh costs; holding limits to protect financial stability (citing ECB: EUR 3,000 limit caps supply at max EUR 1tn; JRC bank-by-bank analysis). One-off costs: PSPs up to EUR 6.8bn (or EUR 3.6bn with size-differentiated method); merchants already accepting e-payments EUR 0.8-14bn; recurring costs not estimated</t>
  </si>
  <si>
    <t xml:space="preserve">The Commission judged that a digital euro's long-term benefits - payment choice, a public anchor for money and less reliance on foreign card schemes - outweigh set-up costs of several billion euros, provided holding limits protect banks.</t>
  </si>
  <si>
    <t xml:space="preserve">euro area, forecast</t>
  </si>
  <si>
    <t xml:space="preserve">forecast; benefits largely qualitative</t>
  </si>
  <si>
    <t xml:space="preserve">https://eur-lex.europa.eu/legal-content/EN/TXT/?uri=CELEX:52023SC0233</t>
  </si>
  <si>
    <t xml:space="preserve">http://web.archive.org/web/20261004132438/https://eur-lex.europa.eu/legal-content/EN/TXT/?uri=CELEX%3A52023SC0233</t>
  </si>
  <si>
    <t xml:space="preserve">adalid-et-al-2022-ecb-op293</t>
  </si>
  <si>
    <t xml:space="preserve">Adalid, Álvarez-Blázquez, Assenmacher et al. (2022), Central bank digital currency and bank intermediation, ECB Occasional Paper No 293</t>
  </si>
  <si>
    <t xml:space="preserve">simulation (bank-level balance sheets, take-up scenarios)</t>
  </si>
  <si>
    <t xml:space="preserve">bank deposits; liquidity; bank runs</t>
  </si>
  <si>
    <t xml:space="preserve">Illustrative take-up scenarios from just under EUR 500bn to just over EUR 7tn; effects on bank intermediation vary across banks in normal times and are potentially larger in stress; impact on bank-run dynamics depends on remuneration and usage limits</t>
  </si>
  <si>
    <t xml:space="preserve">ECB staff simulations found a digital euro's effect on bank funding would differ a lot between banks and could be bigger in a crisis, which is why holding limits matter.</t>
  </si>
  <si>
    <t xml:space="preserve">euro area, 2021 data</t>
  </si>
  <si>
    <t xml:space="preserve">ECB staff simulation; views of authors</t>
  </si>
  <si>
    <t xml:space="preserve">ECB is the prospective issuer of the digital euro</t>
  </si>
  <si>
    <t xml:space="preserve">abstract and executive summary read</t>
  </si>
  <si>
    <t xml:space="preserve">https://www.ecb.europa.eu/pub/pdf/scpops/ecb.op293~652cf2b1aa.en.pdf</t>
  </si>
  <si>
    <t xml:space="preserve">http://web.archive.org/web/20260331231428/https://www.ecb.europa.eu/pub/pdf/scpops/ecb.op293%7E652cf2b1aa.en.pdf</t>
  </si>
  <si>
    <t xml:space="preserve">ecb-2025-holding-limits-technical</t>
  </si>
  <si>
    <t xml:space="preserve">European Central Bank (2025), Technical data on the financial stability impact of the digital euro, ECB technical annex for co-legislators, 10 October 2025</t>
  </si>
  <si>
    <t xml:space="preserve">central bank analysis</t>
  </si>
  <si>
    <t xml:space="preserve">simulation (supervisory deposit data, business-as-usual and flight-to-safety scenarios)</t>
  </si>
  <si>
    <t xml:space="preserve">bank deposits; liquidity; profitability</t>
  </si>
  <si>
    <t xml:space="preserve">Business-as-usual: deposit impact contained for all limits up to EUR 3,000; net interest income falls 9-18bp (without digitalisation trend). Flight-to-safety: outflows EUR 156bn (EUR 500 limit) to EUR 699bn (EUR 3,000; 2.2% of bank assets, 8.2% of retail sight deposits); at EUR 3,000, 13 banks (0.3% of assets) reach 100% LCR and 9 (0.1%) could fall below</t>
  </si>
  <si>
    <t xml:space="preserve">The ECB estimates that with a EUR 3,000 holding limit, a severe crisis could move up to EUR 699 billion of deposits into digital euros, but only a handful of small banks would run short of liquidity; in normal times the effect is small.</t>
  </si>
  <si>
    <t xml:space="preserve">euro area, 2025 data</t>
  </si>
  <si>
    <t xml:space="preserve">illustrative; ECB says not its full methodology</t>
  </si>
  <si>
    <t xml:space="preserve">https://www.ecb.europa.eu/euro/digital_euro/timeline/profuse/shared/pdf/ecb.deprep251010_technical_annex_financial_stability_impact_digital_euro.en.pdf</t>
  </si>
  <si>
    <t xml:space="preserve">pwc-2025-digital-euro-cost</t>
  </si>
  <si>
    <t xml:space="preserve">PwC (for EACB, EBF and ESBG) (2025), Digital Euro Cost Study, Study commissioned by European bank associations, June 2025</t>
  </si>
  <si>
    <t xml:space="preserve">industry-commissioned study</t>
  </si>
  <si>
    <t xml:space="preserve">survey of 19 euro-area retail banks, extrapolated</t>
  </si>
  <si>
    <t xml:space="preserve">bank implementation costs</t>
  </si>
  <si>
    <t xml:space="preserve">Change costs of over EUR 2bn for 19 surveyed banks; extrapolated EUR 18-30bn across the euro area over the first four years (average ~EUR 110m per bank); ECB later put initial investment at roughly EUR 4-5.8bn</t>
  </si>
  <si>
    <t xml:space="preserve">A study paid for by bank associations estimated the digital euro would cost euro-area banks about EUR 18 billion or more to introduce, far above the ECB's own estimate.</t>
  </si>
  <si>
    <t xml:space="preserve">euro area, 2025</t>
  </si>
  <si>
    <t xml:space="preserve">industry survey extrapolation</t>
  </si>
  <si>
    <t xml:space="preserve">Commissioned by bank associations (EACB, EBF, ESBG) opposed to current design</t>
  </si>
  <si>
    <t xml:space="preserve">https://www.ebf.eu/digital-euro-cost-study/</t>
  </si>
  <si>
    <t xml:space="preserve">ec-2023-late-payment-ia</t>
  </si>
  <si>
    <t xml:space="preserve">European Commission (2023), Impact Assessment accompanying the proposal for a Regulation on combating late payment in commercial transactions, SWD(2023) 314 (executive summary SWD(2023) 313)</t>
  </si>
  <si>
    <t xml:space="preserve">payment times; administrative burden; SME cash flow</t>
  </si>
  <si>
    <t xml:space="preserve">Payment times reduced by an estimated 35%; hassle costs of chasing debtors (340.2m hours, EUR 8.74bn) significantly reduced; mediation saves EUR 27m a year in court cases; one-off costs EUR 243m; public enforcement and mediation EUR 70-105m a year; ~41% of SMEs benefit from 30-day cap</t>
  </si>
  <si>
    <t xml:space="preserve">The Commission expected a hard 30-day payment limit to shorten payment times by about 35% and save firms much of the EUR 8.7 billion a year they spend chasing late payers, at one-off costs of about EUR 243 million.</t>
  </si>
  <si>
    <t xml:space="preserve">https://eur-lex.europa.eu/legal-content/EN/TXT/?uri=CELEX:52023SC0314</t>
  </si>
  <si>
    <t xml:space="preserve">eesc-2024-late-payment-opinion</t>
  </si>
  <si>
    <t xml:space="preserve">European Economic and Social Committee (2024), Opinion on the revision of the Late Payments Directive, EESC opinion INT/1041, adopted 17 January 2024</t>
  </si>
  <si>
    <t xml:space="preserve">advisory body opinion</t>
  </si>
  <si>
    <t xml:space="preserve">contractual freedom; business impact</t>
  </si>
  <si>
    <t xml:space="preserve">Strong concerns that the 30-day cap for business-to-business payments eliminates contractual freedom; welcomes 30 days for public authorities paying businesses; sees potential benefit in national enforcement bodies</t>
  </si>
  <si>
    <t xml:space="preserve">The EU's advisory committee of employers, unions and civil society backed a 30-day limit for public bodies but found a strict 30-day cap between businesses too rigid.</t>
  </si>
  <si>
    <t xml:space="preserve">stakeholder opinion</t>
  </si>
  <si>
    <t xml:space="preserve">opinion summary page read</t>
  </si>
  <si>
    <t xml:space="preserve">https://www.eesc.europa.eu/en/our-work/opinions-information-reports/opinions/revision-late-payments-directive</t>
  </si>
  <si>
    <t xml:space="preserve">icisa-2024-late-payment</t>
  </si>
  <si>
    <t xml:space="preserve">International Credit Insurance &amp; Surety Association (ICISA) (2024), EU Late Payment Regulation: Blocking majority forms in European Council, ICISA news, 6 June 2024</t>
  </si>
  <si>
    <t xml:space="preserve">industry position</t>
  </si>
  <si>
    <t xml:space="preserve">industry estimate (method not published)</t>
  </si>
  <si>
    <t xml:space="preserve">trade credit; financing needs</t>
  </si>
  <si>
    <t xml:space="preserve">Claims a strict 30-day term for B2B transactions would create a new financing requirement of up to EUR 2tn; reports a blocking majority forming in Council</t>
  </si>
  <si>
    <t xml:space="preserve">Trade credit insurers argue the 30-day cap would force firms to find up to EUR 2 trillion in extra financing; the figure is the industry's own and unverified.</t>
  </si>
  <si>
    <t xml:space="preserve">advocacy; unverified estimate</t>
  </si>
  <si>
    <t xml:space="preserve">Trade credit insurers' association whose business depends on payment terms</t>
  </si>
  <si>
    <t xml:space="preserve">https://icisa.org/news/update-on-eu-late-payment-regulation-blocking-majority-forms-in-european-council/</t>
  </si>
  <si>
    <t xml:space="preserve">ec-2024-csa-directive-ia</t>
  </si>
  <si>
    <t xml:space="preserve">European Commission (2024), Impact Assessment accompanying the proposal for a Directive on combating the sexual abuse and sexual exploitation of children and child sexual abuse material (recast), SWD(2024) 33 (executive summary SWD(2024) 34)</t>
  </si>
  <si>
    <t xml:space="preserve">ex-ante (includes 2022 evaluation of Directive 2011/93/EU)</t>
  </si>
  <si>
    <t xml:space="preserve">victim protection; investigations; prevention</t>
  </si>
  <si>
    <t xml:space="preserve">Qualitative benefits: better identification and support of victims, more effective prevention and investigation, reduced impunity for live-streamed abuse; costs mainly on Member State administrations, described as limited; no direct SME or competitiveness impact. Evaluation found that even with full transposition of the 2011 Directive, abuse is not adequately addressed</t>
  </si>
  <si>
    <t xml:space="preserve">The Commission expected the updated rules to help find and support more victims and prosecute more offenders, including for live-streamed abuse, at limited cost to national governments; it gave no numerical forecasts.</t>
  </si>
  <si>
    <t xml:space="preserve">https://eur-lex.europa.eu/legal-content/EN/TXT/?uri=CELEX:52024SC0033</t>
  </si>
  <si>
    <t xml:space="preserve">ec-2024-digital-travel-ia</t>
  </si>
  <si>
    <t xml:space="preserve">European Commission (2024), Impact Assessment accompanying the proposal establishing an application for the electronic submission of travel data (EU Digital Travel application), SWD(2024) 671 (executive summary SWD(2024) 672)</t>
  </si>
  <si>
    <t xml:space="preserve">border security; waiting times; public costs</t>
  </si>
  <si>
    <t xml:space="preserve">Preferred option (mandatory acceptance of DTCs) has highest expected uptake and allows advance checks; costs: about EUR 2m per Member State on average (pilots: EUR 300,000-700,000 plus up to EUR 250,000 servers), eu-LISA EUR 49.5m one-off to 2031 and ~20 FTE; time savings not monetised; EU-funded DTC pilots cut processing of pre-cleared travellers from 30-90 seconds to under 9 seconds</t>
  </si>
  <si>
    <t xml:space="preserve">The Commission expected a common EU travel app for digital passports to speed up border checks and improve security, at about EUR 2 million per country plus EUR 49.5 million for the EU agency that would build it.</t>
  </si>
  <si>
    <t xml:space="preserve">EU/Schengen, forecast</t>
  </si>
  <si>
    <t xml:space="preserve">https://eur-lex.europa.eu/legal-content/EN/TXT/?uri=CELEX:52024SC0671</t>
  </si>
  <si>
    <t xml:space="preserve">http://web.archive.org/web/20250520235220/https://eur-lex.europa.eu/legal-content/EN/TXT/?uri=celex%3A52024SC0671</t>
  </si>
  <si>
    <t xml:space="preserve">ec-2025-space-act-ia</t>
  </si>
  <si>
    <t xml:space="preserve">European Commission (2025), Impact Assessment accompanying the proposal for a Regulation on the safety, resilience and sustainability of space activities in the Union (EU Space Act), SWD(2025) 335 (executive summary SWD(2025) 336)</t>
  </si>
  <si>
    <t xml:space="preserve">compliance costs; single market; competitiveness; space debris</t>
  </si>
  <si>
    <t xml:space="preserve">Preferred option (binding EU framework plus support measures): satellite manufacturing costs +3-10% vs baseline; risk management up to EUR 240,000 initially then 1% of turnover; benefits (less debris and cyber risk, business continuity, single market, attracting investment) described qualitatively</t>
  </si>
  <si>
    <t xml:space="preserve">The Commission expected a single EU licensing regime to cut red tape and make space safer and greener, while raising satellite manufacturing costs by 3-10%.</t>
  </si>
  <si>
    <t xml:space="preserve">https://eur-lex.europa.eu/legal-content/EN/TXT/?uri=CELEX:52025SC0335</t>
  </si>
  <si>
    <t xml:space="preserve">http://web.archive.org/web/20251226052323/https://eur-lex.europa.eu/legal-content/EN/TXT/?uri=celex:52025SC0335</t>
  </si>
  <si>
    <t xml:space="preserve">usg-2025-space-act-comments</t>
  </si>
  <si>
    <t xml:space="preserve">US Departments of State and Commerce (2025), U.S. Government feedback on the draft EU Space Act, Comments released 4 November 2025</t>
  </si>
  <si>
    <t xml:space="preserve">government position</t>
  </si>
  <si>
    <t xml:space="preserve">qualitative (drawing on input from 70+ companies and trade associations)</t>
  </si>
  <si>
    <t xml:space="preserve">compliance costs; market access</t>
  </si>
  <si>
    <t xml:space="preserve">Argues the act would impose unacceptable regulatory burdens and drive up costs, especially via environmental requirements, and that some provisions (e.g. on large constellations) unfairly target non-EU operators; no quantified cost estimate</t>
  </si>
  <si>
    <t xml:space="preserve">The US government said the EU Space Act would raise costs and unfairly burden American satellite operators, but gave no cost figures.</t>
  </si>
  <si>
    <t xml:space="preserve">EU/US, 2025</t>
  </si>
  <si>
    <t xml:space="preserve">stakeholder position</t>
  </si>
  <si>
    <t xml:space="preserve">Government representing affected non-EU (US) operators</t>
  </si>
  <si>
    <t xml:space="preserve">https://space.commerce.gov/wp-content/uploads/2025/11/090166e52487d15d.pdf</t>
  </si>
  <si>
    <t xml:space="preserve">http://web.archive.org/web/20260307042558/https://space.commerce.gov/wp-content/uploads/2025/11/090166e52487d15d.pdf</t>
  </si>
  <si>
    <t xml:space="preserve"># CEPS instruments: size, restrictions and secondary acts — method</t>
  </si>
  <si>
    <t xml:space="preserve">## Scope</t>
  </si>
  <si>
    <t xml:space="preserve">- Rows: the 115 instruments in `data/ceps_instruments.csv` (CEPS Table 1, July 2025, plus 8 enacted instruments added from the same table).</t>
  </si>
  <si>
    <t xml:space="preserve">-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</si>
  <si>
    <t xml:space="preserve">- Where a row covers two acts (horizontal block exemptions 2023/1066 and 2023/1067), figures are summed.</t>
  </si>
  <si>
    <t xml:space="preserve">- English language versions only. Source: EUR-Lex HTML for text, EUR-Lex / Cellar PDF for page counts.</t>
  </si>
  <si>
    <t xml:space="preserve">## Pages</t>
  </si>
  <si>
    <t xml:space="preserve">- Page count of the official PDF. For COM proposals EUR-Lex serves the document in several parts (main text, annexes); pages are summed across all parts, so they include the explanatory memorandum and the legislative financial statement.</t>
  </si>
  <si>
    <t xml:space="preserve">## Words</t>
  </si>
  <si>
    <t xml:space="preserve">- Words = tokens of letters/digits (hyphenated words count once).</t>
  </si>
  <si>
    <t xml:space="preserve">- Split: preamble (title, citations, recitals), of which recitals (from "Whereas"); articles (enacting terms up to "Done at"); annexes; and for proposals the explanatory memorandum and legislative financial statement, reported separately.</t>
  </si>
  <si>
    <t xml:space="preserve">- `words_legal_text` = preamble + articles + annexes (excludes memorandum and financial statement).</t>
  </si>
  <si>
    <t xml:space="preserve">- Words in quoted amending text are counted (they are part of the act); footnotes after the signature block are not.</t>
  </si>
  <si>
    <t xml:space="preserve">## Restrictions</t>
  </si>
  <si>
    <t xml:space="preserve">Counted in articles and annexes only (recitals are not binding). Each marker instance is counted once; a list introduced by one "shall" counts once.</t>
  </si>
  <si>
    <t xml:space="preserve">| Category | Markers |</t>
  </si>
  <si>
    <t xml:space="preserve">|---|---|</t>
  </si>
  <si>
    <t xml:space="preserve">| obligation | shall; must; has to / have to |</t>
  </si>
  <si>
    <t xml:space="preserve">| prohibition | shall not; may not; must not; (shall be / is / are) prohibited; "no X shall" |</t>
  </si>
  <si>
    <t xml:space="preserve">| restricted_permission | may only; shall only; may … only if/where/when/to the extent |</t>
  </si>
  <si>
    <t xml:space="preserve">| duty_of_result | shall ensure (tagged separately: one instance can stand for a whole compliance system) |</t>
  </si>
  <si>
    <t xml:space="preserve">| explicit_requirement | is/are required (to); mandatory; obliged to; an obligation to; requirement to — counted only in clauses with no other marker |</t>
  </si>
  <si>
    <t xml:space="preserve">Excluded uses of "shall" (they regulate no one):</t>
  </si>
  <si>
    <t xml:space="preserve">- entry into force, application, binding-ness, expiry ("shall enter into force", "shall apply", "shall be binding", "shall take effect")</t>
  </si>
  <si>
    <t xml:space="preserve">- definitions and legal fictions ("shall mean", "shall be deemed / considered / construed / presumed"; "shall include / comprise" in definitions)</t>
  </si>
  <si>
    <t xml:space="preserve">- amendment instructions ("is replaced by", "shall be amended as follows"); quoted text inserted by amendment instructions is skipped</t>
  </si>
  <si>
    <t xml:space="preserve">- saving clauses ("shall be without prejudice", "shall not affect / prejudice / apply / preclude")</t>
  </si>
  <si>
    <t xml:space="preserve">- rights, entitlements and powers ("shall have the right", "shall be entitled", "shall be empowered")</t>
  </si>
  <si>
    <t xml:space="preserve">-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</si>
  <si>
    <t xml:space="preserve">Bare nouns such as "the obligations laid down in Article 5" are cross-references and are not counted. This narrows the "requirement(s) / obligation(s)" terms in the original method notes.</t>
  </si>
  <si>
    <t xml:space="preserve">### Who the restriction binds</t>
  </si>
  <si>
    <t xml:space="preserve">Each counted instance is assigned to one addressee using the grammatical subject (spaCy `en_core_web_sm` dependency parse; the agent of a passive "by …" phrase where one is present), matched against word lists:</t>
  </si>
  <si>
    <t xml:space="preserve">- private_parties: providers, operators, manufacturers, undertakings, controllers, gatekeepers, financial entities, platforms, persons, etc.</t>
  </si>
  <si>
    <t xml:space="preserve">- member_states: Member States and national authorities, courts, coordinators, single points of contact, CSIRTs</t>
  </si>
  <si>
    <t xml:space="preserve">- eu_institutions: Commission, Council, Parliament, agencies, boards, offices, Union entities; also passive sentences about implementing or delegated acts (adopted by the Commission)</t>
  </si>
  <si>
    <t xml:space="preserve">- unclear: no identifiable actor (passives with no agent, procedural rules such as "the report shall be communicated")</t>
  </si>
  <si>
    <t xml:space="preserve">Pronouns ("it shall") take the addressee of the preceding counted instance in the same document.</t>
  </si>
  <si>
    <t xml:space="preserve">## Consolidated versions</t>
  </si>
  <si>
    <t xml:space="preserve">Restrictions are also counted in the latest consolidated version in EUR-Lex (CELEX 0…), where one exists. Consolidated texts have no recitals and no official pagination, so only restrictions are reported for them.</t>
  </si>
  <si>
    <t xml:space="preserve">## Implementing / delegated acts and guidance</t>
  </si>
  <si>
    <t xml:space="preserve">- From the Publications Office's Cellar database: every act linked to the instrument as its legal basis.</t>
  </si>
  <si>
    <t xml:space="preserve">- Kept: implementing and delegated acts, other Commission or Council regulations and directives adopted under the act, and Commission guidance (guidelines, Commission recommendations, and Commission notices or communications whose title marks them as guidance or interpretation).</t>
  </si>
  <si>
    <t xml:space="preserve">- Excluded: individual decisions (merger clearances, state-aid-style decisions), merger notices and announcements, internal rules of procedure, Parliament or ESRB recommendations, reports.</t>
  </si>
  <si>
    <t xml:space="preserve">- Implementing decisions addressed to a single Member State (e.g. VAT derogations) are kept but flagged.</t>
  </si>
  <si>
    <t xml:space="preserve">- Each secondary act is measured like the main act and listed as its own line item in `secondary_acts`.</t>
  </si>
  <si>
    <t xml:space="preserve">- Guidance is non-binding, so its restriction counts mostly reflect obligations it restates. They are shown for completeness, not as additional restrictions.</t>
  </si>
  <si>
    <t xml:space="preserve">- `guidance_web`: Commission guidance found by web search that EUR-Lex does not link to the act (e.g. AI Act guidelines). Not measured. This list is incomplete; level-3 guidance from EU agencies (EDPB, EBA, ESMA, EIOPA) is out of scope.</t>
  </si>
  <si>
    <t xml:space="preserve">## Policy area</t>
  </si>
  <si>
    <t xml:space="preserve">The column each instrument occupies in CEPS Table 1 (12 areas, from Research &amp; Innovation to Finance), read from the cell positions in the CEPS PDF. `ceps_table_status` is the cell colour (enacted / proposal / planned); pending items that CEPS lists inside the cell of an enacted predecessor (e.g. PSD3 in the PSD2 cell) are labelled accordingly.</t>
  </si>
  <si>
    <t xml:space="preserve">## Dates and amendments</t>
  </si>
  <si>
    <t xml:space="preserve">- `adoption_date`: date of signature of the act (date of the document where no signature date is recorded); `oj_publication_date`; `entry_into_force`: the earliest entry-into-force date on or after adoption. All from Cellar.</t>
  </si>
  <si>
    <t xml:space="preserve">- Amendments: acts recorded in Cellar as amending the instrument (adopted acts only). Corrigenda are listed in the `amendments` sheet but not counted as amendments. `n_amending_acts`, `first_amendment_date`, `latest_amendment_date` summarise them.</t>
  </si>
  <si>
    <t xml:space="preserve">## Proposal vs adopted text</t>
  </si>
  <si>
    <t xml:space="preserve">- The original Commission proposal is the earliest proposal Cellar links to the adopted act; amended proposals are not used.</t>
  </si>
  <si>
    <t xml:space="preserve">- Measured like the adopted text, on the legal text only (preamble + articles + annexes; explanatory memorandum and financial statement excluded). Changes are formulas (absolute and %).</t>
  </si>
  <si>
    <t xml:space="preserve">- Proposals without usable HTML (pre-1996 proposals published as scans of the OJ C series, and the 2004 VAT recast whose articles sit in image tables) are measured from the PDF text layer and marked "PDF text (approximate)".</t>
  </si>
  <si>
    <t xml:space="preserve">- Not comparable (left blank, with the reason): the VAT recast (its PDF mixes struck-through text and correlation tables), the Community Design Regulation (its 1993 PDF bundles the companion Design Directive proposal) and the Merger Regulation (proposal not in EUR-Lex). Commission-only acts (block exemptions) have no legislative proposal.</t>
  </si>
  <si>
    <t xml:space="preserve">- Rows that are themselves proposals have no comparison.</t>
  </si>
  <si>
    <t xml:space="preserve">## EU agency guidance (EDPB, EBA, ESMA)</t>
  </si>
  <si>
    <t xml:space="preserve">- Final guidelines and recommendations only; no Q&amp;As, consultation drafts or draft technical standards (the latter are counted once adopted as delegated/implementing acts).</t>
  </si>
  <si>
    <t xml:space="preserve">- EDPB: every guideline and recommendation in the EDPB document library, reviewed by hand for final status (one 2026 v1 consultation draft excluded); Article 29 Working Party guidelines endorsed by the EDPB are included and flagged. Mapped to GDPR unless the title points to ePrivacy, the Law Enforcement Directive, PSD2 or the DSA. Some endorsed WP29 documents sit on a European Commission archive domain not reachable here and are listed without measurements.</t>
  </si>
  <si>
    <t xml:space="preserve">- EBA: all items of type "Guidelines" in the EBA publications listing (plus the topic-filtered listings), kept only where the document names PSD2, MiCA, DORA or the AML Regulation as its legal basis (or in its title); four older PSD2 guidelines missing from the listing were added from the EBA's legacy PSD2 page. The PSD2 complaints-procedure guidelines (EBA/GL/2017/13) could not be retrieved.</t>
  </si>
  <si>
    <t xml:space="preserve">- ESMA: all "Guidelines" documents in the Digital Finance and Joint Committee sections of the ESMA library (full crawl), kept where the legal basis is MiCA, DORA or the DLT Pilot Regime, plus the MiCA crypto-asset qualification guidelines from ESMA's MiCA page.</t>
  </si>
  <si>
    <t xml:space="preserve">- Joint EBA/ESMA (ESA) guidelines are counted once.</t>
  </si>
  <si>
    <t xml:space="preserve">- EBA and ESMA guidelines are measured on the published final report, which also contains the rationale and the feedback on the consultation, so page and word counts overstate the guidelines themselves.</t>
  </si>
  <si>
    <t xml:space="preserve">- Guidance mostly uses "should"; restriction counts (which count "shall"/"must" etc.) are low by design. `should_count` is shown alongside.</t>
  </si>
  <si>
    <t xml:space="preserve">## National transposition (directives only)</t>
  </si>
  <si>
    <t xml:space="preserve">Number of national implementing measures linked to the directive in EUR-Lex, and the number of Member States (including the UK before 2020) with at least one. Counts reflect what Member States notified; some notify whole codes, which inflates counts.</t>
  </si>
  <si>
    <t xml:space="preserve">## Validation</t>
  </si>
  <si>
    <t xml:space="preserve">Hand-coded by Claude (not an independent coder) on a random sample drawn across eras and act types:</t>
  </si>
  <si>
    <t xml:space="preserve">- Tuning sample: 100 counted instances, used to refine exclusions and word lists.</t>
  </si>
  <si>
    <t xml:space="preserve">- Held-out sample: 91 counted instances.</t>
  </si>
  <si>
    <t xml:space="preserve">- Recall check: 100 clauses the counter did not count that contain modal-like words.</t>
  </si>
  <si>
    <t xml:space="preserve">- Final check: a fresh sample of 100 instances drawn after the full run, scored with the final rules.</t>
  </si>
  <si>
    <t xml:space="preserve">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</si>
  <si>
    <t xml:space="preserve">## Caveats</t>
  </si>
  <si>
    <t xml:space="preserve">- This counts obligations, not their cost.</t>
  </si>
  <si>
    <t xml:space="preserve">- Member-State obligations in directives are indirect; the real burden depends on transposition.</t>
  </si>
  <si>
    <t xml:space="preserve">- EUR-Lex metadata links for very recent acts can lag; secondary-act lists may be incomplete for 2025–2026.</t>
  </si>
  <si>
    <t xml:space="preserve">- Scanned older acts with little HTML text are flagged in the note column.</t>
  </si>
  <si>
    <t xml:space="preserve">## External benchmark: Sarbanes-Oxley Act (US)</t>
  </si>
  <si>
    <t xml:space="preserve">- Text: Public Law 107-204 (116 Stat. 745, 30 July 2002), enacted version, PDF from govinfo.gov. Measured with the same counter (`scripts/benchmark_us.py`), after removing page headers, US Code margin notes and the table of contents.</t>
  </si>
  <si>
    <t xml:space="preserve">- Two variants: all enacted text, and excluding text inserted into other statutes (quoted ‘‘ … ’’), mirroring how quoted amending text is skipped for EU acts.</t>
  </si>
  <si>
    <t xml:space="preserve">- US-specific handling, for the benchmark only: "it shall be unlawful" counts as a prohibition; additional constitutive uses of "shall" are excluded (remain in effect, be available, be treated as, be fined/imprisoned, as it shall determine, term lengths, saving and pre-emption clauses). Addressee groups become private parties, US States, and federal government / regulators (SEC, PCAOB, GAO).</t>
  </si>
  <si>
    <t xml:space="preserve">- Validation: 68% precision and 70% addressee accuracy on a fresh 40-item sample (vs 84% / 74% for EU acts), so the benchmarks sheet also shows precision-adjusted counts.</t>
  </si>
  <si>
    <t xml:space="preserve">- US statutes have no recitals; compare against EU articles + annexes.</t>
  </si>
  <si>
    <t xml:space="preserve">## Impact evidence (all 115 instruments)</t>
  </si>
  <si>
    <t xml:space="preserve">- One record per instrument in `data/impact/&lt;CELEX&gt;.json` (schema in `data/impact/SCHEMA.md`), built for both the workbook and the planned website.</t>
  </si>
  <si>
    <t xml:space="preserve">- Depth by tier (list in `data/impact/PROGRESS.md`):</t>
  </si>
  <si>
    <t xml:space="preserve">  - Tier 1: 29 instruments with a substantial independent literature (e.g. GDPR, DMA, DSA, PSD2, roaming, merger control). Full search.</t>
  </si>
  <si>
    <t xml:space="preserve">  - Tier 2: the other acts adopted before 2024. The Commission impact assessment and evaluations, plus a light search for independent studies.</t>
  </si>
  <si>
    <t xml:space="preserve">  - Tier 3: acts adopted 2024–26 and pending proposals. Forecasts and early critiques only.</t>
  </si>
  <si>
    <t xml:space="preserve">- `proposal_indicators`: the promises made in the original Commission proposal and impact assessment, with the evidence found for each:</t>
  </si>
  <si>
    <t xml:space="preserve">  - from the financial statement: specific objectives (1.4.2), expected results and impact (1.4.3), and indicators of results and impact (1.4.4)</t>
  </si>
  <si>
    <t xml:space="preserve">  - other quantified promises from the proposal or impact assessment</t>
  </si>
  <si>
    <t xml:space="preserve">  - `status` is a free-text label; `status_group` maps it to one of measured, partially measured, reported as activity, mixed evidence or not measured. "Not achieved" counts as measured.</t>
  </si>
  <si>
    <t xml:space="preserve">  - proposals with no indicators section carry a "note" row</t>
  </si>
  <si>
    <t xml:space="preserve">- `impact_literature`: one row per source. Each row records:</t>
  </si>
  <si>
    <t xml:space="preserve">  - type: Commission impact assessment, evaluation or enforcement record; Court of Auditors; peer-reviewed; working paper; policy; industry-funded</t>
  </si>
  <si>
    <t xml:space="preserve">  - method; outcomes; direction; headline finding; a plain-language summary; a quality note</t>
  </si>
  <si>
    <t xml:space="preserve">  - a flag where the authors or funders have a stake in the result</t>
  </si>
  <si>
    <t xml:space="preserve">  - `verified`, saying what was read: the full text, an abstract, or only a search summary</t>
  </si>
  <si>
    <t xml:space="preserve">  Shared sources (e.g. one impact assessment for PSD3 and the PSR, or a fitness check covering several directives) appear under each instrument with the same `id`.</t>
  </si>
  <si>
    <t xml:space="preserve">- Instrument summary columns:</t>
  </si>
  <si>
    <t xml:space="preserve">  - `impact_evidence_level`: strong / moderate / thin / ex-ante only / none, derived from the free-text `impact_evidence_rating`</t>
  </si>
  <si>
    <t xml:space="preserve">  - `n_indicators_measured`: indicators whose status group is anything other than not measured</t>
  </si>
  <si>
    <t xml:space="preserve">  - `n_causal_studies`: sources whose method names a causal design (causal, DiD, event study, synthetic control, regression discontinuity, natural experiment, instrumental variables, randomised)</t>
  </si>
  <si>
    <t xml:space="preserve">- Sources:</t>
  </si>
  <si>
    <t xml:space="preserve">  - EUR-Lex: proposals, impact assessments and Commission reviews</t>
  </si>
  <si>
    <t xml:space="preserve">  - official sources: Commission press releases, the Council register, the Court of Auditors, ENISA, BEREC, ECB, EBA, ESMA, JRC</t>
  </si>
  <si>
    <t xml:space="preserve">  - research: NBER, arXiv, Crossref, CERRE, Bruegel, OECD</t>
  </si>
  <si>
    <t xml:space="preserve">  - web search for working papers and policy reports</t>
  </si>
  <si>
    <t xml:space="preserve">- Several publisher and repository sites (SSRN, CERRE, some Commission PDF endpoints, europarl.europa.eu) block automated access. Those sources were checked through their abstract pages or search summaries and are marked as such.</t>
  </si>
  <si>
    <t xml:space="preserve">- Research was carried out by Claude instances working in parallel to a shared brief. Every number in a record comes from a source that was read. Where only a secondary report was available, the record says so.</t>
  </si>
  <si>
    <t xml:space="preserve">- Internet Archive snapshots (`archive_url`) were looked up read-only through the Wayback availability API. Nothing was submitted to the archive, so many sources have no snapshot.</t>
  </si>
  <si>
    <t xml:space="preserve">- Limits: coverage of non-English national studies is thin. "No study found" means none was found by these searches, not that none exists. Tier 2 and 3 records rely heavily on the Commission's own assessments.</t>
  </si>
  <si>
    <t xml:space="preserve">sample</t>
  </si>
  <si>
    <t xml:space="preserve">counted_true</t>
  </si>
  <si>
    <t xml:space="preserve">counted_false</t>
  </si>
  <si>
    <t xml:space="preserve">missed_true</t>
  </si>
  <si>
    <t xml:space="preserve">correctly_dropped</t>
  </si>
  <si>
    <t xml:space="preserve">precision</t>
  </si>
  <si>
    <t xml:space="preserve">recall_within_sample</t>
  </si>
  <si>
    <t xml:space="preserve">addressee_accuracy</t>
  </si>
  <si>
    <t xml:space="preserve">addressee_n</t>
  </si>
  <si>
    <t xml:space="preserve">tuning_0_99</t>
  </si>
  <si>
    <t xml:space="preserve">heldout_100_190</t>
  </si>
  <si>
    <t xml:space="preserve">negatives</t>
  </si>
  <si>
    <t xml:space="preserve">{"n": 100, "true_restrictions_missed": 6}</t>
  </si>
  <si>
    <t xml:space="preserve">final_fresh_sample_100</t>
  </si>
  <si>
    <t xml:space="preserve">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</si>
</sst>
</file>

<file path=xl/styles.xml><?xml version="1.0" encoding="utf-8"?>
<styleSheet xmlns="http://schemas.openxmlformats.org/spreadsheetml/2006/main">
  <numFmts count="3">
    <numFmt numFmtId="164" formatCode="General"/>
    <numFmt numFmtId="165" formatCode="#,##0"/>
    <numFmt numFmtId="166" formatCode="0.0%"/>
  </numFmts>
  <fonts count="7">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
      <b val="true"/>
      <sz val="10"/>
      <name val="Arial"/>
      <family val="0"/>
      <charset val="1"/>
    </font>
  </fonts>
  <fills count="3">
    <fill>
      <patternFill patternType="none"/>
    </fill>
    <fill>
      <patternFill patternType="gray125"/>
    </fill>
    <fill>
      <patternFill patternType="solid">
        <fgColor rgb="FF1F4E78"/>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Q1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2"/>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9"/>
    <col collapsed="false" customWidth="true" hidden="false" outlineLevel="0" max="10" min="8" style="0" width="11"/>
    <col collapsed="false" customWidth="true" hidden="false" outlineLevel="0" max="12" min="11" style="0" width="10"/>
    <col collapsed="false" customWidth="true" hidden="false" outlineLevel="0" max="13" min="13" style="0" width="16"/>
    <col collapsed="false" customWidth="true" hidden="false" outlineLevel="0" max="14" min="14" style="0" width="18"/>
    <col collapsed="false" customWidth="true" hidden="false" outlineLevel="0" max="15" min="15" style="0" width="30"/>
    <col collapsed="false" customWidth="true" hidden="false" outlineLevel="0" max="33" min="16" style="0" width="10"/>
    <col collapsed="false" customWidth="true" hidden="false" outlineLevel="0" max="34" min="34" style="0" width="20"/>
    <col collapsed="false" customWidth="true" hidden="false" outlineLevel="0" max="36" min="35" style="0" width="11"/>
    <col collapsed="false" customWidth="true" hidden="false" outlineLevel="0" max="44" min="37" style="0" width="9"/>
    <col collapsed="false" customWidth="true" hidden="false" outlineLevel="0" max="45" min="45" style="0" width="12"/>
    <col collapsed="false" customWidth="true" hidden="false" outlineLevel="0" max="46" min="46" style="0" width="11"/>
    <col collapsed="false" customWidth="true" hidden="false" outlineLevel="0" max="47" min="47" style="0" width="10"/>
    <col collapsed="false" customWidth="true" hidden="false" outlineLevel="0" max="48" min="48" style="0" width="9"/>
    <col collapsed="false" customWidth="true" hidden="false" outlineLevel="0" max="50" min="49" style="0" width="11"/>
    <col collapsed="false" customWidth="true" hidden="false" outlineLevel="0" max="51" min="51" style="0" width="9"/>
    <col collapsed="false" customWidth="true" hidden="false" outlineLevel="0" max="52" min="52" style="0" width="16"/>
    <col collapsed="false" customWidth="true" hidden="false" outlineLevel="0" max="53" min="53" style="0" width="18"/>
    <col collapsed="false" customWidth="true" hidden="false" outlineLevel="0" max="57" min="54" style="0" width="10"/>
    <col collapsed="false" customWidth="true" hidden="false" outlineLevel="0" max="58" min="58" style="0" width="9"/>
    <col collapsed="false" customWidth="true" hidden="false" outlineLevel="0" max="59" min="59" style="0" width="10"/>
    <col collapsed="false" customWidth="true" hidden="false" outlineLevel="0" max="60" min="60" style="0" width="9"/>
    <col collapsed="false" customWidth="true" hidden="false" outlineLevel="0" max="61" min="61" style="0" width="10"/>
    <col collapsed="false" customWidth="true" hidden="false" outlineLevel="0" max="62" min="62" style="0" width="30"/>
    <col collapsed="false" customWidth="true" hidden="false" outlineLevel="0" max="63" min="63" style="0" width="50"/>
    <col collapsed="false" customWidth="true" hidden="false" outlineLevel="0" max="67" min="64" style="0" width="9"/>
    <col collapsed="false" customWidth="true" hidden="false" outlineLevel="0" max="68" min="68" style="0" width="60"/>
  </cols>
  <sheetData>
    <row r="1" customFormat="false" ht="4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row>
    <row r="2" customFormat="false" ht="15" hidden="false" customHeight="false" outlineLevel="0" collapsed="false">
      <c r="A2" s="2" t="n">
        <v>1</v>
      </c>
      <c r="B2" s="2" t="s">
        <v>69</v>
      </c>
      <c r="C2" s="2" t="s">
        <v>70</v>
      </c>
      <c r="D2" s="2" t="s">
        <v>71</v>
      </c>
      <c r="E2" s="2" t="s">
        <v>72</v>
      </c>
      <c r="F2" s="2" t="s">
        <v>73</v>
      </c>
      <c r="G2" s="2" t="s">
        <v>74</v>
      </c>
      <c r="H2" s="2" t="s">
        <v>75</v>
      </c>
      <c r="I2" s="2" t="s">
        <v>75</v>
      </c>
      <c r="J2" s="2" t="s">
        <v>76</v>
      </c>
      <c r="K2" s="2" t="s">
        <v>77</v>
      </c>
      <c r="L2" s="2" t="s">
        <v>77</v>
      </c>
      <c r="M2" s="2" t="s">
        <v>78</v>
      </c>
      <c r="N2" s="2" t="s">
        <v>79</v>
      </c>
      <c r="O2" s="2" t="s">
        <v>80</v>
      </c>
      <c r="P2" s="3" t="n">
        <v>2</v>
      </c>
      <c r="Q2" s="3" t="n">
        <v>866</v>
      </c>
      <c r="R2" s="3" t="n">
        <v>618</v>
      </c>
      <c r="S2" s="3" t="n">
        <v>483</v>
      </c>
      <c r="T2" s="3" t="n">
        <v>248</v>
      </c>
      <c r="U2" s="3" t="n">
        <v>0</v>
      </c>
      <c r="V2" s="3" t="n">
        <v>0</v>
      </c>
      <c r="W2" s="3" t="n">
        <v>0</v>
      </c>
      <c r="X2" s="3" t="n">
        <v>6</v>
      </c>
      <c r="Y2" s="3" t="n">
        <v>4</v>
      </c>
      <c r="Z2" s="3" t="n">
        <v>0</v>
      </c>
      <c r="AA2" s="3" t="n">
        <v>0</v>
      </c>
      <c r="AB2" s="3" t="n">
        <v>0</v>
      </c>
      <c r="AC2" s="3" t="n">
        <v>2</v>
      </c>
      <c r="AD2" s="3" t="n">
        <v>0</v>
      </c>
      <c r="AE2" s="3" t="n">
        <v>5</v>
      </c>
      <c r="AF2" s="3" t="n">
        <v>1</v>
      </c>
      <c r="AG2" s="3" t="n">
        <v>0</v>
      </c>
      <c r="AH2" s="2" t="s">
        <v>81</v>
      </c>
      <c r="AI2" s="3" t="n">
        <v>0</v>
      </c>
      <c r="AJ2" s="2" t="n">
        <v>0</v>
      </c>
      <c r="AK2" s="2" t="n">
        <f aca="false">COUNTIFS(secondary_acts!$A$2:$A$771,$A2,secondary_acts!$E$2:$E$771,"implementing")</f>
        <v>0</v>
      </c>
      <c r="AL2" s="2" t="n">
        <f aca="false">COUNTIFS(secondary_acts!$A$2:$A$771,$A2,secondary_acts!$E$2:$E$771,"delegated")</f>
        <v>0</v>
      </c>
      <c r="AM2" s="2" t="n">
        <f aca="false">COUNTIFS(secondary_acts!$A$2:$A$771,$A2,secondary_acts!$E$2:$E$771,"other Commission/Council act")</f>
        <v>0</v>
      </c>
      <c r="AN2" s="2" t="n">
        <f aca="false">COUNTIFS(secondary_acts!$A$2:$A$771,$A2,secondary_acts!$E$2:$E$771,"guidance")</f>
        <v>0</v>
      </c>
      <c r="AO2" s="2" t="n">
        <f aca="false">COUNTIF(guidance_web!$A$2:$A$7,$A2)</f>
        <v>0</v>
      </c>
      <c r="AP2" s="2" t="n">
        <f aca="false">COUNTIFS(guidance_agencies!$A$2:$A$81,$A2,guidance_agencies!$D$2:$D$81,"EDPB")</f>
        <v>0</v>
      </c>
      <c r="AQ2" s="2" t="n">
        <f aca="false">COUNTIFS(guidance_agencies!$A$2:$A$81,$A2,guidance_agencies!$D$2:$D$81,"EBA")</f>
        <v>0</v>
      </c>
      <c r="AR2" s="2" t="n">
        <f aca="false">COUNTIFS(guidance_agencies!$A$2:$A$81,$A2,guidance_agencies!$D$2:$D$81,"ESMA")</f>
        <v>0</v>
      </c>
      <c r="AS2" s="3" t="n">
        <f aca="false">SUMIFS(secondary_acts!$S$2:$S$771,secondary_acts!$A$2:$A$771,$A2,secondary_acts!$E$2:$E$771,"implementing")+SUMIFS(secondary_acts!$S$2:$S$771,secondary_acts!$A$2:$A$771,$A2,secondary_acts!$E$2:$E$771,"delegated")</f>
        <v>0</v>
      </c>
      <c r="AT2" s="3" t="n">
        <v>207</v>
      </c>
      <c r="AU2" s="2" t="n">
        <v>24</v>
      </c>
      <c r="AV2" s="2" t="n">
        <v>1</v>
      </c>
      <c r="AW2" s="2" t="s">
        <v>82</v>
      </c>
      <c r="AX2" s="2" t="s">
        <v>82</v>
      </c>
      <c r="AY2" s="2" t="n">
        <v>2</v>
      </c>
      <c r="AZ2" s="2" t="s">
        <v>83</v>
      </c>
      <c r="BA2" s="2" t="s">
        <v>84</v>
      </c>
      <c r="BB2" s="2" t="n">
        <v>841</v>
      </c>
      <c r="BC2" s="2" t="n">
        <v>5</v>
      </c>
      <c r="BD2" s="2" t="n">
        <v>0</v>
      </c>
      <c r="BE2" s="2" t="n">
        <f aca="false">IF(ISNUMBER(BB2),Q2-BB2,"")</f>
        <v>25</v>
      </c>
      <c r="BF2" s="4" t="n">
        <f aca="false">IF(AND(ISNUMBER(BB2),BB2&gt;0),(Q2-BB2)/BB2,"")</f>
        <v>0.0297265160523187</v>
      </c>
      <c r="BG2" s="2" t="n">
        <f aca="false">IF(ISNUMBER(BC2),X2-BC2,"")</f>
        <v>1</v>
      </c>
      <c r="BH2" s="4" t="n">
        <f aca="false">IF(AND(ISNUMBER(BC2),BC2&gt;0),(X2-BC2)/BC2,"")</f>
        <v>0.2</v>
      </c>
      <c r="BI2" s="2" t="n">
        <f aca="false">IF(ISNUMBER(BD2),AD2-BD2,"")</f>
        <v>0</v>
      </c>
      <c r="BJ2" s="2" t="s">
        <v>85</v>
      </c>
      <c r="BK2" s="2" t="s">
        <v>86</v>
      </c>
      <c r="BL2" s="2" t="s">
        <v>87</v>
      </c>
      <c r="BM2" s="2" t="n">
        <v>2</v>
      </c>
      <c r="BN2" s="2" t="n">
        <v>1</v>
      </c>
      <c r="BO2" s="2" t="n">
        <v>3</v>
      </c>
      <c r="BP2" s="2" t="n">
        <v>1</v>
      </c>
      <c r="BQ2" s="2"/>
    </row>
    <row r="3" customFormat="false" ht="15" hidden="false" customHeight="false" outlineLevel="0" collapsed="false">
      <c r="A3" s="2" t="n">
        <v>2</v>
      </c>
      <c r="B3" s="2" t="s">
        <v>88</v>
      </c>
      <c r="C3" s="2" t="s">
        <v>89</v>
      </c>
      <c r="D3" s="2" t="s">
        <v>90</v>
      </c>
      <c r="E3" s="2" t="s">
        <v>72</v>
      </c>
      <c r="F3" s="2" t="s">
        <v>91</v>
      </c>
      <c r="G3" s="2" t="s">
        <v>92</v>
      </c>
      <c r="H3" s="2" t="s">
        <v>93</v>
      </c>
      <c r="I3" s="2" t="s">
        <v>94</v>
      </c>
      <c r="J3" s="2" t="s">
        <v>95</v>
      </c>
      <c r="K3" s="2" t="s">
        <v>77</v>
      </c>
      <c r="L3" s="2" t="s">
        <v>77</v>
      </c>
      <c r="M3" s="2" t="s">
        <v>96</v>
      </c>
      <c r="N3" s="2" t="s">
        <v>79</v>
      </c>
      <c r="O3" s="2" t="s">
        <v>97</v>
      </c>
      <c r="P3" s="3" t="n">
        <v>6</v>
      </c>
      <c r="Q3" s="3" t="n">
        <v>3320</v>
      </c>
      <c r="R3" s="3" t="n">
        <v>1402</v>
      </c>
      <c r="S3" s="3" t="n">
        <v>1323</v>
      </c>
      <c r="T3" s="3" t="n">
        <v>1008</v>
      </c>
      <c r="U3" s="3" t="n">
        <v>910</v>
      </c>
      <c r="V3" s="3" t="n">
        <v>0</v>
      </c>
      <c r="W3" s="3" t="n">
        <v>0</v>
      </c>
      <c r="X3" s="3" t="n">
        <v>26</v>
      </c>
      <c r="Y3" s="3" t="n">
        <v>20</v>
      </c>
      <c r="Z3" s="3" t="n">
        <v>2</v>
      </c>
      <c r="AA3" s="3" t="n">
        <v>0</v>
      </c>
      <c r="AB3" s="3" t="n">
        <v>3</v>
      </c>
      <c r="AC3" s="3" t="n">
        <v>1</v>
      </c>
      <c r="AD3" s="3" t="n">
        <v>6</v>
      </c>
      <c r="AE3" s="3" t="n">
        <v>11</v>
      </c>
      <c r="AF3" s="3" t="n">
        <v>1</v>
      </c>
      <c r="AG3" s="3" t="n">
        <v>8</v>
      </c>
      <c r="AH3" s="2" t="s">
        <v>98</v>
      </c>
      <c r="AI3" s="3" t="n">
        <v>39</v>
      </c>
      <c r="AJ3" s="2" t="n">
        <v>6</v>
      </c>
      <c r="AK3" s="2" t="n">
        <f aca="false">COUNTIFS(secondary_acts!$A$2:$A$771,$A3,secondary_acts!$E$2:$E$771,"implementing")</f>
        <v>0</v>
      </c>
      <c r="AL3" s="2" t="n">
        <f aca="false">COUNTIFS(secondary_acts!$A$2:$A$771,$A3,secondary_acts!$E$2:$E$771,"delegated")</f>
        <v>0</v>
      </c>
      <c r="AM3" s="2" t="n">
        <f aca="false">COUNTIFS(secondary_acts!$A$2:$A$771,$A3,secondary_acts!$E$2:$E$771,"other Commission/Council act")</f>
        <v>0</v>
      </c>
      <c r="AN3" s="2" t="n">
        <f aca="false">COUNTIFS(secondary_acts!$A$2:$A$771,$A3,secondary_acts!$E$2:$E$771,"guidance")</f>
        <v>1</v>
      </c>
      <c r="AO3" s="2" t="n">
        <f aca="false">COUNTIF(guidance_web!$A$2:$A$7,$A3)</f>
        <v>0</v>
      </c>
      <c r="AP3" s="2" t="n">
        <f aca="false">COUNTIFS(guidance_agencies!$A$2:$A$81,$A3,guidance_agencies!$D$2:$D$81,"EDPB")</f>
        <v>0</v>
      </c>
      <c r="AQ3" s="2" t="n">
        <f aca="false">COUNTIFS(guidance_agencies!$A$2:$A$81,$A3,guidance_agencies!$D$2:$D$81,"EBA")</f>
        <v>0</v>
      </c>
      <c r="AR3" s="2" t="n">
        <f aca="false">COUNTIFS(guidance_agencies!$A$2:$A$81,$A3,guidance_agencies!$D$2:$D$81,"ESMA")</f>
        <v>0</v>
      </c>
      <c r="AS3" s="3" t="n">
        <f aca="false">SUMIFS(secondary_acts!$S$2:$S$771,secondary_acts!$A$2:$A$771,$A3,secondary_acts!$E$2:$E$771,"implementing")+SUMIFS(secondary_acts!$S$2:$S$771,secondary_acts!$A$2:$A$771,$A3,secondary_acts!$E$2:$E$771,"delegated")</f>
        <v>0</v>
      </c>
      <c r="AT3" s="3" t="n">
        <v>1342</v>
      </c>
      <c r="AU3" s="2" t="n">
        <v>25</v>
      </c>
      <c r="AV3" s="2" t="n">
        <v>2</v>
      </c>
      <c r="AW3" s="2" t="s">
        <v>99</v>
      </c>
      <c r="AX3" s="2" t="s">
        <v>100</v>
      </c>
      <c r="AY3" s="2" t="n">
        <v>13</v>
      </c>
      <c r="AZ3" s="2" t="s">
        <v>101</v>
      </c>
      <c r="BA3" s="2" t="s">
        <v>84</v>
      </c>
      <c r="BB3" s="2" t="n">
        <v>2059</v>
      </c>
      <c r="BC3" s="2" t="n">
        <v>11</v>
      </c>
      <c r="BD3" s="2" t="n">
        <v>0</v>
      </c>
      <c r="BE3" s="2" t="n">
        <f aca="false">IF(ISNUMBER(BB3),Q3-BB3,"")</f>
        <v>1261</v>
      </c>
      <c r="BF3" s="4" t="n">
        <f aca="false">IF(AND(ISNUMBER(BB3),BB3&gt;0),(Q3-BB3)/BB3,"")</f>
        <v>0.612433220009714</v>
      </c>
      <c r="BG3" s="2" t="n">
        <f aca="false">IF(ISNUMBER(BC3),X3-BC3,"")</f>
        <v>15</v>
      </c>
      <c r="BH3" s="4" t="n">
        <f aca="false">IF(AND(ISNUMBER(BC3),BC3&gt;0),(X3-BC3)/BC3,"")</f>
        <v>1.36363636363636</v>
      </c>
      <c r="BI3" s="2" t="n">
        <f aca="false">IF(ISNUMBER(BD3),AD3-BD3,"")</f>
        <v>6</v>
      </c>
      <c r="BJ3" s="2" t="s">
        <v>85</v>
      </c>
      <c r="BK3" s="2" t="s">
        <v>102</v>
      </c>
      <c r="BL3" s="2" t="s">
        <v>103</v>
      </c>
      <c r="BM3" s="2" t="n">
        <v>3</v>
      </c>
      <c r="BN3" s="2" t="n">
        <v>2</v>
      </c>
      <c r="BO3" s="2" t="n">
        <v>4</v>
      </c>
      <c r="BP3" s="2" t="n">
        <v>0</v>
      </c>
      <c r="BQ3" s="2"/>
    </row>
    <row r="4" customFormat="false" ht="15" hidden="false" customHeight="false" outlineLevel="0" collapsed="false">
      <c r="A4" s="2" t="n">
        <v>3</v>
      </c>
      <c r="B4" s="2" t="s">
        <v>104</v>
      </c>
      <c r="C4" s="2" t="s">
        <v>105</v>
      </c>
      <c r="D4" s="2" t="s">
        <v>106</v>
      </c>
      <c r="E4" s="2" t="s">
        <v>72</v>
      </c>
      <c r="F4" s="2" t="s">
        <v>107</v>
      </c>
      <c r="G4" s="2" t="s">
        <v>92</v>
      </c>
      <c r="H4" s="2" t="s">
        <v>108</v>
      </c>
      <c r="I4" s="2" t="s">
        <v>109</v>
      </c>
      <c r="J4" s="2" t="s">
        <v>110</v>
      </c>
      <c r="K4" s="2" t="s">
        <v>77</v>
      </c>
      <c r="L4" s="2" t="s">
        <v>77</v>
      </c>
      <c r="M4" s="2" t="s">
        <v>111</v>
      </c>
      <c r="N4" s="2" t="s">
        <v>79</v>
      </c>
      <c r="O4" s="2" t="s">
        <v>112</v>
      </c>
      <c r="P4" s="3" t="n">
        <v>7</v>
      </c>
      <c r="Q4" s="3" t="n">
        <v>4550</v>
      </c>
      <c r="R4" s="3" t="n">
        <v>2545</v>
      </c>
      <c r="S4" s="3" t="n">
        <v>2449</v>
      </c>
      <c r="T4" s="3" t="n">
        <v>2005</v>
      </c>
      <c r="U4" s="3" t="n">
        <v>0</v>
      </c>
      <c r="V4" s="3" t="n">
        <v>0</v>
      </c>
      <c r="W4" s="3" t="n">
        <v>0</v>
      </c>
      <c r="X4" s="3" t="n">
        <v>35</v>
      </c>
      <c r="Y4" s="3" t="n">
        <v>27</v>
      </c>
      <c r="Z4" s="3" t="n">
        <v>1</v>
      </c>
      <c r="AA4" s="3" t="n">
        <v>1</v>
      </c>
      <c r="AB4" s="3" t="n">
        <v>0</v>
      </c>
      <c r="AC4" s="3" t="n">
        <v>6</v>
      </c>
      <c r="AD4" s="3" t="n">
        <v>4</v>
      </c>
      <c r="AE4" s="3" t="n">
        <v>18</v>
      </c>
      <c r="AF4" s="3" t="n">
        <v>2</v>
      </c>
      <c r="AG4" s="3" t="n">
        <v>11</v>
      </c>
      <c r="AH4" s="2" t="s">
        <v>113</v>
      </c>
      <c r="AI4" s="3" t="n">
        <v>35</v>
      </c>
      <c r="AJ4" s="2" t="n">
        <v>4</v>
      </c>
      <c r="AK4" s="2" t="n">
        <f aca="false">COUNTIFS(secondary_acts!$A$2:$A$771,$A4,secondary_acts!$E$2:$E$771,"implementing")</f>
        <v>0</v>
      </c>
      <c r="AL4" s="2" t="n">
        <f aca="false">COUNTIFS(secondary_acts!$A$2:$A$771,$A4,secondary_acts!$E$2:$E$771,"delegated")</f>
        <v>0</v>
      </c>
      <c r="AM4" s="2" t="n">
        <f aca="false">COUNTIFS(secondary_acts!$A$2:$A$771,$A4,secondary_acts!$E$2:$E$771,"other Commission/Council act")</f>
        <v>0</v>
      </c>
      <c r="AN4" s="2" t="n">
        <f aca="false">COUNTIFS(secondary_acts!$A$2:$A$771,$A4,secondary_acts!$E$2:$E$771,"guidance")</f>
        <v>0</v>
      </c>
      <c r="AO4" s="2" t="n">
        <f aca="false">COUNTIF(guidance_web!$A$2:$A$7,$A4)</f>
        <v>0</v>
      </c>
      <c r="AP4" s="2" t="n">
        <f aca="false">COUNTIFS(guidance_agencies!$A$2:$A$81,$A4,guidance_agencies!$D$2:$D$81,"EDPB")</f>
        <v>0</v>
      </c>
      <c r="AQ4" s="2" t="n">
        <f aca="false">COUNTIFS(guidance_agencies!$A$2:$A$81,$A4,guidance_agencies!$D$2:$D$81,"EBA")</f>
        <v>0</v>
      </c>
      <c r="AR4" s="2" t="n">
        <f aca="false">COUNTIFS(guidance_agencies!$A$2:$A$81,$A4,guidance_agencies!$D$2:$D$81,"ESMA")</f>
        <v>0</v>
      </c>
      <c r="AS4" s="3" t="n">
        <f aca="false">SUMIFS(secondary_acts!$S$2:$S$771,secondary_acts!$A$2:$A$771,$A4,secondary_acts!$E$2:$E$771,"implementing")+SUMIFS(secondary_acts!$S$2:$S$771,secondary_acts!$A$2:$A$771,$A4,secondary_acts!$E$2:$E$771,"delegated")</f>
        <v>0</v>
      </c>
      <c r="AT4" s="3" t="n">
        <v>207</v>
      </c>
      <c r="AU4" s="2" t="n">
        <v>23</v>
      </c>
      <c r="AV4" s="2" t="n">
        <v>1</v>
      </c>
      <c r="AW4" s="2" t="s">
        <v>114</v>
      </c>
      <c r="AX4" s="2" t="s">
        <v>114</v>
      </c>
      <c r="AY4" s="2" t="n">
        <v>1</v>
      </c>
      <c r="AZ4" s="2" t="s">
        <v>115</v>
      </c>
      <c r="BA4" s="2" t="s">
        <v>84</v>
      </c>
      <c r="BB4" s="2" t="n">
        <v>3122</v>
      </c>
      <c r="BC4" s="2" t="n">
        <v>30</v>
      </c>
      <c r="BD4" s="2" t="n">
        <v>0</v>
      </c>
      <c r="BE4" s="2" t="n">
        <f aca="false">IF(ISNUMBER(BB4),Q4-BB4,"")</f>
        <v>1428</v>
      </c>
      <c r="BF4" s="4" t="n">
        <f aca="false">IF(AND(ISNUMBER(BB4),BB4&gt;0),(Q4-BB4)/BB4,"")</f>
        <v>0.457399103139013</v>
      </c>
      <c r="BG4" s="2" t="n">
        <f aca="false">IF(ISNUMBER(BC4),X4-BC4,"")</f>
        <v>5</v>
      </c>
      <c r="BH4" s="4" t="n">
        <f aca="false">IF(AND(ISNUMBER(BC4),BC4&gt;0),(X4-BC4)/BC4,"")</f>
        <v>0.166666666666667</v>
      </c>
      <c r="BI4" s="2" t="n">
        <f aca="false">IF(ISNUMBER(BD4),AD4-BD4,"")</f>
        <v>4</v>
      </c>
      <c r="BJ4" s="2" t="s">
        <v>85</v>
      </c>
      <c r="BK4" s="2" t="s">
        <v>116</v>
      </c>
      <c r="BL4" s="2" t="s">
        <v>117</v>
      </c>
      <c r="BM4" s="2" t="n">
        <v>3</v>
      </c>
      <c r="BN4" s="2" t="n">
        <v>2</v>
      </c>
      <c r="BO4" s="2" t="n">
        <v>2</v>
      </c>
      <c r="BP4" s="2" t="n">
        <v>0</v>
      </c>
      <c r="BQ4" s="2" t="s">
        <v>118</v>
      </c>
    </row>
    <row r="5" customFormat="false" ht="15" hidden="false" customHeight="false" outlineLevel="0" collapsed="false">
      <c r="A5" s="2" t="n">
        <v>4</v>
      </c>
      <c r="B5" s="2" t="s">
        <v>119</v>
      </c>
      <c r="C5" s="2" t="s">
        <v>120</v>
      </c>
      <c r="D5" s="2" t="s">
        <v>121</v>
      </c>
      <c r="E5" s="2" t="s">
        <v>72</v>
      </c>
      <c r="F5" s="2" t="s">
        <v>122</v>
      </c>
      <c r="G5" s="2" t="s">
        <v>92</v>
      </c>
      <c r="H5" s="2" t="s">
        <v>123</v>
      </c>
      <c r="I5" s="2" t="s">
        <v>124</v>
      </c>
      <c r="J5" s="2" t="s">
        <v>125</v>
      </c>
      <c r="K5" s="2" t="s">
        <v>77</v>
      </c>
      <c r="L5" s="2" t="s">
        <v>77</v>
      </c>
      <c r="M5" s="2" t="s">
        <v>126</v>
      </c>
      <c r="N5" s="2" t="s">
        <v>79</v>
      </c>
      <c r="O5" s="2" t="s">
        <v>127</v>
      </c>
      <c r="P5" s="3" t="n">
        <v>9</v>
      </c>
      <c r="Q5" s="3" t="n">
        <v>5494</v>
      </c>
      <c r="R5" s="3" t="n">
        <v>3257</v>
      </c>
      <c r="S5" s="3" t="n">
        <v>3156</v>
      </c>
      <c r="T5" s="3" t="n">
        <v>2237</v>
      </c>
      <c r="U5" s="3" t="n">
        <v>0</v>
      </c>
      <c r="V5" s="3" t="n">
        <v>0</v>
      </c>
      <c r="W5" s="3" t="n">
        <v>0</v>
      </c>
      <c r="X5" s="3" t="n">
        <v>33</v>
      </c>
      <c r="Y5" s="3" t="n">
        <v>24</v>
      </c>
      <c r="Z5" s="3" t="n">
        <v>9</v>
      </c>
      <c r="AA5" s="3" t="n">
        <v>0</v>
      </c>
      <c r="AB5" s="3" t="n">
        <v>0</v>
      </c>
      <c r="AC5" s="3" t="n">
        <v>0</v>
      </c>
      <c r="AD5" s="3" t="n">
        <v>8</v>
      </c>
      <c r="AE5" s="3" t="n">
        <v>10</v>
      </c>
      <c r="AF5" s="3" t="n">
        <v>2</v>
      </c>
      <c r="AG5" s="3" t="n">
        <v>13</v>
      </c>
      <c r="AH5" s="2" t="s">
        <v>128</v>
      </c>
      <c r="AI5" s="3" t="n">
        <v>33</v>
      </c>
      <c r="AJ5" s="2" t="n">
        <v>8</v>
      </c>
      <c r="AK5" s="2" t="n">
        <f aca="false">COUNTIFS(secondary_acts!$A$2:$A$771,$A5,secondary_acts!$E$2:$E$771,"implementing")</f>
        <v>0</v>
      </c>
      <c r="AL5" s="2" t="n">
        <f aca="false">COUNTIFS(secondary_acts!$A$2:$A$771,$A5,secondary_acts!$E$2:$E$771,"delegated")</f>
        <v>0</v>
      </c>
      <c r="AM5" s="2" t="n">
        <f aca="false">COUNTIFS(secondary_acts!$A$2:$A$771,$A5,secondary_acts!$E$2:$E$771,"other Commission/Council act")</f>
        <v>0</v>
      </c>
      <c r="AN5" s="2" t="n">
        <f aca="false">COUNTIFS(secondary_acts!$A$2:$A$771,$A5,secondary_acts!$E$2:$E$771,"guidance")</f>
        <v>0</v>
      </c>
      <c r="AO5" s="2" t="n">
        <f aca="false">COUNTIF(guidance_web!$A$2:$A$7,$A5)</f>
        <v>0</v>
      </c>
      <c r="AP5" s="2" t="n">
        <f aca="false">COUNTIFS(guidance_agencies!$A$2:$A$81,$A5,guidance_agencies!$D$2:$D$81,"EDPB")</f>
        <v>0</v>
      </c>
      <c r="AQ5" s="2" t="n">
        <f aca="false">COUNTIFS(guidance_agencies!$A$2:$A$81,$A5,guidance_agencies!$D$2:$D$81,"EBA")</f>
        <v>0</v>
      </c>
      <c r="AR5" s="2" t="n">
        <f aca="false">COUNTIFS(guidance_agencies!$A$2:$A$81,$A5,guidance_agencies!$D$2:$D$81,"ESMA")</f>
        <v>0</v>
      </c>
      <c r="AS5" s="3" t="n">
        <f aca="false">SUMIFS(secondary_acts!$S$2:$S$771,secondary_acts!$A$2:$A$771,$A5,secondary_acts!$E$2:$E$771,"implementing")+SUMIFS(secondary_acts!$S$2:$S$771,secondary_acts!$A$2:$A$771,$A5,secondary_acts!$E$2:$E$771,"delegated")</f>
        <v>0</v>
      </c>
      <c r="AT5" s="3" t="n">
        <v>1049</v>
      </c>
      <c r="AU5" s="2" t="n">
        <v>22</v>
      </c>
      <c r="AV5" s="2" t="n">
        <v>1</v>
      </c>
      <c r="AW5" s="2" t="s">
        <v>114</v>
      </c>
      <c r="AX5" s="2" t="s">
        <v>114</v>
      </c>
      <c r="AY5" s="2" t="n">
        <v>1</v>
      </c>
      <c r="AZ5" s="2" t="s">
        <v>129</v>
      </c>
      <c r="BA5" s="2" t="s">
        <v>84</v>
      </c>
      <c r="BB5" s="2" t="n">
        <v>4314</v>
      </c>
      <c r="BC5" s="2" t="n">
        <v>28</v>
      </c>
      <c r="BD5" s="2" t="n">
        <v>2</v>
      </c>
      <c r="BE5" s="2" t="n">
        <f aca="false">IF(ISNUMBER(BB5),Q5-BB5,"")</f>
        <v>1180</v>
      </c>
      <c r="BF5" s="4" t="n">
        <f aca="false">IF(AND(ISNUMBER(BB5),BB5&gt;0),(Q5-BB5)/BB5,"")</f>
        <v>0.273528048215114</v>
      </c>
      <c r="BG5" s="2" t="n">
        <f aca="false">IF(ISNUMBER(BC5),X5-BC5,"")</f>
        <v>5</v>
      </c>
      <c r="BH5" s="4" t="n">
        <f aca="false">IF(AND(ISNUMBER(BC5),BC5&gt;0),(X5-BC5)/BC5,"")</f>
        <v>0.178571428571429</v>
      </c>
      <c r="BI5" s="2" t="n">
        <f aca="false">IF(ISNUMBER(BD5),AD5-BD5,"")</f>
        <v>6</v>
      </c>
      <c r="BJ5" s="2" t="s">
        <v>85</v>
      </c>
      <c r="BK5" s="2" t="s">
        <v>130</v>
      </c>
      <c r="BL5" s="2" t="s">
        <v>131</v>
      </c>
      <c r="BM5" s="2" t="n">
        <v>2</v>
      </c>
      <c r="BN5" s="2" t="n">
        <v>2</v>
      </c>
      <c r="BO5" s="2" t="n">
        <v>4</v>
      </c>
      <c r="BP5" s="2" t="n">
        <v>0</v>
      </c>
      <c r="BQ5" s="2"/>
    </row>
    <row r="6" customFormat="false" ht="15" hidden="false" customHeight="false" outlineLevel="0" collapsed="false">
      <c r="A6" s="2" t="n">
        <v>5</v>
      </c>
      <c r="B6" s="2" t="s">
        <v>132</v>
      </c>
      <c r="C6" s="2" t="s">
        <v>133</v>
      </c>
      <c r="D6" s="2" t="s">
        <v>121</v>
      </c>
      <c r="E6" s="2" t="s">
        <v>72</v>
      </c>
      <c r="F6" s="2" t="s">
        <v>134</v>
      </c>
      <c r="G6" s="2" t="s">
        <v>92</v>
      </c>
      <c r="H6" s="2" t="s">
        <v>135</v>
      </c>
      <c r="I6" s="2" t="s">
        <v>136</v>
      </c>
      <c r="J6" s="2" t="s">
        <v>137</v>
      </c>
      <c r="K6" s="2" t="s">
        <v>77</v>
      </c>
      <c r="L6" s="2" t="s">
        <v>77</v>
      </c>
      <c r="M6" s="2" t="s">
        <v>138</v>
      </c>
      <c r="N6" s="2" t="s">
        <v>79</v>
      </c>
      <c r="O6" s="2" t="s">
        <v>139</v>
      </c>
      <c r="P6" s="3" t="n">
        <v>24</v>
      </c>
      <c r="Q6" s="3" t="n">
        <v>17870</v>
      </c>
      <c r="R6" s="3" t="n">
        <v>2070</v>
      </c>
      <c r="S6" s="3" t="n">
        <v>1978</v>
      </c>
      <c r="T6" s="3" t="n">
        <v>15800</v>
      </c>
      <c r="U6" s="3" t="n">
        <v>0</v>
      </c>
      <c r="V6" s="3" t="n">
        <v>0</v>
      </c>
      <c r="W6" s="3" t="n">
        <v>0</v>
      </c>
      <c r="X6" s="3" t="n">
        <v>280</v>
      </c>
      <c r="Y6" s="3" t="n">
        <v>241</v>
      </c>
      <c r="Z6" s="3" t="n">
        <v>31</v>
      </c>
      <c r="AA6" s="3" t="n">
        <v>7</v>
      </c>
      <c r="AB6" s="3" t="n">
        <v>1</v>
      </c>
      <c r="AC6" s="3" t="n">
        <v>0</v>
      </c>
      <c r="AD6" s="3" t="n">
        <v>29</v>
      </c>
      <c r="AE6" s="3" t="n">
        <v>50</v>
      </c>
      <c r="AF6" s="3" t="n">
        <v>65</v>
      </c>
      <c r="AG6" s="3" t="n">
        <v>136</v>
      </c>
      <c r="AH6" s="2" t="s">
        <v>140</v>
      </c>
      <c r="AI6" s="3" t="n">
        <v>481</v>
      </c>
      <c r="AJ6" s="2" t="n">
        <v>51</v>
      </c>
      <c r="AK6" s="2" t="n">
        <f aca="false">COUNTIFS(secondary_acts!$A$2:$A$771,$A6,secondary_acts!$E$2:$E$771,"implementing")</f>
        <v>2</v>
      </c>
      <c r="AL6" s="2" t="n">
        <f aca="false">COUNTIFS(secondary_acts!$A$2:$A$771,$A6,secondary_acts!$E$2:$E$771,"delegated")</f>
        <v>1</v>
      </c>
      <c r="AM6" s="2" t="n">
        <f aca="false">COUNTIFS(secondary_acts!$A$2:$A$771,$A6,secondary_acts!$E$2:$E$771,"other Commission/Council act")</f>
        <v>4</v>
      </c>
      <c r="AN6" s="2" t="n">
        <f aca="false">COUNTIFS(secondary_acts!$A$2:$A$771,$A6,secondary_acts!$E$2:$E$771,"guidance")</f>
        <v>0</v>
      </c>
      <c r="AO6" s="2" t="n">
        <f aca="false">COUNTIF(guidance_web!$A$2:$A$7,$A6)</f>
        <v>0</v>
      </c>
      <c r="AP6" s="2" t="n">
        <f aca="false">COUNTIFS(guidance_agencies!$A$2:$A$81,$A6,guidance_agencies!$D$2:$D$81,"EDPB")</f>
        <v>0</v>
      </c>
      <c r="AQ6" s="2" t="n">
        <f aca="false">COUNTIFS(guidance_agencies!$A$2:$A$81,$A6,guidance_agencies!$D$2:$D$81,"EBA")</f>
        <v>0</v>
      </c>
      <c r="AR6" s="2" t="n">
        <f aca="false">COUNTIFS(guidance_agencies!$A$2:$A$81,$A6,guidance_agencies!$D$2:$D$81,"ESMA")</f>
        <v>0</v>
      </c>
      <c r="AS6" s="3" t="n">
        <f aca="false">SUMIFS(secondary_acts!$S$2:$S$771,secondary_acts!$A$2:$A$771,$A6,secondary_acts!$E$2:$E$771,"implementing")+SUMIFS(secondary_acts!$S$2:$S$771,secondary_acts!$A$2:$A$771,$A6,secondary_acts!$E$2:$E$771,"delegated")</f>
        <v>143</v>
      </c>
      <c r="AT6" s="3"/>
      <c r="AU6" s="2"/>
      <c r="AV6" s="2" t="n">
        <v>2</v>
      </c>
      <c r="AW6" s="2" t="s">
        <v>141</v>
      </c>
      <c r="AX6" s="2" t="s">
        <v>142</v>
      </c>
      <c r="AY6" s="2" t="n">
        <v>20</v>
      </c>
      <c r="AZ6" s="2" t="s">
        <v>143</v>
      </c>
      <c r="BA6" s="2" t="s">
        <v>144</v>
      </c>
      <c r="BB6" s="2"/>
      <c r="BC6" s="2"/>
      <c r="BD6" s="2"/>
      <c r="BE6" s="2" t="str">
        <f aca="false">IF(ISNUMBER(BB6),Q6-BB6,"")</f>
        <v/>
      </c>
      <c r="BF6" s="4" t="str">
        <f aca="false">IF(AND(ISNUMBER(BB6),BB6&gt;0),(Q6-BB6)/BB6,"")</f>
        <v/>
      </c>
      <c r="BG6" s="2" t="str">
        <f aca="false">IF(ISNUMBER(BC6),X6-BC6,"")</f>
        <v/>
      </c>
      <c r="BH6" s="4" t="str">
        <f aca="false">IF(AND(ISNUMBER(BC6),BC6&gt;0),(X6-BC6)/BC6,"")</f>
        <v/>
      </c>
      <c r="BI6" s="2" t="str">
        <f aca="false">IF(ISNUMBER(BD6),AD6-BD6,"")</f>
        <v/>
      </c>
      <c r="BJ6" s="2" t="s">
        <v>85</v>
      </c>
      <c r="BK6" s="2" t="s">
        <v>145</v>
      </c>
      <c r="BL6" s="2" t="s">
        <v>146</v>
      </c>
      <c r="BM6" s="2" t="n">
        <v>3</v>
      </c>
      <c r="BN6" s="2" t="n">
        <v>2</v>
      </c>
      <c r="BO6" s="2" t="n">
        <v>2</v>
      </c>
      <c r="BP6" s="2" t="n">
        <v>0</v>
      </c>
      <c r="BQ6" s="2"/>
    </row>
    <row r="7" customFormat="false" ht="15" hidden="false" customHeight="false" outlineLevel="0" collapsed="false">
      <c r="A7" s="2" t="n">
        <v>6</v>
      </c>
      <c r="B7" s="2" t="s">
        <v>147</v>
      </c>
      <c r="C7" s="2" t="s">
        <v>148</v>
      </c>
      <c r="D7" s="2" t="s">
        <v>90</v>
      </c>
      <c r="E7" s="2" t="s">
        <v>72</v>
      </c>
      <c r="F7" s="2" t="s">
        <v>149</v>
      </c>
      <c r="G7" s="2" t="s">
        <v>74</v>
      </c>
      <c r="H7" s="2" t="s">
        <v>150</v>
      </c>
      <c r="I7" s="2" t="s">
        <v>151</v>
      </c>
      <c r="J7" s="2" t="s">
        <v>152</v>
      </c>
      <c r="K7" s="2" t="s">
        <v>77</v>
      </c>
      <c r="L7" s="2" t="s">
        <v>77</v>
      </c>
      <c r="M7" s="2" t="s">
        <v>153</v>
      </c>
      <c r="N7" s="2" t="s">
        <v>79</v>
      </c>
      <c r="O7" s="2" t="s">
        <v>154</v>
      </c>
      <c r="P7" s="3" t="n">
        <v>5</v>
      </c>
      <c r="Q7" s="3" t="n">
        <v>1901</v>
      </c>
      <c r="R7" s="3" t="n">
        <v>853</v>
      </c>
      <c r="S7" s="3" t="n">
        <v>731</v>
      </c>
      <c r="T7" s="3" t="n">
        <v>1048</v>
      </c>
      <c r="U7" s="3" t="n">
        <v>0</v>
      </c>
      <c r="V7" s="3" t="n">
        <v>0</v>
      </c>
      <c r="W7" s="3" t="n">
        <v>0</v>
      </c>
      <c r="X7" s="3" t="n">
        <v>23</v>
      </c>
      <c r="Y7" s="3" t="n">
        <v>22</v>
      </c>
      <c r="Z7" s="3" t="n">
        <v>1</v>
      </c>
      <c r="AA7" s="3" t="n">
        <v>0</v>
      </c>
      <c r="AB7" s="3" t="n">
        <v>0</v>
      </c>
      <c r="AC7" s="3" t="n">
        <v>0</v>
      </c>
      <c r="AD7" s="3" t="n">
        <v>1</v>
      </c>
      <c r="AE7" s="3" t="n">
        <v>10</v>
      </c>
      <c r="AF7" s="3" t="n">
        <v>3</v>
      </c>
      <c r="AG7" s="3" t="n">
        <v>9</v>
      </c>
      <c r="AH7" s="2" t="s">
        <v>155</v>
      </c>
      <c r="AI7" s="3" t="n">
        <v>27</v>
      </c>
      <c r="AJ7" s="2" t="n">
        <v>0</v>
      </c>
      <c r="AK7" s="2" t="n">
        <f aca="false">COUNTIFS(secondary_acts!$A$2:$A$771,$A7,secondary_acts!$E$2:$E$771,"implementing")</f>
        <v>0</v>
      </c>
      <c r="AL7" s="2" t="n">
        <f aca="false">COUNTIFS(secondary_acts!$A$2:$A$771,$A7,secondary_acts!$E$2:$E$771,"delegated")</f>
        <v>0</v>
      </c>
      <c r="AM7" s="2" t="n">
        <f aca="false">COUNTIFS(secondary_acts!$A$2:$A$771,$A7,secondary_acts!$E$2:$E$771,"other Commission/Council act")</f>
        <v>0</v>
      </c>
      <c r="AN7" s="2" t="n">
        <f aca="false">COUNTIFS(secondary_acts!$A$2:$A$771,$A7,secondary_acts!$E$2:$E$771,"guidance")</f>
        <v>1</v>
      </c>
      <c r="AO7" s="2" t="n">
        <f aca="false">COUNTIF(guidance_web!$A$2:$A$7,$A7)</f>
        <v>0</v>
      </c>
      <c r="AP7" s="2" t="n">
        <f aca="false">COUNTIFS(guidance_agencies!$A$2:$A$81,$A7,guidance_agencies!$D$2:$D$81,"EDPB")</f>
        <v>0</v>
      </c>
      <c r="AQ7" s="2" t="n">
        <f aca="false">COUNTIFS(guidance_agencies!$A$2:$A$81,$A7,guidance_agencies!$D$2:$D$81,"EBA")</f>
        <v>0</v>
      </c>
      <c r="AR7" s="2" t="n">
        <f aca="false">COUNTIFS(guidance_agencies!$A$2:$A$81,$A7,guidance_agencies!$D$2:$D$81,"ESMA")</f>
        <v>0</v>
      </c>
      <c r="AS7" s="3" t="n">
        <f aca="false">SUMIFS(secondary_acts!$S$2:$S$771,secondary_acts!$A$2:$A$771,$A7,secondary_acts!$E$2:$E$771,"implementing")+SUMIFS(secondary_acts!$S$2:$S$771,secondary_acts!$A$2:$A$771,$A7,secondary_acts!$E$2:$E$771,"delegated")</f>
        <v>0</v>
      </c>
      <c r="AT7" s="3" t="n">
        <v>359</v>
      </c>
      <c r="AU7" s="2" t="n">
        <v>26</v>
      </c>
      <c r="AV7" s="2" t="n">
        <v>1</v>
      </c>
      <c r="AW7" s="2" t="s">
        <v>100</v>
      </c>
      <c r="AX7" s="2" t="s">
        <v>100</v>
      </c>
      <c r="AY7" s="2" t="n">
        <v>1</v>
      </c>
      <c r="AZ7" s="2" t="s">
        <v>156</v>
      </c>
      <c r="BA7" s="2" t="s">
        <v>157</v>
      </c>
      <c r="BB7" s="2" t="n">
        <v>1809</v>
      </c>
      <c r="BC7" s="2" t="n">
        <v>21</v>
      </c>
      <c r="BD7" s="2" t="n">
        <v>0</v>
      </c>
      <c r="BE7" s="2" t="n">
        <f aca="false">IF(ISNUMBER(BB7),Q7-BB7,"")</f>
        <v>92</v>
      </c>
      <c r="BF7" s="4" t="n">
        <f aca="false">IF(AND(ISNUMBER(BB7),BB7&gt;0),(Q7-BB7)/BB7,"")</f>
        <v>0.05085682697623</v>
      </c>
      <c r="BG7" s="2" t="n">
        <f aca="false">IF(ISNUMBER(BC7),X7-BC7,"")</f>
        <v>2</v>
      </c>
      <c r="BH7" s="4" t="n">
        <f aca="false">IF(AND(ISNUMBER(BC7),BC7&gt;0),(X7-BC7)/BC7,"")</f>
        <v>0.0952380952380952</v>
      </c>
      <c r="BI7" s="2" t="n">
        <f aca="false">IF(ISNUMBER(BD7),AD7-BD7,"")</f>
        <v>1</v>
      </c>
      <c r="BJ7" s="2" t="s">
        <v>85</v>
      </c>
      <c r="BK7" s="2" t="s">
        <v>158</v>
      </c>
      <c r="BL7" s="2" t="s">
        <v>159</v>
      </c>
      <c r="BM7" s="2" t="n">
        <v>2</v>
      </c>
      <c r="BN7" s="2" t="n">
        <v>2</v>
      </c>
      <c r="BO7" s="2" t="n">
        <v>3</v>
      </c>
      <c r="BP7" s="2" t="n">
        <v>0</v>
      </c>
      <c r="BQ7" s="2"/>
    </row>
    <row r="8" customFormat="false" ht="15" hidden="false" customHeight="false" outlineLevel="0" collapsed="false">
      <c r="A8" s="2" t="n">
        <v>7</v>
      </c>
      <c r="B8" s="2" t="s">
        <v>160</v>
      </c>
      <c r="C8" s="2" t="s">
        <v>161</v>
      </c>
      <c r="D8" s="2" t="s">
        <v>106</v>
      </c>
      <c r="E8" s="2" t="s">
        <v>72</v>
      </c>
      <c r="F8" s="2" t="s">
        <v>162</v>
      </c>
      <c r="G8" s="2" t="s">
        <v>163</v>
      </c>
      <c r="H8" s="2" t="s">
        <v>164</v>
      </c>
      <c r="I8" s="2" t="s">
        <v>165</v>
      </c>
      <c r="J8" s="2" t="s">
        <v>166</v>
      </c>
      <c r="K8" s="2" t="s">
        <v>77</v>
      </c>
      <c r="L8" s="2" t="s">
        <v>77</v>
      </c>
      <c r="M8" s="2" t="s">
        <v>167</v>
      </c>
      <c r="N8" s="2" t="s">
        <v>79</v>
      </c>
      <c r="O8" s="2" t="s">
        <v>168</v>
      </c>
      <c r="P8" s="3" t="n">
        <v>10</v>
      </c>
      <c r="Q8" s="3" t="n">
        <v>8127</v>
      </c>
      <c r="R8" s="3" t="n">
        <v>4811</v>
      </c>
      <c r="S8" s="3" t="n">
        <v>4670</v>
      </c>
      <c r="T8" s="3" t="n">
        <v>3316</v>
      </c>
      <c r="U8" s="3" t="n">
        <v>0</v>
      </c>
      <c r="V8" s="3" t="n">
        <v>0</v>
      </c>
      <c r="W8" s="3" t="n">
        <v>0</v>
      </c>
      <c r="X8" s="3" t="n">
        <v>35</v>
      </c>
      <c r="Y8" s="3" t="n">
        <v>29</v>
      </c>
      <c r="Z8" s="3" t="n">
        <v>3</v>
      </c>
      <c r="AA8" s="3" t="n">
        <v>2</v>
      </c>
      <c r="AB8" s="3" t="n">
        <v>0</v>
      </c>
      <c r="AC8" s="3" t="n">
        <v>1</v>
      </c>
      <c r="AD8" s="3" t="n">
        <v>0</v>
      </c>
      <c r="AE8" s="3" t="n">
        <v>21</v>
      </c>
      <c r="AF8" s="3" t="n">
        <v>3</v>
      </c>
      <c r="AG8" s="3" t="n">
        <v>11</v>
      </c>
      <c r="AH8" s="2" t="s">
        <v>169</v>
      </c>
      <c r="AI8" s="3" t="n">
        <v>35</v>
      </c>
      <c r="AJ8" s="2" t="n">
        <v>0</v>
      </c>
      <c r="AK8" s="2" t="n">
        <f aca="false">COUNTIFS(secondary_acts!$A$2:$A$771,$A8,secondary_acts!$E$2:$E$771,"implementing")</f>
        <v>0</v>
      </c>
      <c r="AL8" s="2" t="n">
        <f aca="false">COUNTIFS(secondary_acts!$A$2:$A$771,$A8,secondary_acts!$E$2:$E$771,"delegated")</f>
        <v>0</v>
      </c>
      <c r="AM8" s="2" t="n">
        <f aca="false">COUNTIFS(secondary_acts!$A$2:$A$771,$A8,secondary_acts!$E$2:$E$771,"other Commission/Council act")</f>
        <v>0</v>
      </c>
      <c r="AN8" s="2" t="n">
        <f aca="false">COUNTIFS(secondary_acts!$A$2:$A$771,$A8,secondary_acts!$E$2:$E$771,"guidance")</f>
        <v>0</v>
      </c>
      <c r="AO8" s="2" t="n">
        <f aca="false">COUNTIF(guidance_web!$A$2:$A$7,$A8)</f>
        <v>0</v>
      </c>
      <c r="AP8" s="2" t="n">
        <f aca="false">COUNTIFS(guidance_agencies!$A$2:$A$81,$A8,guidance_agencies!$D$2:$D$81,"EDPB")</f>
        <v>0</v>
      </c>
      <c r="AQ8" s="2" t="n">
        <f aca="false">COUNTIFS(guidance_agencies!$A$2:$A$81,$A8,guidance_agencies!$D$2:$D$81,"EBA")</f>
        <v>0</v>
      </c>
      <c r="AR8" s="2" t="n">
        <f aca="false">COUNTIFS(guidance_agencies!$A$2:$A$81,$A8,guidance_agencies!$D$2:$D$81,"ESMA")</f>
        <v>0</v>
      </c>
      <c r="AS8" s="3" t="n">
        <f aca="false">SUMIFS(secondary_acts!$S$2:$S$771,secondary_acts!$A$2:$A$771,$A8,secondary_acts!$E$2:$E$771,"implementing")+SUMIFS(secondary_acts!$S$2:$S$771,secondary_acts!$A$2:$A$771,$A8,secondary_acts!$E$2:$E$771,"delegated")</f>
        <v>0</v>
      </c>
      <c r="AT8" s="3" t="n">
        <v>1103</v>
      </c>
      <c r="AU8" s="2" t="n">
        <v>28</v>
      </c>
      <c r="AV8" s="2" t="n">
        <v>2</v>
      </c>
      <c r="AW8" s="2" t="s">
        <v>170</v>
      </c>
      <c r="AX8" s="2" t="s">
        <v>114</v>
      </c>
      <c r="AY8" s="2" t="n">
        <v>8</v>
      </c>
      <c r="AZ8" s="2" t="s">
        <v>171</v>
      </c>
      <c r="BA8" s="2" t="s">
        <v>157</v>
      </c>
      <c r="BB8" s="2" t="n">
        <v>5152</v>
      </c>
      <c r="BC8" s="2" t="n">
        <v>27</v>
      </c>
      <c r="BD8" s="2" t="n">
        <v>0</v>
      </c>
      <c r="BE8" s="2" t="n">
        <f aca="false">IF(ISNUMBER(BB8),Q8-BB8,"")</f>
        <v>2975</v>
      </c>
      <c r="BF8" s="4" t="n">
        <f aca="false">IF(AND(ISNUMBER(BB8),BB8&gt;0),(Q8-BB8)/BB8,"")</f>
        <v>0.577445652173913</v>
      </c>
      <c r="BG8" s="2" t="n">
        <f aca="false">IF(ISNUMBER(BC8),X8-BC8,"")</f>
        <v>8</v>
      </c>
      <c r="BH8" s="4" t="n">
        <f aca="false">IF(AND(ISNUMBER(BC8),BC8&gt;0),(X8-BC8)/BC8,"")</f>
        <v>0.296296296296296</v>
      </c>
      <c r="BI8" s="2" t="n">
        <f aca="false">IF(ISNUMBER(BD8),AD8-BD8,"")</f>
        <v>0</v>
      </c>
      <c r="BJ8" s="2" t="s">
        <v>85</v>
      </c>
      <c r="BK8" s="2" t="s">
        <v>172</v>
      </c>
      <c r="BL8" s="2" t="s">
        <v>173</v>
      </c>
      <c r="BM8" s="2" t="n">
        <v>4</v>
      </c>
      <c r="BN8" s="2" t="n">
        <v>3</v>
      </c>
      <c r="BO8" s="2" t="n">
        <v>4</v>
      </c>
      <c r="BP8" s="2" t="n">
        <v>1</v>
      </c>
      <c r="BQ8" s="2"/>
    </row>
    <row r="9" customFormat="false" ht="15" hidden="false" customHeight="false" outlineLevel="0" collapsed="false">
      <c r="A9" s="2" t="n">
        <v>8</v>
      </c>
      <c r="B9" s="2" t="s">
        <v>174</v>
      </c>
      <c r="C9" s="2" t="s">
        <v>175</v>
      </c>
      <c r="D9" s="2" t="s">
        <v>90</v>
      </c>
      <c r="E9" s="2" t="s">
        <v>72</v>
      </c>
      <c r="F9" s="2" t="s">
        <v>176</v>
      </c>
      <c r="G9" s="2" t="s">
        <v>163</v>
      </c>
      <c r="H9" s="2" t="s">
        <v>177</v>
      </c>
      <c r="I9" s="2" t="s">
        <v>177</v>
      </c>
      <c r="J9" s="2" t="s">
        <v>178</v>
      </c>
      <c r="K9" s="2" t="s">
        <v>77</v>
      </c>
      <c r="L9" s="2" t="s">
        <v>77</v>
      </c>
      <c r="M9" s="2" t="s">
        <v>179</v>
      </c>
      <c r="N9" s="2" t="s">
        <v>79</v>
      </c>
      <c r="O9" s="2" t="s">
        <v>180</v>
      </c>
      <c r="P9" s="3" t="n">
        <v>16</v>
      </c>
      <c r="Q9" s="3" t="n">
        <v>10148</v>
      </c>
      <c r="R9" s="3" t="n">
        <v>5471</v>
      </c>
      <c r="S9" s="3" t="n">
        <v>5320</v>
      </c>
      <c r="T9" s="3" t="n">
        <v>4370</v>
      </c>
      <c r="U9" s="3" t="n">
        <v>307</v>
      </c>
      <c r="V9" s="3" t="n">
        <v>0</v>
      </c>
      <c r="W9" s="3" t="n">
        <v>0</v>
      </c>
      <c r="X9" s="3" t="n">
        <v>72</v>
      </c>
      <c r="Y9" s="3" t="n">
        <v>50</v>
      </c>
      <c r="Z9" s="3" t="n">
        <v>3</v>
      </c>
      <c r="AA9" s="3" t="n">
        <v>0</v>
      </c>
      <c r="AB9" s="3" t="n">
        <v>2</v>
      </c>
      <c r="AC9" s="3" t="n">
        <v>17</v>
      </c>
      <c r="AD9" s="3" t="n">
        <v>6</v>
      </c>
      <c r="AE9" s="3" t="n">
        <v>42</v>
      </c>
      <c r="AF9" s="3" t="n">
        <v>9</v>
      </c>
      <c r="AG9" s="3" t="n">
        <v>15</v>
      </c>
      <c r="AH9" s="2" t="s">
        <v>181</v>
      </c>
      <c r="AI9" s="3" t="n">
        <v>68</v>
      </c>
      <c r="AJ9" s="2" t="n">
        <v>6</v>
      </c>
      <c r="AK9" s="2" t="n">
        <f aca="false">COUNTIFS(secondary_acts!$A$2:$A$771,$A9,secondary_acts!$E$2:$E$771,"implementing")</f>
        <v>0</v>
      </c>
      <c r="AL9" s="2" t="n">
        <f aca="false">COUNTIFS(secondary_acts!$A$2:$A$771,$A9,secondary_acts!$E$2:$E$771,"delegated")</f>
        <v>0</v>
      </c>
      <c r="AM9" s="2" t="n">
        <f aca="false">COUNTIFS(secondary_acts!$A$2:$A$771,$A9,secondary_acts!$E$2:$E$771,"other Commission/Council act")</f>
        <v>0</v>
      </c>
      <c r="AN9" s="2" t="n">
        <f aca="false">COUNTIFS(secondary_acts!$A$2:$A$771,$A9,secondary_acts!$E$2:$E$771,"guidance")</f>
        <v>0</v>
      </c>
      <c r="AO9" s="2" t="n">
        <f aca="false">COUNTIF(guidance_web!$A$2:$A$7,$A9)</f>
        <v>0</v>
      </c>
      <c r="AP9" s="2" t="n">
        <f aca="false">COUNTIFS(guidance_agencies!$A$2:$A$81,$A9,guidance_agencies!$D$2:$D$81,"EDPB")</f>
        <v>0</v>
      </c>
      <c r="AQ9" s="2" t="n">
        <f aca="false">COUNTIFS(guidance_agencies!$A$2:$A$81,$A9,guidance_agencies!$D$2:$D$81,"EBA")</f>
        <v>0</v>
      </c>
      <c r="AR9" s="2" t="n">
        <f aca="false">COUNTIFS(guidance_agencies!$A$2:$A$81,$A9,guidance_agencies!$D$2:$D$81,"ESMA")</f>
        <v>0</v>
      </c>
      <c r="AS9" s="3" t="n">
        <f aca="false">SUMIFS(secondary_acts!$S$2:$S$771,secondary_acts!$A$2:$A$771,$A9,secondary_acts!$E$2:$E$771,"implementing")+SUMIFS(secondary_acts!$S$2:$S$771,secondary_acts!$A$2:$A$771,$A9,secondary_acts!$E$2:$E$771,"delegated")</f>
        <v>0</v>
      </c>
      <c r="AT9" s="3" t="n">
        <v>2522</v>
      </c>
      <c r="AU9" s="2" t="n">
        <v>27</v>
      </c>
      <c r="AV9" s="2" t="n">
        <v>1</v>
      </c>
      <c r="AW9" s="2" t="s">
        <v>182</v>
      </c>
      <c r="AX9" s="2" t="s">
        <v>182</v>
      </c>
      <c r="AY9" s="2" t="n">
        <v>4</v>
      </c>
      <c r="AZ9" s="2" t="s">
        <v>183</v>
      </c>
      <c r="BA9" s="2" t="s">
        <v>157</v>
      </c>
      <c r="BB9" s="2" t="n">
        <v>7063</v>
      </c>
      <c r="BC9" s="2" t="n">
        <v>78</v>
      </c>
      <c r="BD9" s="2" t="n">
        <v>7</v>
      </c>
      <c r="BE9" s="2" t="n">
        <f aca="false">IF(ISNUMBER(BB9),Q9-BB9,"")</f>
        <v>3085</v>
      </c>
      <c r="BF9" s="4" t="n">
        <f aca="false">IF(AND(ISNUMBER(BB9),BB9&gt;0),(Q9-BB9)/BB9,"")</f>
        <v>0.436783236585021</v>
      </c>
      <c r="BG9" s="2" t="n">
        <f aca="false">IF(ISNUMBER(BC9),X9-BC9,"")</f>
        <v>-6</v>
      </c>
      <c r="BH9" s="4" t="n">
        <f aca="false">IF(AND(ISNUMBER(BC9),BC9&gt;0),(X9-BC9)/BC9,"")</f>
        <v>-0.0769230769230769</v>
      </c>
      <c r="BI9" s="2" t="n">
        <f aca="false">IF(ISNUMBER(BD9),AD9-BD9,"")</f>
        <v>-1</v>
      </c>
      <c r="BJ9" s="2" t="s">
        <v>85</v>
      </c>
      <c r="BK9" s="2" t="s">
        <v>184</v>
      </c>
      <c r="BL9" s="2" t="s">
        <v>185</v>
      </c>
      <c r="BM9" s="2" t="n">
        <v>3</v>
      </c>
      <c r="BN9" s="2" t="n">
        <v>3</v>
      </c>
      <c r="BO9" s="2" t="n">
        <v>6</v>
      </c>
      <c r="BP9" s="2" t="n">
        <v>0</v>
      </c>
      <c r="BQ9" s="2"/>
    </row>
    <row r="10" customFormat="false" ht="15" hidden="false" customHeight="false" outlineLevel="0" collapsed="false">
      <c r="A10" s="2" t="n">
        <v>9</v>
      </c>
      <c r="B10" s="2" t="s">
        <v>186</v>
      </c>
      <c r="C10" s="2" t="s">
        <v>187</v>
      </c>
      <c r="D10" s="2" t="s">
        <v>188</v>
      </c>
      <c r="E10" s="2" t="s">
        <v>72</v>
      </c>
      <c r="F10" s="2" t="s">
        <v>189</v>
      </c>
      <c r="G10" s="2" t="s">
        <v>163</v>
      </c>
      <c r="H10" s="2" t="s">
        <v>190</v>
      </c>
      <c r="I10" s="2" t="s">
        <v>191</v>
      </c>
      <c r="J10" s="2" t="s">
        <v>192</v>
      </c>
      <c r="K10" s="2" t="s">
        <v>77</v>
      </c>
      <c r="L10" s="2" t="s">
        <v>77</v>
      </c>
      <c r="M10" s="2" t="s">
        <v>193</v>
      </c>
      <c r="N10" s="2" t="s">
        <v>79</v>
      </c>
      <c r="O10" s="2" t="s">
        <v>194</v>
      </c>
      <c r="P10" s="3" t="n">
        <v>11</v>
      </c>
      <c r="Q10" s="3" t="n">
        <v>8620</v>
      </c>
      <c r="R10" s="3" t="n">
        <v>5001</v>
      </c>
      <c r="S10" s="3" t="n">
        <v>4843</v>
      </c>
      <c r="T10" s="3" t="n">
        <v>3619</v>
      </c>
      <c r="U10" s="3" t="n">
        <v>0</v>
      </c>
      <c r="V10" s="3" t="n">
        <v>0</v>
      </c>
      <c r="W10" s="3" t="n">
        <v>0</v>
      </c>
      <c r="X10" s="3" t="n">
        <v>49</v>
      </c>
      <c r="Y10" s="3" t="n">
        <v>34</v>
      </c>
      <c r="Z10" s="3" t="n">
        <v>3</v>
      </c>
      <c r="AA10" s="3" t="n">
        <v>2</v>
      </c>
      <c r="AB10" s="3" t="n">
        <v>1</v>
      </c>
      <c r="AC10" s="3" t="n">
        <v>9</v>
      </c>
      <c r="AD10" s="3" t="n">
        <v>17</v>
      </c>
      <c r="AE10" s="3" t="n">
        <v>23</v>
      </c>
      <c r="AF10" s="3" t="n">
        <v>4</v>
      </c>
      <c r="AG10" s="3" t="n">
        <v>5</v>
      </c>
      <c r="AH10" s="2" t="s">
        <v>195</v>
      </c>
      <c r="AI10" s="3" t="n">
        <v>79</v>
      </c>
      <c r="AJ10" s="2" t="n">
        <v>29</v>
      </c>
      <c r="AK10" s="2" t="n">
        <f aca="false">COUNTIFS(secondary_acts!$A$2:$A$771,$A10,secondary_acts!$E$2:$E$771,"implementing")</f>
        <v>0</v>
      </c>
      <c r="AL10" s="2" t="n">
        <f aca="false">COUNTIFS(secondary_acts!$A$2:$A$771,$A10,secondary_acts!$E$2:$E$771,"delegated")</f>
        <v>0</v>
      </c>
      <c r="AM10" s="2" t="n">
        <f aca="false">COUNTIFS(secondary_acts!$A$2:$A$771,$A10,secondary_acts!$E$2:$E$771,"other Commission/Council act")</f>
        <v>1</v>
      </c>
      <c r="AN10" s="2" t="n">
        <f aca="false">COUNTIFS(secondary_acts!$A$2:$A$771,$A10,secondary_acts!$E$2:$E$771,"guidance")</f>
        <v>0</v>
      </c>
      <c r="AO10" s="2" t="n">
        <f aca="false">COUNTIF(guidance_web!$A$2:$A$7,$A10)</f>
        <v>0</v>
      </c>
      <c r="AP10" s="2" t="n">
        <f aca="false">COUNTIFS(guidance_agencies!$A$2:$A$81,$A10,guidance_agencies!$D$2:$D$81,"EDPB")</f>
        <v>1</v>
      </c>
      <c r="AQ10" s="2" t="n">
        <f aca="false">COUNTIFS(guidance_agencies!$A$2:$A$81,$A10,guidance_agencies!$D$2:$D$81,"EBA")</f>
        <v>0</v>
      </c>
      <c r="AR10" s="2" t="n">
        <f aca="false">COUNTIFS(guidance_agencies!$A$2:$A$81,$A10,guidance_agencies!$D$2:$D$81,"ESMA")</f>
        <v>0</v>
      </c>
      <c r="AS10" s="3" t="n">
        <f aca="false">SUMIFS(secondary_acts!$S$2:$S$771,secondary_acts!$A$2:$A$771,$A10,secondary_acts!$E$2:$E$771,"implementing")+SUMIFS(secondary_acts!$S$2:$S$771,secondary_acts!$A$2:$A$771,$A10,secondary_acts!$E$2:$E$771,"delegated")</f>
        <v>0</v>
      </c>
      <c r="AT10" s="3" t="n">
        <v>1004</v>
      </c>
      <c r="AU10" s="2" t="n">
        <v>28</v>
      </c>
      <c r="AV10" s="2" t="n">
        <v>2</v>
      </c>
      <c r="AW10" s="2" t="s">
        <v>196</v>
      </c>
      <c r="AX10" s="2" t="s">
        <v>197</v>
      </c>
      <c r="AY10" s="2" t="n">
        <v>4</v>
      </c>
      <c r="AZ10" s="2" t="s">
        <v>198</v>
      </c>
      <c r="BA10" s="2" t="s">
        <v>157</v>
      </c>
      <c r="BB10" s="2" t="n">
        <v>5154</v>
      </c>
      <c r="BC10" s="2" t="n">
        <v>39</v>
      </c>
      <c r="BD10" s="2" t="n">
        <v>14</v>
      </c>
      <c r="BE10" s="2" t="n">
        <f aca="false">IF(ISNUMBER(BB10),Q10-BB10,"")</f>
        <v>3466</v>
      </c>
      <c r="BF10" s="4" t="n">
        <f aca="false">IF(AND(ISNUMBER(BB10),BB10&gt;0),(Q10-BB10)/BB10,"")</f>
        <v>0.672487388436166</v>
      </c>
      <c r="BG10" s="2" t="n">
        <f aca="false">IF(ISNUMBER(BC10),X10-BC10,"")</f>
        <v>10</v>
      </c>
      <c r="BH10" s="4" t="n">
        <f aca="false">IF(AND(ISNUMBER(BC10),BC10&gt;0),(X10-BC10)/BC10,"")</f>
        <v>0.256410256410256</v>
      </c>
      <c r="BI10" s="2" t="n">
        <f aca="false">IF(ISNUMBER(BD10),AD10-BD10,"")</f>
        <v>3</v>
      </c>
      <c r="BJ10" s="2" t="s">
        <v>199</v>
      </c>
      <c r="BK10" s="2" t="s">
        <v>200</v>
      </c>
      <c r="BL10" s="2" t="s">
        <v>201</v>
      </c>
      <c r="BM10" s="2" t="n">
        <v>2</v>
      </c>
      <c r="BN10" s="2" t="n">
        <v>2</v>
      </c>
      <c r="BO10" s="2" t="n">
        <v>2</v>
      </c>
      <c r="BP10" s="2" t="n">
        <v>1</v>
      </c>
      <c r="BQ10" s="2"/>
    </row>
    <row r="11" customFormat="false" ht="15" hidden="false" customHeight="false" outlineLevel="0" collapsed="false">
      <c r="A11" s="2" t="n">
        <v>10</v>
      </c>
      <c r="B11" s="2" t="s">
        <v>202</v>
      </c>
      <c r="C11" s="2" t="s">
        <v>203</v>
      </c>
      <c r="D11" s="2" t="s">
        <v>71</v>
      </c>
      <c r="E11" s="2" t="s">
        <v>72</v>
      </c>
      <c r="F11" s="2" t="s">
        <v>189</v>
      </c>
      <c r="G11" s="2" t="s">
        <v>92</v>
      </c>
      <c r="H11" s="2" t="s">
        <v>204</v>
      </c>
      <c r="I11" s="2" t="s">
        <v>205</v>
      </c>
      <c r="J11" s="2" t="s">
        <v>206</v>
      </c>
      <c r="K11" s="2" t="s">
        <v>77</v>
      </c>
      <c r="L11" s="2" t="s">
        <v>77</v>
      </c>
      <c r="M11" s="2" t="s">
        <v>207</v>
      </c>
      <c r="N11" s="2" t="s">
        <v>79</v>
      </c>
      <c r="O11" s="2" t="s">
        <v>208</v>
      </c>
      <c r="P11" s="3" t="n">
        <v>6</v>
      </c>
      <c r="Q11" s="3" t="n">
        <v>4197</v>
      </c>
      <c r="R11" s="3" t="n">
        <v>2770</v>
      </c>
      <c r="S11" s="3" t="n">
        <v>2631</v>
      </c>
      <c r="T11" s="3" t="n">
        <v>1427</v>
      </c>
      <c r="U11" s="3" t="n">
        <v>0</v>
      </c>
      <c r="V11" s="3" t="n">
        <v>0</v>
      </c>
      <c r="W11" s="3" t="n">
        <v>0</v>
      </c>
      <c r="X11" s="3" t="n">
        <v>26</v>
      </c>
      <c r="Y11" s="3" t="n">
        <v>24</v>
      </c>
      <c r="Z11" s="3" t="n">
        <v>1</v>
      </c>
      <c r="AA11" s="3" t="n">
        <v>0</v>
      </c>
      <c r="AB11" s="3" t="n">
        <v>0</v>
      </c>
      <c r="AC11" s="3" t="n">
        <v>1</v>
      </c>
      <c r="AD11" s="3" t="n">
        <v>0</v>
      </c>
      <c r="AE11" s="3" t="n">
        <v>10</v>
      </c>
      <c r="AF11" s="3" t="n">
        <v>11</v>
      </c>
      <c r="AG11" s="3" t="n">
        <v>5</v>
      </c>
      <c r="AH11" s="2" t="s">
        <v>209</v>
      </c>
      <c r="AI11" s="3" t="n">
        <v>26</v>
      </c>
      <c r="AJ11" s="2" t="n">
        <v>0</v>
      </c>
      <c r="AK11" s="2" t="n">
        <f aca="false">COUNTIFS(secondary_acts!$A$2:$A$771,$A11,secondary_acts!$E$2:$E$771,"implementing")</f>
        <v>47</v>
      </c>
      <c r="AL11" s="2" t="n">
        <f aca="false">COUNTIFS(secondary_acts!$A$2:$A$771,$A11,secondary_acts!$E$2:$E$771,"delegated")</f>
        <v>0</v>
      </c>
      <c r="AM11" s="2" t="n">
        <f aca="false">COUNTIFS(secondary_acts!$A$2:$A$771,$A11,secondary_acts!$E$2:$E$771,"other Commission/Council act")</f>
        <v>0</v>
      </c>
      <c r="AN11" s="2" t="n">
        <f aca="false">COUNTIFS(secondary_acts!$A$2:$A$771,$A11,secondary_acts!$E$2:$E$771,"guidance")</f>
        <v>0</v>
      </c>
      <c r="AO11" s="2" t="n">
        <f aca="false">COUNTIF(guidance_web!$A$2:$A$7,$A11)</f>
        <v>0</v>
      </c>
      <c r="AP11" s="2" t="n">
        <f aca="false">COUNTIFS(guidance_agencies!$A$2:$A$81,$A11,guidance_agencies!$D$2:$D$81,"EDPB")</f>
        <v>0</v>
      </c>
      <c r="AQ11" s="2" t="n">
        <f aca="false">COUNTIFS(guidance_agencies!$A$2:$A$81,$A11,guidance_agencies!$D$2:$D$81,"EBA")</f>
        <v>0</v>
      </c>
      <c r="AR11" s="2" t="n">
        <f aca="false">COUNTIFS(guidance_agencies!$A$2:$A$81,$A11,guidance_agencies!$D$2:$D$81,"ESMA")</f>
        <v>0</v>
      </c>
      <c r="AS11" s="3" t="n">
        <f aca="false">SUMIFS(secondary_acts!$S$2:$S$771,secondary_acts!$A$2:$A$771,$A11,secondary_acts!$E$2:$E$771,"implementing")+SUMIFS(secondary_acts!$S$2:$S$771,secondary_acts!$A$2:$A$771,$A11,secondary_acts!$E$2:$E$771,"delegated")</f>
        <v>818</v>
      </c>
      <c r="AT11" s="3"/>
      <c r="AU11" s="2"/>
      <c r="AV11" s="2" t="n">
        <v>0</v>
      </c>
      <c r="AW11" s="2"/>
      <c r="AX11" s="2"/>
      <c r="AY11" s="2" t="n">
        <v>1</v>
      </c>
      <c r="AZ11" s="2" t="s">
        <v>210</v>
      </c>
      <c r="BA11" s="2" t="s">
        <v>84</v>
      </c>
      <c r="BB11" s="2" t="n">
        <v>4076</v>
      </c>
      <c r="BC11" s="2" t="n">
        <v>33</v>
      </c>
      <c r="BD11" s="2" t="n">
        <v>0</v>
      </c>
      <c r="BE11" s="2" t="n">
        <f aca="false">IF(ISNUMBER(BB11),Q11-BB11,"")</f>
        <v>121</v>
      </c>
      <c r="BF11" s="4" t="n">
        <f aca="false">IF(AND(ISNUMBER(BB11),BB11&gt;0),(Q11-BB11)/BB11,"")</f>
        <v>0.0296859666339549</v>
      </c>
      <c r="BG11" s="2" t="n">
        <f aca="false">IF(ISNUMBER(BC11),X11-BC11,"")</f>
        <v>-7</v>
      </c>
      <c r="BH11" s="4" t="n">
        <f aca="false">IF(AND(ISNUMBER(BC11),BC11&gt;0),(X11-BC11)/BC11,"")</f>
        <v>-0.212121212121212</v>
      </c>
      <c r="BI11" s="2" t="n">
        <f aca="false">IF(ISNUMBER(BD11),AD11-BD11,"")</f>
        <v>0</v>
      </c>
      <c r="BJ11" s="2" t="s">
        <v>85</v>
      </c>
      <c r="BK11" s="2" t="s">
        <v>211</v>
      </c>
      <c r="BL11" s="2" t="s">
        <v>212</v>
      </c>
      <c r="BM11" s="2" t="n">
        <v>3</v>
      </c>
      <c r="BN11" s="2" t="n">
        <v>3</v>
      </c>
      <c r="BO11" s="2" t="n">
        <v>2</v>
      </c>
      <c r="BP11" s="2" t="n">
        <v>0</v>
      </c>
      <c r="BQ11" s="2" t="s">
        <v>118</v>
      </c>
    </row>
    <row r="12" customFormat="false" ht="15" hidden="false" customHeight="false" outlineLevel="0" collapsed="false">
      <c r="A12" s="2" t="n">
        <v>11</v>
      </c>
      <c r="B12" s="2" t="s">
        <v>213</v>
      </c>
      <c r="C12" s="2" t="s">
        <v>214</v>
      </c>
      <c r="D12" s="2" t="s">
        <v>215</v>
      </c>
      <c r="E12" s="2" t="s">
        <v>72</v>
      </c>
      <c r="F12" s="2" t="s">
        <v>216</v>
      </c>
      <c r="G12" s="2" t="s">
        <v>163</v>
      </c>
      <c r="H12" s="2" t="s">
        <v>217</v>
      </c>
      <c r="I12" s="2" t="s">
        <v>218</v>
      </c>
      <c r="J12" s="2" t="s">
        <v>219</v>
      </c>
      <c r="K12" s="2" t="s">
        <v>77</v>
      </c>
      <c r="L12" s="2" t="s">
        <v>77</v>
      </c>
      <c r="M12" s="2" t="s">
        <v>220</v>
      </c>
      <c r="N12" s="2" t="s">
        <v>79</v>
      </c>
      <c r="O12" s="2" t="s">
        <v>221</v>
      </c>
      <c r="P12" s="3" t="n">
        <v>22</v>
      </c>
      <c r="Q12" s="3" t="n">
        <v>14967</v>
      </c>
      <c r="R12" s="3" t="n">
        <v>4554</v>
      </c>
      <c r="S12" s="3" t="n">
        <v>4435</v>
      </c>
      <c r="T12" s="3" t="n">
        <v>10409</v>
      </c>
      <c r="U12" s="3" t="n">
        <v>4</v>
      </c>
      <c r="V12" s="3" t="n">
        <v>0</v>
      </c>
      <c r="W12" s="3" t="n">
        <v>0</v>
      </c>
      <c r="X12" s="3" t="n">
        <v>157</v>
      </c>
      <c r="Y12" s="3" t="n">
        <v>142</v>
      </c>
      <c r="Z12" s="3" t="n">
        <v>13</v>
      </c>
      <c r="AA12" s="3" t="n">
        <v>0</v>
      </c>
      <c r="AB12" s="3" t="n">
        <v>1</v>
      </c>
      <c r="AC12" s="3" t="n">
        <v>1</v>
      </c>
      <c r="AD12" s="3" t="n">
        <v>12</v>
      </c>
      <c r="AE12" s="3" t="n">
        <v>26</v>
      </c>
      <c r="AF12" s="3" t="n">
        <v>67</v>
      </c>
      <c r="AG12" s="3" t="n">
        <v>52</v>
      </c>
      <c r="AH12" s="2" t="s">
        <v>222</v>
      </c>
      <c r="AI12" s="3" t="n">
        <v>157</v>
      </c>
      <c r="AJ12" s="2" t="n">
        <v>12</v>
      </c>
      <c r="AK12" s="2" t="n">
        <f aca="false">COUNTIFS(secondary_acts!$A$2:$A$771,$A12,secondary_acts!$E$2:$E$771,"implementing")</f>
        <v>3</v>
      </c>
      <c r="AL12" s="2" t="n">
        <f aca="false">COUNTIFS(secondary_acts!$A$2:$A$771,$A12,secondary_acts!$E$2:$E$771,"delegated")</f>
        <v>0</v>
      </c>
      <c r="AM12" s="2" t="n">
        <f aca="false">COUNTIFS(secondary_acts!$A$2:$A$771,$A12,secondary_acts!$E$2:$E$771,"other Commission/Council act")</f>
        <v>2</v>
      </c>
      <c r="AN12" s="2" t="n">
        <f aca="false">COUNTIFS(secondary_acts!$A$2:$A$771,$A12,secondary_acts!$E$2:$E$771,"guidance")</f>
        <v>3</v>
      </c>
      <c r="AO12" s="2" t="n">
        <f aca="false">COUNTIF(guidance_web!$A$2:$A$7,$A12)</f>
        <v>0</v>
      </c>
      <c r="AP12" s="2" t="n">
        <f aca="false">COUNTIFS(guidance_agencies!$A$2:$A$81,$A12,guidance_agencies!$D$2:$D$81,"EDPB")</f>
        <v>0</v>
      </c>
      <c r="AQ12" s="2" t="n">
        <f aca="false">COUNTIFS(guidance_agencies!$A$2:$A$81,$A12,guidance_agencies!$D$2:$D$81,"EBA")</f>
        <v>0</v>
      </c>
      <c r="AR12" s="2" t="n">
        <f aca="false">COUNTIFS(guidance_agencies!$A$2:$A$81,$A12,guidance_agencies!$D$2:$D$81,"ESMA")</f>
        <v>0</v>
      </c>
      <c r="AS12" s="3" t="n">
        <f aca="false">SUMIFS(secondary_acts!$S$2:$S$771,secondary_acts!$A$2:$A$771,$A12,secondary_acts!$E$2:$E$771,"implementing")+SUMIFS(secondary_acts!$S$2:$S$771,secondary_acts!$A$2:$A$771,$A12,secondary_acts!$E$2:$E$771,"delegated")</f>
        <v>355</v>
      </c>
      <c r="AT12" s="3"/>
      <c r="AU12" s="2"/>
      <c r="AV12" s="2" t="n">
        <v>0</v>
      </c>
      <c r="AW12" s="2"/>
      <c r="AX12" s="2"/>
      <c r="AY12" s="2" t="n">
        <v>8</v>
      </c>
      <c r="AZ12" s="2"/>
      <c r="BA12" s="2" t="s">
        <v>223</v>
      </c>
      <c r="BB12" s="2"/>
      <c r="BC12" s="2"/>
      <c r="BD12" s="2"/>
      <c r="BE12" s="2" t="str">
        <f aca="false">IF(ISNUMBER(BB12),Q12-BB12,"")</f>
        <v/>
      </c>
      <c r="BF12" s="4" t="str">
        <f aca="false">IF(AND(ISNUMBER(BB12),BB12&gt;0),(Q12-BB12)/BB12,"")</f>
        <v/>
      </c>
      <c r="BG12" s="2" t="str">
        <f aca="false">IF(ISNUMBER(BC12),X12-BC12,"")</f>
        <v/>
      </c>
      <c r="BH12" s="4" t="str">
        <f aca="false">IF(AND(ISNUMBER(BC12),BC12&gt;0),(X12-BC12)/BC12,"")</f>
        <v/>
      </c>
      <c r="BI12" s="2" t="str">
        <f aca="false">IF(ISNUMBER(BD12),AD12-BD12,"")</f>
        <v/>
      </c>
      <c r="BJ12" s="2" t="s">
        <v>199</v>
      </c>
      <c r="BK12" s="2" t="s">
        <v>224</v>
      </c>
      <c r="BL12" s="2" t="s">
        <v>225</v>
      </c>
      <c r="BM12" s="2" t="n">
        <v>3</v>
      </c>
      <c r="BN12" s="2" t="n">
        <v>3</v>
      </c>
      <c r="BO12" s="2" t="n">
        <v>7</v>
      </c>
      <c r="BP12" s="2" t="n">
        <v>3</v>
      </c>
      <c r="BQ12" s="2" t="s">
        <v>118</v>
      </c>
    </row>
    <row r="13" customFormat="false" ht="15" hidden="false" customHeight="false" outlineLevel="0" collapsed="false">
      <c r="A13" s="2" t="n">
        <v>12</v>
      </c>
      <c r="B13" s="2" t="s">
        <v>226</v>
      </c>
      <c r="C13" s="2" t="s">
        <v>227</v>
      </c>
      <c r="D13" s="2" t="s">
        <v>121</v>
      </c>
      <c r="E13" s="2" t="s">
        <v>72</v>
      </c>
      <c r="F13" s="2" t="s">
        <v>228</v>
      </c>
      <c r="G13" s="2" t="s">
        <v>163</v>
      </c>
      <c r="H13" s="2" t="s">
        <v>229</v>
      </c>
      <c r="I13" s="2" t="s">
        <v>230</v>
      </c>
      <c r="J13" s="2" t="s">
        <v>231</v>
      </c>
      <c r="K13" s="2" t="s">
        <v>77</v>
      </c>
      <c r="L13" s="2" t="s">
        <v>77</v>
      </c>
      <c r="M13" s="2" t="s">
        <v>232</v>
      </c>
      <c r="N13" s="2" t="s">
        <v>79</v>
      </c>
      <c r="O13" s="2" t="s">
        <v>233</v>
      </c>
      <c r="P13" s="3" t="n">
        <v>42</v>
      </c>
      <c r="Q13" s="3" t="n">
        <v>5981</v>
      </c>
      <c r="R13" s="3" t="n">
        <v>2560</v>
      </c>
      <c r="S13" s="3" t="n">
        <v>2452</v>
      </c>
      <c r="T13" s="3" t="n">
        <v>3421</v>
      </c>
      <c r="U13" s="3" t="n">
        <v>0</v>
      </c>
      <c r="V13" s="3" t="n">
        <v>0</v>
      </c>
      <c r="W13" s="3" t="n">
        <v>0</v>
      </c>
      <c r="X13" s="3" t="n">
        <v>54</v>
      </c>
      <c r="Y13" s="3" t="n">
        <v>39</v>
      </c>
      <c r="Z13" s="3" t="n">
        <v>1</v>
      </c>
      <c r="AA13" s="3" t="n">
        <v>0</v>
      </c>
      <c r="AB13" s="3" t="n">
        <v>0</v>
      </c>
      <c r="AC13" s="3" t="n">
        <v>14</v>
      </c>
      <c r="AD13" s="3" t="n">
        <v>4</v>
      </c>
      <c r="AE13" s="3" t="n">
        <v>37</v>
      </c>
      <c r="AF13" s="3" t="n">
        <v>2</v>
      </c>
      <c r="AG13" s="3" t="n">
        <v>11</v>
      </c>
      <c r="AH13" s="2" t="s">
        <v>234</v>
      </c>
      <c r="AI13" s="3" t="n">
        <v>54</v>
      </c>
      <c r="AJ13" s="2" t="n">
        <v>4</v>
      </c>
      <c r="AK13" s="2" t="n">
        <f aca="false">COUNTIFS(secondary_acts!$A$2:$A$771,$A13,secondary_acts!$E$2:$E$771,"implementing")</f>
        <v>0</v>
      </c>
      <c r="AL13" s="2" t="n">
        <f aca="false">COUNTIFS(secondary_acts!$A$2:$A$771,$A13,secondary_acts!$E$2:$E$771,"delegated")</f>
        <v>0</v>
      </c>
      <c r="AM13" s="2" t="n">
        <f aca="false">COUNTIFS(secondary_acts!$A$2:$A$771,$A13,secondary_acts!$E$2:$E$771,"other Commission/Council act")</f>
        <v>0</v>
      </c>
      <c r="AN13" s="2" t="n">
        <f aca="false">COUNTIFS(secondary_acts!$A$2:$A$771,$A13,secondary_acts!$E$2:$E$771,"guidance")</f>
        <v>1</v>
      </c>
      <c r="AO13" s="2" t="n">
        <f aca="false">COUNTIF(guidance_web!$A$2:$A$7,$A13)</f>
        <v>0</v>
      </c>
      <c r="AP13" s="2" t="n">
        <f aca="false">COUNTIFS(guidance_agencies!$A$2:$A$81,$A13,guidance_agencies!$D$2:$D$81,"EDPB")</f>
        <v>0</v>
      </c>
      <c r="AQ13" s="2" t="n">
        <f aca="false">COUNTIFS(guidance_agencies!$A$2:$A$81,$A13,guidance_agencies!$D$2:$D$81,"EBA")</f>
        <v>0</v>
      </c>
      <c r="AR13" s="2" t="n">
        <f aca="false">COUNTIFS(guidance_agencies!$A$2:$A$81,$A13,guidance_agencies!$D$2:$D$81,"ESMA")</f>
        <v>0</v>
      </c>
      <c r="AS13" s="3" t="n">
        <f aca="false">SUMIFS(secondary_acts!$S$2:$S$771,secondary_acts!$A$2:$A$771,$A13,secondary_acts!$E$2:$E$771,"implementing")+SUMIFS(secondary_acts!$S$2:$S$771,secondary_acts!$A$2:$A$771,$A13,secondary_acts!$E$2:$E$771,"delegated")</f>
        <v>0</v>
      </c>
      <c r="AT13" s="3" t="n">
        <v>2025</v>
      </c>
      <c r="AU13" s="2" t="n">
        <v>28</v>
      </c>
      <c r="AV13" s="2" t="n">
        <v>0</v>
      </c>
      <c r="AW13" s="2"/>
      <c r="AX13" s="2"/>
      <c r="AY13" s="2" t="n">
        <v>4</v>
      </c>
      <c r="AZ13" s="2" t="s">
        <v>235</v>
      </c>
      <c r="BA13" s="2" t="s">
        <v>84</v>
      </c>
      <c r="BB13" s="2" t="n">
        <v>8819</v>
      </c>
      <c r="BC13" s="2" t="n">
        <v>77</v>
      </c>
      <c r="BD13" s="2" t="n">
        <v>5</v>
      </c>
      <c r="BE13" s="2" t="n">
        <f aca="false">IF(ISNUMBER(BB13),Q13-BB13,"")</f>
        <v>-2838</v>
      </c>
      <c r="BF13" s="4" t="n">
        <f aca="false">IF(AND(ISNUMBER(BB13),BB13&gt;0),(Q13-BB13)/BB13,"")</f>
        <v>-0.321805193332577</v>
      </c>
      <c r="BG13" s="2" t="n">
        <f aca="false">IF(ISNUMBER(BC13),X13-BC13,"")</f>
        <v>-23</v>
      </c>
      <c r="BH13" s="4" t="n">
        <f aca="false">IF(AND(ISNUMBER(BC13),BC13&gt;0),(X13-BC13)/BC13,"")</f>
        <v>-0.298701298701299</v>
      </c>
      <c r="BI13" s="2" t="n">
        <f aca="false">IF(ISNUMBER(BD13),AD13-BD13,"")</f>
        <v>-1</v>
      </c>
      <c r="BJ13" s="2" t="s">
        <v>85</v>
      </c>
      <c r="BK13" s="2" t="s">
        <v>236</v>
      </c>
      <c r="BL13" s="2" t="s">
        <v>237</v>
      </c>
      <c r="BM13" s="2" t="n">
        <v>1</v>
      </c>
      <c r="BN13" s="2" t="n">
        <v>1</v>
      </c>
      <c r="BO13" s="2" t="n">
        <v>3</v>
      </c>
      <c r="BP13" s="2" t="n">
        <v>1</v>
      </c>
      <c r="BQ13" s="2"/>
    </row>
    <row r="14" customFormat="false" ht="15" hidden="false" customHeight="false" outlineLevel="0" collapsed="false">
      <c r="A14" s="2" t="n">
        <v>13</v>
      </c>
      <c r="B14" s="2" t="s">
        <v>238</v>
      </c>
      <c r="C14" s="2" t="s">
        <v>239</v>
      </c>
      <c r="D14" s="2" t="s">
        <v>90</v>
      </c>
      <c r="E14" s="2" t="s">
        <v>72</v>
      </c>
      <c r="F14" s="2" t="s">
        <v>240</v>
      </c>
      <c r="G14" s="2" t="s">
        <v>163</v>
      </c>
      <c r="H14" s="2" t="s">
        <v>241</v>
      </c>
      <c r="I14" s="2" t="s">
        <v>242</v>
      </c>
      <c r="J14" s="2" t="s">
        <v>243</v>
      </c>
      <c r="K14" s="2" t="s">
        <v>77</v>
      </c>
      <c r="L14" s="2" t="s">
        <v>77</v>
      </c>
      <c r="M14" s="2" t="s">
        <v>244</v>
      </c>
      <c r="N14" s="2" t="s">
        <v>79</v>
      </c>
      <c r="O14" s="2" t="s">
        <v>245</v>
      </c>
      <c r="P14" s="3" t="n">
        <v>18</v>
      </c>
      <c r="Q14" s="3" t="n">
        <v>9287</v>
      </c>
      <c r="R14" s="3" t="n">
        <v>3037</v>
      </c>
      <c r="S14" s="3" t="n">
        <v>2890</v>
      </c>
      <c r="T14" s="3" t="n">
        <v>4387</v>
      </c>
      <c r="U14" s="3" t="n">
        <v>1863</v>
      </c>
      <c r="V14" s="3" t="n">
        <v>0</v>
      </c>
      <c r="W14" s="3" t="n">
        <v>0</v>
      </c>
      <c r="X14" s="3" t="n">
        <v>48</v>
      </c>
      <c r="Y14" s="3" t="n">
        <v>44</v>
      </c>
      <c r="Z14" s="3" t="n">
        <v>1</v>
      </c>
      <c r="AA14" s="3" t="n">
        <v>1</v>
      </c>
      <c r="AB14" s="3" t="n">
        <v>0</v>
      </c>
      <c r="AC14" s="3" t="n">
        <v>2</v>
      </c>
      <c r="AD14" s="3" t="n">
        <v>5</v>
      </c>
      <c r="AE14" s="3" t="n">
        <v>29</v>
      </c>
      <c r="AF14" s="3" t="n">
        <v>2</v>
      </c>
      <c r="AG14" s="3" t="n">
        <v>12</v>
      </c>
      <c r="AH14" s="2" t="s">
        <v>246</v>
      </c>
      <c r="AI14" s="3" t="n">
        <v>56</v>
      </c>
      <c r="AJ14" s="2" t="n">
        <v>5</v>
      </c>
      <c r="AK14" s="2" t="n">
        <f aca="false">COUNTIFS(secondary_acts!$A$2:$A$771,$A14,secondary_acts!$E$2:$E$771,"implementing")</f>
        <v>0</v>
      </c>
      <c r="AL14" s="2" t="n">
        <f aca="false">COUNTIFS(secondary_acts!$A$2:$A$771,$A14,secondary_acts!$E$2:$E$771,"delegated")</f>
        <v>0</v>
      </c>
      <c r="AM14" s="2" t="n">
        <f aca="false">COUNTIFS(secondary_acts!$A$2:$A$771,$A14,secondary_acts!$E$2:$E$771,"other Commission/Council act")</f>
        <v>0</v>
      </c>
      <c r="AN14" s="2" t="n">
        <f aca="false">COUNTIFS(secondary_acts!$A$2:$A$771,$A14,secondary_acts!$E$2:$E$771,"guidance")</f>
        <v>2</v>
      </c>
      <c r="AO14" s="2" t="n">
        <f aca="false">COUNTIF(guidance_web!$A$2:$A$7,$A14)</f>
        <v>0</v>
      </c>
      <c r="AP14" s="2" t="n">
        <f aca="false">COUNTIFS(guidance_agencies!$A$2:$A$81,$A14,guidance_agencies!$D$2:$D$81,"EDPB")</f>
        <v>0</v>
      </c>
      <c r="AQ14" s="2" t="n">
        <f aca="false">COUNTIFS(guidance_agencies!$A$2:$A$81,$A14,guidance_agencies!$D$2:$D$81,"EBA")</f>
        <v>0</v>
      </c>
      <c r="AR14" s="2" t="n">
        <f aca="false">COUNTIFS(guidance_agencies!$A$2:$A$81,$A14,guidance_agencies!$D$2:$D$81,"ESMA")</f>
        <v>0</v>
      </c>
      <c r="AS14" s="3" t="n">
        <f aca="false">SUMIFS(secondary_acts!$S$2:$S$771,secondary_acts!$A$2:$A$771,$A14,secondary_acts!$E$2:$E$771,"implementing")+SUMIFS(secondary_acts!$S$2:$S$771,secondary_acts!$A$2:$A$771,$A14,secondary_acts!$E$2:$E$771,"delegated")</f>
        <v>0</v>
      </c>
      <c r="AT14" s="3" t="n">
        <v>3206</v>
      </c>
      <c r="AU14" s="2" t="n">
        <v>28</v>
      </c>
      <c r="AV14" s="2" t="n">
        <v>2</v>
      </c>
      <c r="AW14" s="2" t="s">
        <v>100</v>
      </c>
      <c r="AX14" s="2" t="s">
        <v>247</v>
      </c>
      <c r="AY14" s="2" t="n">
        <v>4</v>
      </c>
      <c r="AZ14" s="2" t="s">
        <v>248</v>
      </c>
      <c r="BA14" s="2" t="s">
        <v>84</v>
      </c>
      <c r="BB14" s="2" t="n">
        <v>6830</v>
      </c>
      <c r="BC14" s="2" t="n">
        <v>33</v>
      </c>
      <c r="BD14" s="2" t="n">
        <v>1</v>
      </c>
      <c r="BE14" s="2" t="n">
        <f aca="false">IF(ISNUMBER(BB14),Q14-BB14,"")</f>
        <v>2457</v>
      </c>
      <c r="BF14" s="4" t="n">
        <f aca="false">IF(AND(ISNUMBER(BB14),BB14&gt;0),(Q14-BB14)/BB14,"")</f>
        <v>0.359736456808199</v>
      </c>
      <c r="BG14" s="2" t="n">
        <f aca="false">IF(ISNUMBER(BC14),X14-BC14,"")</f>
        <v>15</v>
      </c>
      <c r="BH14" s="4" t="n">
        <f aca="false">IF(AND(ISNUMBER(BC14),BC14&gt;0),(X14-BC14)/BC14,"")</f>
        <v>0.454545454545455</v>
      </c>
      <c r="BI14" s="2" t="n">
        <f aca="false">IF(ISNUMBER(BD14),AD14-BD14,"")</f>
        <v>4</v>
      </c>
      <c r="BJ14" s="2" t="s">
        <v>199</v>
      </c>
      <c r="BK14" s="2" t="s">
        <v>249</v>
      </c>
      <c r="BL14" s="2" t="s">
        <v>250</v>
      </c>
      <c r="BM14" s="2" t="n">
        <v>4</v>
      </c>
      <c r="BN14" s="2" t="n">
        <v>4</v>
      </c>
      <c r="BO14" s="2" t="n">
        <v>6</v>
      </c>
      <c r="BP14" s="2" t="n">
        <v>1</v>
      </c>
      <c r="BQ14" s="2"/>
    </row>
    <row r="15" customFormat="false" ht="15" hidden="false" customHeight="false" outlineLevel="0" collapsed="false">
      <c r="A15" s="2" t="n">
        <v>14</v>
      </c>
      <c r="B15" s="2" t="s">
        <v>251</v>
      </c>
      <c r="C15" s="2" t="s">
        <v>252</v>
      </c>
      <c r="D15" s="2" t="s">
        <v>253</v>
      </c>
      <c r="E15" s="2" t="s">
        <v>72</v>
      </c>
      <c r="F15" s="2" t="s">
        <v>254</v>
      </c>
      <c r="G15" s="2" t="s">
        <v>92</v>
      </c>
      <c r="H15" s="2" t="s">
        <v>255</v>
      </c>
      <c r="I15" s="2" t="s">
        <v>256</v>
      </c>
      <c r="J15" s="2" t="s">
        <v>257</v>
      </c>
      <c r="K15" s="2" t="s">
        <v>77</v>
      </c>
      <c r="L15" s="2" t="s">
        <v>77</v>
      </c>
      <c r="M15" s="2" t="s">
        <v>258</v>
      </c>
      <c r="N15" s="2" t="s">
        <v>79</v>
      </c>
      <c r="O15" s="2" t="s">
        <v>259</v>
      </c>
      <c r="P15" s="3" t="n">
        <v>118</v>
      </c>
      <c r="Q15" s="3" t="n">
        <v>58443</v>
      </c>
      <c r="R15" s="3" t="n">
        <v>3612</v>
      </c>
      <c r="S15" s="3" t="n">
        <v>3532</v>
      </c>
      <c r="T15" s="3" t="n">
        <v>43412</v>
      </c>
      <c r="U15" s="3" t="n">
        <v>11419</v>
      </c>
      <c r="V15" s="3" t="n">
        <v>0</v>
      </c>
      <c r="W15" s="3" t="n">
        <v>0</v>
      </c>
      <c r="X15" s="3" t="n">
        <v>406</v>
      </c>
      <c r="Y15" s="3" t="n">
        <v>349</v>
      </c>
      <c r="Z15" s="3" t="n">
        <v>48</v>
      </c>
      <c r="AA15" s="3" t="n">
        <v>0</v>
      </c>
      <c r="AB15" s="3" t="n">
        <v>6</v>
      </c>
      <c r="AC15" s="3" t="n">
        <v>3</v>
      </c>
      <c r="AD15" s="3" t="n">
        <v>57</v>
      </c>
      <c r="AE15" s="3" t="n">
        <v>144</v>
      </c>
      <c r="AF15" s="3" t="n">
        <v>40</v>
      </c>
      <c r="AG15" s="3" t="n">
        <v>165</v>
      </c>
      <c r="AH15" s="2" t="s">
        <v>260</v>
      </c>
      <c r="AI15" s="3" t="n">
        <v>425</v>
      </c>
      <c r="AJ15" s="2" t="n">
        <v>64</v>
      </c>
      <c r="AK15" s="2" t="n">
        <f aca="false">COUNTIFS(secondary_acts!$A$2:$A$771,$A15,secondary_acts!$E$2:$E$771,"implementing")</f>
        <v>183</v>
      </c>
      <c r="AL15" s="2" t="n">
        <f aca="false">COUNTIFS(secondary_acts!$A$2:$A$771,$A15,secondary_acts!$E$2:$E$771,"delegated")</f>
        <v>0</v>
      </c>
      <c r="AM15" s="2" t="n">
        <f aca="false">COUNTIFS(secondary_acts!$A$2:$A$771,$A15,secondary_acts!$E$2:$E$771,"other Commission/Council act")</f>
        <v>1</v>
      </c>
      <c r="AN15" s="2" t="n">
        <f aca="false">COUNTIFS(secondary_acts!$A$2:$A$771,$A15,secondary_acts!$E$2:$E$771,"guidance")</f>
        <v>0</v>
      </c>
      <c r="AO15" s="2" t="n">
        <f aca="false">COUNTIF(guidance_web!$A$2:$A$7,$A15)</f>
        <v>0</v>
      </c>
      <c r="AP15" s="2" t="n">
        <f aca="false">COUNTIFS(guidance_agencies!$A$2:$A$81,$A15,guidance_agencies!$D$2:$D$81,"EDPB")</f>
        <v>0</v>
      </c>
      <c r="AQ15" s="2" t="n">
        <f aca="false">COUNTIFS(guidance_agencies!$A$2:$A$81,$A15,guidance_agencies!$D$2:$D$81,"EBA")</f>
        <v>0</v>
      </c>
      <c r="AR15" s="2" t="n">
        <f aca="false">COUNTIFS(guidance_agencies!$A$2:$A$81,$A15,guidance_agencies!$D$2:$D$81,"ESMA")</f>
        <v>0</v>
      </c>
      <c r="AS15" s="3" t="n">
        <f aca="false">SUMIFS(secondary_acts!$S$2:$S$771,secondary_acts!$A$2:$A$771,$A15,secondary_acts!$E$2:$E$771,"implementing")+SUMIFS(secondary_acts!$S$2:$S$771,secondary_acts!$A$2:$A$771,$A15,secondary_acts!$E$2:$E$771,"delegated")</f>
        <v>487</v>
      </c>
      <c r="AT15" s="3" t="n">
        <v>1745</v>
      </c>
      <c r="AU15" s="2" t="n">
        <v>26</v>
      </c>
      <c r="AV15" s="2" t="n">
        <v>35</v>
      </c>
      <c r="AW15" s="2" t="s">
        <v>261</v>
      </c>
      <c r="AX15" s="2" t="s">
        <v>262</v>
      </c>
      <c r="AY15" s="2" t="n">
        <v>23</v>
      </c>
      <c r="AZ15" s="2" t="s">
        <v>263</v>
      </c>
      <c r="BA15" s="2" t="s">
        <v>264</v>
      </c>
      <c r="BB15" s="2"/>
      <c r="BC15" s="2"/>
      <c r="BD15" s="2"/>
      <c r="BE15" s="2" t="str">
        <f aca="false">IF(ISNUMBER(BB15),Q15-BB15,"")</f>
        <v/>
      </c>
      <c r="BF15" s="4" t="str">
        <f aca="false">IF(AND(ISNUMBER(BB15),BB15&gt;0),(Q15-BB15)/BB15,"")</f>
        <v/>
      </c>
      <c r="BG15" s="2" t="str">
        <f aca="false">IF(ISNUMBER(BC15),X15-BC15,"")</f>
        <v/>
      </c>
      <c r="BH15" s="4" t="str">
        <f aca="false">IF(AND(ISNUMBER(BC15),BC15&gt;0),(X15-BC15)/BC15,"")</f>
        <v/>
      </c>
      <c r="BI15" s="2" t="str">
        <f aca="false">IF(ISNUMBER(BD15),AD15-BD15,"")</f>
        <v/>
      </c>
      <c r="BJ15" s="2" t="s">
        <v>199</v>
      </c>
      <c r="BK15" s="2" t="s">
        <v>265</v>
      </c>
      <c r="BL15" s="2" t="s">
        <v>266</v>
      </c>
      <c r="BM15" s="2" t="n">
        <v>2</v>
      </c>
      <c r="BN15" s="2" t="n">
        <v>1</v>
      </c>
      <c r="BO15" s="2" t="n">
        <v>2</v>
      </c>
      <c r="BP15" s="2" t="n">
        <v>0</v>
      </c>
      <c r="BQ15" s="2"/>
    </row>
    <row r="16" customFormat="false" ht="15" hidden="false" customHeight="false" outlineLevel="0" collapsed="false">
      <c r="A16" s="2" t="n">
        <v>15</v>
      </c>
      <c r="B16" s="2" t="s">
        <v>267</v>
      </c>
      <c r="C16" s="2" t="s">
        <v>268</v>
      </c>
      <c r="D16" s="2" t="s">
        <v>106</v>
      </c>
      <c r="E16" s="2" t="s">
        <v>72</v>
      </c>
      <c r="F16" s="2" t="s">
        <v>269</v>
      </c>
      <c r="G16" s="2" t="s">
        <v>92</v>
      </c>
      <c r="H16" s="2" t="s">
        <v>270</v>
      </c>
      <c r="I16" s="2" t="s">
        <v>270</v>
      </c>
      <c r="J16" s="2" t="s">
        <v>271</v>
      </c>
      <c r="K16" s="2" t="s">
        <v>77</v>
      </c>
      <c r="L16" s="2" t="s">
        <v>77</v>
      </c>
      <c r="M16" s="2" t="s">
        <v>272</v>
      </c>
      <c r="N16" s="2" t="s">
        <v>79</v>
      </c>
      <c r="O16" s="2" t="s">
        <v>273</v>
      </c>
      <c r="P16" s="3" t="n">
        <v>24</v>
      </c>
      <c r="Q16" s="3" t="n">
        <v>15640</v>
      </c>
      <c r="R16" s="3" t="n">
        <v>8388</v>
      </c>
      <c r="S16" s="3" t="n">
        <v>8276</v>
      </c>
      <c r="T16" s="3" t="n">
        <v>6686</v>
      </c>
      <c r="U16" s="3" t="n">
        <v>566</v>
      </c>
      <c r="V16" s="3" t="n">
        <v>0</v>
      </c>
      <c r="W16" s="3" t="n">
        <v>0</v>
      </c>
      <c r="X16" s="3" t="n">
        <v>117</v>
      </c>
      <c r="Y16" s="3" t="n">
        <v>67</v>
      </c>
      <c r="Z16" s="3" t="n">
        <v>29</v>
      </c>
      <c r="AA16" s="3" t="n">
        <v>2</v>
      </c>
      <c r="AB16" s="3" t="n">
        <v>1</v>
      </c>
      <c r="AC16" s="3" t="n">
        <v>18</v>
      </c>
      <c r="AD16" s="3" t="n">
        <v>9</v>
      </c>
      <c r="AE16" s="3" t="n">
        <v>52</v>
      </c>
      <c r="AF16" s="3" t="n">
        <v>14</v>
      </c>
      <c r="AG16" s="3" t="n">
        <v>42</v>
      </c>
      <c r="AH16" s="2" t="s">
        <v>274</v>
      </c>
      <c r="AI16" s="3" t="n">
        <v>235</v>
      </c>
      <c r="AJ16" s="2" t="n">
        <v>17</v>
      </c>
      <c r="AK16" s="2" t="n">
        <f aca="false">COUNTIFS(secondary_acts!$A$2:$A$771,$A16,secondary_acts!$E$2:$E$771,"implementing")</f>
        <v>0</v>
      </c>
      <c r="AL16" s="2" t="n">
        <f aca="false">COUNTIFS(secondary_acts!$A$2:$A$771,$A16,secondary_acts!$E$2:$E$771,"delegated")</f>
        <v>0</v>
      </c>
      <c r="AM16" s="2" t="n">
        <f aca="false">COUNTIFS(secondary_acts!$A$2:$A$771,$A16,secondary_acts!$E$2:$E$771,"other Commission/Council act")</f>
        <v>0</v>
      </c>
      <c r="AN16" s="2" t="n">
        <f aca="false">COUNTIFS(secondary_acts!$A$2:$A$771,$A16,secondary_acts!$E$2:$E$771,"guidance")</f>
        <v>3</v>
      </c>
      <c r="AO16" s="2" t="n">
        <f aca="false">COUNTIF(guidance_web!$A$2:$A$7,$A16)</f>
        <v>0</v>
      </c>
      <c r="AP16" s="2" t="n">
        <f aca="false">COUNTIFS(guidance_agencies!$A$2:$A$81,$A16,guidance_agencies!$D$2:$D$81,"EDPB")</f>
        <v>0</v>
      </c>
      <c r="AQ16" s="2" t="n">
        <f aca="false">COUNTIFS(guidance_agencies!$A$2:$A$81,$A16,guidance_agencies!$D$2:$D$81,"EBA")</f>
        <v>0</v>
      </c>
      <c r="AR16" s="2" t="n">
        <f aca="false">COUNTIFS(guidance_agencies!$A$2:$A$81,$A16,guidance_agencies!$D$2:$D$81,"ESMA")</f>
        <v>0</v>
      </c>
      <c r="AS16" s="3" t="n">
        <f aca="false">SUMIFS(secondary_acts!$S$2:$S$771,secondary_acts!$A$2:$A$771,$A16,secondary_acts!$E$2:$E$771,"implementing")+SUMIFS(secondary_acts!$S$2:$S$771,secondary_acts!$A$2:$A$771,$A16,secondary_acts!$E$2:$E$771,"delegated")</f>
        <v>0</v>
      </c>
      <c r="AT16" s="3" t="n">
        <v>471</v>
      </c>
      <c r="AU16" s="2" t="n">
        <v>19</v>
      </c>
      <c r="AV16" s="2" t="n">
        <v>2</v>
      </c>
      <c r="AW16" s="2" t="s">
        <v>275</v>
      </c>
      <c r="AX16" s="2" t="s">
        <v>276</v>
      </c>
      <c r="AY16" s="2" t="n">
        <v>3</v>
      </c>
      <c r="AZ16" s="2" t="s">
        <v>277</v>
      </c>
      <c r="BA16" s="2" t="s">
        <v>157</v>
      </c>
      <c r="BB16" s="2" t="n">
        <v>17291</v>
      </c>
      <c r="BC16" s="2" t="n">
        <v>117</v>
      </c>
      <c r="BD16" s="2" t="n">
        <v>9</v>
      </c>
      <c r="BE16" s="2" t="n">
        <f aca="false">IF(ISNUMBER(BB16),Q16-BB16,"")</f>
        <v>-1651</v>
      </c>
      <c r="BF16" s="4" t="n">
        <f aca="false">IF(AND(ISNUMBER(BB16),BB16&gt;0),(Q16-BB16)/BB16,"")</f>
        <v>-0.0954831993522642</v>
      </c>
      <c r="BG16" s="2" t="n">
        <f aca="false">IF(ISNUMBER(BC16),X16-BC16,"")</f>
        <v>0</v>
      </c>
      <c r="BH16" s="4" t="n">
        <f aca="false">IF(AND(ISNUMBER(BC16),BC16&gt;0),(X16-BC16)/BC16,"")</f>
        <v>0</v>
      </c>
      <c r="BI16" s="2" t="n">
        <f aca="false">IF(ISNUMBER(BD16),AD16-BD16,"")</f>
        <v>0</v>
      </c>
      <c r="BJ16" s="2" t="s">
        <v>85</v>
      </c>
      <c r="BK16" s="2" t="s">
        <v>278</v>
      </c>
      <c r="BL16" s="2" t="s">
        <v>279</v>
      </c>
      <c r="BM16" s="2" t="n">
        <v>3</v>
      </c>
      <c r="BN16" s="2" t="n">
        <v>3</v>
      </c>
      <c r="BO16" s="2" t="n">
        <v>2</v>
      </c>
      <c r="BP16" s="2" t="n">
        <v>0</v>
      </c>
      <c r="BQ16" s="2"/>
    </row>
    <row r="17" customFormat="false" ht="15" hidden="false" customHeight="false" outlineLevel="0" collapsed="false">
      <c r="A17" s="2" t="n">
        <v>16</v>
      </c>
      <c r="B17" s="2" t="s">
        <v>280</v>
      </c>
      <c r="C17" s="2" t="s">
        <v>281</v>
      </c>
      <c r="D17" s="2" t="s">
        <v>188</v>
      </c>
      <c r="E17" s="2" t="s">
        <v>72</v>
      </c>
      <c r="F17" s="2" t="s">
        <v>282</v>
      </c>
      <c r="G17" s="2" t="s">
        <v>163</v>
      </c>
      <c r="H17" s="2" t="s">
        <v>283</v>
      </c>
      <c r="I17" s="2" t="s">
        <v>284</v>
      </c>
      <c r="J17" s="2" t="s">
        <v>285</v>
      </c>
      <c r="K17" s="2" t="s">
        <v>77</v>
      </c>
      <c r="L17" s="2" t="s">
        <v>77</v>
      </c>
      <c r="M17" s="2" t="s">
        <v>286</v>
      </c>
      <c r="N17" s="2" t="s">
        <v>79</v>
      </c>
      <c r="O17" s="2" t="s">
        <v>287</v>
      </c>
      <c r="P17" s="3" t="n">
        <v>10</v>
      </c>
      <c r="Q17" s="3" t="n">
        <v>6514</v>
      </c>
      <c r="R17" s="3" t="n">
        <v>2317</v>
      </c>
      <c r="S17" s="3" t="n">
        <v>2143</v>
      </c>
      <c r="T17" s="3" t="n">
        <v>4197</v>
      </c>
      <c r="U17" s="3" t="n">
        <v>0</v>
      </c>
      <c r="V17" s="3" t="n">
        <v>0</v>
      </c>
      <c r="W17" s="3" t="n">
        <v>0</v>
      </c>
      <c r="X17" s="3" t="n">
        <v>85</v>
      </c>
      <c r="Y17" s="3" t="n">
        <v>81</v>
      </c>
      <c r="Z17" s="3" t="n">
        <v>1</v>
      </c>
      <c r="AA17" s="3" t="n">
        <v>0</v>
      </c>
      <c r="AB17" s="3" t="n">
        <v>2</v>
      </c>
      <c r="AC17" s="3" t="n">
        <v>1</v>
      </c>
      <c r="AD17" s="3" t="n">
        <v>5</v>
      </c>
      <c r="AE17" s="3" t="n">
        <v>5</v>
      </c>
      <c r="AF17" s="3" t="n">
        <v>37</v>
      </c>
      <c r="AG17" s="3" t="n">
        <v>38</v>
      </c>
      <c r="AH17" s="2" t="s">
        <v>288</v>
      </c>
      <c r="AI17" s="3" t="n">
        <v>175</v>
      </c>
      <c r="AJ17" s="2" t="n">
        <v>10</v>
      </c>
      <c r="AK17" s="2" t="n">
        <f aca="false">COUNTIFS(secondary_acts!$A$2:$A$771,$A17,secondary_acts!$E$2:$E$771,"implementing")</f>
        <v>1</v>
      </c>
      <c r="AL17" s="2" t="n">
        <f aca="false">COUNTIFS(secondary_acts!$A$2:$A$771,$A17,secondary_acts!$E$2:$E$771,"delegated")</f>
        <v>0</v>
      </c>
      <c r="AM17" s="2" t="n">
        <f aca="false">COUNTIFS(secondary_acts!$A$2:$A$771,$A17,secondary_acts!$E$2:$E$771,"other Commission/Council act")</f>
        <v>2</v>
      </c>
      <c r="AN17" s="2" t="n">
        <f aca="false">COUNTIFS(secondary_acts!$A$2:$A$771,$A17,secondary_acts!$E$2:$E$771,"guidance")</f>
        <v>0</v>
      </c>
      <c r="AO17" s="2" t="n">
        <f aca="false">COUNTIF(guidance_web!$A$2:$A$7,$A17)</f>
        <v>0</v>
      </c>
      <c r="AP17" s="2" t="n">
        <f aca="false">COUNTIFS(guidance_agencies!$A$2:$A$81,$A17,guidance_agencies!$D$2:$D$81,"EDPB")</f>
        <v>0</v>
      </c>
      <c r="AQ17" s="2" t="n">
        <f aca="false">COUNTIFS(guidance_agencies!$A$2:$A$81,$A17,guidance_agencies!$D$2:$D$81,"EBA")</f>
        <v>0</v>
      </c>
      <c r="AR17" s="2" t="n">
        <f aca="false">COUNTIFS(guidance_agencies!$A$2:$A$81,$A17,guidance_agencies!$D$2:$D$81,"ESMA")</f>
        <v>0</v>
      </c>
      <c r="AS17" s="3" t="n">
        <f aca="false">SUMIFS(secondary_acts!$S$2:$S$771,secondary_acts!$A$2:$A$771,$A17,secondary_acts!$E$2:$E$771,"implementing")+SUMIFS(secondary_acts!$S$2:$S$771,secondary_acts!$A$2:$A$771,$A17,secondary_acts!$E$2:$E$771,"delegated")</f>
        <v>43</v>
      </c>
      <c r="AT17" s="3"/>
      <c r="AU17" s="2"/>
      <c r="AV17" s="2" t="n">
        <v>2</v>
      </c>
      <c r="AW17" s="2" t="s">
        <v>289</v>
      </c>
      <c r="AX17" s="2" t="s">
        <v>290</v>
      </c>
      <c r="AY17" s="2" t="n">
        <v>2</v>
      </c>
      <c r="AZ17" s="2" t="s">
        <v>291</v>
      </c>
      <c r="BA17" s="2" t="s">
        <v>157</v>
      </c>
      <c r="BB17" s="2" t="n">
        <v>5421</v>
      </c>
      <c r="BC17" s="2" t="n">
        <v>68</v>
      </c>
      <c r="BD17" s="2" t="n">
        <v>4</v>
      </c>
      <c r="BE17" s="2" t="n">
        <f aca="false">IF(ISNUMBER(BB17),Q17-BB17,"")</f>
        <v>1093</v>
      </c>
      <c r="BF17" s="4" t="n">
        <f aca="false">IF(AND(ISNUMBER(BB17),BB17&gt;0),(Q17-BB17)/BB17,"")</f>
        <v>0.20162331673123</v>
      </c>
      <c r="BG17" s="2" t="n">
        <f aca="false">IF(ISNUMBER(BC17),X17-BC17,"")</f>
        <v>17</v>
      </c>
      <c r="BH17" s="4" t="n">
        <f aca="false">IF(AND(ISNUMBER(BC17),BC17&gt;0),(X17-BC17)/BC17,"")</f>
        <v>0.25</v>
      </c>
      <c r="BI17" s="2" t="n">
        <f aca="false">IF(ISNUMBER(BD17),AD17-BD17,"")</f>
        <v>1</v>
      </c>
      <c r="BJ17" s="2" t="s">
        <v>85</v>
      </c>
      <c r="BK17" s="2" t="s">
        <v>292</v>
      </c>
      <c r="BL17" s="2" t="s">
        <v>293</v>
      </c>
      <c r="BM17" s="2" t="n">
        <v>2</v>
      </c>
      <c r="BN17" s="2" t="n">
        <v>1</v>
      </c>
      <c r="BO17" s="2" t="n">
        <v>2</v>
      </c>
      <c r="BP17" s="2" t="n">
        <v>0</v>
      </c>
      <c r="BQ17" s="2"/>
    </row>
    <row r="18" customFormat="false" ht="15" hidden="false" customHeight="false" outlineLevel="0" collapsed="false">
      <c r="A18" s="2" t="n">
        <v>17</v>
      </c>
      <c r="B18" s="2" t="s">
        <v>294</v>
      </c>
      <c r="C18" s="2" t="s">
        <v>295</v>
      </c>
      <c r="D18" s="2" t="s">
        <v>296</v>
      </c>
      <c r="E18" s="2" t="s">
        <v>72</v>
      </c>
      <c r="F18" s="2" t="s">
        <v>297</v>
      </c>
      <c r="G18" s="2" t="s">
        <v>163</v>
      </c>
      <c r="H18" s="2" t="s">
        <v>298</v>
      </c>
      <c r="I18" s="2" t="s">
        <v>298</v>
      </c>
      <c r="J18" s="2" t="s">
        <v>299</v>
      </c>
      <c r="K18" s="2" t="s">
        <v>77</v>
      </c>
      <c r="L18" s="2" t="s">
        <v>77</v>
      </c>
      <c r="M18" s="2" t="s">
        <v>300</v>
      </c>
      <c r="N18" s="2" t="s">
        <v>79</v>
      </c>
      <c r="O18" s="2" t="s">
        <v>301</v>
      </c>
      <c r="P18" s="3" t="n">
        <v>37</v>
      </c>
      <c r="Q18" s="3" t="n">
        <v>19379</v>
      </c>
      <c r="R18" s="3" t="n">
        <v>3870</v>
      </c>
      <c r="S18" s="3" t="n">
        <v>3771</v>
      </c>
      <c r="T18" s="3" t="n">
        <v>9594</v>
      </c>
      <c r="U18" s="3" t="n">
        <v>5915</v>
      </c>
      <c r="V18" s="3" t="n">
        <v>0</v>
      </c>
      <c r="W18" s="3" t="n">
        <v>0</v>
      </c>
      <c r="X18" s="3" t="n">
        <v>329</v>
      </c>
      <c r="Y18" s="3" t="n">
        <v>270</v>
      </c>
      <c r="Z18" s="3" t="n">
        <v>37</v>
      </c>
      <c r="AA18" s="3" t="n">
        <v>3</v>
      </c>
      <c r="AB18" s="3" t="n">
        <v>0</v>
      </c>
      <c r="AC18" s="3" t="n">
        <v>19</v>
      </c>
      <c r="AD18" s="3" t="n">
        <v>88</v>
      </c>
      <c r="AE18" s="3" t="n">
        <v>59</v>
      </c>
      <c r="AF18" s="3" t="n">
        <v>37</v>
      </c>
      <c r="AG18" s="3" t="n">
        <v>145</v>
      </c>
      <c r="AH18" s="2" t="s">
        <v>302</v>
      </c>
      <c r="AI18" s="3" t="n">
        <v>329</v>
      </c>
      <c r="AJ18" s="2" t="n">
        <v>88</v>
      </c>
      <c r="AK18" s="2" t="n">
        <f aca="false">COUNTIFS(secondary_acts!$A$2:$A$771,$A18,secondary_acts!$E$2:$E$771,"implementing")</f>
        <v>1</v>
      </c>
      <c r="AL18" s="2" t="n">
        <f aca="false">COUNTIFS(secondary_acts!$A$2:$A$771,$A18,secondary_acts!$E$2:$E$771,"delegated")</f>
        <v>0</v>
      </c>
      <c r="AM18" s="2" t="n">
        <f aca="false">COUNTIFS(secondary_acts!$A$2:$A$771,$A18,secondary_acts!$E$2:$E$771,"other Commission/Council act")</f>
        <v>18</v>
      </c>
      <c r="AN18" s="2" t="n">
        <f aca="false">COUNTIFS(secondary_acts!$A$2:$A$771,$A18,secondary_acts!$E$2:$E$771,"guidance")</f>
        <v>0</v>
      </c>
      <c r="AO18" s="2" t="n">
        <f aca="false">COUNTIF(guidance_web!$A$2:$A$7,$A18)</f>
        <v>0</v>
      </c>
      <c r="AP18" s="2" t="n">
        <f aca="false">COUNTIFS(guidance_agencies!$A$2:$A$81,$A18,guidance_agencies!$D$2:$D$81,"EDPB")</f>
        <v>0</v>
      </c>
      <c r="AQ18" s="2" t="n">
        <f aca="false">COUNTIFS(guidance_agencies!$A$2:$A$81,$A18,guidance_agencies!$D$2:$D$81,"EBA")</f>
        <v>0</v>
      </c>
      <c r="AR18" s="2" t="n">
        <f aca="false">COUNTIFS(guidance_agencies!$A$2:$A$81,$A18,guidance_agencies!$D$2:$D$81,"ESMA")</f>
        <v>0</v>
      </c>
      <c r="AS18" s="3" t="n">
        <f aca="false">SUMIFS(secondary_acts!$S$2:$S$771,secondary_acts!$A$2:$A$771,$A18,secondary_acts!$E$2:$E$771,"implementing")+SUMIFS(secondary_acts!$S$2:$S$771,secondary_acts!$A$2:$A$771,$A18,secondary_acts!$E$2:$E$771,"delegated")</f>
        <v>0</v>
      </c>
      <c r="AT18" s="3" t="n">
        <v>1613</v>
      </c>
      <c r="AU18" s="2" t="n">
        <v>15</v>
      </c>
      <c r="AV18" s="2" t="n">
        <v>18</v>
      </c>
      <c r="AW18" s="2" t="s">
        <v>303</v>
      </c>
      <c r="AX18" s="2" t="s">
        <v>304</v>
      </c>
      <c r="AY18" s="2" t="n">
        <v>5</v>
      </c>
      <c r="AZ18" s="2" t="s">
        <v>305</v>
      </c>
      <c r="BA18" s="2" t="s">
        <v>157</v>
      </c>
      <c r="BB18" s="2" t="n">
        <v>14934</v>
      </c>
      <c r="BC18" s="2" t="n">
        <v>283</v>
      </c>
      <c r="BD18" s="2" t="n">
        <v>85</v>
      </c>
      <c r="BE18" s="2" t="n">
        <f aca="false">IF(ISNUMBER(BB18),Q18-BB18,"")</f>
        <v>4445</v>
      </c>
      <c r="BF18" s="4" t="n">
        <f aca="false">IF(AND(ISNUMBER(BB18),BB18&gt;0),(Q18-BB18)/BB18,"")</f>
        <v>0.297642962367751</v>
      </c>
      <c r="BG18" s="2" t="n">
        <f aca="false">IF(ISNUMBER(BC18),X18-BC18,"")</f>
        <v>46</v>
      </c>
      <c r="BH18" s="4" t="n">
        <f aca="false">IF(AND(ISNUMBER(BC18),BC18&gt;0),(X18-BC18)/BC18,"")</f>
        <v>0.162544169611307</v>
      </c>
      <c r="BI18" s="2" t="n">
        <f aca="false">IF(ISNUMBER(BD18),AD18-BD18,"")</f>
        <v>3</v>
      </c>
      <c r="BJ18" s="2" t="s">
        <v>85</v>
      </c>
      <c r="BK18" s="2" t="s">
        <v>306</v>
      </c>
      <c r="BL18" s="2" t="s">
        <v>307</v>
      </c>
      <c r="BM18" s="2" t="n">
        <v>3</v>
      </c>
      <c r="BN18" s="2" t="n">
        <v>1</v>
      </c>
      <c r="BO18" s="2" t="n">
        <v>1</v>
      </c>
      <c r="BP18" s="2" t="n">
        <v>0</v>
      </c>
      <c r="BQ18" s="2"/>
    </row>
    <row r="19" customFormat="false" ht="15" hidden="false" customHeight="false" outlineLevel="0" collapsed="false">
      <c r="A19" s="2" t="n">
        <v>18</v>
      </c>
      <c r="B19" s="2" t="s">
        <v>308</v>
      </c>
      <c r="C19" s="2" t="s">
        <v>309</v>
      </c>
      <c r="D19" s="2" t="s">
        <v>90</v>
      </c>
      <c r="E19" s="2" t="s">
        <v>72</v>
      </c>
      <c r="F19" s="2" t="s">
        <v>310</v>
      </c>
      <c r="G19" s="2" t="s">
        <v>163</v>
      </c>
      <c r="H19" s="2" t="s">
        <v>99</v>
      </c>
      <c r="I19" s="2" t="s">
        <v>311</v>
      </c>
      <c r="J19" s="2" t="s">
        <v>312</v>
      </c>
      <c r="K19" s="2" t="s">
        <v>77</v>
      </c>
      <c r="L19" s="2" t="s">
        <v>77</v>
      </c>
      <c r="M19" s="2" t="s">
        <v>313</v>
      </c>
      <c r="N19" s="2" t="s">
        <v>79</v>
      </c>
      <c r="O19" s="2" t="s">
        <v>314</v>
      </c>
      <c r="P19" s="3" t="n">
        <v>25</v>
      </c>
      <c r="Q19" s="3" t="n">
        <v>16782</v>
      </c>
      <c r="R19" s="3" t="n">
        <v>7167</v>
      </c>
      <c r="S19" s="3" t="n">
        <v>7021</v>
      </c>
      <c r="T19" s="3" t="n">
        <v>7762</v>
      </c>
      <c r="U19" s="3" t="n">
        <v>1853</v>
      </c>
      <c r="V19" s="3" t="n">
        <v>0</v>
      </c>
      <c r="W19" s="3" t="n">
        <v>0</v>
      </c>
      <c r="X19" s="3" t="n">
        <v>105</v>
      </c>
      <c r="Y19" s="3" t="n">
        <v>82</v>
      </c>
      <c r="Z19" s="3" t="n">
        <v>17</v>
      </c>
      <c r="AA19" s="3" t="n">
        <v>1</v>
      </c>
      <c r="AB19" s="3" t="n">
        <v>1</v>
      </c>
      <c r="AC19" s="3" t="n">
        <v>4</v>
      </c>
      <c r="AD19" s="3" t="n">
        <v>47</v>
      </c>
      <c r="AE19" s="3" t="n">
        <v>23</v>
      </c>
      <c r="AF19" s="3" t="n">
        <v>5</v>
      </c>
      <c r="AG19" s="3" t="n">
        <v>30</v>
      </c>
      <c r="AH19" s="2" t="s">
        <v>315</v>
      </c>
      <c r="AI19" s="3" t="n">
        <v>182</v>
      </c>
      <c r="AJ19" s="2" t="n">
        <v>87</v>
      </c>
      <c r="AK19" s="2" t="n">
        <f aca="false">COUNTIFS(secondary_acts!$A$2:$A$771,$A19,secondary_acts!$E$2:$E$771,"implementing")</f>
        <v>1</v>
      </c>
      <c r="AL19" s="2" t="n">
        <f aca="false">COUNTIFS(secondary_acts!$A$2:$A$771,$A19,secondary_acts!$E$2:$E$771,"delegated")</f>
        <v>0</v>
      </c>
      <c r="AM19" s="2" t="n">
        <f aca="false">COUNTIFS(secondary_acts!$A$2:$A$771,$A19,secondary_acts!$E$2:$E$771,"other Commission/Council act")</f>
        <v>0</v>
      </c>
      <c r="AN19" s="2" t="n">
        <f aca="false">COUNTIFS(secondary_acts!$A$2:$A$771,$A19,secondary_acts!$E$2:$E$771,"guidance")</f>
        <v>1</v>
      </c>
      <c r="AO19" s="2" t="n">
        <f aca="false">COUNTIF(guidance_web!$A$2:$A$7,$A19)</f>
        <v>0</v>
      </c>
      <c r="AP19" s="2" t="n">
        <f aca="false">COUNTIFS(guidance_agencies!$A$2:$A$81,$A19,guidance_agencies!$D$2:$D$81,"EDPB")</f>
        <v>0</v>
      </c>
      <c r="AQ19" s="2" t="n">
        <f aca="false">COUNTIFS(guidance_agencies!$A$2:$A$81,$A19,guidance_agencies!$D$2:$D$81,"EBA")</f>
        <v>0</v>
      </c>
      <c r="AR19" s="2" t="n">
        <f aca="false">COUNTIFS(guidance_agencies!$A$2:$A$81,$A19,guidance_agencies!$D$2:$D$81,"ESMA")</f>
        <v>0</v>
      </c>
      <c r="AS19" s="3" t="n">
        <f aca="false">SUMIFS(secondary_acts!$S$2:$S$771,secondary_acts!$A$2:$A$771,$A19,secondary_acts!$E$2:$E$771,"implementing")+SUMIFS(secondary_acts!$S$2:$S$771,secondary_acts!$A$2:$A$771,$A19,secondary_acts!$E$2:$E$771,"delegated")</f>
        <v>13</v>
      </c>
      <c r="AT19" s="3" t="n">
        <v>1559</v>
      </c>
      <c r="AU19" s="2" t="n">
        <v>28</v>
      </c>
      <c r="AV19" s="2" t="n">
        <v>4</v>
      </c>
      <c r="AW19" s="2" t="s">
        <v>316</v>
      </c>
      <c r="AX19" s="2" t="s">
        <v>247</v>
      </c>
      <c r="AY19" s="2" t="n">
        <v>6</v>
      </c>
      <c r="AZ19" s="2" t="s">
        <v>317</v>
      </c>
      <c r="BA19" s="2" t="s">
        <v>157</v>
      </c>
      <c r="BB19" s="2" t="n">
        <v>14168</v>
      </c>
      <c r="BC19" s="2" t="n">
        <v>98</v>
      </c>
      <c r="BD19" s="2" t="n">
        <v>40</v>
      </c>
      <c r="BE19" s="2" t="n">
        <f aca="false">IF(ISNUMBER(BB19),Q19-BB19,"")</f>
        <v>2614</v>
      </c>
      <c r="BF19" s="4" t="n">
        <f aca="false">IF(AND(ISNUMBER(BB19),BB19&gt;0),(Q19-BB19)/BB19,"")</f>
        <v>0.184500282326369</v>
      </c>
      <c r="BG19" s="2" t="n">
        <f aca="false">IF(ISNUMBER(BC19),X19-BC19,"")</f>
        <v>7</v>
      </c>
      <c r="BH19" s="4" t="n">
        <f aca="false">IF(AND(ISNUMBER(BC19),BC19&gt;0),(X19-BC19)/BC19,"")</f>
        <v>0.0714285714285714</v>
      </c>
      <c r="BI19" s="2" t="n">
        <f aca="false">IF(ISNUMBER(BD19),AD19-BD19,"")</f>
        <v>7</v>
      </c>
      <c r="BJ19" s="2" t="s">
        <v>85</v>
      </c>
      <c r="BK19" s="2" t="s">
        <v>318</v>
      </c>
      <c r="BL19" s="2" t="s">
        <v>319</v>
      </c>
      <c r="BM19" s="2" t="n">
        <v>3</v>
      </c>
      <c r="BN19" s="2" t="n">
        <v>2</v>
      </c>
      <c r="BO19" s="2" t="n">
        <v>4</v>
      </c>
      <c r="BP19" s="2" t="n">
        <v>1</v>
      </c>
      <c r="BQ19" s="2"/>
    </row>
    <row r="20" customFormat="false" ht="15" hidden="false" customHeight="false" outlineLevel="0" collapsed="false">
      <c r="A20" s="2" t="n">
        <v>19</v>
      </c>
      <c r="B20" s="2" t="s">
        <v>320</v>
      </c>
      <c r="C20" s="2" t="s">
        <v>321</v>
      </c>
      <c r="D20" s="2" t="s">
        <v>253</v>
      </c>
      <c r="E20" s="2" t="s">
        <v>72</v>
      </c>
      <c r="F20" s="2" t="s">
        <v>322</v>
      </c>
      <c r="G20" s="2" t="s">
        <v>163</v>
      </c>
      <c r="H20" s="2" t="s">
        <v>323</v>
      </c>
      <c r="I20" s="2" t="s">
        <v>323</v>
      </c>
      <c r="J20" s="2" t="s">
        <v>324</v>
      </c>
      <c r="K20" s="2" t="s">
        <v>77</v>
      </c>
      <c r="L20" s="2" t="s">
        <v>77</v>
      </c>
      <c r="M20" s="2" t="s">
        <v>325</v>
      </c>
      <c r="N20" s="2" t="s">
        <v>79</v>
      </c>
      <c r="O20" s="2" t="s">
        <v>326</v>
      </c>
      <c r="P20" s="3" t="n">
        <v>12</v>
      </c>
      <c r="Q20" s="3" t="n">
        <v>7830</v>
      </c>
      <c r="R20" s="3" t="n">
        <v>1814</v>
      </c>
      <c r="S20" s="3" t="n">
        <v>1712</v>
      </c>
      <c r="T20" s="3" t="n">
        <v>6016</v>
      </c>
      <c r="U20" s="3" t="n">
        <v>0</v>
      </c>
      <c r="V20" s="3" t="n">
        <v>0</v>
      </c>
      <c r="W20" s="3" t="n">
        <v>0</v>
      </c>
      <c r="X20" s="3" t="n">
        <v>111</v>
      </c>
      <c r="Y20" s="3" t="n">
        <v>100</v>
      </c>
      <c r="Z20" s="3" t="n">
        <v>5</v>
      </c>
      <c r="AA20" s="3" t="n">
        <v>3</v>
      </c>
      <c r="AB20" s="3" t="n">
        <v>3</v>
      </c>
      <c r="AC20" s="3" t="n">
        <v>0</v>
      </c>
      <c r="AD20" s="3" t="n">
        <v>2</v>
      </c>
      <c r="AE20" s="3" t="n">
        <v>69</v>
      </c>
      <c r="AF20" s="3" t="n">
        <v>17</v>
      </c>
      <c r="AG20" s="3" t="n">
        <v>23</v>
      </c>
      <c r="AH20" s="2" t="s">
        <v>327</v>
      </c>
      <c r="AI20" s="3" t="n">
        <v>613</v>
      </c>
      <c r="AJ20" s="2" t="n">
        <v>158</v>
      </c>
      <c r="AK20" s="2" t="n">
        <f aca="false">COUNTIFS(secondary_acts!$A$2:$A$771,$A20,secondary_acts!$E$2:$E$771,"implementing")</f>
        <v>14</v>
      </c>
      <c r="AL20" s="2" t="n">
        <f aca="false">COUNTIFS(secondary_acts!$A$2:$A$771,$A20,secondary_acts!$E$2:$E$771,"delegated")</f>
        <v>0</v>
      </c>
      <c r="AM20" s="2" t="n">
        <f aca="false">COUNTIFS(secondary_acts!$A$2:$A$771,$A20,secondary_acts!$E$2:$E$771,"other Commission/Council act")</f>
        <v>0</v>
      </c>
      <c r="AN20" s="2" t="n">
        <f aca="false">COUNTIFS(secondary_acts!$A$2:$A$771,$A20,secondary_acts!$E$2:$E$771,"guidance")</f>
        <v>0</v>
      </c>
      <c r="AO20" s="2" t="n">
        <f aca="false">COUNTIF(guidance_web!$A$2:$A$7,$A20)</f>
        <v>0</v>
      </c>
      <c r="AP20" s="2" t="n">
        <f aca="false">COUNTIFS(guidance_agencies!$A$2:$A$81,$A20,guidance_agencies!$D$2:$D$81,"EDPB")</f>
        <v>0</v>
      </c>
      <c r="AQ20" s="2" t="n">
        <f aca="false">COUNTIFS(guidance_agencies!$A$2:$A$81,$A20,guidance_agencies!$D$2:$D$81,"EBA")</f>
        <v>0</v>
      </c>
      <c r="AR20" s="2" t="n">
        <f aca="false">COUNTIFS(guidance_agencies!$A$2:$A$81,$A20,guidance_agencies!$D$2:$D$81,"ESMA")</f>
        <v>0</v>
      </c>
      <c r="AS20" s="3" t="n">
        <f aca="false">SUMIFS(secondary_acts!$S$2:$S$771,secondary_acts!$A$2:$A$771,$A20,secondary_acts!$E$2:$E$771,"implementing")+SUMIFS(secondary_acts!$S$2:$S$771,secondary_acts!$A$2:$A$771,$A20,secondary_acts!$E$2:$E$771,"delegated")</f>
        <v>100</v>
      </c>
      <c r="AT20" s="3" t="n">
        <v>380</v>
      </c>
      <c r="AU20" s="2" t="n">
        <v>28</v>
      </c>
      <c r="AV20" s="2" t="n">
        <v>9</v>
      </c>
      <c r="AW20" s="2" t="s">
        <v>328</v>
      </c>
      <c r="AX20" s="2" t="s">
        <v>329</v>
      </c>
      <c r="AY20" s="2" t="n">
        <v>5</v>
      </c>
      <c r="AZ20" s="2" t="s">
        <v>330</v>
      </c>
      <c r="BA20" s="2" t="s">
        <v>157</v>
      </c>
      <c r="BB20" s="2" t="n">
        <v>6065</v>
      </c>
      <c r="BC20" s="2" t="n">
        <v>93</v>
      </c>
      <c r="BD20" s="2" t="n">
        <v>2</v>
      </c>
      <c r="BE20" s="2" t="n">
        <f aca="false">IF(ISNUMBER(BB20),Q20-BB20,"")</f>
        <v>1765</v>
      </c>
      <c r="BF20" s="4" t="n">
        <f aca="false">IF(AND(ISNUMBER(BB20),BB20&gt;0),(Q20-BB20)/BB20,"")</f>
        <v>0.291014014839242</v>
      </c>
      <c r="BG20" s="2" t="n">
        <f aca="false">IF(ISNUMBER(BC20),X20-BC20,"")</f>
        <v>18</v>
      </c>
      <c r="BH20" s="4" t="n">
        <f aca="false">IF(AND(ISNUMBER(BC20),BC20&gt;0),(X20-BC20)/BC20,"")</f>
        <v>0.193548387096774</v>
      </c>
      <c r="BI20" s="2" t="n">
        <f aca="false">IF(ISNUMBER(BD20),AD20-BD20,"")</f>
        <v>0</v>
      </c>
      <c r="BJ20" s="2" t="s">
        <v>199</v>
      </c>
      <c r="BK20" s="2" t="s">
        <v>331</v>
      </c>
      <c r="BL20" s="2" t="s">
        <v>332</v>
      </c>
      <c r="BM20" s="2" t="n">
        <v>4</v>
      </c>
      <c r="BN20" s="2" t="n">
        <v>4</v>
      </c>
      <c r="BO20" s="2" t="n">
        <v>4</v>
      </c>
      <c r="BP20" s="2" t="n">
        <v>1</v>
      </c>
      <c r="BQ20" s="2"/>
    </row>
    <row r="21" customFormat="false" ht="15" hidden="false" customHeight="false" outlineLevel="0" collapsed="false">
      <c r="A21" s="2" t="n">
        <v>20</v>
      </c>
      <c r="B21" s="2" t="s">
        <v>333</v>
      </c>
      <c r="C21" s="2" t="s">
        <v>334</v>
      </c>
      <c r="D21" s="2" t="s">
        <v>188</v>
      </c>
      <c r="E21" s="2" t="s">
        <v>72</v>
      </c>
      <c r="F21" s="2" t="s">
        <v>335</v>
      </c>
      <c r="G21" s="2" t="s">
        <v>163</v>
      </c>
      <c r="H21" s="2" t="s">
        <v>336</v>
      </c>
      <c r="I21" s="2" t="s">
        <v>337</v>
      </c>
      <c r="J21" s="2" t="s">
        <v>338</v>
      </c>
      <c r="K21" s="2" t="s">
        <v>77</v>
      </c>
      <c r="L21" s="2" t="s">
        <v>77</v>
      </c>
      <c r="M21" s="2" t="s">
        <v>339</v>
      </c>
      <c r="N21" s="2" t="s">
        <v>79</v>
      </c>
      <c r="O21" s="2" t="s">
        <v>340</v>
      </c>
      <c r="P21" s="3" t="n">
        <v>88</v>
      </c>
      <c r="Q21" s="3" t="n">
        <v>54331</v>
      </c>
      <c r="R21" s="3" t="n">
        <v>23839</v>
      </c>
      <c r="S21" s="3" t="n">
        <v>23692</v>
      </c>
      <c r="T21" s="3" t="n">
        <v>30492</v>
      </c>
      <c r="U21" s="3" t="n">
        <v>0</v>
      </c>
      <c r="V21" s="3" t="n">
        <v>0</v>
      </c>
      <c r="W21" s="3" t="n">
        <v>0</v>
      </c>
      <c r="X21" s="3" t="n">
        <v>417</v>
      </c>
      <c r="Y21" s="3" t="n">
        <v>370</v>
      </c>
      <c r="Z21" s="3" t="n">
        <v>24</v>
      </c>
      <c r="AA21" s="3" t="n">
        <v>3</v>
      </c>
      <c r="AB21" s="3" t="n">
        <v>8</v>
      </c>
      <c r="AC21" s="3" t="n">
        <v>12</v>
      </c>
      <c r="AD21" s="3" t="n">
        <v>99</v>
      </c>
      <c r="AE21" s="3" t="n">
        <v>129</v>
      </c>
      <c r="AF21" s="3" t="n">
        <v>81</v>
      </c>
      <c r="AG21" s="3" t="n">
        <v>108</v>
      </c>
      <c r="AH21" s="2" t="s">
        <v>341</v>
      </c>
      <c r="AI21" s="3" t="n">
        <v>415</v>
      </c>
      <c r="AJ21" s="2" t="n">
        <v>99</v>
      </c>
      <c r="AK21" s="2" t="n">
        <f aca="false">COUNTIFS(secondary_acts!$A$2:$A$771,$A21,secondary_acts!$E$2:$E$771,"implementing")</f>
        <v>11</v>
      </c>
      <c r="AL21" s="2" t="n">
        <f aca="false">COUNTIFS(secondary_acts!$A$2:$A$771,$A21,secondary_acts!$E$2:$E$771,"delegated")</f>
        <v>0</v>
      </c>
      <c r="AM21" s="2" t="n">
        <f aca="false">COUNTIFS(secondary_acts!$A$2:$A$771,$A21,secondary_acts!$E$2:$E$771,"other Commission/Council act")</f>
        <v>0</v>
      </c>
      <c r="AN21" s="2" t="n">
        <f aca="false">COUNTIFS(secondary_acts!$A$2:$A$771,$A21,secondary_acts!$E$2:$E$771,"guidance")</f>
        <v>2</v>
      </c>
      <c r="AO21" s="2" t="n">
        <f aca="false">COUNTIF(guidance_web!$A$2:$A$7,$A21)</f>
        <v>0</v>
      </c>
      <c r="AP21" s="2" t="n">
        <f aca="false">COUNTIFS(guidance_agencies!$A$2:$A$81,$A21,guidance_agencies!$D$2:$D$81,"EDPB")</f>
        <v>47</v>
      </c>
      <c r="AQ21" s="2" t="n">
        <f aca="false">COUNTIFS(guidance_agencies!$A$2:$A$81,$A21,guidance_agencies!$D$2:$D$81,"EBA")</f>
        <v>0</v>
      </c>
      <c r="AR21" s="2" t="n">
        <f aca="false">COUNTIFS(guidance_agencies!$A$2:$A$81,$A21,guidance_agencies!$D$2:$D$81,"ESMA")</f>
        <v>0</v>
      </c>
      <c r="AS21" s="3" t="n">
        <f aca="false">SUMIFS(secondary_acts!$S$2:$S$771,secondary_acts!$A$2:$A$771,$A21,secondary_acts!$E$2:$E$771,"implementing")+SUMIFS(secondary_acts!$S$2:$S$771,secondary_acts!$A$2:$A$771,$A21,secondary_acts!$E$2:$E$771,"delegated")</f>
        <v>927</v>
      </c>
      <c r="AT21" s="3"/>
      <c r="AU21" s="2"/>
      <c r="AV21" s="2" t="n">
        <v>0</v>
      </c>
      <c r="AW21" s="2"/>
      <c r="AX21" s="2"/>
      <c r="AY21" s="2" t="n">
        <v>3</v>
      </c>
      <c r="AZ21" s="2" t="s">
        <v>342</v>
      </c>
      <c r="BA21" s="2" t="s">
        <v>157</v>
      </c>
      <c r="BB21" s="2" t="n">
        <v>35380</v>
      </c>
      <c r="BC21" s="2" t="n">
        <v>362</v>
      </c>
      <c r="BD21" s="2" t="n">
        <v>78</v>
      </c>
      <c r="BE21" s="2" t="n">
        <f aca="false">IF(ISNUMBER(BB21),Q21-BB21,"")</f>
        <v>18951</v>
      </c>
      <c r="BF21" s="4" t="n">
        <f aca="false">IF(AND(ISNUMBER(BB21),BB21&gt;0),(Q21-BB21)/BB21,"")</f>
        <v>0.535641605426795</v>
      </c>
      <c r="BG21" s="2" t="n">
        <f aca="false">IF(ISNUMBER(BC21),X21-BC21,"")</f>
        <v>55</v>
      </c>
      <c r="BH21" s="4" t="n">
        <f aca="false">IF(AND(ISNUMBER(BC21),BC21&gt;0),(X21-BC21)/BC21,"")</f>
        <v>0.151933701657459</v>
      </c>
      <c r="BI21" s="2" t="n">
        <f aca="false">IF(ISNUMBER(BD21),AD21-BD21,"")</f>
        <v>21</v>
      </c>
      <c r="BJ21" s="2" t="s">
        <v>343</v>
      </c>
      <c r="BK21" s="2" t="s">
        <v>344</v>
      </c>
      <c r="BL21" s="2" t="s">
        <v>345</v>
      </c>
      <c r="BM21" s="2" t="n">
        <v>8</v>
      </c>
      <c r="BN21" s="2" t="n">
        <v>3</v>
      </c>
      <c r="BO21" s="2" t="n">
        <v>9</v>
      </c>
      <c r="BP21" s="2" t="n">
        <v>8</v>
      </c>
      <c r="BQ21" s="2"/>
    </row>
    <row r="22" customFormat="false" ht="15" hidden="false" customHeight="false" outlineLevel="0" collapsed="false">
      <c r="A22" s="2" t="n">
        <v>21</v>
      </c>
      <c r="B22" s="2" t="s">
        <v>346</v>
      </c>
      <c r="C22" s="2" t="s">
        <v>347</v>
      </c>
      <c r="D22" s="2" t="s">
        <v>348</v>
      </c>
      <c r="E22" s="2" t="s">
        <v>72</v>
      </c>
      <c r="F22" s="2" t="s">
        <v>335</v>
      </c>
      <c r="G22" s="2" t="s">
        <v>163</v>
      </c>
      <c r="H22" s="2" t="s">
        <v>336</v>
      </c>
      <c r="I22" s="2" t="s">
        <v>337</v>
      </c>
      <c r="J22" s="2" t="s">
        <v>349</v>
      </c>
      <c r="K22" s="2" t="s">
        <v>77</v>
      </c>
      <c r="L22" s="2" t="s">
        <v>77</v>
      </c>
      <c r="M22" s="2" t="s">
        <v>350</v>
      </c>
      <c r="N22" s="2" t="s">
        <v>79</v>
      </c>
      <c r="O22" s="2" t="s">
        <v>351</v>
      </c>
      <c r="P22" s="3" t="n">
        <v>43</v>
      </c>
      <c r="Q22" s="3" t="n">
        <v>26710</v>
      </c>
      <c r="R22" s="3" t="n">
        <v>12941</v>
      </c>
      <c r="S22" s="3" t="n">
        <v>12790</v>
      </c>
      <c r="T22" s="3" t="n">
        <v>13769</v>
      </c>
      <c r="U22" s="3" t="n">
        <v>0</v>
      </c>
      <c r="V22" s="3" t="n">
        <v>0</v>
      </c>
      <c r="W22" s="3" t="n">
        <v>0</v>
      </c>
      <c r="X22" s="3" t="n">
        <v>225</v>
      </c>
      <c r="Y22" s="3" t="n">
        <v>206</v>
      </c>
      <c r="Z22" s="3" t="n">
        <v>11</v>
      </c>
      <c r="AA22" s="3" t="n">
        <v>1</v>
      </c>
      <c r="AB22" s="3" t="n">
        <v>2</v>
      </c>
      <c r="AC22" s="3" t="n">
        <v>5</v>
      </c>
      <c r="AD22" s="3" t="n">
        <v>25</v>
      </c>
      <c r="AE22" s="3" t="n">
        <v>129</v>
      </c>
      <c r="AF22" s="3" t="n">
        <v>26</v>
      </c>
      <c r="AG22" s="3" t="n">
        <v>45</v>
      </c>
      <c r="AH22" s="2" t="s">
        <v>352</v>
      </c>
      <c r="AI22" s="3" t="n">
        <v>225</v>
      </c>
      <c r="AJ22" s="2" t="n">
        <v>25</v>
      </c>
      <c r="AK22" s="2" t="n">
        <f aca="false">COUNTIFS(secondary_acts!$A$2:$A$771,$A22,secondary_acts!$E$2:$E$771,"implementing")</f>
        <v>3</v>
      </c>
      <c r="AL22" s="2" t="n">
        <f aca="false">COUNTIFS(secondary_acts!$A$2:$A$771,$A22,secondary_acts!$E$2:$E$771,"delegated")</f>
        <v>0</v>
      </c>
      <c r="AM22" s="2" t="n">
        <f aca="false">COUNTIFS(secondary_acts!$A$2:$A$771,$A22,secondary_acts!$E$2:$E$771,"other Commission/Council act")</f>
        <v>0</v>
      </c>
      <c r="AN22" s="2" t="n">
        <f aca="false">COUNTIFS(secondary_acts!$A$2:$A$771,$A22,secondary_acts!$E$2:$E$771,"guidance")</f>
        <v>0</v>
      </c>
      <c r="AO22" s="2" t="n">
        <f aca="false">COUNTIF(guidance_web!$A$2:$A$7,$A22)</f>
        <v>0</v>
      </c>
      <c r="AP22" s="2" t="n">
        <f aca="false">COUNTIFS(guidance_agencies!$A$2:$A$81,$A22,guidance_agencies!$D$2:$D$81,"EDPB")</f>
        <v>2</v>
      </c>
      <c r="AQ22" s="2" t="n">
        <f aca="false">COUNTIFS(guidance_agencies!$A$2:$A$81,$A22,guidance_agencies!$D$2:$D$81,"EBA")</f>
        <v>0</v>
      </c>
      <c r="AR22" s="2" t="n">
        <f aca="false">COUNTIFS(guidance_agencies!$A$2:$A$81,$A22,guidance_agencies!$D$2:$D$81,"ESMA")</f>
        <v>0</v>
      </c>
      <c r="AS22" s="3" t="n">
        <f aca="false">SUMIFS(secondary_acts!$S$2:$S$771,secondary_acts!$A$2:$A$771,$A22,secondary_acts!$E$2:$E$771,"implementing")+SUMIFS(secondary_acts!$S$2:$S$771,secondary_acts!$A$2:$A$771,$A22,secondary_acts!$E$2:$E$771,"delegated")</f>
        <v>5</v>
      </c>
      <c r="AT22" s="3" t="n">
        <v>3772</v>
      </c>
      <c r="AU22" s="2" t="n">
        <v>28</v>
      </c>
      <c r="AV22" s="2" t="n">
        <v>0</v>
      </c>
      <c r="AW22" s="2"/>
      <c r="AX22" s="2"/>
      <c r="AY22" s="2" t="n">
        <v>3</v>
      </c>
      <c r="AZ22" s="2" t="s">
        <v>353</v>
      </c>
      <c r="BA22" s="2" t="s">
        <v>157</v>
      </c>
      <c r="BB22" s="2" t="n">
        <v>16067</v>
      </c>
      <c r="BC22" s="2" t="n">
        <v>193</v>
      </c>
      <c r="BD22" s="2" t="n">
        <v>26</v>
      </c>
      <c r="BE22" s="2" t="n">
        <f aca="false">IF(ISNUMBER(BB22),Q22-BB22,"")</f>
        <v>10643</v>
      </c>
      <c r="BF22" s="4" t="n">
        <f aca="false">IF(AND(ISNUMBER(BB22),BB22&gt;0),(Q22-BB22)/BB22,"")</f>
        <v>0.66241364287048</v>
      </c>
      <c r="BG22" s="2" t="n">
        <f aca="false">IF(ISNUMBER(BC22),X22-BC22,"")</f>
        <v>32</v>
      </c>
      <c r="BH22" s="4" t="n">
        <f aca="false">IF(AND(ISNUMBER(BC22),BC22&gt;0),(X22-BC22)/BC22,"")</f>
        <v>0.16580310880829</v>
      </c>
      <c r="BI22" s="2" t="n">
        <f aca="false">IF(ISNUMBER(BD22),AD22-BD22,"")</f>
        <v>-1</v>
      </c>
      <c r="BJ22" s="2" t="s">
        <v>85</v>
      </c>
      <c r="BK22" s="2" t="s">
        <v>354</v>
      </c>
      <c r="BL22" s="2" t="s">
        <v>355</v>
      </c>
      <c r="BM22" s="2" t="n">
        <v>3</v>
      </c>
      <c r="BN22" s="2" t="n">
        <v>2</v>
      </c>
      <c r="BO22" s="2" t="n">
        <v>2</v>
      </c>
      <c r="BP22" s="2" t="n">
        <v>0</v>
      </c>
      <c r="BQ22" s="2"/>
    </row>
    <row r="23" customFormat="false" ht="15" hidden="false" customHeight="false" outlineLevel="0" collapsed="false">
      <c r="A23" s="2" t="n">
        <v>22</v>
      </c>
      <c r="B23" s="2" t="s">
        <v>356</v>
      </c>
      <c r="C23" s="2" t="s">
        <v>357</v>
      </c>
      <c r="D23" s="2" t="s">
        <v>296</v>
      </c>
      <c r="E23" s="2" t="s">
        <v>72</v>
      </c>
      <c r="F23" s="2" t="s">
        <v>358</v>
      </c>
      <c r="G23" s="2" t="s">
        <v>163</v>
      </c>
      <c r="H23" s="2" t="s">
        <v>359</v>
      </c>
      <c r="I23" s="2" t="s">
        <v>360</v>
      </c>
      <c r="J23" s="2" t="s">
        <v>361</v>
      </c>
      <c r="K23" s="2" t="s">
        <v>77</v>
      </c>
      <c r="L23" s="2" t="s">
        <v>77</v>
      </c>
      <c r="M23" s="2" t="s">
        <v>362</v>
      </c>
      <c r="N23" s="2" t="s">
        <v>79</v>
      </c>
      <c r="O23" s="2" t="s">
        <v>363</v>
      </c>
      <c r="P23" s="3" t="n">
        <v>42</v>
      </c>
      <c r="Q23" s="3" t="n">
        <v>18535</v>
      </c>
      <c r="R23" s="3" t="n">
        <v>5975</v>
      </c>
      <c r="S23" s="3" t="n">
        <v>5856</v>
      </c>
      <c r="T23" s="3" t="n">
        <v>11516</v>
      </c>
      <c r="U23" s="3" t="n">
        <v>1044</v>
      </c>
      <c r="V23" s="3" t="n">
        <v>0</v>
      </c>
      <c r="W23" s="3" t="n">
        <v>0</v>
      </c>
      <c r="X23" s="3" t="n">
        <v>181</v>
      </c>
      <c r="Y23" s="3" t="n">
        <v>154</v>
      </c>
      <c r="Z23" s="3" t="n">
        <v>16</v>
      </c>
      <c r="AA23" s="3" t="n">
        <v>5</v>
      </c>
      <c r="AB23" s="3" t="n">
        <v>2</v>
      </c>
      <c r="AC23" s="3" t="n">
        <v>4</v>
      </c>
      <c r="AD23" s="3" t="n">
        <v>26</v>
      </c>
      <c r="AE23" s="3" t="n">
        <v>45</v>
      </c>
      <c r="AF23" s="3" t="n">
        <v>52</v>
      </c>
      <c r="AG23" s="3" t="n">
        <v>58</v>
      </c>
      <c r="AH23" s="2" t="s">
        <v>364</v>
      </c>
      <c r="AI23" s="3" t="n">
        <v>428</v>
      </c>
      <c r="AJ23" s="2" t="n">
        <v>76</v>
      </c>
      <c r="AK23" s="2" t="n">
        <f aca="false">COUNTIFS(secondary_acts!$A$2:$A$771,$A23,secondary_acts!$E$2:$E$771,"implementing")</f>
        <v>43</v>
      </c>
      <c r="AL23" s="2" t="n">
        <f aca="false">COUNTIFS(secondary_acts!$A$2:$A$771,$A23,secondary_acts!$E$2:$E$771,"delegated")</f>
        <v>0</v>
      </c>
      <c r="AM23" s="2" t="n">
        <f aca="false">COUNTIFS(secondary_acts!$A$2:$A$771,$A23,secondary_acts!$E$2:$E$771,"other Commission/Council act")</f>
        <v>0</v>
      </c>
      <c r="AN23" s="2" t="n">
        <f aca="false">COUNTIFS(secondary_acts!$A$2:$A$771,$A23,secondary_acts!$E$2:$E$771,"guidance")</f>
        <v>0</v>
      </c>
      <c r="AO23" s="2" t="n">
        <f aca="false">COUNTIF(guidance_web!$A$2:$A$7,$A23)</f>
        <v>0</v>
      </c>
      <c r="AP23" s="2" t="n">
        <f aca="false">COUNTIFS(guidance_agencies!$A$2:$A$81,$A23,guidance_agencies!$D$2:$D$81,"EDPB")</f>
        <v>0</v>
      </c>
      <c r="AQ23" s="2" t="n">
        <f aca="false">COUNTIFS(guidance_agencies!$A$2:$A$81,$A23,guidance_agencies!$D$2:$D$81,"EBA")</f>
        <v>0</v>
      </c>
      <c r="AR23" s="2" t="n">
        <f aca="false">COUNTIFS(guidance_agencies!$A$2:$A$81,$A23,guidance_agencies!$D$2:$D$81,"ESMA")</f>
        <v>0</v>
      </c>
      <c r="AS23" s="3" t="n">
        <f aca="false">SUMIFS(secondary_acts!$S$2:$S$771,secondary_acts!$A$2:$A$771,$A23,secondary_acts!$E$2:$E$771,"implementing")+SUMIFS(secondary_acts!$S$2:$S$771,secondary_acts!$A$2:$A$771,$A23,secondary_acts!$E$2:$E$771,"delegated")</f>
        <v>1377</v>
      </c>
      <c r="AT23" s="3"/>
      <c r="AU23" s="2"/>
      <c r="AV23" s="2" t="n">
        <v>2</v>
      </c>
      <c r="AW23" s="2" t="s">
        <v>365</v>
      </c>
      <c r="AX23" s="2" t="s">
        <v>276</v>
      </c>
      <c r="AY23" s="2" t="n">
        <v>12</v>
      </c>
      <c r="AZ23" s="2" t="s">
        <v>366</v>
      </c>
      <c r="BA23" s="2" t="s">
        <v>157</v>
      </c>
      <c r="BB23" s="2" t="n">
        <v>12741</v>
      </c>
      <c r="BC23" s="2" t="n">
        <v>163</v>
      </c>
      <c r="BD23" s="2" t="n">
        <v>15</v>
      </c>
      <c r="BE23" s="2" t="n">
        <f aca="false">IF(ISNUMBER(BB23),Q23-BB23,"")</f>
        <v>5794</v>
      </c>
      <c r="BF23" s="4" t="n">
        <f aca="false">IF(AND(ISNUMBER(BB23),BB23&gt;0),(Q23-BB23)/BB23,"")</f>
        <v>0.454752374224943</v>
      </c>
      <c r="BG23" s="2" t="n">
        <f aca="false">IF(ISNUMBER(BC23),X23-BC23,"")</f>
        <v>18</v>
      </c>
      <c r="BH23" s="4" t="n">
        <f aca="false">IF(AND(ISNUMBER(BC23),BC23&gt;0),(X23-BC23)/BC23,"")</f>
        <v>0.110429447852761</v>
      </c>
      <c r="BI23" s="2" t="n">
        <f aca="false">IF(ISNUMBER(BD23),AD23-BD23,"")</f>
        <v>11</v>
      </c>
      <c r="BJ23" s="2" t="s">
        <v>85</v>
      </c>
      <c r="BK23" s="2" t="s">
        <v>367</v>
      </c>
      <c r="BL23" s="2" t="s">
        <v>368</v>
      </c>
      <c r="BM23" s="2" t="n">
        <v>5</v>
      </c>
      <c r="BN23" s="2" t="n">
        <v>5</v>
      </c>
      <c r="BO23" s="2" t="n">
        <v>5</v>
      </c>
      <c r="BP23" s="2" t="n">
        <v>0</v>
      </c>
      <c r="BQ23" s="2"/>
    </row>
    <row r="24" customFormat="false" ht="15" hidden="false" customHeight="false" outlineLevel="0" collapsed="false">
      <c r="A24" s="2" t="n">
        <v>23</v>
      </c>
      <c r="B24" s="2" t="s">
        <v>369</v>
      </c>
      <c r="C24" s="2" t="s">
        <v>370</v>
      </c>
      <c r="D24" s="2" t="s">
        <v>253</v>
      </c>
      <c r="E24" s="2" t="s">
        <v>72</v>
      </c>
      <c r="F24" s="2" t="s">
        <v>371</v>
      </c>
      <c r="G24" s="2" t="s">
        <v>163</v>
      </c>
      <c r="H24" s="2" t="s">
        <v>316</v>
      </c>
      <c r="I24" s="2" t="s">
        <v>372</v>
      </c>
      <c r="J24" s="2" t="s">
        <v>373</v>
      </c>
      <c r="K24" s="2" t="s">
        <v>77</v>
      </c>
      <c r="L24" s="2" t="s">
        <v>77</v>
      </c>
      <c r="M24" s="2" t="s">
        <v>374</v>
      </c>
      <c r="N24" s="2" t="s">
        <v>79</v>
      </c>
      <c r="O24" s="2" t="s">
        <v>375</v>
      </c>
      <c r="P24" s="3" t="n">
        <v>93</v>
      </c>
      <c r="Q24" s="3" t="n">
        <v>47656</v>
      </c>
      <c r="R24" s="3" t="n">
        <v>14399</v>
      </c>
      <c r="S24" s="3" t="n">
        <v>14254</v>
      </c>
      <c r="T24" s="3" t="n">
        <v>31276</v>
      </c>
      <c r="U24" s="3" t="n">
        <v>1981</v>
      </c>
      <c r="V24" s="3" t="n">
        <v>0</v>
      </c>
      <c r="W24" s="3" t="n">
        <v>0</v>
      </c>
      <c r="X24" s="3" t="n">
        <v>462</v>
      </c>
      <c r="Y24" s="3" t="n">
        <v>354</v>
      </c>
      <c r="Z24" s="3" t="n">
        <v>46</v>
      </c>
      <c r="AA24" s="3" t="n">
        <v>7</v>
      </c>
      <c r="AB24" s="3" t="n">
        <v>4</v>
      </c>
      <c r="AC24" s="3" t="n">
        <v>51</v>
      </c>
      <c r="AD24" s="3" t="n">
        <v>172</v>
      </c>
      <c r="AE24" s="3" t="n">
        <v>171</v>
      </c>
      <c r="AF24" s="3" t="n">
        <v>44</v>
      </c>
      <c r="AG24" s="3" t="n">
        <v>75</v>
      </c>
      <c r="AH24" s="2" t="s">
        <v>376</v>
      </c>
      <c r="AI24" s="3" t="n">
        <v>470</v>
      </c>
      <c r="AJ24" s="2" t="n">
        <v>173</v>
      </c>
      <c r="AK24" s="2" t="n">
        <f aca="false">COUNTIFS(secondary_acts!$A$2:$A$771,$A24,secondary_acts!$E$2:$E$771,"implementing")</f>
        <v>1</v>
      </c>
      <c r="AL24" s="2" t="n">
        <f aca="false">COUNTIFS(secondary_acts!$A$2:$A$771,$A24,secondary_acts!$E$2:$E$771,"delegated")</f>
        <v>8</v>
      </c>
      <c r="AM24" s="2" t="n">
        <f aca="false">COUNTIFS(secondary_acts!$A$2:$A$771,$A24,secondary_acts!$E$2:$E$771,"other Commission/Council act")</f>
        <v>0</v>
      </c>
      <c r="AN24" s="2" t="n">
        <f aca="false">COUNTIFS(secondary_acts!$A$2:$A$771,$A24,secondary_acts!$E$2:$E$771,"guidance")</f>
        <v>0</v>
      </c>
      <c r="AO24" s="2" t="n">
        <f aca="false">COUNTIF(guidance_web!$A$2:$A$7,$A24)</f>
        <v>0</v>
      </c>
      <c r="AP24" s="2" t="n">
        <f aca="false">COUNTIFS(guidance_agencies!$A$2:$A$81,$A24,guidance_agencies!$D$2:$D$81,"EDPB")</f>
        <v>1</v>
      </c>
      <c r="AQ24" s="2" t="n">
        <f aca="false">COUNTIFS(guidance_agencies!$A$2:$A$81,$A24,guidance_agencies!$D$2:$D$81,"EBA")</f>
        <v>11</v>
      </c>
      <c r="AR24" s="2" t="n">
        <f aca="false">COUNTIFS(guidance_agencies!$A$2:$A$81,$A24,guidance_agencies!$D$2:$D$81,"ESMA")</f>
        <v>0</v>
      </c>
      <c r="AS24" s="3" t="n">
        <f aca="false">SUMIFS(secondary_acts!$S$2:$S$771,secondary_acts!$A$2:$A$771,$A24,secondary_acts!$E$2:$E$771,"implementing")+SUMIFS(secondary_acts!$S$2:$S$771,secondary_acts!$A$2:$A$771,$A24,secondary_acts!$E$2:$E$771,"delegated")</f>
        <v>468</v>
      </c>
      <c r="AT24" s="3" t="n">
        <v>2499</v>
      </c>
      <c r="AU24" s="2" t="n">
        <v>28</v>
      </c>
      <c r="AV24" s="2" t="n">
        <v>2</v>
      </c>
      <c r="AW24" s="2" t="s">
        <v>365</v>
      </c>
      <c r="AX24" s="2" t="s">
        <v>377</v>
      </c>
      <c r="AY24" s="2" t="n">
        <v>8</v>
      </c>
      <c r="AZ24" s="2" t="s">
        <v>378</v>
      </c>
      <c r="BA24" s="2" t="s">
        <v>157</v>
      </c>
      <c r="BB24" s="2" t="n">
        <v>34397</v>
      </c>
      <c r="BC24" s="2" t="n">
        <v>360</v>
      </c>
      <c r="BD24" s="2" t="n">
        <v>116</v>
      </c>
      <c r="BE24" s="2" t="n">
        <f aca="false">IF(ISNUMBER(BB24),Q24-BB24,"")</f>
        <v>13259</v>
      </c>
      <c r="BF24" s="4" t="n">
        <f aca="false">IF(AND(ISNUMBER(BB24),BB24&gt;0),(Q24-BB24)/BB24,"")</f>
        <v>0.38546966305201</v>
      </c>
      <c r="BG24" s="2" t="n">
        <f aca="false">IF(ISNUMBER(BC24),X24-BC24,"")</f>
        <v>102</v>
      </c>
      <c r="BH24" s="4" t="n">
        <f aca="false">IF(AND(ISNUMBER(BC24),BC24&gt;0),(X24-BC24)/BC24,"")</f>
        <v>0.283333333333333</v>
      </c>
      <c r="BI24" s="2" t="n">
        <f aca="false">IF(ISNUMBER(BD24),AD24-BD24,"")</f>
        <v>56</v>
      </c>
      <c r="BJ24" s="2" t="s">
        <v>199</v>
      </c>
      <c r="BK24" s="2" t="s">
        <v>379</v>
      </c>
      <c r="BL24" s="2" t="s">
        <v>380</v>
      </c>
      <c r="BM24" s="2" t="n">
        <v>5</v>
      </c>
      <c r="BN24" s="2" t="n">
        <v>5</v>
      </c>
      <c r="BO24" s="2" t="n">
        <v>3</v>
      </c>
      <c r="BP24" s="2" t="n">
        <v>1</v>
      </c>
      <c r="BQ24" s="2"/>
    </row>
    <row r="25" customFormat="false" ht="15" hidden="false" customHeight="false" outlineLevel="0" collapsed="false">
      <c r="A25" s="2" t="n">
        <v>24</v>
      </c>
      <c r="B25" s="2" t="s">
        <v>381</v>
      </c>
      <c r="C25" s="2" t="s">
        <v>382</v>
      </c>
      <c r="D25" s="2" t="s">
        <v>71</v>
      </c>
      <c r="E25" s="2" t="s">
        <v>72</v>
      </c>
      <c r="F25" s="2" t="s">
        <v>383</v>
      </c>
      <c r="G25" s="2" t="s">
        <v>163</v>
      </c>
      <c r="H25" s="2" t="s">
        <v>316</v>
      </c>
      <c r="I25" s="2" t="s">
        <v>384</v>
      </c>
      <c r="J25" s="2" t="s">
        <v>385</v>
      </c>
      <c r="K25" s="2" t="s">
        <v>77</v>
      </c>
      <c r="L25" s="2" t="s">
        <v>77</v>
      </c>
      <c r="M25" s="2" t="s">
        <v>386</v>
      </c>
      <c r="N25" s="2" t="s">
        <v>79</v>
      </c>
      <c r="O25" s="2" t="s">
        <v>387</v>
      </c>
      <c r="P25" s="3" t="n">
        <v>18</v>
      </c>
      <c r="Q25" s="3" t="n">
        <v>11290</v>
      </c>
      <c r="R25" s="3" t="n">
        <v>4983</v>
      </c>
      <c r="S25" s="3" t="n">
        <v>4826</v>
      </c>
      <c r="T25" s="3" t="n">
        <v>6307</v>
      </c>
      <c r="U25" s="3" t="n">
        <v>0</v>
      </c>
      <c r="V25" s="3" t="n">
        <v>0</v>
      </c>
      <c r="W25" s="3" t="n">
        <v>0</v>
      </c>
      <c r="X25" s="3" t="n">
        <v>72</v>
      </c>
      <c r="Y25" s="3" t="n">
        <v>59</v>
      </c>
      <c r="Z25" s="3" t="n">
        <v>10</v>
      </c>
      <c r="AA25" s="3" t="n">
        <v>2</v>
      </c>
      <c r="AB25" s="3" t="n">
        <v>0</v>
      </c>
      <c r="AC25" s="3" t="n">
        <v>1</v>
      </c>
      <c r="AD25" s="3" t="n">
        <v>29</v>
      </c>
      <c r="AE25" s="3" t="n">
        <v>11</v>
      </c>
      <c r="AF25" s="3" t="n">
        <v>18</v>
      </c>
      <c r="AG25" s="3" t="n">
        <v>14</v>
      </c>
      <c r="AH25" s="2" t="s">
        <v>388</v>
      </c>
      <c r="AI25" s="3" t="n">
        <v>72</v>
      </c>
      <c r="AJ25" s="2" t="n">
        <v>29</v>
      </c>
      <c r="AK25" s="2" t="n">
        <f aca="false">COUNTIFS(secondary_acts!$A$2:$A$771,$A25,secondary_acts!$E$2:$E$771,"implementing")</f>
        <v>1</v>
      </c>
      <c r="AL25" s="2" t="n">
        <f aca="false">COUNTIFS(secondary_acts!$A$2:$A$771,$A25,secondary_acts!$E$2:$E$771,"delegated")</f>
        <v>0</v>
      </c>
      <c r="AM25" s="2" t="n">
        <f aca="false">COUNTIFS(secondary_acts!$A$2:$A$771,$A25,secondary_acts!$E$2:$E$771,"other Commission/Council act")</f>
        <v>0</v>
      </c>
      <c r="AN25" s="2" t="n">
        <f aca="false">COUNTIFS(secondary_acts!$A$2:$A$771,$A25,secondary_acts!$E$2:$E$771,"guidance")</f>
        <v>0</v>
      </c>
      <c r="AO25" s="2" t="n">
        <f aca="false">COUNTIF(guidance_web!$A$2:$A$7,$A25)</f>
        <v>0</v>
      </c>
      <c r="AP25" s="2" t="n">
        <f aca="false">COUNTIFS(guidance_agencies!$A$2:$A$81,$A25,guidance_agencies!$D$2:$D$81,"EDPB")</f>
        <v>0</v>
      </c>
      <c r="AQ25" s="2" t="n">
        <f aca="false">COUNTIFS(guidance_agencies!$A$2:$A$81,$A25,guidance_agencies!$D$2:$D$81,"EBA")</f>
        <v>0</v>
      </c>
      <c r="AR25" s="2" t="n">
        <f aca="false">COUNTIFS(guidance_agencies!$A$2:$A$81,$A25,guidance_agencies!$D$2:$D$81,"ESMA")</f>
        <v>0</v>
      </c>
      <c r="AS25" s="3" t="n">
        <f aca="false">SUMIFS(secondary_acts!$S$2:$S$771,secondary_acts!$A$2:$A$771,$A25,secondary_acts!$E$2:$E$771,"implementing")+SUMIFS(secondary_acts!$S$2:$S$771,secondary_acts!$A$2:$A$771,$A25,secondary_acts!$E$2:$E$771,"delegated")</f>
        <v>10</v>
      </c>
      <c r="AT25" s="3"/>
      <c r="AU25" s="2"/>
      <c r="AV25" s="2" t="n">
        <v>2</v>
      </c>
      <c r="AW25" s="2" t="s">
        <v>389</v>
      </c>
      <c r="AX25" s="2" t="s">
        <v>390</v>
      </c>
      <c r="AY25" s="2" t="n">
        <v>3</v>
      </c>
      <c r="AZ25" s="2" t="s">
        <v>391</v>
      </c>
      <c r="BA25" s="2" t="s">
        <v>157</v>
      </c>
      <c r="BB25" s="2" t="n">
        <v>30255</v>
      </c>
      <c r="BC25" s="2" t="n">
        <v>293</v>
      </c>
      <c r="BD25" s="2" t="n">
        <v>44</v>
      </c>
      <c r="BE25" s="2" t="n">
        <f aca="false">IF(ISNUMBER(BB25),Q25-BB25,"")</f>
        <v>-18965</v>
      </c>
      <c r="BF25" s="4" t="n">
        <f aca="false">IF(AND(ISNUMBER(BB25),BB25&gt;0),(Q25-BB25)/BB25,"")</f>
        <v>-0.626838539084449</v>
      </c>
      <c r="BG25" s="2" t="n">
        <f aca="false">IF(ISNUMBER(BC25),X25-BC25,"")</f>
        <v>-221</v>
      </c>
      <c r="BH25" s="4" t="n">
        <f aca="false">IF(AND(ISNUMBER(BC25),BC25&gt;0),(X25-BC25)/BC25,"")</f>
        <v>-0.754266211604096</v>
      </c>
      <c r="BI25" s="2" t="n">
        <f aca="false">IF(ISNUMBER(BD25),AD25-BD25,"")</f>
        <v>-15</v>
      </c>
      <c r="BJ25" s="2" t="s">
        <v>85</v>
      </c>
      <c r="BK25" s="2" t="s">
        <v>392</v>
      </c>
      <c r="BL25" s="2" t="s">
        <v>393</v>
      </c>
      <c r="BM25" s="2" t="n">
        <v>4</v>
      </c>
      <c r="BN25" s="2" t="n">
        <v>3</v>
      </c>
      <c r="BO25" s="2" t="n">
        <v>5</v>
      </c>
      <c r="BP25" s="2" t="n">
        <v>1</v>
      </c>
      <c r="BQ25" s="2" t="s">
        <v>118</v>
      </c>
    </row>
    <row r="26" customFormat="false" ht="15" hidden="false" customHeight="false" outlineLevel="0" collapsed="false">
      <c r="A26" s="2" t="n">
        <v>25</v>
      </c>
      <c r="B26" s="2" t="s">
        <v>394</v>
      </c>
      <c r="C26" s="2" t="s">
        <v>395</v>
      </c>
      <c r="D26" s="2" t="s">
        <v>215</v>
      </c>
      <c r="E26" s="2" t="s">
        <v>72</v>
      </c>
      <c r="F26" s="2" t="s">
        <v>396</v>
      </c>
      <c r="G26" s="2" t="s">
        <v>74</v>
      </c>
      <c r="H26" s="2" t="s">
        <v>397</v>
      </c>
      <c r="I26" s="2" t="s">
        <v>398</v>
      </c>
      <c r="J26" s="2" t="s">
        <v>399</v>
      </c>
      <c r="K26" s="2" t="s">
        <v>77</v>
      </c>
      <c r="L26" s="2" t="s">
        <v>77</v>
      </c>
      <c r="M26" s="2" t="s">
        <v>400</v>
      </c>
      <c r="N26" s="2" t="s">
        <v>79</v>
      </c>
      <c r="O26" s="2" t="s">
        <v>401</v>
      </c>
      <c r="P26" s="3" t="n">
        <v>7</v>
      </c>
      <c r="Q26" s="3" t="n">
        <v>4660</v>
      </c>
      <c r="R26" s="3" t="n">
        <v>1553</v>
      </c>
      <c r="S26" s="3" t="n">
        <v>1431</v>
      </c>
      <c r="T26" s="3" t="n">
        <v>3107</v>
      </c>
      <c r="U26" s="3" t="n">
        <v>0</v>
      </c>
      <c r="V26" s="3" t="n">
        <v>0</v>
      </c>
      <c r="W26" s="3" t="n">
        <v>0</v>
      </c>
      <c r="X26" s="3" t="n">
        <v>0</v>
      </c>
      <c r="Y26" s="3" t="n">
        <v>0</v>
      </c>
      <c r="Z26" s="3" t="n">
        <v>0</v>
      </c>
      <c r="AA26" s="3" t="n">
        <v>0</v>
      </c>
      <c r="AB26" s="3" t="n">
        <v>0</v>
      </c>
      <c r="AC26" s="3" t="n">
        <v>0</v>
      </c>
      <c r="AD26" s="3" t="n">
        <v>0</v>
      </c>
      <c r="AE26" s="3" t="n">
        <v>0</v>
      </c>
      <c r="AF26" s="3" t="n">
        <v>0</v>
      </c>
      <c r="AG26" s="3" t="n">
        <v>0</v>
      </c>
      <c r="AH26" s="2" t="s">
        <v>402</v>
      </c>
      <c r="AI26" s="3" t="n">
        <v>0</v>
      </c>
      <c r="AJ26" s="2" t="n">
        <v>0</v>
      </c>
      <c r="AK26" s="2" t="n">
        <f aca="false">COUNTIFS(secondary_acts!$A$2:$A$771,$A26,secondary_acts!$E$2:$E$771,"implementing")</f>
        <v>0</v>
      </c>
      <c r="AL26" s="2" t="n">
        <f aca="false">COUNTIFS(secondary_acts!$A$2:$A$771,$A26,secondary_acts!$E$2:$E$771,"delegated")</f>
        <v>0</v>
      </c>
      <c r="AM26" s="2" t="n">
        <f aca="false">COUNTIFS(secondary_acts!$A$2:$A$771,$A26,secondary_acts!$E$2:$E$771,"other Commission/Council act")</f>
        <v>0</v>
      </c>
      <c r="AN26" s="2" t="n">
        <f aca="false">COUNTIFS(secondary_acts!$A$2:$A$771,$A26,secondary_acts!$E$2:$E$771,"guidance")</f>
        <v>0</v>
      </c>
      <c r="AO26" s="2" t="n">
        <f aca="false">COUNTIF(guidance_web!$A$2:$A$7,$A26)</f>
        <v>0</v>
      </c>
      <c r="AP26" s="2" t="n">
        <f aca="false">COUNTIFS(guidance_agencies!$A$2:$A$81,$A26,guidance_agencies!$D$2:$D$81,"EDPB")</f>
        <v>0</v>
      </c>
      <c r="AQ26" s="2" t="n">
        <f aca="false">COUNTIFS(guidance_agencies!$A$2:$A$81,$A26,guidance_agencies!$D$2:$D$81,"EBA")</f>
        <v>0</v>
      </c>
      <c r="AR26" s="2" t="n">
        <f aca="false">COUNTIFS(guidance_agencies!$A$2:$A$81,$A26,guidance_agencies!$D$2:$D$81,"ESMA")</f>
        <v>0</v>
      </c>
      <c r="AS26" s="3" t="n">
        <f aca="false">SUMIFS(secondary_acts!$S$2:$S$771,secondary_acts!$A$2:$A$771,$A26,secondary_acts!$E$2:$E$771,"implementing")+SUMIFS(secondary_acts!$S$2:$S$771,secondary_acts!$A$2:$A$771,$A26,secondary_acts!$E$2:$E$771,"delegated")</f>
        <v>0</v>
      </c>
      <c r="AT26" s="3"/>
      <c r="AU26" s="2"/>
      <c r="AV26" s="2" t="n">
        <v>0</v>
      </c>
      <c r="AW26" s="2"/>
      <c r="AX26" s="2"/>
      <c r="AY26" s="2" t="n">
        <v>2</v>
      </c>
      <c r="AZ26" s="2"/>
      <c r="BA26" s="2" t="s">
        <v>403</v>
      </c>
      <c r="BB26" s="2"/>
      <c r="BC26" s="2"/>
      <c r="BD26" s="2"/>
      <c r="BE26" s="2" t="str">
        <f aca="false">IF(ISNUMBER(BB26),Q26-BB26,"")</f>
        <v/>
      </c>
      <c r="BF26" s="4" t="str">
        <f aca="false">IF(AND(ISNUMBER(BB26),BB26&gt;0),(Q26-BB26)/BB26,"")</f>
        <v/>
      </c>
      <c r="BG26" s="2" t="str">
        <f aca="false">IF(ISNUMBER(BC26),X26-BC26,"")</f>
        <v/>
      </c>
      <c r="BH26" s="4" t="str">
        <f aca="false">IF(AND(ISNUMBER(BC26),BC26&gt;0),(X26-BC26)/BC26,"")</f>
        <v/>
      </c>
      <c r="BI26" s="2" t="str">
        <f aca="false">IF(ISNUMBER(BD26),AD26-BD26,"")</f>
        <v/>
      </c>
      <c r="BJ26" s="2" t="s">
        <v>85</v>
      </c>
      <c r="BK26" s="2" t="s">
        <v>404</v>
      </c>
      <c r="BL26" s="2" t="s">
        <v>405</v>
      </c>
      <c r="BM26" s="2" t="n">
        <v>3</v>
      </c>
      <c r="BN26" s="2" t="n">
        <v>1</v>
      </c>
      <c r="BO26" s="2" t="n">
        <v>1</v>
      </c>
      <c r="BP26" s="2" t="n">
        <v>0</v>
      </c>
      <c r="BQ26" s="2" t="s">
        <v>406</v>
      </c>
    </row>
    <row r="27" customFormat="false" ht="15" hidden="false" customHeight="false" outlineLevel="0" collapsed="false">
      <c r="A27" s="2" t="n">
        <v>26</v>
      </c>
      <c r="B27" s="2" t="s">
        <v>407</v>
      </c>
      <c r="C27" s="2" t="s">
        <v>408</v>
      </c>
      <c r="D27" s="2" t="s">
        <v>121</v>
      </c>
      <c r="E27" s="2" t="s">
        <v>72</v>
      </c>
      <c r="F27" s="2" t="s">
        <v>409</v>
      </c>
      <c r="G27" s="2" t="s">
        <v>163</v>
      </c>
      <c r="H27" s="2" t="s">
        <v>410</v>
      </c>
      <c r="I27" s="2" t="s">
        <v>411</v>
      </c>
      <c r="J27" s="2" t="s">
        <v>412</v>
      </c>
      <c r="K27" s="2" t="s">
        <v>77</v>
      </c>
      <c r="L27" s="2" t="s">
        <v>77</v>
      </c>
      <c r="M27" s="2" t="s">
        <v>413</v>
      </c>
      <c r="N27" s="2" t="s">
        <v>79</v>
      </c>
      <c r="O27" s="2" t="s">
        <v>414</v>
      </c>
      <c r="P27" s="3" t="n">
        <v>18</v>
      </c>
      <c r="Q27" s="3" t="n">
        <v>9919</v>
      </c>
      <c r="R27" s="3" t="n">
        <v>5447</v>
      </c>
      <c r="S27" s="3" t="n">
        <v>5326</v>
      </c>
      <c r="T27" s="3" t="n">
        <v>4472</v>
      </c>
      <c r="U27" s="3" t="n">
        <v>0</v>
      </c>
      <c r="V27" s="3" t="n">
        <v>0</v>
      </c>
      <c r="W27" s="3" t="n">
        <v>0</v>
      </c>
      <c r="X27" s="3" t="n">
        <v>60</v>
      </c>
      <c r="Y27" s="3" t="n">
        <v>38</v>
      </c>
      <c r="Z27" s="3" t="n">
        <v>5</v>
      </c>
      <c r="AA27" s="3" t="n">
        <v>0</v>
      </c>
      <c r="AB27" s="3" t="n">
        <v>1</v>
      </c>
      <c r="AC27" s="3" t="n">
        <v>16</v>
      </c>
      <c r="AD27" s="3" t="n">
        <v>4</v>
      </c>
      <c r="AE27" s="3" t="n">
        <v>38</v>
      </c>
      <c r="AF27" s="3" t="n">
        <v>4</v>
      </c>
      <c r="AG27" s="3" t="n">
        <v>14</v>
      </c>
      <c r="AH27" s="2" t="s">
        <v>415</v>
      </c>
      <c r="AI27" s="3" t="n">
        <v>60</v>
      </c>
      <c r="AJ27" s="2" t="n">
        <v>4</v>
      </c>
      <c r="AK27" s="2" t="n">
        <f aca="false">COUNTIFS(secondary_acts!$A$2:$A$771,$A27,secondary_acts!$E$2:$E$771,"implementing")</f>
        <v>0</v>
      </c>
      <c r="AL27" s="2" t="n">
        <f aca="false">COUNTIFS(secondary_acts!$A$2:$A$771,$A27,secondary_acts!$E$2:$E$771,"delegated")</f>
        <v>0</v>
      </c>
      <c r="AM27" s="2" t="n">
        <f aca="false">COUNTIFS(secondary_acts!$A$2:$A$771,$A27,secondary_acts!$E$2:$E$771,"other Commission/Council act")</f>
        <v>0</v>
      </c>
      <c r="AN27" s="2" t="n">
        <f aca="false">COUNTIFS(secondary_acts!$A$2:$A$771,$A27,secondary_acts!$E$2:$E$771,"guidance")</f>
        <v>0</v>
      </c>
      <c r="AO27" s="2" t="n">
        <f aca="false">COUNTIF(guidance_web!$A$2:$A$7,$A27)</f>
        <v>0</v>
      </c>
      <c r="AP27" s="2" t="n">
        <f aca="false">COUNTIFS(guidance_agencies!$A$2:$A$81,$A27,guidance_agencies!$D$2:$D$81,"EDPB")</f>
        <v>0</v>
      </c>
      <c r="AQ27" s="2" t="n">
        <f aca="false">COUNTIFS(guidance_agencies!$A$2:$A$81,$A27,guidance_agencies!$D$2:$D$81,"EBA")</f>
        <v>0</v>
      </c>
      <c r="AR27" s="2" t="n">
        <f aca="false">COUNTIFS(guidance_agencies!$A$2:$A$81,$A27,guidance_agencies!$D$2:$D$81,"ESMA")</f>
        <v>0</v>
      </c>
      <c r="AS27" s="3" t="n">
        <f aca="false">SUMIFS(secondary_acts!$S$2:$S$771,secondary_acts!$A$2:$A$771,$A27,secondary_acts!$E$2:$E$771,"implementing")+SUMIFS(secondary_acts!$S$2:$S$771,secondary_acts!$A$2:$A$771,$A27,secondary_acts!$E$2:$E$771,"delegated")</f>
        <v>0</v>
      </c>
      <c r="AT27" s="3" t="n">
        <v>1446</v>
      </c>
      <c r="AU27" s="2" t="n">
        <v>28</v>
      </c>
      <c r="AV27" s="2" t="n">
        <v>0</v>
      </c>
      <c r="AW27" s="2"/>
      <c r="AX27" s="2"/>
      <c r="AY27" s="2" t="n">
        <v>1</v>
      </c>
      <c r="AZ27" s="2" t="s">
        <v>416</v>
      </c>
      <c r="BA27" s="2" t="s">
        <v>157</v>
      </c>
      <c r="BB27" s="2" t="n">
        <v>7646</v>
      </c>
      <c r="BC27" s="2" t="n">
        <v>53</v>
      </c>
      <c r="BD27" s="2" t="n">
        <v>1</v>
      </c>
      <c r="BE27" s="2" t="n">
        <f aca="false">IF(ISNUMBER(BB27),Q27-BB27,"")</f>
        <v>2273</v>
      </c>
      <c r="BF27" s="4" t="n">
        <f aca="false">IF(AND(ISNUMBER(BB27),BB27&gt;0),(Q27-BB27)/BB27,"")</f>
        <v>0.297279623332461</v>
      </c>
      <c r="BG27" s="2" t="n">
        <f aca="false">IF(ISNUMBER(BC27),X27-BC27,"")</f>
        <v>7</v>
      </c>
      <c r="BH27" s="4" t="n">
        <f aca="false">IF(AND(ISNUMBER(BC27),BC27&gt;0),(X27-BC27)/BC27,"")</f>
        <v>0.132075471698113</v>
      </c>
      <c r="BI27" s="2" t="n">
        <f aca="false">IF(ISNUMBER(BD27),AD27-BD27,"")</f>
        <v>3</v>
      </c>
      <c r="BJ27" s="2" t="s">
        <v>85</v>
      </c>
      <c r="BK27" s="2" t="s">
        <v>417</v>
      </c>
      <c r="BL27" s="2" t="s">
        <v>418</v>
      </c>
      <c r="BM27" s="2" t="n">
        <v>3</v>
      </c>
      <c r="BN27" s="2" t="n">
        <v>1</v>
      </c>
      <c r="BO27" s="2" t="n">
        <v>1</v>
      </c>
      <c r="BP27" s="2" t="n">
        <v>0</v>
      </c>
      <c r="BQ27" s="2" t="s">
        <v>118</v>
      </c>
    </row>
    <row r="28" customFormat="false" ht="15" hidden="false" customHeight="false" outlineLevel="0" collapsed="false">
      <c r="A28" s="2" t="n">
        <v>27</v>
      </c>
      <c r="B28" s="2" t="s">
        <v>419</v>
      </c>
      <c r="C28" s="2" t="s">
        <v>420</v>
      </c>
      <c r="D28" s="2" t="s">
        <v>90</v>
      </c>
      <c r="E28" s="2" t="s">
        <v>72</v>
      </c>
      <c r="F28" s="2" t="s">
        <v>421</v>
      </c>
      <c r="G28" s="2" t="s">
        <v>163</v>
      </c>
      <c r="H28" s="2" t="s">
        <v>422</v>
      </c>
      <c r="I28" s="2" t="s">
        <v>423</v>
      </c>
      <c r="J28" s="2" t="s">
        <v>424</v>
      </c>
      <c r="K28" s="2" t="s">
        <v>77</v>
      </c>
      <c r="L28" s="2" t="s">
        <v>77</v>
      </c>
      <c r="M28" s="2" t="s">
        <v>425</v>
      </c>
      <c r="N28" s="2" t="s">
        <v>79</v>
      </c>
      <c r="O28" s="2" t="s">
        <v>426</v>
      </c>
      <c r="P28" s="3" t="n">
        <v>27</v>
      </c>
      <c r="Q28" s="3" t="n">
        <v>18391</v>
      </c>
      <c r="R28" s="3" t="n">
        <v>12610</v>
      </c>
      <c r="S28" s="3" t="n">
        <v>12493</v>
      </c>
      <c r="T28" s="3" t="n">
        <v>5781</v>
      </c>
      <c r="U28" s="3" t="n">
        <v>0</v>
      </c>
      <c r="V28" s="3" t="n">
        <v>0</v>
      </c>
      <c r="W28" s="3" t="n">
        <v>0</v>
      </c>
      <c r="X28" s="3" t="n">
        <v>51</v>
      </c>
      <c r="Y28" s="3" t="n">
        <v>41</v>
      </c>
      <c r="Z28" s="3" t="n">
        <v>4</v>
      </c>
      <c r="AA28" s="3" t="n">
        <v>0</v>
      </c>
      <c r="AB28" s="3" t="n">
        <v>1</v>
      </c>
      <c r="AC28" s="3" t="n">
        <v>5</v>
      </c>
      <c r="AD28" s="3" t="n">
        <v>21</v>
      </c>
      <c r="AE28" s="3" t="n">
        <v>12</v>
      </c>
      <c r="AF28" s="3" t="n">
        <v>1</v>
      </c>
      <c r="AG28" s="3" t="n">
        <v>17</v>
      </c>
      <c r="AH28" s="2" t="s">
        <v>427</v>
      </c>
      <c r="AI28" s="3" t="n">
        <v>51</v>
      </c>
      <c r="AJ28" s="2" t="n">
        <v>21</v>
      </c>
      <c r="AK28" s="2" t="n">
        <f aca="false">COUNTIFS(secondary_acts!$A$2:$A$771,$A28,secondary_acts!$E$2:$E$771,"implementing")</f>
        <v>0</v>
      </c>
      <c r="AL28" s="2" t="n">
        <f aca="false">COUNTIFS(secondary_acts!$A$2:$A$771,$A28,secondary_acts!$E$2:$E$771,"delegated")</f>
        <v>0</v>
      </c>
      <c r="AM28" s="2" t="n">
        <f aca="false">COUNTIFS(secondary_acts!$A$2:$A$771,$A28,secondary_acts!$E$2:$E$771,"other Commission/Council act")</f>
        <v>0</v>
      </c>
      <c r="AN28" s="2" t="n">
        <f aca="false">COUNTIFS(secondary_acts!$A$2:$A$771,$A28,secondary_acts!$E$2:$E$771,"guidance")</f>
        <v>0</v>
      </c>
      <c r="AO28" s="2" t="n">
        <f aca="false">COUNTIF(guidance_web!$A$2:$A$7,$A28)</f>
        <v>0</v>
      </c>
      <c r="AP28" s="2" t="n">
        <f aca="false">COUNTIFS(guidance_agencies!$A$2:$A$81,$A28,guidance_agencies!$D$2:$D$81,"EDPB")</f>
        <v>0</v>
      </c>
      <c r="AQ28" s="2" t="n">
        <f aca="false">COUNTIFS(guidance_agencies!$A$2:$A$81,$A28,guidance_agencies!$D$2:$D$81,"EBA")</f>
        <v>0</v>
      </c>
      <c r="AR28" s="2" t="n">
        <f aca="false">COUNTIFS(guidance_agencies!$A$2:$A$81,$A28,guidance_agencies!$D$2:$D$81,"ESMA")</f>
        <v>0</v>
      </c>
      <c r="AS28" s="3" t="n">
        <f aca="false">SUMIFS(secondary_acts!$S$2:$S$771,secondary_acts!$A$2:$A$771,$A28,secondary_acts!$E$2:$E$771,"implementing")+SUMIFS(secondary_acts!$S$2:$S$771,secondary_acts!$A$2:$A$771,$A28,secondary_acts!$E$2:$E$771,"delegated")</f>
        <v>0</v>
      </c>
      <c r="AT28" s="3" t="n">
        <v>1331</v>
      </c>
      <c r="AU28" s="2" t="n">
        <v>27</v>
      </c>
      <c r="AV28" s="2" t="n">
        <v>0</v>
      </c>
      <c r="AW28" s="2"/>
      <c r="AX28" s="2"/>
      <c r="AY28" s="2" t="n">
        <v>4</v>
      </c>
      <c r="AZ28" s="2" t="s">
        <v>428</v>
      </c>
      <c r="BA28" s="2" t="s">
        <v>157</v>
      </c>
      <c r="BB28" s="2" t="n">
        <v>9777</v>
      </c>
      <c r="BC28" s="2" t="n">
        <v>50</v>
      </c>
      <c r="BD28" s="2" t="n">
        <v>21</v>
      </c>
      <c r="BE28" s="2" t="n">
        <f aca="false">IF(ISNUMBER(BB28),Q28-BB28,"")</f>
        <v>8614</v>
      </c>
      <c r="BF28" s="4" t="n">
        <f aca="false">IF(AND(ISNUMBER(BB28),BB28&gt;0),(Q28-BB28)/BB28,"")</f>
        <v>0.881047356039685</v>
      </c>
      <c r="BG28" s="2" t="n">
        <f aca="false">IF(ISNUMBER(BC28),X28-BC28,"")</f>
        <v>1</v>
      </c>
      <c r="BH28" s="4" t="n">
        <f aca="false">IF(AND(ISNUMBER(BC28),BC28&gt;0),(X28-BC28)/BC28,"")</f>
        <v>0.02</v>
      </c>
      <c r="BI28" s="2" t="n">
        <f aca="false">IF(ISNUMBER(BD28),AD28-BD28,"")</f>
        <v>0</v>
      </c>
      <c r="BJ28" s="2" t="s">
        <v>429</v>
      </c>
      <c r="BK28" s="2" t="s">
        <v>430</v>
      </c>
      <c r="BL28" s="2" t="s">
        <v>431</v>
      </c>
      <c r="BM28" s="2" t="n">
        <v>4</v>
      </c>
      <c r="BN28" s="2" t="n">
        <v>0</v>
      </c>
      <c r="BO28" s="2" t="n">
        <v>1</v>
      </c>
      <c r="BP28" s="2" t="n">
        <v>0</v>
      </c>
      <c r="BQ28" s="2" t="s">
        <v>118</v>
      </c>
    </row>
    <row r="29" customFormat="false" ht="15" hidden="false" customHeight="false" outlineLevel="0" collapsed="false">
      <c r="A29" s="2" t="n">
        <v>28</v>
      </c>
      <c r="B29" s="2" t="s">
        <v>432</v>
      </c>
      <c r="C29" s="2" t="s">
        <v>433</v>
      </c>
      <c r="D29" s="2" t="s">
        <v>90</v>
      </c>
      <c r="E29" s="2" t="s">
        <v>72</v>
      </c>
      <c r="F29" s="2" t="s">
        <v>421</v>
      </c>
      <c r="G29" s="2" t="s">
        <v>163</v>
      </c>
      <c r="H29" s="2" t="s">
        <v>422</v>
      </c>
      <c r="I29" s="2" t="s">
        <v>423</v>
      </c>
      <c r="J29" s="2" t="s">
        <v>424</v>
      </c>
      <c r="K29" s="2" t="s">
        <v>77</v>
      </c>
      <c r="L29" s="2" t="s">
        <v>77</v>
      </c>
      <c r="M29" s="2" t="s">
        <v>434</v>
      </c>
      <c r="N29" s="2" t="s">
        <v>79</v>
      </c>
      <c r="O29" s="2" t="s">
        <v>435</v>
      </c>
      <c r="P29" s="3" t="n">
        <v>23</v>
      </c>
      <c r="Q29" s="3" t="n">
        <v>14331</v>
      </c>
      <c r="R29" s="3" t="n">
        <v>9215</v>
      </c>
      <c r="S29" s="3" t="n">
        <v>9086</v>
      </c>
      <c r="T29" s="3" t="n">
        <v>4770</v>
      </c>
      <c r="U29" s="3" t="n">
        <v>346</v>
      </c>
      <c r="V29" s="3" t="n">
        <v>0</v>
      </c>
      <c r="W29" s="3" t="n">
        <v>0</v>
      </c>
      <c r="X29" s="3" t="n">
        <v>42</v>
      </c>
      <c r="Y29" s="3" t="n">
        <v>31</v>
      </c>
      <c r="Z29" s="3" t="n">
        <v>4</v>
      </c>
      <c r="AA29" s="3" t="n">
        <v>1</v>
      </c>
      <c r="AB29" s="3" t="n">
        <v>1</v>
      </c>
      <c r="AC29" s="3" t="n">
        <v>5</v>
      </c>
      <c r="AD29" s="3" t="n">
        <v>11</v>
      </c>
      <c r="AE29" s="3" t="n">
        <v>12</v>
      </c>
      <c r="AF29" s="3" t="n">
        <v>1</v>
      </c>
      <c r="AG29" s="3" t="n">
        <v>18</v>
      </c>
      <c r="AH29" s="2" t="s">
        <v>436</v>
      </c>
      <c r="AI29" s="3" t="n">
        <v>44</v>
      </c>
      <c r="AJ29" s="2" t="n">
        <v>12</v>
      </c>
      <c r="AK29" s="2" t="n">
        <f aca="false">COUNTIFS(secondary_acts!$A$2:$A$771,$A29,secondary_acts!$E$2:$E$771,"implementing")</f>
        <v>0</v>
      </c>
      <c r="AL29" s="2" t="n">
        <f aca="false">COUNTIFS(secondary_acts!$A$2:$A$771,$A29,secondary_acts!$E$2:$E$771,"delegated")</f>
        <v>0</v>
      </c>
      <c r="AM29" s="2" t="n">
        <f aca="false">COUNTIFS(secondary_acts!$A$2:$A$771,$A29,secondary_acts!$E$2:$E$771,"other Commission/Council act")</f>
        <v>0</v>
      </c>
      <c r="AN29" s="2" t="n">
        <f aca="false">COUNTIFS(secondary_acts!$A$2:$A$771,$A29,secondary_acts!$E$2:$E$771,"guidance")</f>
        <v>0</v>
      </c>
      <c r="AO29" s="2" t="n">
        <f aca="false">COUNTIF(guidance_web!$A$2:$A$7,$A29)</f>
        <v>0</v>
      </c>
      <c r="AP29" s="2" t="n">
        <f aca="false">COUNTIFS(guidance_agencies!$A$2:$A$81,$A29,guidance_agencies!$D$2:$D$81,"EDPB")</f>
        <v>0</v>
      </c>
      <c r="AQ29" s="2" t="n">
        <f aca="false">COUNTIFS(guidance_agencies!$A$2:$A$81,$A29,guidance_agencies!$D$2:$D$81,"EBA")</f>
        <v>0</v>
      </c>
      <c r="AR29" s="2" t="n">
        <f aca="false">COUNTIFS(guidance_agencies!$A$2:$A$81,$A29,guidance_agencies!$D$2:$D$81,"ESMA")</f>
        <v>0</v>
      </c>
      <c r="AS29" s="3" t="n">
        <f aca="false">SUMIFS(secondary_acts!$S$2:$S$771,secondary_acts!$A$2:$A$771,$A29,secondary_acts!$E$2:$E$771,"implementing")+SUMIFS(secondary_acts!$S$2:$S$771,secondary_acts!$A$2:$A$771,$A29,secondary_acts!$E$2:$E$771,"delegated")</f>
        <v>0</v>
      </c>
      <c r="AT29" s="3" t="n">
        <v>1291</v>
      </c>
      <c r="AU29" s="2" t="n">
        <v>27</v>
      </c>
      <c r="AV29" s="2" t="n">
        <v>1</v>
      </c>
      <c r="AW29" s="2" t="s">
        <v>437</v>
      </c>
      <c r="AX29" s="2" t="s">
        <v>437</v>
      </c>
      <c r="AY29" s="2" t="n">
        <v>3</v>
      </c>
      <c r="AZ29" s="2" t="s">
        <v>438</v>
      </c>
      <c r="BA29" s="2" t="s">
        <v>157</v>
      </c>
      <c r="BB29" s="2" t="n">
        <v>6775</v>
      </c>
      <c r="BC29" s="2" t="n">
        <v>30</v>
      </c>
      <c r="BD29" s="2" t="n">
        <v>13</v>
      </c>
      <c r="BE29" s="2" t="n">
        <f aca="false">IF(ISNUMBER(BB29),Q29-BB29,"")</f>
        <v>7556</v>
      </c>
      <c r="BF29" s="4" t="n">
        <f aca="false">IF(AND(ISNUMBER(BB29),BB29&gt;0),(Q29-BB29)/BB29,"")</f>
        <v>1.11527675276753</v>
      </c>
      <c r="BG29" s="2" t="n">
        <f aca="false">IF(ISNUMBER(BC29),X29-BC29,"")</f>
        <v>12</v>
      </c>
      <c r="BH29" s="4" t="n">
        <f aca="false">IF(AND(ISNUMBER(BC29),BC29&gt;0),(X29-BC29)/BC29,"")</f>
        <v>0.4</v>
      </c>
      <c r="BI29" s="2" t="n">
        <f aca="false">IF(ISNUMBER(BD29),AD29-BD29,"")</f>
        <v>-2</v>
      </c>
      <c r="BJ29" s="2" t="s">
        <v>429</v>
      </c>
      <c r="BK29" s="2" t="s">
        <v>430</v>
      </c>
      <c r="BL29" s="2" t="s">
        <v>439</v>
      </c>
      <c r="BM29" s="2" t="n">
        <v>5</v>
      </c>
      <c r="BN29" s="2" t="n">
        <v>1</v>
      </c>
      <c r="BO29" s="2" t="n">
        <v>0</v>
      </c>
      <c r="BP29" s="2" t="n">
        <v>0</v>
      </c>
      <c r="BQ29" s="2"/>
    </row>
    <row r="30" customFormat="false" ht="15" hidden="false" customHeight="false" outlineLevel="0" collapsed="false">
      <c r="A30" s="2" t="n">
        <v>29</v>
      </c>
      <c r="B30" s="2" t="s">
        <v>440</v>
      </c>
      <c r="C30" s="2" t="s">
        <v>441</v>
      </c>
      <c r="D30" s="2" t="s">
        <v>215</v>
      </c>
      <c r="E30" s="2" t="s">
        <v>72</v>
      </c>
      <c r="F30" s="2" t="s">
        <v>442</v>
      </c>
      <c r="G30" s="2" t="s">
        <v>92</v>
      </c>
      <c r="H30" s="2" t="s">
        <v>443</v>
      </c>
      <c r="I30" s="2" t="s">
        <v>444</v>
      </c>
      <c r="J30" s="2" t="s">
        <v>445</v>
      </c>
      <c r="K30" s="2" t="s">
        <v>77</v>
      </c>
      <c r="L30" s="2" t="s">
        <v>77</v>
      </c>
      <c r="M30" s="2" t="s">
        <v>446</v>
      </c>
      <c r="N30" s="2" t="s">
        <v>79</v>
      </c>
      <c r="O30" s="2" t="s">
        <v>447</v>
      </c>
      <c r="P30" s="3" t="n">
        <v>82</v>
      </c>
      <c r="Q30" s="3" t="n">
        <v>39977</v>
      </c>
      <c r="R30" s="3" t="n">
        <v>5821</v>
      </c>
      <c r="S30" s="3" t="n">
        <v>5409</v>
      </c>
      <c r="T30" s="3" t="n">
        <v>32119</v>
      </c>
      <c r="U30" s="3" t="n">
        <v>2037</v>
      </c>
      <c r="V30" s="3" t="n">
        <v>0</v>
      </c>
      <c r="W30" s="3" t="n">
        <v>0</v>
      </c>
      <c r="X30" s="3" t="n">
        <v>436</v>
      </c>
      <c r="Y30" s="3" t="n">
        <v>314</v>
      </c>
      <c r="Z30" s="3" t="n">
        <v>78</v>
      </c>
      <c r="AA30" s="3" t="n">
        <v>16</v>
      </c>
      <c r="AB30" s="3" t="n">
        <v>8</v>
      </c>
      <c r="AC30" s="3" t="n">
        <v>20</v>
      </c>
      <c r="AD30" s="3" t="n">
        <v>116</v>
      </c>
      <c r="AE30" s="3" t="n">
        <v>132</v>
      </c>
      <c r="AF30" s="3" t="n">
        <v>22</v>
      </c>
      <c r="AG30" s="3" t="n">
        <v>166</v>
      </c>
      <c r="AH30" s="2" t="s">
        <v>448</v>
      </c>
      <c r="AI30" s="3" t="n">
        <v>777</v>
      </c>
      <c r="AJ30" s="2" t="n">
        <v>156</v>
      </c>
      <c r="AK30" s="2" t="n">
        <f aca="false">COUNTIFS(secondary_acts!$A$2:$A$771,$A30,secondary_acts!$E$2:$E$771,"implementing")</f>
        <v>2</v>
      </c>
      <c r="AL30" s="2" t="n">
        <f aca="false">COUNTIFS(secondary_acts!$A$2:$A$771,$A30,secondary_acts!$E$2:$E$771,"delegated")</f>
        <v>0</v>
      </c>
      <c r="AM30" s="2" t="n">
        <f aca="false">COUNTIFS(secondary_acts!$A$2:$A$771,$A30,secondary_acts!$E$2:$E$771,"other Commission/Council act")</f>
        <v>0</v>
      </c>
      <c r="AN30" s="2" t="n">
        <f aca="false">COUNTIFS(secondary_acts!$A$2:$A$771,$A30,secondary_acts!$E$2:$E$771,"guidance")</f>
        <v>0</v>
      </c>
      <c r="AO30" s="2" t="n">
        <f aca="false">COUNTIF(guidance_web!$A$2:$A$7,$A30)</f>
        <v>0</v>
      </c>
      <c r="AP30" s="2" t="n">
        <f aca="false">COUNTIFS(guidance_agencies!$A$2:$A$81,$A30,guidance_agencies!$D$2:$D$81,"EDPB")</f>
        <v>0</v>
      </c>
      <c r="AQ30" s="2" t="n">
        <f aca="false">COUNTIFS(guidance_agencies!$A$2:$A$81,$A30,guidance_agencies!$D$2:$D$81,"EBA")</f>
        <v>0</v>
      </c>
      <c r="AR30" s="2" t="n">
        <f aca="false">COUNTIFS(guidance_agencies!$A$2:$A$81,$A30,guidance_agencies!$D$2:$D$81,"ESMA")</f>
        <v>0</v>
      </c>
      <c r="AS30" s="3" t="n">
        <f aca="false">SUMIFS(secondary_acts!$S$2:$S$771,secondary_acts!$A$2:$A$771,$A30,secondary_acts!$E$2:$E$771,"implementing")+SUMIFS(secondary_acts!$S$2:$S$771,secondary_acts!$A$2:$A$771,$A30,secondary_acts!$E$2:$E$771,"delegated")</f>
        <v>292</v>
      </c>
      <c r="AT30" s="3" t="n">
        <v>1440</v>
      </c>
      <c r="AU30" s="2" t="n">
        <v>10</v>
      </c>
      <c r="AV30" s="2" t="n">
        <v>6</v>
      </c>
      <c r="AW30" s="2" t="s">
        <v>449</v>
      </c>
      <c r="AX30" s="2" t="s">
        <v>450</v>
      </c>
      <c r="AY30" s="2" t="n">
        <v>3</v>
      </c>
      <c r="AZ30" s="2" t="s">
        <v>451</v>
      </c>
      <c r="BA30" s="2" t="s">
        <v>157</v>
      </c>
      <c r="BB30" s="2" t="n">
        <v>41520</v>
      </c>
      <c r="BC30" s="2" t="n">
        <v>471</v>
      </c>
      <c r="BD30" s="2" t="n">
        <v>123</v>
      </c>
      <c r="BE30" s="2" t="n">
        <f aca="false">IF(ISNUMBER(BB30),Q30-BB30,"")</f>
        <v>-1543</v>
      </c>
      <c r="BF30" s="4" t="n">
        <f aca="false">IF(AND(ISNUMBER(BB30),BB30&gt;0),(Q30-BB30)/BB30,"")</f>
        <v>-0.0371628131021195</v>
      </c>
      <c r="BG30" s="2" t="n">
        <f aca="false">IF(ISNUMBER(BC30),X30-BC30,"")</f>
        <v>-35</v>
      </c>
      <c r="BH30" s="4" t="n">
        <f aca="false">IF(AND(ISNUMBER(BC30),BC30&gt;0),(X30-BC30)/BC30,"")</f>
        <v>-0.0743099787685775</v>
      </c>
      <c r="BI30" s="2" t="n">
        <f aca="false">IF(ISNUMBER(BD30),AD30-BD30,"")</f>
        <v>-7</v>
      </c>
      <c r="BJ30" s="2" t="s">
        <v>429</v>
      </c>
      <c r="BK30" s="2" t="s">
        <v>452</v>
      </c>
      <c r="BL30" s="2" t="s">
        <v>453</v>
      </c>
      <c r="BM30" s="2" t="n">
        <v>3</v>
      </c>
      <c r="BN30" s="2" t="n">
        <v>1</v>
      </c>
      <c r="BO30" s="2" t="n">
        <v>1</v>
      </c>
      <c r="BP30" s="2" t="n">
        <v>0</v>
      </c>
      <c r="BQ30" s="2"/>
    </row>
    <row r="31" customFormat="false" ht="15" hidden="false" customHeight="false" outlineLevel="0" collapsed="false">
      <c r="A31" s="2" t="n">
        <v>30</v>
      </c>
      <c r="B31" s="2" t="s">
        <v>454</v>
      </c>
      <c r="C31" s="2" t="s">
        <v>455</v>
      </c>
      <c r="D31" s="2" t="s">
        <v>90</v>
      </c>
      <c r="E31" s="2" t="s">
        <v>72</v>
      </c>
      <c r="F31" s="2" t="s">
        <v>456</v>
      </c>
      <c r="G31" s="2" t="s">
        <v>163</v>
      </c>
      <c r="H31" s="2" t="s">
        <v>457</v>
      </c>
      <c r="I31" s="2" t="s">
        <v>458</v>
      </c>
      <c r="J31" s="2" t="s">
        <v>459</v>
      </c>
      <c r="K31" s="2" t="s">
        <v>77</v>
      </c>
      <c r="L31" s="2" t="s">
        <v>77</v>
      </c>
      <c r="M31" s="2" t="s">
        <v>460</v>
      </c>
      <c r="N31" s="2" t="s">
        <v>79</v>
      </c>
      <c r="O31" s="2" t="s">
        <v>461</v>
      </c>
      <c r="P31" s="3" t="n">
        <v>15</v>
      </c>
      <c r="Q31" s="3" t="n">
        <v>8827</v>
      </c>
      <c r="R31" s="3" t="n">
        <v>6051</v>
      </c>
      <c r="S31" s="3" t="n">
        <v>5908</v>
      </c>
      <c r="T31" s="3" t="n">
        <v>2776</v>
      </c>
      <c r="U31" s="3" t="n">
        <v>0</v>
      </c>
      <c r="V31" s="3" t="n">
        <v>0</v>
      </c>
      <c r="W31" s="3" t="n">
        <v>0</v>
      </c>
      <c r="X31" s="3" t="n">
        <v>24</v>
      </c>
      <c r="Y31" s="3" t="n">
        <v>12</v>
      </c>
      <c r="Z31" s="3" t="n">
        <v>10</v>
      </c>
      <c r="AA31" s="3" t="n">
        <v>0</v>
      </c>
      <c r="AB31" s="3" t="n">
        <v>1</v>
      </c>
      <c r="AC31" s="3" t="n">
        <v>1</v>
      </c>
      <c r="AD31" s="3" t="n">
        <v>6</v>
      </c>
      <c r="AE31" s="3" t="n">
        <v>5</v>
      </c>
      <c r="AF31" s="3" t="n">
        <v>2</v>
      </c>
      <c r="AG31" s="3" t="n">
        <v>11</v>
      </c>
      <c r="AH31" s="2" t="s">
        <v>462</v>
      </c>
      <c r="AI31" s="3" t="n">
        <v>24</v>
      </c>
      <c r="AJ31" s="2" t="n">
        <v>6</v>
      </c>
      <c r="AK31" s="2" t="n">
        <f aca="false">COUNTIFS(secondary_acts!$A$2:$A$771,$A31,secondary_acts!$E$2:$E$771,"implementing")</f>
        <v>0</v>
      </c>
      <c r="AL31" s="2" t="n">
        <f aca="false">COUNTIFS(secondary_acts!$A$2:$A$771,$A31,secondary_acts!$E$2:$E$771,"delegated")</f>
        <v>0</v>
      </c>
      <c r="AM31" s="2" t="n">
        <f aca="false">COUNTIFS(secondary_acts!$A$2:$A$771,$A31,secondary_acts!$E$2:$E$771,"other Commission/Council act")</f>
        <v>0</v>
      </c>
      <c r="AN31" s="2" t="n">
        <f aca="false">COUNTIFS(secondary_acts!$A$2:$A$771,$A31,secondary_acts!$E$2:$E$771,"guidance")</f>
        <v>0</v>
      </c>
      <c r="AO31" s="2" t="n">
        <f aca="false">COUNTIF(guidance_web!$A$2:$A$7,$A31)</f>
        <v>0</v>
      </c>
      <c r="AP31" s="2" t="n">
        <f aca="false">COUNTIFS(guidance_agencies!$A$2:$A$81,$A31,guidance_agencies!$D$2:$D$81,"EDPB")</f>
        <v>0</v>
      </c>
      <c r="AQ31" s="2" t="n">
        <f aca="false">COUNTIFS(guidance_agencies!$A$2:$A$81,$A31,guidance_agencies!$D$2:$D$81,"EBA")</f>
        <v>0</v>
      </c>
      <c r="AR31" s="2" t="n">
        <f aca="false">COUNTIFS(guidance_agencies!$A$2:$A$81,$A31,guidance_agencies!$D$2:$D$81,"ESMA")</f>
        <v>0</v>
      </c>
      <c r="AS31" s="3" t="n">
        <f aca="false">SUMIFS(secondary_acts!$S$2:$S$771,secondary_acts!$A$2:$A$771,$A31,secondary_acts!$E$2:$E$771,"implementing")+SUMIFS(secondary_acts!$S$2:$S$771,secondary_acts!$A$2:$A$771,$A31,secondary_acts!$E$2:$E$771,"delegated")</f>
        <v>0</v>
      </c>
      <c r="AT31" s="3"/>
      <c r="AU31" s="2"/>
      <c r="AV31" s="2" t="n">
        <v>0</v>
      </c>
      <c r="AW31" s="2"/>
      <c r="AX31" s="2"/>
      <c r="AY31" s="2" t="n">
        <v>3</v>
      </c>
      <c r="AZ31" s="2" t="s">
        <v>463</v>
      </c>
      <c r="BA31" s="2" t="s">
        <v>157</v>
      </c>
      <c r="BB31" s="2" t="n">
        <v>6093</v>
      </c>
      <c r="BC31" s="2" t="n">
        <v>21</v>
      </c>
      <c r="BD31" s="2" t="n">
        <v>5</v>
      </c>
      <c r="BE31" s="2" t="n">
        <f aca="false">IF(ISNUMBER(BB31),Q31-BB31,"")</f>
        <v>2734</v>
      </c>
      <c r="BF31" s="4" t="n">
        <f aca="false">IF(AND(ISNUMBER(BB31),BB31&gt;0),(Q31-BB31)/BB31,"")</f>
        <v>0.448711636303955</v>
      </c>
      <c r="BG31" s="2" t="n">
        <f aca="false">IF(ISNUMBER(BC31),X31-BC31,"")</f>
        <v>3</v>
      </c>
      <c r="BH31" s="4" t="n">
        <f aca="false">IF(AND(ISNUMBER(BC31),BC31&gt;0),(X31-BC31)/BC31,"")</f>
        <v>0.142857142857143</v>
      </c>
      <c r="BI31" s="2" t="n">
        <f aca="false">IF(ISNUMBER(BD31),AD31-BD31,"")</f>
        <v>1</v>
      </c>
      <c r="BJ31" s="2" t="s">
        <v>199</v>
      </c>
      <c r="BK31" s="2" t="s">
        <v>464</v>
      </c>
      <c r="BL31" s="2" t="s">
        <v>465</v>
      </c>
      <c r="BM31" s="2" t="n">
        <v>4</v>
      </c>
      <c r="BN31" s="2" t="n">
        <v>3</v>
      </c>
      <c r="BO31" s="2" t="n">
        <v>5</v>
      </c>
      <c r="BP31" s="2" t="n">
        <v>0</v>
      </c>
      <c r="BQ31" s="2" t="s">
        <v>118</v>
      </c>
    </row>
    <row r="32" customFormat="false" ht="15" hidden="false" customHeight="false" outlineLevel="0" collapsed="false">
      <c r="A32" s="2" t="n">
        <v>31</v>
      </c>
      <c r="B32" s="2" t="s">
        <v>466</v>
      </c>
      <c r="C32" s="2" t="s">
        <v>467</v>
      </c>
      <c r="D32" s="2" t="s">
        <v>90</v>
      </c>
      <c r="E32" s="2" t="s">
        <v>72</v>
      </c>
      <c r="F32" s="2" t="s">
        <v>456</v>
      </c>
      <c r="G32" s="2" t="s">
        <v>163</v>
      </c>
      <c r="H32" s="2" t="s">
        <v>468</v>
      </c>
      <c r="I32" s="2" t="s">
        <v>469</v>
      </c>
      <c r="J32" s="2" t="s">
        <v>470</v>
      </c>
      <c r="K32" s="2" t="s">
        <v>77</v>
      </c>
      <c r="L32" s="2" t="s">
        <v>77</v>
      </c>
      <c r="M32" s="2" t="s">
        <v>471</v>
      </c>
      <c r="N32" s="2" t="s">
        <v>79</v>
      </c>
      <c r="O32" s="2" t="s">
        <v>472</v>
      </c>
      <c r="P32" s="3" t="n">
        <v>26</v>
      </c>
      <c r="Q32" s="3" t="n">
        <v>15509</v>
      </c>
      <c r="R32" s="3" t="n">
        <v>5040</v>
      </c>
      <c r="S32" s="3" t="n">
        <v>4917</v>
      </c>
      <c r="T32" s="3" t="n">
        <v>9233</v>
      </c>
      <c r="U32" s="3" t="n">
        <v>1236</v>
      </c>
      <c r="V32" s="3" t="n">
        <v>0</v>
      </c>
      <c r="W32" s="3" t="n">
        <v>0</v>
      </c>
      <c r="X32" s="3" t="n">
        <v>151</v>
      </c>
      <c r="Y32" s="3" t="n">
        <v>135</v>
      </c>
      <c r="Z32" s="3" t="n">
        <v>5</v>
      </c>
      <c r="AA32" s="3" t="n">
        <v>3</v>
      </c>
      <c r="AB32" s="3" t="n">
        <v>0</v>
      </c>
      <c r="AC32" s="3" t="n">
        <v>8</v>
      </c>
      <c r="AD32" s="3" t="n">
        <v>7</v>
      </c>
      <c r="AE32" s="3" t="n">
        <v>83</v>
      </c>
      <c r="AF32" s="3" t="n">
        <v>32</v>
      </c>
      <c r="AG32" s="3" t="n">
        <v>29</v>
      </c>
      <c r="AH32" s="2" t="s">
        <v>473</v>
      </c>
      <c r="AI32" s="3" t="n">
        <v>151</v>
      </c>
      <c r="AJ32" s="2" t="n">
        <v>7</v>
      </c>
      <c r="AK32" s="2" t="n">
        <f aca="false">COUNTIFS(secondary_acts!$A$2:$A$771,$A32,secondary_acts!$E$2:$E$771,"implementing")</f>
        <v>1</v>
      </c>
      <c r="AL32" s="2" t="n">
        <f aca="false">COUNTIFS(secondary_acts!$A$2:$A$771,$A32,secondary_acts!$E$2:$E$771,"delegated")</f>
        <v>0</v>
      </c>
      <c r="AM32" s="2" t="n">
        <f aca="false">COUNTIFS(secondary_acts!$A$2:$A$771,$A32,secondary_acts!$E$2:$E$771,"other Commission/Council act")</f>
        <v>0</v>
      </c>
      <c r="AN32" s="2" t="n">
        <f aca="false">COUNTIFS(secondary_acts!$A$2:$A$771,$A32,secondary_acts!$E$2:$E$771,"guidance")</f>
        <v>0</v>
      </c>
      <c r="AO32" s="2" t="n">
        <f aca="false">COUNTIF(guidance_web!$A$2:$A$7,$A32)</f>
        <v>0</v>
      </c>
      <c r="AP32" s="2" t="n">
        <f aca="false">COUNTIFS(guidance_agencies!$A$2:$A$81,$A32,guidance_agencies!$D$2:$D$81,"EDPB")</f>
        <v>0</v>
      </c>
      <c r="AQ32" s="2" t="n">
        <f aca="false">COUNTIFS(guidance_agencies!$A$2:$A$81,$A32,guidance_agencies!$D$2:$D$81,"EBA")</f>
        <v>0</v>
      </c>
      <c r="AR32" s="2" t="n">
        <f aca="false">COUNTIFS(guidance_agencies!$A$2:$A$81,$A32,guidance_agencies!$D$2:$D$81,"ESMA")</f>
        <v>0</v>
      </c>
      <c r="AS32" s="3" t="n">
        <f aca="false">SUMIFS(secondary_acts!$S$2:$S$771,secondary_acts!$A$2:$A$771,$A32,secondary_acts!$E$2:$E$771,"implementing")+SUMIFS(secondary_acts!$S$2:$S$771,secondary_acts!$A$2:$A$771,$A32,secondary_acts!$E$2:$E$771,"delegated")</f>
        <v>4</v>
      </c>
      <c r="AT32" s="3"/>
      <c r="AU32" s="2"/>
      <c r="AV32" s="2" t="n">
        <v>6</v>
      </c>
      <c r="AW32" s="2" t="s">
        <v>457</v>
      </c>
      <c r="AX32" s="2" t="s">
        <v>450</v>
      </c>
      <c r="AY32" s="2" t="n">
        <v>0</v>
      </c>
      <c r="AZ32" s="2" t="s">
        <v>474</v>
      </c>
      <c r="BA32" s="2" t="s">
        <v>157</v>
      </c>
      <c r="BB32" s="2" t="n">
        <v>14223</v>
      </c>
      <c r="BC32" s="2" t="n">
        <v>179</v>
      </c>
      <c r="BD32" s="2" t="n">
        <v>6</v>
      </c>
      <c r="BE32" s="2" t="n">
        <f aca="false">IF(ISNUMBER(BB32),Q32-BB32,"")</f>
        <v>1286</v>
      </c>
      <c r="BF32" s="4" t="n">
        <f aca="false">IF(AND(ISNUMBER(BB32),BB32&gt;0),(Q32-BB32)/BB32,"")</f>
        <v>0.0904169303241229</v>
      </c>
      <c r="BG32" s="2" t="n">
        <f aca="false">IF(ISNUMBER(BC32),X32-BC32,"")</f>
        <v>-28</v>
      </c>
      <c r="BH32" s="4" t="n">
        <f aca="false">IF(AND(ISNUMBER(BC32),BC32&gt;0),(X32-BC32)/BC32,"")</f>
        <v>-0.156424581005587</v>
      </c>
      <c r="BI32" s="2" t="n">
        <f aca="false">IF(ISNUMBER(BD32),AD32-BD32,"")</f>
        <v>1</v>
      </c>
      <c r="BJ32" s="2" t="s">
        <v>85</v>
      </c>
      <c r="BK32" s="2" t="s">
        <v>475</v>
      </c>
      <c r="BL32" s="2" t="s">
        <v>476</v>
      </c>
      <c r="BM32" s="2" t="n">
        <v>4</v>
      </c>
      <c r="BN32" s="2" t="n">
        <v>3</v>
      </c>
      <c r="BO32" s="2" t="n">
        <v>1</v>
      </c>
      <c r="BP32" s="2" t="n">
        <v>0</v>
      </c>
      <c r="BQ32" s="2"/>
    </row>
    <row r="33" customFormat="false" ht="15" hidden="false" customHeight="false" outlineLevel="0" collapsed="false">
      <c r="A33" s="2" t="n">
        <v>32</v>
      </c>
      <c r="B33" s="2" t="s">
        <v>477</v>
      </c>
      <c r="C33" s="2" t="s">
        <v>478</v>
      </c>
      <c r="D33" s="2" t="s">
        <v>71</v>
      </c>
      <c r="E33" s="2" t="s">
        <v>72</v>
      </c>
      <c r="F33" s="2" t="s">
        <v>479</v>
      </c>
      <c r="G33" s="2" t="s">
        <v>163</v>
      </c>
      <c r="H33" s="2" t="s">
        <v>389</v>
      </c>
      <c r="I33" s="2" t="s">
        <v>480</v>
      </c>
      <c r="J33" s="2" t="s">
        <v>481</v>
      </c>
      <c r="K33" s="2" t="s">
        <v>77</v>
      </c>
      <c r="L33" s="2" t="s">
        <v>77</v>
      </c>
      <c r="M33" s="2" t="s">
        <v>482</v>
      </c>
      <c r="N33" s="2" t="s">
        <v>79</v>
      </c>
      <c r="O33" s="2" t="s">
        <v>483</v>
      </c>
      <c r="P33" s="3" t="n">
        <v>179</v>
      </c>
      <c r="Q33" s="3" t="n">
        <v>97406</v>
      </c>
      <c r="R33" s="3" t="n">
        <v>42601</v>
      </c>
      <c r="S33" s="3" t="n">
        <v>42479</v>
      </c>
      <c r="T33" s="3" t="n">
        <v>46896</v>
      </c>
      <c r="U33" s="3" t="n">
        <v>7909</v>
      </c>
      <c r="V33" s="3" t="n">
        <v>0</v>
      </c>
      <c r="W33" s="3" t="n">
        <v>0</v>
      </c>
      <c r="X33" s="3" t="n">
        <v>835</v>
      </c>
      <c r="Y33" s="3" t="n">
        <v>630</v>
      </c>
      <c r="Z33" s="3" t="n">
        <v>53</v>
      </c>
      <c r="AA33" s="3" t="n">
        <v>6</v>
      </c>
      <c r="AB33" s="3" t="n">
        <v>8</v>
      </c>
      <c r="AC33" s="3" t="n">
        <v>138</v>
      </c>
      <c r="AD33" s="3" t="n">
        <v>95</v>
      </c>
      <c r="AE33" s="3" t="n">
        <v>464</v>
      </c>
      <c r="AF33" s="3" t="n">
        <v>114</v>
      </c>
      <c r="AG33" s="3" t="n">
        <v>162</v>
      </c>
      <c r="AH33" s="2" t="s">
        <v>484</v>
      </c>
      <c r="AI33" s="3" t="n">
        <v>815</v>
      </c>
      <c r="AJ33" s="2" t="n">
        <v>89</v>
      </c>
      <c r="AK33" s="2" t="n">
        <f aca="false">COUNTIFS(secondary_acts!$A$2:$A$771,$A33,secondary_acts!$E$2:$E$771,"implementing")</f>
        <v>7</v>
      </c>
      <c r="AL33" s="2" t="n">
        <f aca="false">COUNTIFS(secondary_acts!$A$2:$A$771,$A33,secondary_acts!$E$2:$E$771,"delegated")</f>
        <v>2</v>
      </c>
      <c r="AM33" s="2" t="n">
        <f aca="false">COUNTIFS(secondary_acts!$A$2:$A$771,$A33,secondary_acts!$E$2:$E$771,"other Commission/Council act")</f>
        <v>0</v>
      </c>
      <c r="AN33" s="2" t="n">
        <f aca="false">COUNTIFS(secondary_acts!$A$2:$A$771,$A33,secondary_acts!$E$2:$E$771,"guidance")</f>
        <v>2</v>
      </c>
      <c r="AO33" s="2" t="n">
        <f aca="false">COUNTIF(guidance_web!$A$2:$A$7,$A33)</f>
        <v>0</v>
      </c>
      <c r="AP33" s="2" t="n">
        <f aca="false">COUNTIFS(guidance_agencies!$A$2:$A$81,$A33,guidance_agencies!$D$2:$D$81,"EDPB")</f>
        <v>0</v>
      </c>
      <c r="AQ33" s="2" t="n">
        <f aca="false">COUNTIFS(guidance_agencies!$A$2:$A$81,$A33,guidance_agencies!$D$2:$D$81,"EBA")</f>
        <v>0</v>
      </c>
      <c r="AR33" s="2" t="n">
        <f aca="false">COUNTIFS(guidance_agencies!$A$2:$A$81,$A33,guidance_agencies!$D$2:$D$81,"ESMA")</f>
        <v>0</v>
      </c>
      <c r="AS33" s="3" t="n">
        <f aca="false">SUMIFS(secondary_acts!$S$2:$S$771,secondary_acts!$A$2:$A$771,$A33,secondary_acts!$E$2:$E$771,"implementing")+SUMIFS(secondary_acts!$S$2:$S$771,secondary_acts!$A$2:$A$771,$A33,secondary_acts!$E$2:$E$771,"delegated")</f>
        <v>135</v>
      </c>
      <c r="AT33" s="3" t="n">
        <v>3034</v>
      </c>
      <c r="AU33" s="2" t="n">
        <v>28</v>
      </c>
      <c r="AV33" s="2" t="n">
        <v>1</v>
      </c>
      <c r="AW33" s="2" t="s">
        <v>365</v>
      </c>
      <c r="AX33" s="2" t="s">
        <v>365</v>
      </c>
      <c r="AY33" s="2" t="n">
        <v>7</v>
      </c>
      <c r="AZ33" s="2" t="s">
        <v>485</v>
      </c>
      <c r="BA33" s="2" t="s">
        <v>157</v>
      </c>
      <c r="BB33" s="2" t="n">
        <v>109321</v>
      </c>
      <c r="BC33" s="2" t="n">
        <v>893</v>
      </c>
      <c r="BD33" s="2" t="n">
        <v>72</v>
      </c>
      <c r="BE33" s="2" t="n">
        <f aca="false">IF(ISNUMBER(BB33),Q33-BB33,"")</f>
        <v>-11915</v>
      </c>
      <c r="BF33" s="4" t="n">
        <f aca="false">IF(AND(ISNUMBER(BB33),BB33&gt;0),(Q33-BB33)/BB33,"")</f>
        <v>-0.108990953247775</v>
      </c>
      <c r="BG33" s="2" t="n">
        <f aca="false">IF(ISNUMBER(BC33),X33-BC33,"")</f>
        <v>-58</v>
      </c>
      <c r="BH33" s="4" t="n">
        <f aca="false">IF(AND(ISNUMBER(BC33),BC33&gt;0),(X33-BC33)/BC33,"")</f>
        <v>-0.06494960806271</v>
      </c>
      <c r="BI33" s="2" t="n">
        <f aca="false">IF(ISNUMBER(BD33),AD33-BD33,"")</f>
        <v>23</v>
      </c>
      <c r="BJ33" s="2" t="s">
        <v>85</v>
      </c>
      <c r="BK33" s="2" t="s">
        <v>486</v>
      </c>
      <c r="BL33" s="2" t="s">
        <v>487</v>
      </c>
      <c r="BM33" s="2" t="n">
        <v>5</v>
      </c>
      <c r="BN33" s="2" t="n">
        <v>3</v>
      </c>
      <c r="BO33" s="2" t="n">
        <v>5</v>
      </c>
      <c r="BP33" s="2" t="n">
        <v>0</v>
      </c>
      <c r="BQ33" s="2"/>
    </row>
    <row r="34" customFormat="false" ht="15" hidden="false" customHeight="false" outlineLevel="0" collapsed="false">
      <c r="A34" s="2" t="n">
        <v>33</v>
      </c>
      <c r="B34" s="2" t="s">
        <v>488</v>
      </c>
      <c r="C34" s="2" t="s">
        <v>489</v>
      </c>
      <c r="D34" s="2" t="s">
        <v>106</v>
      </c>
      <c r="E34" s="2" t="s">
        <v>72</v>
      </c>
      <c r="F34" s="2" t="s">
        <v>479</v>
      </c>
      <c r="G34" s="2" t="s">
        <v>163</v>
      </c>
      <c r="H34" s="2" t="s">
        <v>114</v>
      </c>
      <c r="I34" s="2" t="s">
        <v>490</v>
      </c>
      <c r="J34" s="2" t="s">
        <v>491</v>
      </c>
      <c r="K34" s="2" t="s">
        <v>77</v>
      </c>
      <c r="L34" s="2" t="s">
        <v>77</v>
      </c>
      <c r="M34" s="2" t="s">
        <v>492</v>
      </c>
      <c r="N34" s="2" t="s">
        <v>79</v>
      </c>
      <c r="O34" s="2" t="s">
        <v>493</v>
      </c>
      <c r="P34" s="3" t="n">
        <v>34</v>
      </c>
      <c r="Q34" s="3" t="n">
        <v>22678</v>
      </c>
      <c r="R34" s="3" t="n">
        <v>15128</v>
      </c>
      <c r="S34" s="3" t="n">
        <v>14987</v>
      </c>
      <c r="T34" s="3" t="n">
        <v>7550</v>
      </c>
      <c r="U34" s="3" t="n">
        <v>0</v>
      </c>
      <c r="V34" s="3" t="n">
        <v>0</v>
      </c>
      <c r="W34" s="3" t="n">
        <v>0</v>
      </c>
      <c r="X34" s="3" t="n">
        <v>100</v>
      </c>
      <c r="Y34" s="3" t="n">
        <v>75</v>
      </c>
      <c r="Z34" s="3" t="n">
        <v>9</v>
      </c>
      <c r="AA34" s="3" t="n">
        <v>1</v>
      </c>
      <c r="AB34" s="3" t="n">
        <v>1</v>
      </c>
      <c r="AC34" s="3" t="n">
        <v>14</v>
      </c>
      <c r="AD34" s="3" t="n">
        <v>9</v>
      </c>
      <c r="AE34" s="3" t="n">
        <v>55</v>
      </c>
      <c r="AF34" s="3" t="n">
        <v>7</v>
      </c>
      <c r="AG34" s="3" t="n">
        <v>29</v>
      </c>
      <c r="AH34" s="2" t="s">
        <v>494</v>
      </c>
      <c r="AI34" s="3" t="n">
        <v>100</v>
      </c>
      <c r="AJ34" s="2" t="n">
        <v>9</v>
      </c>
      <c r="AK34" s="2" t="n">
        <f aca="false">COUNTIFS(secondary_acts!$A$2:$A$771,$A34,secondary_acts!$E$2:$E$771,"implementing")</f>
        <v>0</v>
      </c>
      <c r="AL34" s="2" t="n">
        <f aca="false">COUNTIFS(secondary_acts!$A$2:$A$771,$A34,secondary_acts!$E$2:$E$771,"delegated")</f>
        <v>0</v>
      </c>
      <c r="AM34" s="2" t="n">
        <f aca="false">COUNTIFS(secondary_acts!$A$2:$A$771,$A34,secondary_acts!$E$2:$E$771,"other Commission/Council act")</f>
        <v>0</v>
      </c>
      <c r="AN34" s="2" t="n">
        <f aca="false">COUNTIFS(secondary_acts!$A$2:$A$771,$A34,secondary_acts!$E$2:$E$771,"guidance")</f>
        <v>1</v>
      </c>
      <c r="AO34" s="2" t="n">
        <f aca="false">COUNTIF(guidance_web!$A$2:$A$7,$A34)</f>
        <v>0</v>
      </c>
      <c r="AP34" s="2" t="n">
        <f aca="false">COUNTIFS(guidance_agencies!$A$2:$A$81,$A34,guidance_agencies!$D$2:$D$81,"EDPB")</f>
        <v>0</v>
      </c>
      <c r="AQ34" s="2" t="n">
        <f aca="false">COUNTIFS(guidance_agencies!$A$2:$A$81,$A34,guidance_agencies!$D$2:$D$81,"EBA")</f>
        <v>0</v>
      </c>
      <c r="AR34" s="2" t="n">
        <f aca="false">COUNTIFS(guidance_agencies!$A$2:$A$81,$A34,guidance_agencies!$D$2:$D$81,"ESMA")</f>
        <v>0</v>
      </c>
      <c r="AS34" s="3" t="n">
        <f aca="false">SUMIFS(secondary_acts!$S$2:$S$771,secondary_acts!$A$2:$A$771,$A34,secondary_acts!$E$2:$E$771,"implementing")+SUMIFS(secondary_acts!$S$2:$S$771,secondary_acts!$A$2:$A$771,$A34,secondary_acts!$E$2:$E$771,"delegated")</f>
        <v>0</v>
      </c>
      <c r="AT34" s="3" t="n">
        <v>1039</v>
      </c>
      <c r="AU34" s="2" t="n">
        <v>27</v>
      </c>
      <c r="AV34" s="2" t="n">
        <v>0</v>
      </c>
      <c r="AW34" s="2"/>
      <c r="AX34" s="2"/>
      <c r="AY34" s="2" t="n">
        <v>3</v>
      </c>
      <c r="AZ34" s="2" t="s">
        <v>495</v>
      </c>
      <c r="BA34" s="2" t="s">
        <v>157</v>
      </c>
      <c r="BB34" s="2" t="n">
        <v>8820</v>
      </c>
      <c r="BC34" s="2" t="n">
        <v>45</v>
      </c>
      <c r="BD34" s="2" t="n">
        <v>6</v>
      </c>
      <c r="BE34" s="2" t="n">
        <f aca="false">IF(ISNUMBER(BB34),Q34-BB34,"")</f>
        <v>13858</v>
      </c>
      <c r="BF34" s="4" t="n">
        <f aca="false">IF(AND(ISNUMBER(BB34),BB34&gt;0),(Q34-BB34)/BB34,"")</f>
        <v>1.57120181405896</v>
      </c>
      <c r="BG34" s="2" t="n">
        <f aca="false">IF(ISNUMBER(BC34),X34-BC34,"")</f>
        <v>55</v>
      </c>
      <c r="BH34" s="4" t="n">
        <f aca="false">IF(AND(ISNUMBER(BC34),BC34&gt;0),(X34-BC34)/BC34,"")</f>
        <v>1.22222222222222</v>
      </c>
      <c r="BI34" s="2" t="n">
        <f aca="false">IF(ISNUMBER(BD34),AD34-BD34,"")</f>
        <v>3</v>
      </c>
      <c r="BJ34" s="2" t="s">
        <v>85</v>
      </c>
      <c r="BK34" s="2" t="s">
        <v>496</v>
      </c>
      <c r="BL34" s="2" t="s">
        <v>497</v>
      </c>
      <c r="BM34" s="2" t="n">
        <v>4</v>
      </c>
      <c r="BN34" s="2" t="n">
        <v>1</v>
      </c>
      <c r="BO34" s="2" t="n">
        <v>5</v>
      </c>
      <c r="BP34" s="2" t="n">
        <v>2</v>
      </c>
      <c r="BQ34" s="2" t="s">
        <v>118</v>
      </c>
    </row>
    <row r="35" customFormat="false" ht="15" hidden="false" customHeight="false" outlineLevel="0" collapsed="false">
      <c r="A35" s="2" t="n">
        <v>34</v>
      </c>
      <c r="B35" s="2" t="s">
        <v>498</v>
      </c>
      <c r="C35" s="2" t="s">
        <v>499</v>
      </c>
      <c r="D35" s="2" t="s">
        <v>106</v>
      </c>
      <c r="E35" s="2" t="s">
        <v>72</v>
      </c>
      <c r="F35" s="2" t="s">
        <v>479</v>
      </c>
      <c r="G35" s="2" t="s">
        <v>163</v>
      </c>
      <c r="H35" s="2" t="s">
        <v>114</v>
      </c>
      <c r="I35" s="2" t="s">
        <v>490</v>
      </c>
      <c r="J35" s="2" t="s">
        <v>491</v>
      </c>
      <c r="K35" s="2" t="s">
        <v>77</v>
      </c>
      <c r="L35" s="2" t="s">
        <v>77</v>
      </c>
      <c r="M35" s="2" t="s">
        <v>500</v>
      </c>
      <c r="N35" s="2" t="s">
        <v>79</v>
      </c>
      <c r="O35" s="2" t="s">
        <v>501</v>
      </c>
      <c r="P35" s="3" t="n">
        <v>10</v>
      </c>
      <c r="Q35" s="3" t="n">
        <v>5980</v>
      </c>
      <c r="R35" s="3" t="n">
        <v>4056</v>
      </c>
      <c r="S35" s="3" t="n">
        <v>3909</v>
      </c>
      <c r="T35" s="3" t="n">
        <v>1924</v>
      </c>
      <c r="U35" s="3" t="n">
        <v>0</v>
      </c>
      <c r="V35" s="3" t="n">
        <v>0</v>
      </c>
      <c r="W35" s="3" t="n">
        <v>0</v>
      </c>
      <c r="X35" s="3" t="n">
        <v>23</v>
      </c>
      <c r="Y35" s="3" t="n">
        <v>17</v>
      </c>
      <c r="Z35" s="3" t="n">
        <v>1</v>
      </c>
      <c r="AA35" s="3" t="n">
        <v>0</v>
      </c>
      <c r="AB35" s="3" t="n">
        <v>0</v>
      </c>
      <c r="AC35" s="3" t="n">
        <v>5</v>
      </c>
      <c r="AD35" s="3" t="n">
        <v>1</v>
      </c>
      <c r="AE35" s="3" t="n">
        <v>16</v>
      </c>
      <c r="AF35" s="3" t="n">
        <v>1</v>
      </c>
      <c r="AG35" s="3" t="n">
        <v>5</v>
      </c>
      <c r="AH35" s="2" t="s">
        <v>502</v>
      </c>
      <c r="AI35" s="3" t="n">
        <v>23</v>
      </c>
      <c r="AJ35" s="2" t="n">
        <v>1</v>
      </c>
      <c r="AK35" s="2" t="n">
        <f aca="false">COUNTIFS(secondary_acts!$A$2:$A$771,$A35,secondary_acts!$E$2:$E$771,"implementing")</f>
        <v>0</v>
      </c>
      <c r="AL35" s="2" t="n">
        <f aca="false">COUNTIFS(secondary_acts!$A$2:$A$771,$A35,secondary_acts!$E$2:$E$771,"delegated")</f>
        <v>0</v>
      </c>
      <c r="AM35" s="2" t="n">
        <f aca="false">COUNTIFS(secondary_acts!$A$2:$A$771,$A35,secondary_acts!$E$2:$E$771,"other Commission/Council act")</f>
        <v>0</v>
      </c>
      <c r="AN35" s="2" t="n">
        <f aca="false">COUNTIFS(secondary_acts!$A$2:$A$771,$A35,secondary_acts!$E$2:$E$771,"guidance")</f>
        <v>0</v>
      </c>
      <c r="AO35" s="2" t="n">
        <f aca="false">COUNTIF(guidance_web!$A$2:$A$7,$A35)</f>
        <v>0</v>
      </c>
      <c r="AP35" s="2" t="n">
        <f aca="false">COUNTIFS(guidance_agencies!$A$2:$A$81,$A35,guidance_agencies!$D$2:$D$81,"EDPB")</f>
        <v>0</v>
      </c>
      <c r="AQ35" s="2" t="n">
        <f aca="false">COUNTIFS(guidance_agencies!$A$2:$A$81,$A35,guidance_agencies!$D$2:$D$81,"EBA")</f>
        <v>0</v>
      </c>
      <c r="AR35" s="2" t="n">
        <f aca="false">COUNTIFS(guidance_agencies!$A$2:$A$81,$A35,guidance_agencies!$D$2:$D$81,"ESMA")</f>
        <v>0</v>
      </c>
      <c r="AS35" s="3" t="n">
        <f aca="false">SUMIFS(secondary_acts!$S$2:$S$771,secondary_acts!$A$2:$A$771,$A35,secondary_acts!$E$2:$E$771,"implementing")+SUMIFS(secondary_acts!$S$2:$S$771,secondary_acts!$A$2:$A$771,$A35,secondary_acts!$E$2:$E$771,"delegated")</f>
        <v>0</v>
      </c>
      <c r="AT35" s="3" t="n">
        <v>550</v>
      </c>
      <c r="AU35" s="2" t="n">
        <v>26</v>
      </c>
      <c r="AV35" s="2" t="n">
        <v>0</v>
      </c>
      <c r="AW35" s="2"/>
      <c r="AX35" s="2"/>
      <c r="AY35" s="2" t="n">
        <v>1</v>
      </c>
      <c r="AZ35" s="2" t="s">
        <v>503</v>
      </c>
      <c r="BA35" s="2" t="s">
        <v>157</v>
      </c>
      <c r="BB35" s="2" t="n">
        <v>3313</v>
      </c>
      <c r="BC35" s="2" t="n">
        <v>10</v>
      </c>
      <c r="BD35" s="2" t="n">
        <v>5</v>
      </c>
      <c r="BE35" s="2" t="n">
        <f aca="false">IF(ISNUMBER(BB35),Q35-BB35,"")</f>
        <v>2667</v>
      </c>
      <c r="BF35" s="4" t="n">
        <f aca="false">IF(AND(ISNUMBER(BB35),BB35&gt;0),(Q35-BB35)/BB35,"")</f>
        <v>0.805010564443103</v>
      </c>
      <c r="BG35" s="2" t="n">
        <f aca="false">IF(ISNUMBER(BC35),X35-BC35,"")</f>
        <v>13</v>
      </c>
      <c r="BH35" s="4" t="n">
        <f aca="false">IF(AND(ISNUMBER(BC35),BC35&gt;0),(X35-BC35)/BC35,"")</f>
        <v>1.3</v>
      </c>
      <c r="BI35" s="2" t="n">
        <f aca="false">IF(ISNUMBER(BD35),AD35-BD35,"")</f>
        <v>-4</v>
      </c>
      <c r="BJ35" s="2" t="s">
        <v>504</v>
      </c>
      <c r="BK35" s="2" t="s">
        <v>505</v>
      </c>
      <c r="BL35" s="2" t="s">
        <v>506</v>
      </c>
      <c r="BM35" s="2" t="n">
        <v>3</v>
      </c>
      <c r="BN35" s="2" t="n">
        <v>0</v>
      </c>
      <c r="BO35" s="2" t="n">
        <v>0</v>
      </c>
      <c r="BP35" s="2" t="n">
        <v>0</v>
      </c>
      <c r="BQ35" s="2" t="s">
        <v>118</v>
      </c>
    </row>
    <row r="36" customFormat="false" ht="15" hidden="false" customHeight="false" outlineLevel="0" collapsed="false">
      <c r="A36" s="2" t="n">
        <v>35</v>
      </c>
      <c r="B36" s="2" t="s">
        <v>507</v>
      </c>
      <c r="C36" s="2" t="s">
        <v>508</v>
      </c>
      <c r="D36" s="2" t="s">
        <v>188</v>
      </c>
      <c r="E36" s="2" t="s">
        <v>72</v>
      </c>
      <c r="F36" s="2" t="s">
        <v>509</v>
      </c>
      <c r="G36" s="2" t="s">
        <v>163</v>
      </c>
      <c r="H36" s="2" t="s">
        <v>510</v>
      </c>
      <c r="I36" s="2" t="s">
        <v>511</v>
      </c>
      <c r="J36" s="2" t="s">
        <v>389</v>
      </c>
      <c r="K36" s="2" t="s">
        <v>77</v>
      </c>
      <c r="L36" s="2" t="s">
        <v>77</v>
      </c>
      <c r="M36" s="2" t="s">
        <v>512</v>
      </c>
      <c r="N36" s="2" t="s">
        <v>79</v>
      </c>
      <c r="O36" s="2" t="s">
        <v>513</v>
      </c>
      <c r="P36" s="3" t="n">
        <v>60</v>
      </c>
      <c r="Q36" s="3" t="n">
        <v>37418</v>
      </c>
      <c r="R36" s="3" t="n">
        <v>12539</v>
      </c>
      <c r="S36" s="3" t="n">
        <v>12392</v>
      </c>
      <c r="T36" s="3" t="n">
        <v>24879</v>
      </c>
      <c r="U36" s="3" t="n">
        <v>0</v>
      </c>
      <c r="V36" s="3" t="n">
        <v>0</v>
      </c>
      <c r="W36" s="3" t="n">
        <v>0</v>
      </c>
      <c r="X36" s="3" t="n">
        <v>333</v>
      </c>
      <c r="Y36" s="3" t="n">
        <v>289</v>
      </c>
      <c r="Z36" s="3" t="n">
        <v>24</v>
      </c>
      <c r="AA36" s="3" t="n">
        <v>3</v>
      </c>
      <c r="AB36" s="3" t="n">
        <v>9</v>
      </c>
      <c r="AC36" s="3" t="n">
        <v>8</v>
      </c>
      <c r="AD36" s="3" t="n">
        <v>142</v>
      </c>
      <c r="AE36" s="3" t="n">
        <v>6</v>
      </c>
      <c r="AF36" s="3" t="n">
        <v>91</v>
      </c>
      <c r="AG36" s="3" t="n">
        <v>94</v>
      </c>
      <c r="AH36" s="2" t="s">
        <v>514</v>
      </c>
      <c r="AI36" s="3" t="n">
        <v>333</v>
      </c>
      <c r="AJ36" s="2" t="n">
        <v>142</v>
      </c>
      <c r="AK36" s="2" t="n">
        <f aca="false">COUNTIFS(secondary_acts!$A$2:$A$771,$A36,secondary_acts!$E$2:$E$771,"implementing")</f>
        <v>2</v>
      </c>
      <c r="AL36" s="2" t="n">
        <f aca="false">COUNTIFS(secondary_acts!$A$2:$A$771,$A36,secondary_acts!$E$2:$E$771,"delegated")</f>
        <v>0</v>
      </c>
      <c r="AM36" s="2" t="n">
        <f aca="false">COUNTIFS(secondary_acts!$A$2:$A$771,$A36,secondary_acts!$E$2:$E$771,"other Commission/Council act")</f>
        <v>0</v>
      </c>
      <c r="AN36" s="2" t="n">
        <f aca="false">COUNTIFS(secondary_acts!$A$2:$A$771,$A36,secondary_acts!$E$2:$E$771,"guidance")</f>
        <v>0</v>
      </c>
      <c r="AO36" s="2" t="n">
        <f aca="false">COUNTIF(guidance_web!$A$2:$A$7,$A36)</f>
        <v>0</v>
      </c>
      <c r="AP36" s="2" t="n">
        <f aca="false">COUNTIFS(guidance_agencies!$A$2:$A$81,$A36,guidance_agencies!$D$2:$D$81,"EDPB")</f>
        <v>0</v>
      </c>
      <c r="AQ36" s="2" t="n">
        <f aca="false">COUNTIFS(guidance_agencies!$A$2:$A$81,$A36,guidance_agencies!$D$2:$D$81,"EBA")</f>
        <v>0</v>
      </c>
      <c r="AR36" s="2" t="n">
        <f aca="false">COUNTIFS(guidance_agencies!$A$2:$A$81,$A36,guidance_agencies!$D$2:$D$81,"ESMA")</f>
        <v>0</v>
      </c>
      <c r="AS36" s="3" t="n">
        <f aca="false">SUMIFS(secondary_acts!$S$2:$S$771,secondary_acts!$A$2:$A$771,$A36,secondary_acts!$E$2:$E$771,"implementing")+SUMIFS(secondary_acts!$S$2:$S$771,secondary_acts!$A$2:$A$771,$A36,secondary_acts!$E$2:$E$771,"delegated")</f>
        <v>115</v>
      </c>
      <c r="AT36" s="3"/>
      <c r="AU36" s="2"/>
      <c r="AV36" s="2" t="n">
        <v>0</v>
      </c>
      <c r="AW36" s="2"/>
      <c r="AX36" s="2"/>
      <c r="AY36" s="2" t="n">
        <v>3</v>
      </c>
      <c r="AZ36" s="2" t="s">
        <v>515</v>
      </c>
      <c r="BA36" s="2" t="s">
        <v>157</v>
      </c>
      <c r="BB36" s="2" t="n">
        <v>28900</v>
      </c>
      <c r="BC36" s="2" t="n">
        <v>232</v>
      </c>
      <c r="BD36" s="2" t="n">
        <v>80</v>
      </c>
      <c r="BE36" s="2" t="n">
        <f aca="false">IF(ISNUMBER(BB36),Q36-BB36,"")</f>
        <v>8518</v>
      </c>
      <c r="BF36" s="4" t="n">
        <f aca="false">IF(AND(ISNUMBER(BB36),BB36&gt;0),(Q36-BB36)/BB36,"")</f>
        <v>0.294740484429066</v>
      </c>
      <c r="BG36" s="2" t="n">
        <f aca="false">IF(ISNUMBER(BC36),X36-BC36,"")</f>
        <v>101</v>
      </c>
      <c r="BH36" s="4" t="n">
        <f aca="false">IF(AND(ISNUMBER(BC36),BC36&gt;0),(X36-BC36)/BC36,"")</f>
        <v>0.435344827586207</v>
      </c>
      <c r="BI36" s="2" t="n">
        <f aca="false">IF(ISNUMBER(BD36),AD36-BD36,"")</f>
        <v>62</v>
      </c>
      <c r="BJ36" s="2" t="s">
        <v>85</v>
      </c>
      <c r="BK36" s="2" t="s">
        <v>516</v>
      </c>
      <c r="BL36" s="2" t="s">
        <v>517</v>
      </c>
      <c r="BM36" s="2" t="n">
        <v>5</v>
      </c>
      <c r="BN36" s="2" t="n">
        <v>5</v>
      </c>
      <c r="BO36" s="2" t="n">
        <v>2</v>
      </c>
      <c r="BP36" s="2" t="n">
        <v>0</v>
      </c>
      <c r="BQ36" s="2" t="s">
        <v>118</v>
      </c>
    </row>
    <row r="37" customFormat="false" ht="15" hidden="false" customHeight="false" outlineLevel="0" collapsed="false">
      <c r="A37" s="2" t="n">
        <v>36</v>
      </c>
      <c r="B37" s="2" t="s">
        <v>518</v>
      </c>
      <c r="C37" s="2" t="s">
        <v>519</v>
      </c>
      <c r="D37" s="2" t="s">
        <v>296</v>
      </c>
      <c r="E37" s="2" t="s">
        <v>72</v>
      </c>
      <c r="F37" s="2" t="s">
        <v>520</v>
      </c>
      <c r="G37" s="2" t="s">
        <v>163</v>
      </c>
      <c r="H37" s="2" t="s">
        <v>521</v>
      </c>
      <c r="I37" s="2" t="s">
        <v>511</v>
      </c>
      <c r="J37" s="2" t="s">
        <v>389</v>
      </c>
      <c r="K37" s="2" t="s">
        <v>77</v>
      </c>
      <c r="L37" s="2" t="s">
        <v>77</v>
      </c>
      <c r="M37" s="2" t="s">
        <v>522</v>
      </c>
      <c r="N37" s="2" t="s">
        <v>79</v>
      </c>
      <c r="O37" s="2" t="s">
        <v>523</v>
      </c>
      <c r="P37" s="3" t="n">
        <v>38</v>
      </c>
      <c r="Q37" s="3" t="n">
        <v>20255</v>
      </c>
      <c r="R37" s="3" t="n">
        <v>9449</v>
      </c>
      <c r="S37" s="3" t="n">
        <v>9316</v>
      </c>
      <c r="T37" s="3" t="n">
        <v>8396</v>
      </c>
      <c r="U37" s="3" t="n">
        <v>2410</v>
      </c>
      <c r="V37" s="3" t="n">
        <v>0</v>
      </c>
      <c r="W37" s="3" t="n">
        <v>0</v>
      </c>
      <c r="X37" s="3" t="n">
        <v>138</v>
      </c>
      <c r="Y37" s="3" t="n">
        <v>110</v>
      </c>
      <c r="Z37" s="3" t="n">
        <v>4</v>
      </c>
      <c r="AA37" s="3" t="n">
        <v>3</v>
      </c>
      <c r="AB37" s="3" t="n">
        <v>5</v>
      </c>
      <c r="AC37" s="3" t="n">
        <v>16</v>
      </c>
      <c r="AD37" s="3" t="n">
        <v>6</v>
      </c>
      <c r="AE37" s="3" t="n">
        <v>39</v>
      </c>
      <c r="AF37" s="3" t="n">
        <v>67</v>
      </c>
      <c r="AG37" s="3" t="n">
        <v>26</v>
      </c>
      <c r="AH37" s="2" t="s">
        <v>524</v>
      </c>
      <c r="AI37" s="3" t="n">
        <v>135</v>
      </c>
      <c r="AJ37" s="2" t="n">
        <v>6</v>
      </c>
      <c r="AK37" s="2" t="n">
        <f aca="false">COUNTIFS(secondary_acts!$A$2:$A$771,$A37,secondary_acts!$E$2:$E$771,"implementing")</f>
        <v>2</v>
      </c>
      <c r="AL37" s="2" t="n">
        <f aca="false">COUNTIFS(secondary_acts!$A$2:$A$771,$A37,secondary_acts!$E$2:$E$771,"delegated")</f>
        <v>0</v>
      </c>
      <c r="AM37" s="2" t="n">
        <f aca="false">COUNTIFS(secondary_acts!$A$2:$A$771,$A37,secondary_acts!$E$2:$E$771,"other Commission/Council act")</f>
        <v>0</v>
      </c>
      <c r="AN37" s="2" t="n">
        <f aca="false">COUNTIFS(secondary_acts!$A$2:$A$771,$A37,secondary_acts!$E$2:$E$771,"guidance")</f>
        <v>4</v>
      </c>
      <c r="AO37" s="2" t="n">
        <f aca="false">COUNTIF(guidance_web!$A$2:$A$7,$A37)</f>
        <v>0</v>
      </c>
      <c r="AP37" s="2" t="n">
        <f aca="false">COUNTIFS(guidance_agencies!$A$2:$A$81,$A37,guidance_agencies!$D$2:$D$81,"EDPB")</f>
        <v>0</v>
      </c>
      <c r="AQ37" s="2" t="n">
        <f aca="false">COUNTIFS(guidance_agencies!$A$2:$A$81,$A37,guidance_agencies!$D$2:$D$81,"EBA")</f>
        <v>0</v>
      </c>
      <c r="AR37" s="2" t="n">
        <f aca="false">COUNTIFS(guidance_agencies!$A$2:$A$81,$A37,guidance_agencies!$D$2:$D$81,"ESMA")</f>
        <v>0</v>
      </c>
      <c r="AS37" s="3" t="n">
        <f aca="false">SUMIFS(secondary_acts!$S$2:$S$771,secondary_acts!$A$2:$A$771,$A37,secondary_acts!$E$2:$E$771,"implementing")+SUMIFS(secondary_acts!$S$2:$S$771,secondary_acts!$A$2:$A$771,$A37,secondary_acts!$E$2:$E$771,"delegated")</f>
        <v>173</v>
      </c>
      <c r="AT37" s="3"/>
      <c r="AU37" s="2"/>
      <c r="AV37" s="2" t="n">
        <v>6</v>
      </c>
      <c r="AW37" s="2" t="s">
        <v>525</v>
      </c>
      <c r="AX37" s="2" t="s">
        <v>526</v>
      </c>
      <c r="AY37" s="2" t="n">
        <v>2</v>
      </c>
      <c r="AZ37" s="2" t="s">
        <v>527</v>
      </c>
      <c r="BA37" s="2" t="s">
        <v>157</v>
      </c>
      <c r="BB37" s="2" t="n">
        <v>12019</v>
      </c>
      <c r="BC37" s="2" t="n">
        <v>118</v>
      </c>
      <c r="BD37" s="2" t="n">
        <v>3</v>
      </c>
      <c r="BE37" s="2" t="n">
        <f aca="false">IF(ISNUMBER(BB37),Q37-BB37,"")</f>
        <v>8236</v>
      </c>
      <c r="BF37" s="4" t="n">
        <f aca="false">IF(AND(ISNUMBER(BB37),BB37&gt;0),(Q37-BB37)/BB37,"")</f>
        <v>0.68524835676845</v>
      </c>
      <c r="BG37" s="2" t="n">
        <f aca="false">IF(ISNUMBER(BC37),X37-BC37,"")</f>
        <v>20</v>
      </c>
      <c r="BH37" s="4" t="n">
        <f aca="false">IF(AND(ISNUMBER(BC37),BC37&gt;0),(X37-BC37)/BC37,"")</f>
        <v>0.169491525423729</v>
      </c>
      <c r="BI37" s="2" t="n">
        <f aca="false">IF(ISNUMBER(BD37),AD37-BD37,"")</f>
        <v>3</v>
      </c>
      <c r="BJ37" s="2" t="s">
        <v>199</v>
      </c>
      <c r="BK37" s="2" t="s">
        <v>528</v>
      </c>
      <c r="BL37" s="2" t="s">
        <v>529</v>
      </c>
      <c r="BM37" s="2" t="n">
        <v>5</v>
      </c>
      <c r="BN37" s="2" t="n">
        <v>4</v>
      </c>
      <c r="BO37" s="2" t="n">
        <v>2</v>
      </c>
      <c r="BP37" s="2" t="n">
        <v>0</v>
      </c>
      <c r="BQ37" s="2"/>
    </row>
    <row r="38" customFormat="false" ht="15" hidden="false" customHeight="false" outlineLevel="0" collapsed="false">
      <c r="A38" s="2" t="n">
        <v>37</v>
      </c>
      <c r="B38" s="2" t="s">
        <v>530</v>
      </c>
      <c r="C38" s="2" t="s">
        <v>531</v>
      </c>
      <c r="D38" s="2" t="s">
        <v>532</v>
      </c>
      <c r="E38" s="2" t="s">
        <v>72</v>
      </c>
      <c r="F38" s="2" t="s">
        <v>170</v>
      </c>
      <c r="G38" s="2" t="s">
        <v>163</v>
      </c>
      <c r="H38" s="2" t="s">
        <v>114</v>
      </c>
      <c r="I38" s="2" t="s">
        <v>533</v>
      </c>
      <c r="J38" s="2" t="s">
        <v>534</v>
      </c>
      <c r="K38" s="2" t="s">
        <v>77</v>
      </c>
      <c r="L38" s="2" t="s">
        <v>77</v>
      </c>
      <c r="M38" s="2" t="s">
        <v>535</v>
      </c>
      <c r="N38" s="2" t="s">
        <v>79</v>
      </c>
      <c r="O38" s="2" t="s">
        <v>536</v>
      </c>
      <c r="P38" s="3" t="n">
        <v>55</v>
      </c>
      <c r="Q38" s="3" t="n">
        <v>30460</v>
      </c>
      <c r="R38" s="3" t="n">
        <v>12254</v>
      </c>
      <c r="S38" s="3" t="n">
        <v>12114</v>
      </c>
      <c r="T38" s="3" t="n">
        <v>17006</v>
      </c>
      <c r="U38" s="3" t="n">
        <v>1200</v>
      </c>
      <c r="V38" s="3" t="n">
        <v>0</v>
      </c>
      <c r="W38" s="3" t="n">
        <v>0</v>
      </c>
      <c r="X38" s="3" t="n">
        <v>382</v>
      </c>
      <c r="Y38" s="3" t="n">
        <v>354</v>
      </c>
      <c r="Z38" s="3" t="n">
        <v>20</v>
      </c>
      <c r="AA38" s="3" t="n">
        <v>0</v>
      </c>
      <c r="AB38" s="3" t="n">
        <v>2</v>
      </c>
      <c r="AC38" s="3" t="n">
        <v>6</v>
      </c>
      <c r="AD38" s="3" t="n">
        <v>18</v>
      </c>
      <c r="AE38" s="3" t="n">
        <v>43</v>
      </c>
      <c r="AF38" s="3" t="n">
        <v>219</v>
      </c>
      <c r="AG38" s="3" t="n">
        <v>102</v>
      </c>
      <c r="AH38" s="2" t="s">
        <v>537</v>
      </c>
      <c r="AI38" s="3" t="n">
        <v>388</v>
      </c>
      <c r="AJ38" s="2" t="n">
        <v>15</v>
      </c>
      <c r="AK38" s="2" t="n">
        <f aca="false">COUNTIFS(secondary_acts!$A$2:$A$771,$A38,secondary_acts!$E$2:$E$771,"implementing")</f>
        <v>5</v>
      </c>
      <c r="AL38" s="2" t="n">
        <f aca="false">COUNTIFS(secondary_acts!$A$2:$A$771,$A38,secondary_acts!$E$2:$E$771,"delegated")</f>
        <v>0</v>
      </c>
      <c r="AM38" s="2" t="n">
        <f aca="false">COUNTIFS(secondary_acts!$A$2:$A$771,$A38,secondary_acts!$E$2:$E$771,"other Commission/Council act")</f>
        <v>0</v>
      </c>
      <c r="AN38" s="2" t="n">
        <f aca="false">COUNTIFS(secondary_acts!$A$2:$A$771,$A38,secondary_acts!$E$2:$E$771,"guidance")</f>
        <v>0</v>
      </c>
      <c r="AO38" s="2" t="n">
        <f aca="false">COUNTIF(guidance_web!$A$2:$A$7,$A38)</f>
        <v>0</v>
      </c>
      <c r="AP38" s="2" t="n">
        <f aca="false">COUNTIFS(guidance_agencies!$A$2:$A$81,$A38,guidance_agencies!$D$2:$D$81,"EDPB")</f>
        <v>0</v>
      </c>
      <c r="AQ38" s="2" t="n">
        <f aca="false">COUNTIFS(guidance_agencies!$A$2:$A$81,$A38,guidance_agencies!$D$2:$D$81,"EBA")</f>
        <v>0</v>
      </c>
      <c r="AR38" s="2" t="n">
        <f aca="false">COUNTIFS(guidance_agencies!$A$2:$A$81,$A38,guidance_agencies!$D$2:$D$81,"ESMA")</f>
        <v>0</v>
      </c>
      <c r="AS38" s="3" t="n">
        <f aca="false">SUMIFS(secondary_acts!$S$2:$S$771,secondary_acts!$A$2:$A$771,$A38,secondary_acts!$E$2:$E$771,"implementing")+SUMIFS(secondary_acts!$S$2:$S$771,secondary_acts!$A$2:$A$771,$A38,secondary_acts!$E$2:$E$771,"delegated")</f>
        <v>383</v>
      </c>
      <c r="AT38" s="3"/>
      <c r="AU38" s="2"/>
      <c r="AV38" s="2" t="n">
        <v>1</v>
      </c>
      <c r="AW38" s="2" t="s">
        <v>450</v>
      </c>
      <c r="AX38" s="2" t="s">
        <v>450</v>
      </c>
      <c r="AY38" s="2" t="n">
        <v>7</v>
      </c>
      <c r="AZ38" s="2" t="s">
        <v>538</v>
      </c>
      <c r="BA38" s="2" t="s">
        <v>157</v>
      </c>
      <c r="BB38" s="2" t="n">
        <v>19728</v>
      </c>
      <c r="BC38" s="2" t="n">
        <v>262</v>
      </c>
      <c r="BD38" s="2" t="n">
        <v>19</v>
      </c>
      <c r="BE38" s="2" t="n">
        <f aca="false">IF(ISNUMBER(BB38),Q38-BB38,"")</f>
        <v>10732</v>
      </c>
      <c r="BF38" s="4" t="n">
        <f aca="false">IF(AND(ISNUMBER(BB38),BB38&gt;0),(Q38-BB38)/BB38,"")</f>
        <v>0.543998377939984</v>
      </c>
      <c r="BG38" s="2" t="n">
        <f aca="false">IF(ISNUMBER(BC38),X38-BC38,"")</f>
        <v>120</v>
      </c>
      <c r="BH38" s="4" t="n">
        <f aca="false">IF(AND(ISNUMBER(BC38),BC38&gt;0),(X38-BC38)/BC38,"")</f>
        <v>0.458015267175573</v>
      </c>
      <c r="BI38" s="2" t="n">
        <f aca="false">IF(ISNUMBER(BD38),AD38-BD38,"")</f>
        <v>-1</v>
      </c>
      <c r="BJ38" s="2" t="s">
        <v>85</v>
      </c>
      <c r="BK38" s="2" t="s">
        <v>539</v>
      </c>
      <c r="BL38" s="2" t="s">
        <v>540</v>
      </c>
      <c r="BM38" s="2" t="n">
        <v>5</v>
      </c>
      <c r="BN38" s="2" t="n">
        <v>2</v>
      </c>
      <c r="BO38" s="2" t="n">
        <v>1</v>
      </c>
      <c r="BP38" s="2" t="n">
        <v>0</v>
      </c>
      <c r="BQ38" s="2"/>
    </row>
    <row r="39" customFormat="false" ht="15" hidden="false" customHeight="false" outlineLevel="0" collapsed="false">
      <c r="A39" s="2" t="n">
        <v>38</v>
      </c>
      <c r="B39" s="2" t="s">
        <v>541</v>
      </c>
      <c r="C39" s="2" t="s">
        <v>542</v>
      </c>
      <c r="D39" s="2" t="s">
        <v>188</v>
      </c>
      <c r="E39" s="2" t="s">
        <v>72</v>
      </c>
      <c r="F39" s="2" t="s">
        <v>170</v>
      </c>
      <c r="G39" s="2" t="s">
        <v>163</v>
      </c>
      <c r="H39" s="2" t="s">
        <v>275</v>
      </c>
      <c r="I39" s="2" t="s">
        <v>543</v>
      </c>
      <c r="J39" s="2" t="s">
        <v>544</v>
      </c>
      <c r="K39" s="2" t="s">
        <v>77</v>
      </c>
      <c r="L39" s="2" t="s">
        <v>77</v>
      </c>
      <c r="M39" s="2" t="s">
        <v>545</v>
      </c>
      <c r="N39" s="2" t="s">
        <v>79</v>
      </c>
      <c r="O39" s="2" t="s">
        <v>546</v>
      </c>
      <c r="P39" s="3" t="n">
        <v>10</v>
      </c>
      <c r="Q39" s="3" t="n">
        <v>6275</v>
      </c>
      <c r="R39" s="3" t="n">
        <v>4213</v>
      </c>
      <c r="S39" s="3" t="n">
        <v>4089</v>
      </c>
      <c r="T39" s="3" t="n">
        <v>2062</v>
      </c>
      <c r="U39" s="3" t="n">
        <v>0</v>
      </c>
      <c r="V39" s="3" t="n">
        <v>0</v>
      </c>
      <c r="W39" s="3" t="n">
        <v>0</v>
      </c>
      <c r="X39" s="3" t="n">
        <v>31</v>
      </c>
      <c r="Y39" s="3" t="n">
        <v>26</v>
      </c>
      <c r="Z39" s="3" t="n">
        <v>2</v>
      </c>
      <c r="AA39" s="3" t="n">
        <v>0</v>
      </c>
      <c r="AB39" s="3" t="n">
        <v>1</v>
      </c>
      <c r="AC39" s="3" t="n">
        <v>2</v>
      </c>
      <c r="AD39" s="3" t="n">
        <v>0</v>
      </c>
      <c r="AE39" s="3" t="n">
        <v>17</v>
      </c>
      <c r="AF39" s="3" t="n">
        <v>10</v>
      </c>
      <c r="AG39" s="3" t="n">
        <v>4</v>
      </c>
      <c r="AH39" s="2"/>
      <c r="AI39" s="3"/>
      <c r="AJ39" s="2"/>
      <c r="AK39" s="2" t="n">
        <f aca="false">COUNTIFS(secondary_acts!$A$2:$A$771,$A39,secondary_acts!$E$2:$E$771,"implementing")</f>
        <v>0</v>
      </c>
      <c r="AL39" s="2" t="n">
        <f aca="false">COUNTIFS(secondary_acts!$A$2:$A$771,$A39,secondary_acts!$E$2:$E$771,"delegated")</f>
        <v>0</v>
      </c>
      <c r="AM39" s="2" t="n">
        <f aca="false">COUNTIFS(secondary_acts!$A$2:$A$771,$A39,secondary_acts!$E$2:$E$771,"other Commission/Council act")</f>
        <v>0</v>
      </c>
      <c r="AN39" s="2" t="n">
        <f aca="false">COUNTIFS(secondary_acts!$A$2:$A$771,$A39,secondary_acts!$E$2:$E$771,"guidance")</f>
        <v>1</v>
      </c>
      <c r="AO39" s="2" t="n">
        <f aca="false">COUNTIF(guidance_web!$A$2:$A$7,$A39)</f>
        <v>0</v>
      </c>
      <c r="AP39" s="2" t="n">
        <f aca="false">COUNTIFS(guidance_agencies!$A$2:$A$81,$A39,guidance_agencies!$D$2:$D$81,"EDPB")</f>
        <v>0</v>
      </c>
      <c r="AQ39" s="2" t="n">
        <f aca="false">COUNTIFS(guidance_agencies!$A$2:$A$81,$A39,guidance_agencies!$D$2:$D$81,"EBA")</f>
        <v>0</v>
      </c>
      <c r="AR39" s="2" t="n">
        <f aca="false">COUNTIFS(guidance_agencies!$A$2:$A$81,$A39,guidance_agencies!$D$2:$D$81,"ESMA")</f>
        <v>0</v>
      </c>
      <c r="AS39" s="3" t="n">
        <f aca="false">SUMIFS(secondary_acts!$S$2:$S$771,secondary_acts!$A$2:$A$771,$A39,secondary_acts!$E$2:$E$771,"implementing")+SUMIFS(secondary_acts!$S$2:$S$771,secondary_acts!$A$2:$A$771,$A39,secondary_acts!$E$2:$E$771,"delegated")</f>
        <v>0</v>
      </c>
      <c r="AT39" s="3"/>
      <c r="AU39" s="2"/>
      <c r="AV39" s="2" t="n">
        <v>0</v>
      </c>
      <c r="AW39" s="2"/>
      <c r="AX39" s="2"/>
      <c r="AY39" s="2" t="n">
        <v>0</v>
      </c>
      <c r="AZ39" s="2" t="s">
        <v>547</v>
      </c>
      <c r="BA39" s="2" t="s">
        <v>157</v>
      </c>
      <c r="BB39" s="2" t="n">
        <v>4345</v>
      </c>
      <c r="BC39" s="2" t="n">
        <v>29</v>
      </c>
      <c r="BD39" s="2" t="n">
        <v>0</v>
      </c>
      <c r="BE39" s="2" t="n">
        <f aca="false">IF(ISNUMBER(BB39),Q39-BB39,"")</f>
        <v>1930</v>
      </c>
      <c r="BF39" s="4" t="n">
        <f aca="false">IF(AND(ISNUMBER(BB39),BB39&gt;0),(Q39-BB39)/BB39,"")</f>
        <v>0.444188722669735</v>
      </c>
      <c r="BG39" s="2" t="n">
        <f aca="false">IF(ISNUMBER(BC39),X39-BC39,"")</f>
        <v>2</v>
      </c>
      <c r="BH39" s="4" t="n">
        <f aca="false">IF(AND(ISNUMBER(BC39),BC39&gt;0),(X39-BC39)/BC39,"")</f>
        <v>0.0689655172413793</v>
      </c>
      <c r="BI39" s="2" t="n">
        <f aca="false">IF(ISNUMBER(BD39),AD39-BD39,"")</f>
        <v>0</v>
      </c>
      <c r="BJ39" s="2" t="s">
        <v>85</v>
      </c>
      <c r="BK39" s="2" t="s">
        <v>548</v>
      </c>
      <c r="BL39" s="2" t="s">
        <v>549</v>
      </c>
      <c r="BM39" s="2" t="n">
        <v>5</v>
      </c>
      <c r="BN39" s="2" t="n">
        <v>4</v>
      </c>
      <c r="BO39" s="2" t="n">
        <v>3</v>
      </c>
      <c r="BP39" s="2" t="n">
        <v>0</v>
      </c>
      <c r="BQ39" s="2"/>
    </row>
    <row r="40" customFormat="false" ht="15" hidden="false" customHeight="false" outlineLevel="0" collapsed="false">
      <c r="A40" s="2" t="n">
        <v>39</v>
      </c>
      <c r="B40" s="2" t="s">
        <v>550</v>
      </c>
      <c r="C40" s="2" t="s">
        <v>551</v>
      </c>
      <c r="D40" s="2" t="s">
        <v>215</v>
      </c>
      <c r="E40" s="2" t="s">
        <v>72</v>
      </c>
      <c r="F40" s="2" t="s">
        <v>170</v>
      </c>
      <c r="G40" s="2" t="s">
        <v>163</v>
      </c>
      <c r="H40" s="2" t="s">
        <v>552</v>
      </c>
      <c r="I40" s="2" t="s">
        <v>553</v>
      </c>
      <c r="J40" s="2" t="s">
        <v>554</v>
      </c>
      <c r="K40" s="2" t="s">
        <v>77</v>
      </c>
      <c r="L40" s="2" t="s">
        <v>77</v>
      </c>
      <c r="M40" s="2" t="s">
        <v>555</v>
      </c>
      <c r="N40" s="2" t="s">
        <v>79</v>
      </c>
      <c r="O40" s="2" t="s">
        <v>556</v>
      </c>
      <c r="P40" s="3" t="n">
        <v>14</v>
      </c>
      <c r="Q40" s="3" t="n">
        <v>7814</v>
      </c>
      <c r="R40" s="3" t="n">
        <v>3363</v>
      </c>
      <c r="S40" s="3" t="n">
        <v>3238</v>
      </c>
      <c r="T40" s="3" t="n">
        <v>3948</v>
      </c>
      <c r="U40" s="3" t="n">
        <v>503</v>
      </c>
      <c r="V40" s="3" t="n">
        <v>0</v>
      </c>
      <c r="W40" s="3" t="n">
        <v>0</v>
      </c>
      <c r="X40" s="3" t="n">
        <v>70</v>
      </c>
      <c r="Y40" s="3" t="n">
        <v>67</v>
      </c>
      <c r="Z40" s="3" t="n">
        <v>0</v>
      </c>
      <c r="AA40" s="3" t="n">
        <v>0</v>
      </c>
      <c r="AB40" s="3" t="n">
        <v>0</v>
      </c>
      <c r="AC40" s="3" t="n">
        <v>3</v>
      </c>
      <c r="AD40" s="3" t="n">
        <v>5</v>
      </c>
      <c r="AE40" s="3" t="n">
        <v>24</v>
      </c>
      <c r="AF40" s="3" t="n">
        <v>25</v>
      </c>
      <c r="AG40" s="3" t="n">
        <v>16</v>
      </c>
      <c r="AH40" s="2" t="s">
        <v>557</v>
      </c>
      <c r="AI40" s="3" t="n">
        <v>70</v>
      </c>
      <c r="AJ40" s="2" t="n">
        <v>5</v>
      </c>
      <c r="AK40" s="2" t="n">
        <f aca="false">COUNTIFS(secondary_acts!$A$2:$A$771,$A40,secondary_acts!$E$2:$E$771,"implementing")</f>
        <v>0</v>
      </c>
      <c r="AL40" s="2" t="n">
        <f aca="false">COUNTIFS(secondary_acts!$A$2:$A$771,$A40,secondary_acts!$E$2:$E$771,"delegated")</f>
        <v>2</v>
      </c>
      <c r="AM40" s="2" t="n">
        <f aca="false">COUNTIFS(secondary_acts!$A$2:$A$771,$A40,secondary_acts!$E$2:$E$771,"other Commission/Council act")</f>
        <v>0</v>
      </c>
      <c r="AN40" s="2" t="n">
        <f aca="false">COUNTIFS(secondary_acts!$A$2:$A$771,$A40,secondary_acts!$E$2:$E$771,"guidance")</f>
        <v>1</v>
      </c>
      <c r="AO40" s="2" t="n">
        <f aca="false">COUNTIF(guidance_web!$A$2:$A$7,$A40)</f>
        <v>0</v>
      </c>
      <c r="AP40" s="2" t="n">
        <f aca="false">COUNTIFS(guidance_agencies!$A$2:$A$81,$A40,guidance_agencies!$D$2:$D$81,"EDPB")</f>
        <v>0</v>
      </c>
      <c r="AQ40" s="2" t="n">
        <f aca="false">COUNTIFS(guidance_agencies!$A$2:$A$81,$A40,guidance_agencies!$D$2:$D$81,"EBA")</f>
        <v>0</v>
      </c>
      <c r="AR40" s="2" t="n">
        <f aca="false">COUNTIFS(guidance_agencies!$A$2:$A$81,$A40,guidance_agencies!$D$2:$D$81,"ESMA")</f>
        <v>0</v>
      </c>
      <c r="AS40" s="3" t="n">
        <f aca="false">SUMIFS(secondary_acts!$S$2:$S$771,secondary_acts!$A$2:$A$771,$A40,secondary_acts!$E$2:$E$771,"implementing")+SUMIFS(secondary_acts!$S$2:$S$771,secondary_acts!$A$2:$A$771,$A40,secondary_acts!$E$2:$E$771,"delegated")</f>
        <v>1</v>
      </c>
      <c r="AT40" s="3"/>
      <c r="AU40" s="2"/>
      <c r="AV40" s="2" t="n">
        <v>2</v>
      </c>
      <c r="AW40" s="2" t="s">
        <v>558</v>
      </c>
      <c r="AX40" s="2" t="s">
        <v>559</v>
      </c>
      <c r="AY40" s="2" t="n">
        <v>1</v>
      </c>
      <c r="AZ40" s="2" t="s">
        <v>560</v>
      </c>
      <c r="BA40" s="2" t="s">
        <v>157</v>
      </c>
      <c r="BB40" s="2" t="n">
        <v>4087</v>
      </c>
      <c r="BC40" s="2" t="n">
        <v>31</v>
      </c>
      <c r="BD40" s="2" t="n">
        <v>2</v>
      </c>
      <c r="BE40" s="2" t="n">
        <f aca="false">IF(ISNUMBER(BB40),Q40-BB40,"")</f>
        <v>3727</v>
      </c>
      <c r="BF40" s="4" t="n">
        <f aca="false">IF(AND(ISNUMBER(BB40),BB40&gt;0),(Q40-BB40)/BB40,"")</f>
        <v>0.911915830682652</v>
      </c>
      <c r="BG40" s="2" t="n">
        <f aca="false">IF(ISNUMBER(BC40),X40-BC40,"")</f>
        <v>39</v>
      </c>
      <c r="BH40" s="4" t="n">
        <f aca="false">IF(AND(ISNUMBER(BC40),BC40&gt;0),(X40-BC40)/BC40,"")</f>
        <v>1.25806451612903</v>
      </c>
      <c r="BI40" s="2" t="n">
        <f aca="false">IF(ISNUMBER(BD40),AD40-BD40,"")</f>
        <v>3</v>
      </c>
      <c r="BJ40" s="2" t="s">
        <v>199</v>
      </c>
      <c r="BK40" s="2" t="s">
        <v>561</v>
      </c>
      <c r="BL40" s="2" t="s">
        <v>562</v>
      </c>
      <c r="BM40" s="2" t="n">
        <v>3</v>
      </c>
      <c r="BN40" s="2" t="n">
        <v>3</v>
      </c>
      <c r="BO40" s="2" t="n">
        <v>6</v>
      </c>
      <c r="BP40" s="2" t="n">
        <v>1</v>
      </c>
      <c r="BQ40" s="2"/>
    </row>
    <row r="41" customFormat="false" ht="15" hidden="false" customHeight="false" outlineLevel="0" collapsed="false">
      <c r="A41" s="2" t="n">
        <v>40</v>
      </c>
      <c r="B41" s="2" t="s">
        <v>563</v>
      </c>
      <c r="C41" s="2" t="s">
        <v>564</v>
      </c>
      <c r="D41" s="2" t="s">
        <v>348</v>
      </c>
      <c r="E41" s="2" t="s">
        <v>72</v>
      </c>
      <c r="F41" s="2" t="s">
        <v>170</v>
      </c>
      <c r="G41" s="2" t="s">
        <v>163</v>
      </c>
      <c r="H41" s="2" t="s">
        <v>114</v>
      </c>
      <c r="I41" s="2" t="s">
        <v>565</v>
      </c>
      <c r="J41" s="2" t="s">
        <v>566</v>
      </c>
      <c r="K41" s="2" t="s">
        <v>77</v>
      </c>
      <c r="L41" s="2" t="s">
        <v>77</v>
      </c>
      <c r="M41" s="2" t="s">
        <v>567</v>
      </c>
      <c r="N41" s="2" t="s">
        <v>79</v>
      </c>
      <c r="O41" s="2" t="s">
        <v>568</v>
      </c>
      <c r="P41" s="3" t="n">
        <v>12</v>
      </c>
      <c r="Q41" s="3" t="n">
        <v>6609</v>
      </c>
      <c r="R41" s="3" t="n">
        <v>3611</v>
      </c>
      <c r="S41" s="3" t="n">
        <v>3493</v>
      </c>
      <c r="T41" s="3" t="n">
        <v>2998</v>
      </c>
      <c r="U41" s="3" t="n">
        <v>0</v>
      </c>
      <c r="V41" s="3" t="n">
        <v>0</v>
      </c>
      <c r="W41" s="3" t="n">
        <v>0</v>
      </c>
      <c r="X41" s="3" t="n">
        <v>52</v>
      </c>
      <c r="Y41" s="3" t="n">
        <v>46</v>
      </c>
      <c r="Z41" s="3" t="n">
        <v>1</v>
      </c>
      <c r="AA41" s="3" t="n">
        <v>0</v>
      </c>
      <c r="AB41" s="3" t="n">
        <v>0</v>
      </c>
      <c r="AC41" s="3" t="n">
        <v>5</v>
      </c>
      <c r="AD41" s="3" t="n">
        <v>1</v>
      </c>
      <c r="AE41" s="3" t="n">
        <v>42</v>
      </c>
      <c r="AF41" s="3" t="n">
        <v>7</v>
      </c>
      <c r="AG41" s="3" t="n">
        <v>2</v>
      </c>
      <c r="AH41" s="2"/>
      <c r="AI41" s="3"/>
      <c r="AJ41" s="2"/>
      <c r="AK41" s="2" t="n">
        <f aca="false">COUNTIFS(secondary_acts!$A$2:$A$771,$A41,secondary_acts!$E$2:$E$771,"implementing")</f>
        <v>0</v>
      </c>
      <c r="AL41" s="2" t="n">
        <f aca="false">COUNTIFS(secondary_acts!$A$2:$A$771,$A41,secondary_acts!$E$2:$E$771,"delegated")</f>
        <v>0</v>
      </c>
      <c r="AM41" s="2" t="n">
        <f aca="false">COUNTIFS(secondary_acts!$A$2:$A$771,$A41,secondary_acts!$E$2:$E$771,"other Commission/Council act")</f>
        <v>0</v>
      </c>
      <c r="AN41" s="2" t="n">
        <f aca="false">COUNTIFS(secondary_acts!$A$2:$A$771,$A41,secondary_acts!$E$2:$E$771,"guidance")</f>
        <v>0</v>
      </c>
      <c r="AO41" s="2" t="n">
        <f aca="false">COUNTIF(guidance_web!$A$2:$A$7,$A41)</f>
        <v>0</v>
      </c>
      <c r="AP41" s="2" t="n">
        <f aca="false">COUNTIFS(guidance_agencies!$A$2:$A$81,$A41,guidance_agencies!$D$2:$D$81,"EDPB")</f>
        <v>0</v>
      </c>
      <c r="AQ41" s="2" t="n">
        <f aca="false">COUNTIFS(guidance_agencies!$A$2:$A$81,$A41,guidance_agencies!$D$2:$D$81,"EBA")</f>
        <v>0</v>
      </c>
      <c r="AR41" s="2" t="n">
        <f aca="false">COUNTIFS(guidance_agencies!$A$2:$A$81,$A41,guidance_agencies!$D$2:$D$81,"ESMA")</f>
        <v>0</v>
      </c>
      <c r="AS41" s="3" t="n">
        <f aca="false">SUMIFS(secondary_acts!$S$2:$S$771,secondary_acts!$A$2:$A$771,$A41,secondary_acts!$E$2:$E$771,"implementing")+SUMIFS(secondary_acts!$S$2:$S$771,secondary_acts!$A$2:$A$771,$A41,secondary_acts!$E$2:$E$771,"delegated")</f>
        <v>0</v>
      </c>
      <c r="AT41" s="3" t="n">
        <v>2301</v>
      </c>
      <c r="AU41" s="2" t="n">
        <v>25</v>
      </c>
      <c r="AV41" s="2" t="n">
        <v>0</v>
      </c>
      <c r="AW41" s="2"/>
      <c r="AX41" s="2"/>
      <c r="AY41" s="2" t="n">
        <v>0</v>
      </c>
      <c r="AZ41" s="2" t="s">
        <v>569</v>
      </c>
      <c r="BA41" s="2" t="s">
        <v>157</v>
      </c>
      <c r="BB41" s="2" t="n">
        <v>5501</v>
      </c>
      <c r="BC41" s="2" t="n">
        <v>45</v>
      </c>
      <c r="BD41" s="2" t="n">
        <v>2</v>
      </c>
      <c r="BE41" s="2" t="n">
        <f aca="false">IF(ISNUMBER(BB41),Q41-BB41,"")</f>
        <v>1108</v>
      </c>
      <c r="BF41" s="4" t="n">
        <f aca="false">IF(AND(ISNUMBER(BB41),BB41&gt;0),(Q41-BB41)/BB41,"")</f>
        <v>0.201417924013816</v>
      </c>
      <c r="BG41" s="2" t="n">
        <f aca="false">IF(ISNUMBER(BC41),X41-BC41,"")</f>
        <v>7</v>
      </c>
      <c r="BH41" s="4" t="n">
        <f aca="false">IF(AND(ISNUMBER(BC41),BC41&gt;0),(X41-BC41)/BC41,"")</f>
        <v>0.155555555555556</v>
      </c>
      <c r="BI41" s="2" t="n">
        <f aca="false">IF(ISNUMBER(BD41),AD41-BD41,"")</f>
        <v>-1</v>
      </c>
      <c r="BJ41" s="2" t="s">
        <v>85</v>
      </c>
      <c r="BK41" s="2" t="s">
        <v>570</v>
      </c>
      <c r="BL41" s="2" t="s">
        <v>571</v>
      </c>
      <c r="BM41" s="2" t="n">
        <v>4</v>
      </c>
      <c r="BN41" s="2" t="n">
        <v>2</v>
      </c>
      <c r="BO41" s="2" t="n">
        <v>2</v>
      </c>
      <c r="BP41" s="2" t="n">
        <v>0</v>
      </c>
      <c r="BQ41" s="2"/>
    </row>
    <row r="42" customFormat="false" ht="15" hidden="false" customHeight="false" outlineLevel="0" collapsed="false">
      <c r="A42" s="2" t="n">
        <v>41</v>
      </c>
      <c r="B42" s="2" t="s">
        <v>572</v>
      </c>
      <c r="C42" s="2" t="s">
        <v>573</v>
      </c>
      <c r="D42" s="2" t="s">
        <v>215</v>
      </c>
      <c r="E42" s="2" t="s">
        <v>72</v>
      </c>
      <c r="F42" s="2" t="s">
        <v>574</v>
      </c>
      <c r="G42" s="2" t="s">
        <v>163</v>
      </c>
      <c r="H42" s="2" t="s">
        <v>449</v>
      </c>
      <c r="I42" s="2" t="s">
        <v>575</v>
      </c>
      <c r="J42" s="2" t="s">
        <v>576</v>
      </c>
      <c r="K42" s="2" t="s">
        <v>77</v>
      </c>
      <c r="L42" s="2" t="s">
        <v>77</v>
      </c>
      <c r="M42" s="2" t="s">
        <v>577</v>
      </c>
      <c r="N42" s="2" t="s">
        <v>79</v>
      </c>
      <c r="O42" s="2" t="s">
        <v>578</v>
      </c>
      <c r="P42" s="3" t="n">
        <v>44</v>
      </c>
      <c r="Q42" s="3" t="n">
        <v>24088</v>
      </c>
      <c r="R42" s="3" t="n">
        <v>6826</v>
      </c>
      <c r="S42" s="3" t="n">
        <v>6697</v>
      </c>
      <c r="T42" s="3" t="n">
        <v>12819</v>
      </c>
      <c r="U42" s="3" t="n">
        <v>4443</v>
      </c>
      <c r="V42" s="3" t="n">
        <v>0</v>
      </c>
      <c r="W42" s="3" t="n">
        <v>0</v>
      </c>
      <c r="X42" s="3" t="n">
        <v>198</v>
      </c>
      <c r="Y42" s="3" t="n">
        <v>179</v>
      </c>
      <c r="Z42" s="3" t="n">
        <v>6</v>
      </c>
      <c r="AA42" s="3" t="n">
        <v>3</v>
      </c>
      <c r="AB42" s="3" t="n">
        <v>3</v>
      </c>
      <c r="AC42" s="3" t="n">
        <v>7</v>
      </c>
      <c r="AD42" s="3" t="n">
        <v>15</v>
      </c>
      <c r="AE42" s="3" t="n">
        <v>81</v>
      </c>
      <c r="AF42" s="3" t="n">
        <v>45</v>
      </c>
      <c r="AG42" s="3" t="n">
        <v>57</v>
      </c>
      <c r="AH42" s="2" t="s">
        <v>579</v>
      </c>
      <c r="AI42" s="3" t="n">
        <v>198</v>
      </c>
      <c r="AJ42" s="2" t="n">
        <v>15</v>
      </c>
      <c r="AK42" s="2" t="n">
        <f aca="false">COUNTIFS(secondary_acts!$A$2:$A$771,$A42,secondary_acts!$E$2:$E$771,"implementing")</f>
        <v>10</v>
      </c>
      <c r="AL42" s="2" t="n">
        <f aca="false">COUNTIFS(secondary_acts!$A$2:$A$771,$A42,secondary_acts!$E$2:$E$771,"delegated")</f>
        <v>0</v>
      </c>
      <c r="AM42" s="2" t="n">
        <f aca="false">COUNTIFS(secondary_acts!$A$2:$A$771,$A42,secondary_acts!$E$2:$E$771,"other Commission/Council act")</f>
        <v>0</v>
      </c>
      <c r="AN42" s="2" t="n">
        <f aca="false">COUNTIFS(secondary_acts!$A$2:$A$771,$A42,secondary_acts!$E$2:$E$771,"guidance")</f>
        <v>1</v>
      </c>
      <c r="AO42" s="2" t="n">
        <f aca="false">COUNTIF(guidance_web!$A$2:$A$7,$A42)</f>
        <v>0</v>
      </c>
      <c r="AP42" s="2" t="n">
        <f aca="false">COUNTIFS(guidance_agencies!$A$2:$A$81,$A42,guidance_agencies!$D$2:$D$81,"EDPB")</f>
        <v>0</v>
      </c>
      <c r="AQ42" s="2" t="n">
        <f aca="false">COUNTIFS(guidance_agencies!$A$2:$A$81,$A42,guidance_agencies!$D$2:$D$81,"EBA")</f>
        <v>0</v>
      </c>
      <c r="AR42" s="2" t="n">
        <f aca="false">COUNTIFS(guidance_agencies!$A$2:$A$81,$A42,guidance_agencies!$D$2:$D$81,"ESMA")</f>
        <v>0</v>
      </c>
      <c r="AS42" s="3" t="n">
        <f aca="false">SUMIFS(secondary_acts!$S$2:$S$771,secondary_acts!$A$2:$A$771,$A42,secondary_acts!$E$2:$E$771,"implementing")+SUMIFS(secondary_acts!$S$2:$S$771,secondary_acts!$A$2:$A$771,$A42,secondary_acts!$E$2:$E$771,"delegated")</f>
        <v>117</v>
      </c>
      <c r="AT42" s="3"/>
      <c r="AU42" s="2"/>
      <c r="AV42" s="2" t="n">
        <v>6</v>
      </c>
      <c r="AW42" s="2" t="s">
        <v>580</v>
      </c>
      <c r="AX42" s="2" t="s">
        <v>581</v>
      </c>
      <c r="AY42" s="2" t="n">
        <v>12</v>
      </c>
      <c r="AZ42" s="2" t="s">
        <v>582</v>
      </c>
      <c r="BA42" s="2" t="s">
        <v>157</v>
      </c>
      <c r="BB42" s="2" t="n">
        <v>19992</v>
      </c>
      <c r="BC42" s="2" t="n">
        <v>188</v>
      </c>
      <c r="BD42" s="2" t="n">
        <v>11</v>
      </c>
      <c r="BE42" s="2" t="n">
        <f aca="false">IF(ISNUMBER(BB42),Q42-BB42,"")</f>
        <v>4096</v>
      </c>
      <c r="BF42" s="4" t="n">
        <f aca="false">IF(AND(ISNUMBER(BB42),BB42&gt;0),(Q42-BB42)/BB42,"")</f>
        <v>0.204881952781112</v>
      </c>
      <c r="BG42" s="2" t="n">
        <f aca="false">IF(ISNUMBER(BC42),X42-BC42,"")</f>
        <v>10</v>
      </c>
      <c r="BH42" s="4" t="n">
        <f aca="false">IF(AND(ISNUMBER(BC42),BC42&gt;0),(X42-BC42)/BC42,"")</f>
        <v>0.0531914893617021</v>
      </c>
      <c r="BI42" s="2" t="n">
        <f aca="false">IF(ISNUMBER(BD42),AD42-BD42,"")</f>
        <v>4</v>
      </c>
      <c r="BJ42" s="2" t="s">
        <v>85</v>
      </c>
      <c r="BK42" s="2" t="s">
        <v>583</v>
      </c>
      <c r="BL42" s="2" t="s">
        <v>584</v>
      </c>
      <c r="BM42" s="2" t="n">
        <v>6</v>
      </c>
      <c r="BN42" s="2" t="n">
        <v>3</v>
      </c>
      <c r="BO42" s="2" t="n">
        <v>2</v>
      </c>
      <c r="BP42" s="2" t="n">
        <v>0</v>
      </c>
      <c r="BQ42" s="2"/>
    </row>
    <row r="43" customFormat="false" ht="15" hidden="false" customHeight="false" outlineLevel="0" collapsed="false">
      <c r="A43" s="2" t="n">
        <v>42</v>
      </c>
      <c r="B43" s="2" t="s">
        <v>585</v>
      </c>
      <c r="C43" s="2" t="s">
        <v>586</v>
      </c>
      <c r="D43" s="2" t="s">
        <v>348</v>
      </c>
      <c r="E43" s="2" t="s">
        <v>72</v>
      </c>
      <c r="F43" s="2" t="s">
        <v>587</v>
      </c>
      <c r="G43" s="2" t="s">
        <v>163</v>
      </c>
      <c r="H43" s="2" t="s">
        <v>580</v>
      </c>
      <c r="I43" s="2" t="s">
        <v>588</v>
      </c>
      <c r="J43" s="2" t="s">
        <v>589</v>
      </c>
      <c r="K43" s="2" t="s">
        <v>77</v>
      </c>
      <c r="L43" s="2" t="s">
        <v>77</v>
      </c>
      <c r="M43" s="2" t="s">
        <v>590</v>
      </c>
      <c r="N43" s="2" t="s">
        <v>79</v>
      </c>
      <c r="O43" s="2" t="s">
        <v>591</v>
      </c>
      <c r="P43" s="3" t="n">
        <v>63</v>
      </c>
      <c r="Q43" s="3" t="n">
        <v>31180</v>
      </c>
      <c r="R43" s="3" t="n">
        <v>12820</v>
      </c>
      <c r="S43" s="3" t="n">
        <v>12696</v>
      </c>
      <c r="T43" s="3" t="n">
        <v>11844</v>
      </c>
      <c r="U43" s="3" t="n">
        <v>6516</v>
      </c>
      <c r="V43" s="3" t="n">
        <v>0</v>
      </c>
      <c r="W43" s="3" t="n">
        <v>0</v>
      </c>
      <c r="X43" s="3" t="n">
        <v>208</v>
      </c>
      <c r="Y43" s="3" t="n">
        <v>178</v>
      </c>
      <c r="Z43" s="3" t="n">
        <v>7</v>
      </c>
      <c r="AA43" s="3" t="n">
        <v>12</v>
      </c>
      <c r="AB43" s="3" t="n">
        <v>3</v>
      </c>
      <c r="AC43" s="3" t="n">
        <v>8</v>
      </c>
      <c r="AD43" s="3" t="n">
        <v>13</v>
      </c>
      <c r="AE43" s="3" t="n">
        <v>90</v>
      </c>
      <c r="AF43" s="3" t="n">
        <v>24</v>
      </c>
      <c r="AG43" s="3" t="n">
        <v>81</v>
      </c>
      <c r="AH43" s="2" t="s">
        <v>592</v>
      </c>
      <c r="AI43" s="3" t="n">
        <v>208</v>
      </c>
      <c r="AJ43" s="2" t="n">
        <v>14</v>
      </c>
      <c r="AK43" s="2" t="n">
        <f aca="false">COUNTIFS(secondary_acts!$A$2:$A$771,$A43,secondary_acts!$E$2:$E$771,"implementing")</f>
        <v>1</v>
      </c>
      <c r="AL43" s="2" t="n">
        <f aca="false">COUNTIFS(secondary_acts!$A$2:$A$771,$A43,secondary_acts!$E$2:$E$771,"delegated")</f>
        <v>0</v>
      </c>
      <c r="AM43" s="2" t="n">
        <f aca="false">COUNTIFS(secondary_acts!$A$2:$A$771,$A43,secondary_acts!$E$2:$E$771,"other Commission/Council act")</f>
        <v>0</v>
      </c>
      <c r="AN43" s="2" t="n">
        <f aca="false">COUNTIFS(secondary_acts!$A$2:$A$771,$A43,secondary_acts!$E$2:$E$771,"guidance")</f>
        <v>0</v>
      </c>
      <c r="AO43" s="2" t="n">
        <f aca="false">COUNTIF(guidance_web!$A$2:$A$7,$A43)</f>
        <v>0</v>
      </c>
      <c r="AP43" s="2" t="n">
        <f aca="false">COUNTIFS(guidance_agencies!$A$2:$A$81,$A43,guidance_agencies!$D$2:$D$81,"EDPB")</f>
        <v>0</v>
      </c>
      <c r="AQ43" s="2" t="n">
        <f aca="false">COUNTIFS(guidance_agencies!$A$2:$A$81,$A43,guidance_agencies!$D$2:$D$81,"EBA")</f>
        <v>0</v>
      </c>
      <c r="AR43" s="2" t="n">
        <f aca="false">COUNTIFS(guidance_agencies!$A$2:$A$81,$A43,guidance_agencies!$D$2:$D$81,"ESMA")</f>
        <v>0</v>
      </c>
      <c r="AS43" s="3" t="n">
        <f aca="false">SUMIFS(secondary_acts!$S$2:$S$771,secondary_acts!$A$2:$A$771,$A43,secondary_acts!$E$2:$E$771,"implementing")+SUMIFS(secondary_acts!$S$2:$S$771,secondary_acts!$A$2:$A$771,$A43,secondary_acts!$E$2:$E$771,"delegated")</f>
        <v>59</v>
      </c>
      <c r="AT43" s="3"/>
      <c r="AU43" s="2"/>
      <c r="AV43" s="2" t="n">
        <v>0</v>
      </c>
      <c r="AW43" s="2"/>
      <c r="AX43" s="2"/>
      <c r="AY43" s="2" t="n">
        <v>2</v>
      </c>
      <c r="AZ43" s="2" t="s">
        <v>593</v>
      </c>
      <c r="BA43" s="2" t="s">
        <v>157</v>
      </c>
      <c r="BB43" s="2" t="n">
        <v>16549</v>
      </c>
      <c r="BC43" s="2" t="n">
        <v>137</v>
      </c>
      <c r="BD43" s="2" t="n">
        <v>4</v>
      </c>
      <c r="BE43" s="2" t="n">
        <f aca="false">IF(ISNUMBER(BB43),Q43-BB43,"")</f>
        <v>14631</v>
      </c>
      <c r="BF43" s="4" t="n">
        <f aca="false">IF(AND(ISNUMBER(BB43),BB43&gt;0),(Q43-BB43)/BB43,"")</f>
        <v>0.884101758414406</v>
      </c>
      <c r="BG43" s="2" t="n">
        <f aca="false">IF(ISNUMBER(BC43),X43-BC43,"")</f>
        <v>71</v>
      </c>
      <c r="BH43" s="4" t="n">
        <f aca="false">IF(AND(ISNUMBER(BC43),BC43&gt;0),(X43-BC43)/BC43,"")</f>
        <v>0.518248175182482</v>
      </c>
      <c r="BI43" s="2" t="n">
        <f aca="false">IF(ISNUMBER(BD43),AD43-BD43,"")</f>
        <v>9</v>
      </c>
      <c r="BJ43" s="2" t="s">
        <v>429</v>
      </c>
      <c r="BK43" s="2" t="s">
        <v>594</v>
      </c>
      <c r="BL43" s="2" t="s">
        <v>595</v>
      </c>
      <c r="BM43" s="2" t="n">
        <v>2</v>
      </c>
      <c r="BN43" s="2" t="n">
        <v>0</v>
      </c>
      <c r="BO43" s="2" t="n">
        <v>1</v>
      </c>
      <c r="BP43" s="2" t="n">
        <v>0</v>
      </c>
      <c r="BQ43" s="2"/>
    </row>
    <row r="44" customFormat="false" ht="15" hidden="false" customHeight="false" outlineLevel="0" collapsed="false">
      <c r="A44" s="2" t="n">
        <v>43</v>
      </c>
      <c r="B44" s="2" t="s">
        <v>596</v>
      </c>
      <c r="C44" s="2" t="s">
        <v>597</v>
      </c>
      <c r="D44" s="2" t="s">
        <v>188</v>
      </c>
      <c r="E44" s="2" t="s">
        <v>72</v>
      </c>
      <c r="F44" s="2" t="s">
        <v>598</v>
      </c>
      <c r="G44" s="2" t="s">
        <v>163</v>
      </c>
      <c r="H44" s="2" t="s">
        <v>449</v>
      </c>
      <c r="I44" s="2" t="s">
        <v>599</v>
      </c>
      <c r="J44" s="2" t="s">
        <v>600</v>
      </c>
      <c r="K44" s="2" t="s">
        <v>77</v>
      </c>
      <c r="L44" s="2" t="s">
        <v>77</v>
      </c>
      <c r="M44" s="2" t="s">
        <v>601</v>
      </c>
      <c r="N44" s="2" t="s">
        <v>79</v>
      </c>
      <c r="O44" s="2" t="s">
        <v>602</v>
      </c>
      <c r="P44" s="3" t="n">
        <v>28</v>
      </c>
      <c r="Q44" s="3" t="n">
        <v>14648</v>
      </c>
      <c r="R44" s="3" t="n">
        <v>8645</v>
      </c>
      <c r="S44" s="3" t="n">
        <v>8528</v>
      </c>
      <c r="T44" s="3" t="n">
        <v>5395</v>
      </c>
      <c r="U44" s="3" t="n">
        <v>608</v>
      </c>
      <c r="V44" s="3" t="n">
        <v>0</v>
      </c>
      <c r="W44" s="3" t="n">
        <v>0</v>
      </c>
      <c r="X44" s="3" t="n">
        <v>98</v>
      </c>
      <c r="Y44" s="3" t="n">
        <v>79</v>
      </c>
      <c r="Z44" s="3" t="n">
        <v>11</v>
      </c>
      <c r="AA44" s="3" t="n">
        <v>0</v>
      </c>
      <c r="AB44" s="3" t="n">
        <v>4</v>
      </c>
      <c r="AC44" s="3" t="n">
        <v>4</v>
      </c>
      <c r="AD44" s="3" t="n">
        <v>8</v>
      </c>
      <c r="AE44" s="3" t="n">
        <v>39</v>
      </c>
      <c r="AF44" s="3" t="n">
        <v>11</v>
      </c>
      <c r="AG44" s="3" t="n">
        <v>40</v>
      </c>
      <c r="AH44" s="2"/>
      <c r="AI44" s="3"/>
      <c r="AJ44" s="2"/>
      <c r="AK44" s="2" t="n">
        <f aca="false">COUNTIFS(secondary_acts!$A$2:$A$771,$A44,secondary_acts!$E$2:$E$771,"implementing")</f>
        <v>1</v>
      </c>
      <c r="AL44" s="2" t="n">
        <f aca="false">COUNTIFS(secondary_acts!$A$2:$A$771,$A44,secondary_acts!$E$2:$E$771,"delegated")</f>
        <v>0</v>
      </c>
      <c r="AM44" s="2" t="n">
        <f aca="false">COUNTIFS(secondary_acts!$A$2:$A$771,$A44,secondary_acts!$E$2:$E$771,"other Commission/Council act")</f>
        <v>0</v>
      </c>
      <c r="AN44" s="2" t="n">
        <f aca="false">COUNTIFS(secondary_acts!$A$2:$A$771,$A44,secondary_acts!$E$2:$E$771,"guidance")</f>
        <v>0</v>
      </c>
      <c r="AO44" s="2" t="n">
        <f aca="false">COUNTIF(guidance_web!$A$2:$A$7,$A44)</f>
        <v>0</v>
      </c>
      <c r="AP44" s="2" t="n">
        <f aca="false">COUNTIFS(guidance_agencies!$A$2:$A$81,$A44,guidance_agencies!$D$2:$D$81,"EDPB")</f>
        <v>0</v>
      </c>
      <c r="AQ44" s="2" t="n">
        <f aca="false">COUNTIFS(guidance_agencies!$A$2:$A$81,$A44,guidance_agencies!$D$2:$D$81,"EBA")</f>
        <v>0</v>
      </c>
      <c r="AR44" s="2" t="n">
        <f aca="false">COUNTIFS(guidance_agencies!$A$2:$A$81,$A44,guidance_agencies!$D$2:$D$81,"ESMA")</f>
        <v>0</v>
      </c>
      <c r="AS44" s="3" t="n">
        <f aca="false">SUMIFS(secondary_acts!$S$2:$S$771,secondary_acts!$A$2:$A$771,$A44,secondary_acts!$E$2:$E$771,"implementing")+SUMIFS(secondary_acts!$S$2:$S$771,secondary_acts!$A$2:$A$771,$A44,secondary_acts!$E$2:$E$771,"delegated")</f>
        <v>59</v>
      </c>
      <c r="AT44" s="3" t="n">
        <v>1064</v>
      </c>
      <c r="AU44" s="2" t="n">
        <v>27</v>
      </c>
      <c r="AV44" s="2" t="n">
        <v>0</v>
      </c>
      <c r="AW44" s="2"/>
      <c r="AX44" s="2"/>
      <c r="AY44" s="2" t="n">
        <v>0</v>
      </c>
      <c r="AZ44" s="2" t="s">
        <v>603</v>
      </c>
      <c r="BA44" s="2" t="s">
        <v>157</v>
      </c>
      <c r="BB44" s="2" t="n">
        <v>13415</v>
      </c>
      <c r="BC44" s="2" t="n">
        <v>93</v>
      </c>
      <c r="BD44" s="2" t="n">
        <v>7</v>
      </c>
      <c r="BE44" s="2" t="n">
        <f aca="false">IF(ISNUMBER(BB44),Q44-BB44,"")</f>
        <v>1233</v>
      </c>
      <c r="BF44" s="4" t="n">
        <f aca="false">IF(AND(ISNUMBER(BB44),BB44&gt;0),(Q44-BB44)/BB44,"")</f>
        <v>0.0919120387625792</v>
      </c>
      <c r="BG44" s="2" t="n">
        <f aca="false">IF(ISNUMBER(BC44),X44-BC44,"")</f>
        <v>5</v>
      </c>
      <c r="BH44" s="4" t="n">
        <f aca="false">IF(AND(ISNUMBER(BC44),BC44&gt;0),(X44-BC44)/BC44,"")</f>
        <v>0.0537634408602151</v>
      </c>
      <c r="BI44" s="2" t="n">
        <f aca="false">IF(ISNUMBER(BD44),AD44-BD44,"")</f>
        <v>1</v>
      </c>
      <c r="BJ44" s="2" t="s">
        <v>85</v>
      </c>
      <c r="BK44" s="2" t="s">
        <v>604</v>
      </c>
      <c r="BL44" s="2" t="s">
        <v>605</v>
      </c>
      <c r="BM44" s="2" t="n">
        <v>5</v>
      </c>
      <c r="BN44" s="2" t="n">
        <v>2</v>
      </c>
      <c r="BO44" s="2" t="n">
        <v>4</v>
      </c>
      <c r="BP44" s="2" t="n">
        <v>1</v>
      </c>
      <c r="BQ44" s="2"/>
    </row>
    <row r="45" customFormat="false" ht="15" hidden="false" customHeight="false" outlineLevel="0" collapsed="false">
      <c r="A45" s="2" t="n">
        <v>44</v>
      </c>
      <c r="B45" s="2" t="s">
        <v>606</v>
      </c>
      <c r="C45" s="2" t="s">
        <v>607</v>
      </c>
      <c r="D45" s="2" t="s">
        <v>215</v>
      </c>
      <c r="E45" s="2" t="s">
        <v>72</v>
      </c>
      <c r="F45" s="2" t="s">
        <v>608</v>
      </c>
      <c r="G45" s="2" t="s">
        <v>163</v>
      </c>
      <c r="H45" s="2" t="s">
        <v>449</v>
      </c>
      <c r="I45" s="2" t="s">
        <v>609</v>
      </c>
      <c r="J45" s="2" t="s">
        <v>610</v>
      </c>
      <c r="K45" s="2" t="s">
        <v>77</v>
      </c>
      <c r="L45" s="2" t="s">
        <v>77</v>
      </c>
      <c r="M45" s="2" t="s">
        <v>611</v>
      </c>
      <c r="N45" s="2" t="s">
        <v>79</v>
      </c>
      <c r="O45" s="2" t="s">
        <v>612</v>
      </c>
      <c r="P45" s="3" t="n">
        <v>23</v>
      </c>
      <c r="Q45" s="3" t="n">
        <v>14939</v>
      </c>
      <c r="R45" s="3" t="n">
        <v>8985</v>
      </c>
      <c r="S45" s="3" t="n">
        <v>8863</v>
      </c>
      <c r="T45" s="3" t="n">
        <v>5954</v>
      </c>
      <c r="U45" s="3" t="n">
        <v>0</v>
      </c>
      <c r="V45" s="3" t="n">
        <v>0</v>
      </c>
      <c r="W45" s="3" t="n">
        <v>0</v>
      </c>
      <c r="X45" s="3" t="n">
        <v>78</v>
      </c>
      <c r="Y45" s="3" t="n">
        <v>70</v>
      </c>
      <c r="Z45" s="3" t="n">
        <v>1</v>
      </c>
      <c r="AA45" s="3" t="n">
        <v>1</v>
      </c>
      <c r="AB45" s="3" t="n">
        <v>1</v>
      </c>
      <c r="AC45" s="3" t="n">
        <v>5</v>
      </c>
      <c r="AD45" s="3" t="n">
        <v>40</v>
      </c>
      <c r="AE45" s="3" t="n">
        <v>8</v>
      </c>
      <c r="AF45" s="3" t="n">
        <v>13</v>
      </c>
      <c r="AG45" s="3" t="n">
        <v>17</v>
      </c>
      <c r="AH45" s="2" t="s">
        <v>613</v>
      </c>
      <c r="AI45" s="3" t="n">
        <v>78</v>
      </c>
      <c r="AJ45" s="2" t="n">
        <v>40</v>
      </c>
      <c r="AK45" s="2" t="n">
        <f aca="false">COUNTIFS(secondary_acts!$A$2:$A$771,$A45,secondary_acts!$E$2:$E$771,"implementing")</f>
        <v>0</v>
      </c>
      <c r="AL45" s="2" t="n">
        <f aca="false">COUNTIFS(secondary_acts!$A$2:$A$771,$A45,secondary_acts!$E$2:$E$771,"delegated")</f>
        <v>0</v>
      </c>
      <c r="AM45" s="2" t="n">
        <f aca="false">COUNTIFS(secondary_acts!$A$2:$A$771,$A45,secondary_acts!$E$2:$E$771,"other Commission/Council act")</f>
        <v>0</v>
      </c>
      <c r="AN45" s="2" t="n">
        <f aca="false">COUNTIFS(secondary_acts!$A$2:$A$771,$A45,secondary_acts!$E$2:$E$771,"guidance")</f>
        <v>1</v>
      </c>
      <c r="AO45" s="2" t="n">
        <f aca="false">COUNTIF(guidance_web!$A$2:$A$7,$A45)</f>
        <v>0</v>
      </c>
      <c r="AP45" s="2" t="n">
        <f aca="false">COUNTIFS(guidance_agencies!$A$2:$A$81,$A45,guidance_agencies!$D$2:$D$81,"EDPB")</f>
        <v>0</v>
      </c>
      <c r="AQ45" s="2" t="n">
        <f aca="false">COUNTIFS(guidance_agencies!$A$2:$A$81,$A45,guidance_agencies!$D$2:$D$81,"EBA")</f>
        <v>0</v>
      </c>
      <c r="AR45" s="2" t="n">
        <f aca="false">COUNTIFS(guidance_agencies!$A$2:$A$81,$A45,guidance_agencies!$D$2:$D$81,"ESMA")</f>
        <v>0</v>
      </c>
      <c r="AS45" s="3" t="n">
        <f aca="false">SUMIFS(secondary_acts!$S$2:$S$771,secondary_acts!$A$2:$A$771,$A45,secondary_acts!$E$2:$E$771,"implementing")+SUMIFS(secondary_acts!$S$2:$S$771,secondary_acts!$A$2:$A$771,$A45,secondary_acts!$E$2:$E$771,"delegated")</f>
        <v>0</v>
      </c>
      <c r="AT45" s="3"/>
      <c r="AU45" s="2"/>
      <c r="AV45" s="2" t="n">
        <v>0</v>
      </c>
      <c r="AW45" s="2"/>
      <c r="AX45" s="2"/>
      <c r="AY45" s="2" t="n">
        <v>2</v>
      </c>
      <c r="AZ45" s="2" t="s">
        <v>614</v>
      </c>
      <c r="BA45" s="2" t="s">
        <v>157</v>
      </c>
      <c r="BB45" s="2" t="n">
        <v>7530</v>
      </c>
      <c r="BC45" s="2" t="n">
        <v>42</v>
      </c>
      <c r="BD45" s="2" t="n">
        <v>23</v>
      </c>
      <c r="BE45" s="2" t="n">
        <f aca="false">IF(ISNUMBER(BB45),Q45-BB45,"")</f>
        <v>7409</v>
      </c>
      <c r="BF45" s="4" t="n">
        <f aca="false">IF(AND(ISNUMBER(BB45),BB45&gt;0),(Q45-BB45)/BB45,"")</f>
        <v>0.983930942895086</v>
      </c>
      <c r="BG45" s="2" t="n">
        <f aca="false">IF(ISNUMBER(BC45),X45-BC45,"")</f>
        <v>36</v>
      </c>
      <c r="BH45" s="4" t="n">
        <f aca="false">IF(AND(ISNUMBER(BC45),BC45&gt;0),(X45-BC45)/BC45,"")</f>
        <v>0.857142857142857</v>
      </c>
      <c r="BI45" s="2" t="n">
        <f aca="false">IF(ISNUMBER(BD45),AD45-BD45,"")</f>
        <v>17</v>
      </c>
      <c r="BJ45" s="2" t="s">
        <v>85</v>
      </c>
      <c r="BK45" s="2" t="s">
        <v>615</v>
      </c>
      <c r="BL45" s="2" t="s">
        <v>616</v>
      </c>
      <c r="BM45" s="2" t="n">
        <v>5</v>
      </c>
      <c r="BN45" s="2" t="n">
        <v>4</v>
      </c>
      <c r="BO45" s="2" t="n">
        <v>4</v>
      </c>
      <c r="BP45" s="2" t="n">
        <v>0</v>
      </c>
      <c r="BQ45" s="2" t="s">
        <v>118</v>
      </c>
    </row>
    <row r="46" customFormat="false" ht="15" hidden="false" customHeight="false" outlineLevel="0" collapsed="false">
      <c r="A46" s="2" t="n">
        <v>45</v>
      </c>
      <c r="B46" s="2" t="s">
        <v>617</v>
      </c>
      <c r="C46" s="2" t="s">
        <v>618</v>
      </c>
      <c r="D46" s="2" t="s">
        <v>619</v>
      </c>
      <c r="E46" s="2" t="s">
        <v>72</v>
      </c>
      <c r="F46" s="2" t="s">
        <v>620</v>
      </c>
      <c r="G46" s="2" t="s">
        <v>163</v>
      </c>
      <c r="H46" s="2" t="s">
        <v>621</v>
      </c>
      <c r="I46" s="2" t="s">
        <v>622</v>
      </c>
      <c r="J46" s="2" t="s">
        <v>623</v>
      </c>
      <c r="K46" s="2" t="s">
        <v>77</v>
      </c>
      <c r="L46" s="2" t="s">
        <v>77</v>
      </c>
      <c r="M46" s="2" t="s">
        <v>624</v>
      </c>
      <c r="N46" s="2" t="s">
        <v>79</v>
      </c>
      <c r="O46" s="2" t="s">
        <v>625</v>
      </c>
      <c r="P46" s="3" t="n">
        <v>34</v>
      </c>
      <c r="Q46" s="3" t="n">
        <v>17444</v>
      </c>
      <c r="R46" s="3" t="n">
        <v>6687</v>
      </c>
      <c r="S46" s="3" t="n">
        <v>6557</v>
      </c>
      <c r="T46" s="3" t="n">
        <v>7371</v>
      </c>
      <c r="U46" s="3" t="n">
        <v>3386</v>
      </c>
      <c r="V46" s="3" t="n">
        <v>0</v>
      </c>
      <c r="W46" s="3" t="n">
        <v>0</v>
      </c>
      <c r="X46" s="3" t="n">
        <v>132</v>
      </c>
      <c r="Y46" s="3" t="n">
        <v>115</v>
      </c>
      <c r="Z46" s="3" t="n">
        <v>3</v>
      </c>
      <c r="AA46" s="3" t="n">
        <v>1</v>
      </c>
      <c r="AB46" s="3" t="n">
        <v>1</v>
      </c>
      <c r="AC46" s="3" t="n">
        <v>12</v>
      </c>
      <c r="AD46" s="3" t="n">
        <v>8</v>
      </c>
      <c r="AE46" s="3" t="n">
        <v>2</v>
      </c>
      <c r="AF46" s="3" t="n">
        <v>45</v>
      </c>
      <c r="AG46" s="3" t="n">
        <v>77</v>
      </c>
      <c r="AH46" s="2" t="s">
        <v>626</v>
      </c>
      <c r="AI46" s="3" t="n">
        <v>143</v>
      </c>
      <c r="AJ46" s="2" t="n">
        <v>8</v>
      </c>
      <c r="AK46" s="2" t="n">
        <f aca="false">COUNTIFS(secondary_acts!$A$2:$A$771,$A46,secondary_acts!$E$2:$E$771,"implementing")</f>
        <v>1</v>
      </c>
      <c r="AL46" s="2" t="n">
        <f aca="false">COUNTIFS(secondary_acts!$A$2:$A$771,$A46,secondary_acts!$E$2:$E$771,"delegated")</f>
        <v>0</v>
      </c>
      <c r="AM46" s="2" t="n">
        <f aca="false">COUNTIFS(secondary_acts!$A$2:$A$771,$A46,secondary_acts!$E$2:$E$771,"other Commission/Council act")</f>
        <v>0</v>
      </c>
      <c r="AN46" s="2" t="n">
        <f aca="false">COUNTIFS(secondary_acts!$A$2:$A$771,$A46,secondary_acts!$E$2:$E$771,"guidance")</f>
        <v>0</v>
      </c>
      <c r="AO46" s="2" t="n">
        <f aca="false">COUNTIF(guidance_web!$A$2:$A$7,$A46)</f>
        <v>0</v>
      </c>
      <c r="AP46" s="2" t="n">
        <f aca="false">COUNTIFS(guidance_agencies!$A$2:$A$81,$A46,guidance_agencies!$D$2:$D$81,"EDPB")</f>
        <v>0</v>
      </c>
      <c r="AQ46" s="2" t="n">
        <f aca="false">COUNTIFS(guidance_agencies!$A$2:$A$81,$A46,guidance_agencies!$D$2:$D$81,"EBA")</f>
        <v>0</v>
      </c>
      <c r="AR46" s="2" t="n">
        <f aca="false">COUNTIFS(guidance_agencies!$A$2:$A$81,$A46,guidance_agencies!$D$2:$D$81,"ESMA")</f>
        <v>0</v>
      </c>
      <c r="AS46" s="3" t="n">
        <f aca="false">SUMIFS(secondary_acts!$S$2:$S$771,secondary_acts!$A$2:$A$771,$A46,secondary_acts!$E$2:$E$771,"implementing")+SUMIFS(secondary_acts!$S$2:$S$771,secondary_acts!$A$2:$A$771,$A46,secondary_acts!$E$2:$E$771,"delegated")</f>
        <v>0</v>
      </c>
      <c r="AT46" s="3"/>
      <c r="AU46" s="2"/>
      <c r="AV46" s="2" t="n">
        <v>3</v>
      </c>
      <c r="AW46" s="2" t="s">
        <v>627</v>
      </c>
      <c r="AX46" s="2" t="s">
        <v>628</v>
      </c>
      <c r="AY46" s="2" t="n">
        <v>1</v>
      </c>
      <c r="AZ46" s="2" t="s">
        <v>629</v>
      </c>
      <c r="BA46" s="2" t="s">
        <v>157</v>
      </c>
      <c r="BB46" s="2" t="n">
        <v>11557</v>
      </c>
      <c r="BC46" s="2" t="n">
        <v>81</v>
      </c>
      <c r="BD46" s="2" t="n">
        <v>2</v>
      </c>
      <c r="BE46" s="2" t="n">
        <f aca="false">IF(ISNUMBER(BB46),Q46-BB46,"")</f>
        <v>5887</v>
      </c>
      <c r="BF46" s="4" t="n">
        <f aca="false">IF(AND(ISNUMBER(BB46),BB46&gt;0),(Q46-BB46)/BB46,"")</f>
        <v>0.50938824954573</v>
      </c>
      <c r="BG46" s="2" t="n">
        <f aca="false">IF(ISNUMBER(BC46),X46-BC46,"")</f>
        <v>51</v>
      </c>
      <c r="BH46" s="4" t="n">
        <f aca="false">IF(AND(ISNUMBER(BC46),BC46&gt;0),(X46-BC46)/BC46,"")</f>
        <v>0.62962962962963</v>
      </c>
      <c r="BI46" s="2" t="n">
        <f aca="false">IF(ISNUMBER(BD46),AD46-BD46,"")</f>
        <v>6</v>
      </c>
      <c r="BJ46" s="2" t="s">
        <v>85</v>
      </c>
      <c r="BK46" s="2" t="s">
        <v>630</v>
      </c>
      <c r="BL46" s="2" t="s">
        <v>631</v>
      </c>
      <c r="BM46" s="2" t="n">
        <v>5</v>
      </c>
      <c r="BN46" s="2" t="n">
        <v>4</v>
      </c>
      <c r="BO46" s="2" t="n">
        <v>1</v>
      </c>
      <c r="BP46" s="2" t="n">
        <v>0</v>
      </c>
      <c r="BQ46" s="2"/>
    </row>
    <row r="47" customFormat="false" ht="15" hidden="false" customHeight="false" outlineLevel="0" collapsed="false">
      <c r="A47" s="2" t="n">
        <v>46</v>
      </c>
      <c r="B47" s="2" t="s">
        <v>632</v>
      </c>
      <c r="C47" s="2" t="s">
        <v>633</v>
      </c>
      <c r="D47" s="2" t="s">
        <v>634</v>
      </c>
      <c r="E47" s="2" t="s">
        <v>72</v>
      </c>
      <c r="F47" s="2" t="s">
        <v>620</v>
      </c>
      <c r="G47" s="2" t="s">
        <v>163</v>
      </c>
      <c r="H47" s="2" t="s">
        <v>635</v>
      </c>
      <c r="I47" s="2" t="s">
        <v>636</v>
      </c>
      <c r="J47" s="2" t="s">
        <v>636</v>
      </c>
      <c r="K47" s="2" t="s">
        <v>77</v>
      </c>
      <c r="L47" s="2" t="s">
        <v>77</v>
      </c>
      <c r="M47" s="2" t="s">
        <v>637</v>
      </c>
      <c r="N47" s="2" t="s">
        <v>79</v>
      </c>
      <c r="O47" s="2" t="s">
        <v>638</v>
      </c>
      <c r="P47" s="3" t="n">
        <v>60</v>
      </c>
      <c r="Q47" s="3" t="n">
        <v>32522</v>
      </c>
      <c r="R47" s="3" t="n">
        <v>9593</v>
      </c>
      <c r="S47" s="3" t="n">
        <v>9470</v>
      </c>
      <c r="T47" s="3" t="n">
        <v>16804</v>
      </c>
      <c r="U47" s="3" t="n">
        <v>6125</v>
      </c>
      <c r="V47" s="3" t="n">
        <v>0</v>
      </c>
      <c r="W47" s="3" t="n">
        <v>0</v>
      </c>
      <c r="X47" s="3" t="n">
        <v>262</v>
      </c>
      <c r="Y47" s="3" t="n">
        <v>247</v>
      </c>
      <c r="Z47" s="3" t="n">
        <v>6</v>
      </c>
      <c r="AA47" s="3" t="n">
        <v>3</v>
      </c>
      <c r="AB47" s="3" t="n">
        <v>0</v>
      </c>
      <c r="AC47" s="3" t="n">
        <v>6</v>
      </c>
      <c r="AD47" s="3" t="n">
        <v>18</v>
      </c>
      <c r="AE47" s="3" t="n">
        <v>9</v>
      </c>
      <c r="AF47" s="3" t="n">
        <v>101</v>
      </c>
      <c r="AG47" s="3" t="n">
        <v>134</v>
      </c>
      <c r="AH47" s="2" t="s">
        <v>639</v>
      </c>
      <c r="AI47" s="3" t="n">
        <v>285</v>
      </c>
      <c r="AJ47" s="2" t="n">
        <v>21</v>
      </c>
      <c r="AK47" s="2" t="n">
        <f aca="false">COUNTIFS(secondary_acts!$A$2:$A$771,$A47,secondary_acts!$E$2:$E$771,"implementing")</f>
        <v>2</v>
      </c>
      <c r="AL47" s="2" t="n">
        <f aca="false">COUNTIFS(secondary_acts!$A$2:$A$771,$A47,secondary_acts!$E$2:$E$771,"delegated")</f>
        <v>3</v>
      </c>
      <c r="AM47" s="2" t="n">
        <f aca="false">COUNTIFS(secondary_acts!$A$2:$A$771,$A47,secondary_acts!$E$2:$E$771,"other Commission/Council act")</f>
        <v>0</v>
      </c>
      <c r="AN47" s="2" t="n">
        <f aca="false">COUNTIFS(secondary_acts!$A$2:$A$771,$A47,secondary_acts!$E$2:$E$771,"guidance")</f>
        <v>2</v>
      </c>
      <c r="AO47" s="2" t="n">
        <f aca="false">COUNTIF(guidance_web!$A$2:$A$7,$A47)</f>
        <v>0</v>
      </c>
      <c r="AP47" s="2" t="n">
        <f aca="false">COUNTIFS(guidance_agencies!$A$2:$A$81,$A47,guidance_agencies!$D$2:$D$81,"EDPB")</f>
        <v>0</v>
      </c>
      <c r="AQ47" s="2" t="n">
        <f aca="false">COUNTIFS(guidance_agencies!$A$2:$A$81,$A47,guidance_agencies!$D$2:$D$81,"EBA")</f>
        <v>0</v>
      </c>
      <c r="AR47" s="2" t="n">
        <f aca="false">COUNTIFS(guidance_agencies!$A$2:$A$81,$A47,guidance_agencies!$D$2:$D$81,"ESMA")</f>
        <v>0</v>
      </c>
      <c r="AS47" s="3" t="n">
        <f aca="false">SUMIFS(secondary_acts!$S$2:$S$771,secondary_acts!$A$2:$A$771,$A47,secondary_acts!$E$2:$E$771,"implementing")+SUMIFS(secondary_acts!$S$2:$S$771,secondary_acts!$A$2:$A$771,$A47,secondary_acts!$E$2:$E$771,"delegated")</f>
        <v>300</v>
      </c>
      <c r="AT47" s="3"/>
      <c r="AU47" s="2"/>
      <c r="AV47" s="2" t="n">
        <v>3</v>
      </c>
      <c r="AW47" s="2" t="s">
        <v>640</v>
      </c>
      <c r="AX47" s="2" t="s">
        <v>641</v>
      </c>
      <c r="AY47" s="2" t="n">
        <v>2</v>
      </c>
      <c r="AZ47" s="2" t="s">
        <v>642</v>
      </c>
      <c r="BA47" s="2" t="s">
        <v>157</v>
      </c>
      <c r="BB47" s="2" t="n">
        <v>30916</v>
      </c>
      <c r="BC47" s="2" t="n">
        <v>277</v>
      </c>
      <c r="BD47" s="2" t="n">
        <v>23</v>
      </c>
      <c r="BE47" s="2" t="n">
        <f aca="false">IF(ISNUMBER(BB47),Q47-BB47,"")</f>
        <v>1606</v>
      </c>
      <c r="BF47" s="4" t="n">
        <f aca="false">IF(AND(ISNUMBER(BB47),BB47&gt;0),(Q47-BB47)/BB47,"")</f>
        <v>0.0519472117997154</v>
      </c>
      <c r="BG47" s="2" t="n">
        <f aca="false">IF(ISNUMBER(BC47),X47-BC47,"")</f>
        <v>-15</v>
      </c>
      <c r="BH47" s="4" t="n">
        <f aca="false">IF(AND(ISNUMBER(BC47),BC47&gt;0),(X47-BC47)/BC47,"")</f>
        <v>-0.0541516245487365</v>
      </c>
      <c r="BI47" s="2" t="n">
        <f aca="false">IF(ISNUMBER(BD47),AD47-BD47,"")</f>
        <v>-5</v>
      </c>
      <c r="BJ47" s="2" t="s">
        <v>199</v>
      </c>
      <c r="BK47" s="2" t="s">
        <v>643</v>
      </c>
      <c r="BL47" s="2" t="s">
        <v>644</v>
      </c>
      <c r="BM47" s="2" t="n">
        <v>3</v>
      </c>
      <c r="BN47" s="2" t="n">
        <v>2</v>
      </c>
      <c r="BO47" s="2" t="n">
        <v>3</v>
      </c>
      <c r="BP47" s="2" t="n">
        <v>1</v>
      </c>
      <c r="BQ47" s="2"/>
    </row>
    <row r="48" customFormat="false" ht="15" hidden="false" customHeight="false" outlineLevel="0" collapsed="false">
      <c r="A48" s="2" t="n">
        <v>47</v>
      </c>
      <c r="B48" s="2" t="s">
        <v>645</v>
      </c>
      <c r="C48" s="2" t="s">
        <v>646</v>
      </c>
      <c r="D48" s="2" t="s">
        <v>634</v>
      </c>
      <c r="E48" s="2" t="s">
        <v>72</v>
      </c>
      <c r="F48" s="2" t="s">
        <v>620</v>
      </c>
      <c r="G48" s="2" t="s">
        <v>163</v>
      </c>
      <c r="H48" s="2" t="s">
        <v>647</v>
      </c>
      <c r="I48" s="2" t="s">
        <v>648</v>
      </c>
      <c r="J48" s="2" t="s">
        <v>648</v>
      </c>
      <c r="K48" s="2" t="s">
        <v>77</v>
      </c>
      <c r="L48" s="2" t="s">
        <v>77</v>
      </c>
      <c r="M48" s="2" t="s">
        <v>649</v>
      </c>
      <c r="N48" s="2" t="s">
        <v>79</v>
      </c>
      <c r="O48" s="2" t="s">
        <v>650</v>
      </c>
      <c r="P48" s="3" t="n">
        <v>44</v>
      </c>
      <c r="Q48" s="3" t="n">
        <v>21097</v>
      </c>
      <c r="R48" s="3" t="n">
        <v>7484</v>
      </c>
      <c r="S48" s="3" t="n">
        <v>7350</v>
      </c>
      <c r="T48" s="3" t="n">
        <v>9591</v>
      </c>
      <c r="U48" s="3" t="n">
        <v>4022</v>
      </c>
      <c r="V48" s="3" t="n">
        <v>0</v>
      </c>
      <c r="W48" s="3" t="n">
        <v>0</v>
      </c>
      <c r="X48" s="3" t="n">
        <v>138</v>
      </c>
      <c r="Y48" s="3" t="n">
        <v>117</v>
      </c>
      <c r="Z48" s="3" t="n">
        <v>16</v>
      </c>
      <c r="AA48" s="3" t="n">
        <v>2</v>
      </c>
      <c r="AB48" s="3" t="n">
        <v>1</v>
      </c>
      <c r="AC48" s="3" t="n">
        <v>2</v>
      </c>
      <c r="AD48" s="3" t="n">
        <v>11</v>
      </c>
      <c r="AE48" s="3" t="n">
        <v>6</v>
      </c>
      <c r="AF48" s="3" t="n">
        <v>37</v>
      </c>
      <c r="AG48" s="3" t="n">
        <v>84</v>
      </c>
      <c r="AH48" s="2" t="s">
        <v>651</v>
      </c>
      <c r="AI48" s="3" t="n">
        <v>141</v>
      </c>
      <c r="AJ48" s="2" t="n">
        <v>11</v>
      </c>
      <c r="AK48" s="2" t="n">
        <f aca="false">COUNTIFS(secondary_acts!$A$2:$A$771,$A48,secondary_acts!$E$2:$E$771,"implementing")</f>
        <v>1</v>
      </c>
      <c r="AL48" s="2" t="n">
        <f aca="false">COUNTIFS(secondary_acts!$A$2:$A$771,$A48,secondary_acts!$E$2:$E$771,"delegated")</f>
        <v>6</v>
      </c>
      <c r="AM48" s="2" t="n">
        <f aca="false">COUNTIFS(secondary_acts!$A$2:$A$771,$A48,secondary_acts!$E$2:$E$771,"other Commission/Council act")</f>
        <v>0</v>
      </c>
      <c r="AN48" s="2" t="n">
        <f aca="false">COUNTIFS(secondary_acts!$A$2:$A$771,$A48,secondary_acts!$E$2:$E$771,"guidance")</f>
        <v>1</v>
      </c>
      <c r="AO48" s="2" t="n">
        <f aca="false">COUNTIF(guidance_web!$A$2:$A$7,$A48)</f>
        <v>0</v>
      </c>
      <c r="AP48" s="2" t="n">
        <f aca="false">COUNTIFS(guidance_agencies!$A$2:$A$81,$A48,guidance_agencies!$D$2:$D$81,"EDPB")</f>
        <v>0</v>
      </c>
      <c r="AQ48" s="2" t="n">
        <f aca="false">COUNTIFS(guidance_agencies!$A$2:$A$81,$A48,guidance_agencies!$D$2:$D$81,"EBA")</f>
        <v>0</v>
      </c>
      <c r="AR48" s="2" t="n">
        <f aca="false">COUNTIFS(guidance_agencies!$A$2:$A$81,$A48,guidance_agencies!$D$2:$D$81,"ESMA")</f>
        <v>0</v>
      </c>
      <c r="AS48" s="3" t="n">
        <f aca="false">SUMIFS(secondary_acts!$S$2:$S$771,secondary_acts!$A$2:$A$771,$A48,secondary_acts!$E$2:$E$771,"implementing")+SUMIFS(secondary_acts!$S$2:$S$771,secondary_acts!$A$2:$A$771,$A48,secondary_acts!$E$2:$E$771,"delegated")</f>
        <v>53</v>
      </c>
      <c r="AT48" s="3"/>
      <c r="AU48" s="2"/>
      <c r="AV48" s="2" t="n">
        <v>3</v>
      </c>
      <c r="AW48" s="2" t="s">
        <v>437</v>
      </c>
      <c r="AX48" s="2" t="s">
        <v>628</v>
      </c>
      <c r="AY48" s="2" t="n">
        <v>2</v>
      </c>
      <c r="AZ48" s="2" t="s">
        <v>652</v>
      </c>
      <c r="BA48" s="2" t="s">
        <v>157</v>
      </c>
      <c r="BB48" s="2" t="n">
        <v>14679</v>
      </c>
      <c r="BC48" s="2" t="n">
        <v>91</v>
      </c>
      <c r="BD48" s="2" t="n">
        <v>6</v>
      </c>
      <c r="BE48" s="2" t="n">
        <f aca="false">IF(ISNUMBER(BB48),Q48-BB48,"")</f>
        <v>6418</v>
      </c>
      <c r="BF48" s="4" t="n">
        <f aca="false">IF(AND(ISNUMBER(BB48),BB48&gt;0),(Q48-BB48)/BB48,"")</f>
        <v>0.437223244090197</v>
      </c>
      <c r="BG48" s="2" t="n">
        <f aca="false">IF(ISNUMBER(BC48),X48-BC48,"")</f>
        <v>47</v>
      </c>
      <c r="BH48" s="4" t="n">
        <f aca="false">IF(AND(ISNUMBER(BC48),BC48&gt;0),(X48-BC48)/BC48,"")</f>
        <v>0.516483516483517</v>
      </c>
      <c r="BI48" s="2" t="n">
        <f aca="false">IF(ISNUMBER(BD48),AD48-BD48,"")</f>
        <v>5</v>
      </c>
      <c r="BJ48" s="2" t="s">
        <v>85</v>
      </c>
      <c r="BK48" s="2" t="s">
        <v>653</v>
      </c>
      <c r="BL48" s="2" t="s">
        <v>654</v>
      </c>
      <c r="BM48" s="2" t="n">
        <v>4</v>
      </c>
      <c r="BN48" s="2" t="n">
        <v>3</v>
      </c>
      <c r="BO48" s="2" t="n">
        <v>1</v>
      </c>
      <c r="BP48" s="2" t="n">
        <v>0</v>
      </c>
      <c r="BQ48" s="2"/>
    </row>
    <row r="49" customFormat="false" ht="15" hidden="false" customHeight="false" outlineLevel="0" collapsed="false">
      <c r="A49" s="2" t="n">
        <v>48</v>
      </c>
      <c r="B49" s="2" t="s">
        <v>655</v>
      </c>
      <c r="C49" s="2" t="s">
        <v>656</v>
      </c>
      <c r="D49" s="2" t="s">
        <v>619</v>
      </c>
      <c r="E49" s="2" t="s">
        <v>72</v>
      </c>
      <c r="F49" s="2" t="s">
        <v>657</v>
      </c>
      <c r="G49" s="2" t="s">
        <v>163</v>
      </c>
      <c r="H49" s="2" t="s">
        <v>658</v>
      </c>
      <c r="I49" s="2" t="s">
        <v>623</v>
      </c>
      <c r="J49" s="2" t="s">
        <v>623</v>
      </c>
      <c r="K49" s="2" t="s">
        <v>77</v>
      </c>
      <c r="L49" s="2" t="s">
        <v>77</v>
      </c>
      <c r="M49" s="2" t="s">
        <v>659</v>
      </c>
      <c r="N49" s="2" t="s">
        <v>79</v>
      </c>
      <c r="O49" s="2" t="s">
        <v>660</v>
      </c>
      <c r="P49" s="3" t="n">
        <v>68</v>
      </c>
      <c r="Q49" s="3" t="n">
        <v>35488</v>
      </c>
      <c r="R49" s="3" t="n">
        <v>8462</v>
      </c>
      <c r="S49" s="3" t="n">
        <v>8304</v>
      </c>
      <c r="T49" s="3" t="n">
        <v>18587</v>
      </c>
      <c r="U49" s="3" t="n">
        <v>8439</v>
      </c>
      <c r="V49" s="3" t="n">
        <v>0</v>
      </c>
      <c r="W49" s="3" t="n">
        <v>0</v>
      </c>
      <c r="X49" s="3" t="n">
        <v>365</v>
      </c>
      <c r="Y49" s="3" t="n">
        <v>304</v>
      </c>
      <c r="Z49" s="3" t="n">
        <v>17</v>
      </c>
      <c r="AA49" s="3" t="n">
        <v>1</v>
      </c>
      <c r="AB49" s="3" t="n">
        <v>4</v>
      </c>
      <c r="AC49" s="3" t="n">
        <v>39</v>
      </c>
      <c r="AD49" s="3" t="n">
        <v>52</v>
      </c>
      <c r="AE49" s="3" t="n">
        <v>6</v>
      </c>
      <c r="AF49" s="3" t="n">
        <v>66</v>
      </c>
      <c r="AG49" s="3" t="n">
        <v>241</v>
      </c>
      <c r="AH49" s="2" t="s">
        <v>661</v>
      </c>
      <c r="AI49" s="3" t="n">
        <v>372</v>
      </c>
      <c r="AJ49" s="2" t="n">
        <v>55</v>
      </c>
      <c r="AK49" s="2" t="n">
        <f aca="false">COUNTIFS(secondary_acts!$A$2:$A$771,$A49,secondary_acts!$E$2:$E$771,"implementing")</f>
        <v>0</v>
      </c>
      <c r="AL49" s="2" t="n">
        <f aca="false">COUNTIFS(secondary_acts!$A$2:$A$771,$A49,secondary_acts!$E$2:$E$771,"delegated")</f>
        <v>0</v>
      </c>
      <c r="AM49" s="2" t="n">
        <f aca="false">COUNTIFS(secondary_acts!$A$2:$A$771,$A49,secondary_acts!$E$2:$E$771,"other Commission/Council act")</f>
        <v>0</v>
      </c>
      <c r="AN49" s="2" t="n">
        <f aca="false">COUNTIFS(secondary_acts!$A$2:$A$771,$A49,secondary_acts!$E$2:$E$771,"guidance")</f>
        <v>0</v>
      </c>
      <c r="AO49" s="2" t="n">
        <f aca="false">COUNTIF(guidance_web!$A$2:$A$7,$A49)</f>
        <v>0</v>
      </c>
      <c r="AP49" s="2" t="n">
        <f aca="false">COUNTIFS(guidance_agencies!$A$2:$A$81,$A49,guidance_agencies!$D$2:$D$81,"EDPB")</f>
        <v>0</v>
      </c>
      <c r="AQ49" s="2" t="n">
        <f aca="false">COUNTIFS(guidance_agencies!$A$2:$A$81,$A49,guidance_agencies!$D$2:$D$81,"EBA")</f>
        <v>0</v>
      </c>
      <c r="AR49" s="2" t="n">
        <f aca="false">COUNTIFS(guidance_agencies!$A$2:$A$81,$A49,guidance_agencies!$D$2:$D$81,"ESMA")</f>
        <v>0</v>
      </c>
      <c r="AS49" s="3" t="n">
        <f aca="false">SUMIFS(secondary_acts!$S$2:$S$771,secondary_acts!$A$2:$A$771,$A49,secondary_acts!$E$2:$E$771,"implementing")+SUMIFS(secondary_acts!$S$2:$S$771,secondary_acts!$A$2:$A$771,$A49,secondary_acts!$E$2:$E$771,"delegated")</f>
        <v>0</v>
      </c>
      <c r="AT49" s="3"/>
      <c r="AU49" s="2"/>
      <c r="AV49" s="2" t="n">
        <v>3</v>
      </c>
      <c r="AW49" s="2" t="s">
        <v>640</v>
      </c>
      <c r="AX49" s="2" t="s">
        <v>628</v>
      </c>
      <c r="AY49" s="2" t="n">
        <v>5</v>
      </c>
      <c r="AZ49" s="2" t="s">
        <v>662</v>
      </c>
      <c r="BA49" s="2" t="s">
        <v>157</v>
      </c>
      <c r="BB49" s="2" t="n">
        <v>22209</v>
      </c>
      <c r="BC49" s="2" t="n">
        <v>185</v>
      </c>
      <c r="BD49" s="2" t="n">
        <v>40</v>
      </c>
      <c r="BE49" s="2" t="n">
        <f aca="false">IF(ISNUMBER(BB49),Q49-BB49,"")</f>
        <v>13279</v>
      </c>
      <c r="BF49" s="4" t="n">
        <f aca="false">IF(AND(ISNUMBER(BB49),BB49&gt;0),(Q49-BB49)/BB49,"")</f>
        <v>0.597910756900356</v>
      </c>
      <c r="BG49" s="2" t="n">
        <f aca="false">IF(ISNUMBER(BC49),X49-BC49,"")</f>
        <v>180</v>
      </c>
      <c r="BH49" s="4" t="n">
        <f aca="false">IF(AND(ISNUMBER(BC49),BC49&gt;0),(X49-BC49)/BC49,"")</f>
        <v>0.972972972972973</v>
      </c>
      <c r="BI49" s="2" t="n">
        <f aca="false">IF(ISNUMBER(BD49),AD49-BD49,"")</f>
        <v>12</v>
      </c>
      <c r="BJ49" s="2" t="s">
        <v>199</v>
      </c>
      <c r="BK49" s="2" t="s">
        <v>663</v>
      </c>
      <c r="BL49" s="2" t="s">
        <v>664</v>
      </c>
      <c r="BM49" s="2" t="n">
        <v>5</v>
      </c>
      <c r="BN49" s="2" t="n">
        <v>5</v>
      </c>
      <c r="BO49" s="2" t="n">
        <v>5</v>
      </c>
      <c r="BP49" s="2" t="n">
        <v>3</v>
      </c>
      <c r="BQ49" s="2"/>
    </row>
    <row r="50" customFormat="false" ht="15" hidden="false" customHeight="false" outlineLevel="0" collapsed="false">
      <c r="A50" s="2" t="n">
        <v>49</v>
      </c>
      <c r="B50" s="2" t="s">
        <v>665</v>
      </c>
      <c r="C50" s="2" t="s">
        <v>666</v>
      </c>
      <c r="D50" s="2" t="s">
        <v>215</v>
      </c>
      <c r="E50" s="2" t="s">
        <v>72</v>
      </c>
      <c r="F50" s="2" t="s">
        <v>657</v>
      </c>
      <c r="G50" s="2" t="s">
        <v>163</v>
      </c>
      <c r="H50" s="2" t="s">
        <v>658</v>
      </c>
      <c r="I50" s="2" t="s">
        <v>667</v>
      </c>
      <c r="J50" s="2" t="s">
        <v>667</v>
      </c>
      <c r="K50" s="2" t="s">
        <v>77</v>
      </c>
      <c r="L50" s="2" t="s">
        <v>77</v>
      </c>
      <c r="M50" s="2" t="s">
        <v>668</v>
      </c>
      <c r="N50" s="2" t="s">
        <v>79</v>
      </c>
      <c r="O50" s="2" t="s">
        <v>669</v>
      </c>
      <c r="P50" s="3" t="n">
        <v>47</v>
      </c>
      <c r="Q50" s="3" t="n">
        <v>25687</v>
      </c>
      <c r="R50" s="3" t="n">
        <v>12659</v>
      </c>
      <c r="S50" s="3" t="n">
        <v>12483</v>
      </c>
      <c r="T50" s="3" t="n">
        <v>8347</v>
      </c>
      <c r="U50" s="3" t="n">
        <v>4681</v>
      </c>
      <c r="V50" s="3" t="n">
        <v>0</v>
      </c>
      <c r="W50" s="3" t="n">
        <v>0</v>
      </c>
      <c r="X50" s="3" t="n">
        <v>78</v>
      </c>
      <c r="Y50" s="3" t="n">
        <v>74</v>
      </c>
      <c r="Z50" s="3" t="n">
        <v>3</v>
      </c>
      <c r="AA50" s="3" t="n">
        <v>0</v>
      </c>
      <c r="AB50" s="3" t="n">
        <v>0</v>
      </c>
      <c r="AC50" s="3" t="n">
        <v>1</v>
      </c>
      <c r="AD50" s="3" t="n">
        <v>2</v>
      </c>
      <c r="AE50" s="3" t="n">
        <v>3</v>
      </c>
      <c r="AF50" s="3" t="n">
        <v>32</v>
      </c>
      <c r="AG50" s="3" t="n">
        <v>41</v>
      </c>
      <c r="AH50" s="2" t="s">
        <v>670</v>
      </c>
      <c r="AI50" s="3" t="n">
        <v>78</v>
      </c>
      <c r="AJ50" s="2" t="n">
        <v>2</v>
      </c>
      <c r="AK50" s="2" t="n">
        <f aca="false">COUNTIFS(secondary_acts!$A$2:$A$771,$A50,secondary_acts!$E$2:$E$771,"implementing")</f>
        <v>0</v>
      </c>
      <c r="AL50" s="2" t="n">
        <f aca="false">COUNTIFS(secondary_acts!$A$2:$A$771,$A50,secondary_acts!$E$2:$E$771,"delegated")</f>
        <v>1</v>
      </c>
      <c r="AM50" s="2" t="n">
        <f aca="false">COUNTIFS(secondary_acts!$A$2:$A$771,$A50,secondary_acts!$E$2:$E$771,"other Commission/Council act")</f>
        <v>0</v>
      </c>
      <c r="AN50" s="2" t="n">
        <f aca="false">COUNTIFS(secondary_acts!$A$2:$A$771,$A50,secondary_acts!$E$2:$E$771,"guidance")</f>
        <v>0</v>
      </c>
      <c r="AO50" s="2" t="n">
        <f aca="false">COUNTIF(guidance_web!$A$2:$A$7,$A50)</f>
        <v>0</v>
      </c>
      <c r="AP50" s="2" t="n">
        <f aca="false">COUNTIFS(guidance_agencies!$A$2:$A$81,$A50,guidance_agencies!$D$2:$D$81,"EDPB")</f>
        <v>0</v>
      </c>
      <c r="AQ50" s="2" t="n">
        <f aca="false">COUNTIFS(guidance_agencies!$A$2:$A$81,$A50,guidance_agencies!$D$2:$D$81,"EBA")</f>
        <v>0</v>
      </c>
      <c r="AR50" s="2" t="n">
        <f aca="false">COUNTIFS(guidance_agencies!$A$2:$A$81,$A50,guidance_agencies!$D$2:$D$81,"ESMA")</f>
        <v>0</v>
      </c>
      <c r="AS50" s="3" t="n">
        <f aca="false">SUMIFS(secondary_acts!$S$2:$S$771,secondary_acts!$A$2:$A$771,$A50,secondary_acts!$E$2:$E$771,"implementing")+SUMIFS(secondary_acts!$S$2:$S$771,secondary_acts!$A$2:$A$771,$A50,secondary_acts!$E$2:$E$771,"delegated")</f>
        <v>7</v>
      </c>
      <c r="AT50" s="3"/>
      <c r="AU50" s="2"/>
      <c r="AV50" s="2" t="n">
        <v>0</v>
      </c>
      <c r="AW50" s="2"/>
      <c r="AX50" s="2"/>
      <c r="AY50" s="2" t="n">
        <v>3</v>
      </c>
      <c r="AZ50" s="2" t="s">
        <v>671</v>
      </c>
      <c r="BA50" s="2" t="s">
        <v>157</v>
      </c>
      <c r="BB50" s="2" t="n">
        <v>17461</v>
      </c>
      <c r="BC50" s="2" t="n">
        <v>43</v>
      </c>
      <c r="BD50" s="2" t="n">
        <v>1</v>
      </c>
      <c r="BE50" s="2" t="n">
        <f aca="false">IF(ISNUMBER(BB50),Q50-BB50,"")</f>
        <v>8226</v>
      </c>
      <c r="BF50" s="4" t="n">
        <f aca="false">IF(AND(ISNUMBER(BB50),BB50&gt;0),(Q50-BB50)/BB50,"")</f>
        <v>0.471107038543039</v>
      </c>
      <c r="BG50" s="2" t="n">
        <f aca="false">IF(ISNUMBER(BC50),X50-BC50,"")</f>
        <v>35</v>
      </c>
      <c r="BH50" s="4" t="n">
        <f aca="false">IF(AND(ISNUMBER(BC50),BC50&gt;0),(X50-BC50)/BC50,"")</f>
        <v>0.813953488372093</v>
      </c>
      <c r="BI50" s="2" t="n">
        <f aca="false">IF(ISNUMBER(BD50),AD50-BD50,"")</f>
        <v>1</v>
      </c>
      <c r="BJ50" s="2" t="s">
        <v>85</v>
      </c>
      <c r="BK50" s="2" t="s">
        <v>672</v>
      </c>
      <c r="BL50" s="2" t="s">
        <v>673</v>
      </c>
      <c r="BM50" s="2" t="n">
        <v>4</v>
      </c>
      <c r="BN50" s="2" t="n">
        <v>4</v>
      </c>
      <c r="BO50" s="2" t="n">
        <v>1</v>
      </c>
      <c r="BP50" s="2" t="n">
        <v>0</v>
      </c>
      <c r="BQ50" s="2" t="s">
        <v>118</v>
      </c>
    </row>
    <row r="51" customFormat="false" ht="15" hidden="false" customHeight="false" outlineLevel="0" collapsed="false">
      <c r="A51" s="2" t="n">
        <v>50</v>
      </c>
      <c r="B51" s="2" t="s">
        <v>674</v>
      </c>
      <c r="C51" s="2" t="s">
        <v>675</v>
      </c>
      <c r="D51" s="2" t="s">
        <v>532</v>
      </c>
      <c r="E51" s="2" t="s">
        <v>72</v>
      </c>
      <c r="F51" s="2" t="s">
        <v>676</v>
      </c>
      <c r="G51" s="2" t="s">
        <v>163</v>
      </c>
      <c r="H51" s="2" t="s">
        <v>677</v>
      </c>
      <c r="I51" s="2" t="s">
        <v>678</v>
      </c>
      <c r="J51" s="2" t="s">
        <v>679</v>
      </c>
      <c r="K51" s="2" t="s">
        <v>77</v>
      </c>
      <c r="L51" s="2" t="s">
        <v>77</v>
      </c>
      <c r="M51" s="2" t="s">
        <v>680</v>
      </c>
      <c r="N51" s="2" t="s">
        <v>79</v>
      </c>
      <c r="O51" s="2" t="s">
        <v>681</v>
      </c>
      <c r="P51" s="3" t="n">
        <v>31</v>
      </c>
      <c r="Q51" s="3" t="n">
        <v>18406</v>
      </c>
      <c r="R51" s="3" t="n">
        <v>4968</v>
      </c>
      <c r="S51" s="3" t="n">
        <v>4844</v>
      </c>
      <c r="T51" s="3" t="n">
        <v>13438</v>
      </c>
      <c r="U51" s="3" t="n">
        <v>0</v>
      </c>
      <c r="V51" s="3" t="n">
        <v>0</v>
      </c>
      <c r="W51" s="3" t="n">
        <v>0</v>
      </c>
      <c r="X51" s="3" t="n">
        <v>241</v>
      </c>
      <c r="Y51" s="3" t="n">
        <v>227</v>
      </c>
      <c r="Z51" s="3" t="n">
        <v>7</v>
      </c>
      <c r="AA51" s="3" t="n">
        <v>0</v>
      </c>
      <c r="AB51" s="3" t="n">
        <v>0</v>
      </c>
      <c r="AC51" s="3" t="n">
        <v>7</v>
      </c>
      <c r="AD51" s="3" t="n">
        <v>6</v>
      </c>
      <c r="AE51" s="3" t="n">
        <v>32</v>
      </c>
      <c r="AF51" s="3" t="n">
        <v>102</v>
      </c>
      <c r="AG51" s="3" t="n">
        <v>101</v>
      </c>
      <c r="AH51" s="2"/>
      <c r="AI51" s="3"/>
      <c r="AJ51" s="2"/>
      <c r="AK51" s="2" t="n">
        <f aca="false">COUNTIFS(secondary_acts!$A$2:$A$771,$A51,secondary_acts!$E$2:$E$771,"implementing")</f>
        <v>0</v>
      </c>
      <c r="AL51" s="2" t="n">
        <f aca="false">COUNTIFS(secondary_acts!$A$2:$A$771,$A51,secondary_acts!$E$2:$E$771,"delegated")</f>
        <v>0</v>
      </c>
      <c r="AM51" s="2" t="n">
        <f aca="false">COUNTIFS(secondary_acts!$A$2:$A$771,$A51,secondary_acts!$E$2:$E$771,"other Commission/Council act")</f>
        <v>0</v>
      </c>
      <c r="AN51" s="2" t="n">
        <f aca="false">COUNTIFS(secondary_acts!$A$2:$A$771,$A51,secondary_acts!$E$2:$E$771,"guidance")</f>
        <v>0</v>
      </c>
      <c r="AO51" s="2" t="n">
        <f aca="false">COUNTIF(guidance_web!$A$2:$A$7,$A51)</f>
        <v>0</v>
      </c>
      <c r="AP51" s="2" t="n">
        <f aca="false">COUNTIFS(guidance_agencies!$A$2:$A$81,$A51,guidance_agencies!$D$2:$D$81,"EDPB")</f>
        <v>0</v>
      </c>
      <c r="AQ51" s="2" t="n">
        <f aca="false">COUNTIFS(guidance_agencies!$A$2:$A$81,$A51,guidance_agencies!$D$2:$D$81,"EBA")</f>
        <v>0</v>
      </c>
      <c r="AR51" s="2" t="n">
        <f aca="false">COUNTIFS(guidance_agencies!$A$2:$A$81,$A51,guidance_agencies!$D$2:$D$81,"ESMA")</f>
        <v>0</v>
      </c>
      <c r="AS51" s="3" t="n">
        <f aca="false">SUMIFS(secondary_acts!$S$2:$S$771,secondary_acts!$A$2:$A$771,$A51,secondary_acts!$E$2:$E$771,"implementing")+SUMIFS(secondary_acts!$S$2:$S$771,secondary_acts!$A$2:$A$771,$A51,secondary_acts!$E$2:$E$771,"delegated")</f>
        <v>0</v>
      </c>
      <c r="AT51" s="3"/>
      <c r="AU51" s="2"/>
      <c r="AV51" s="2" t="n">
        <v>0</v>
      </c>
      <c r="AW51" s="2"/>
      <c r="AX51" s="2"/>
      <c r="AY51" s="2" t="n">
        <v>0</v>
      </c>
      <c r="AZ51" s="2" t="s">
        <v>682</v>
      </c>
      <c r="BA51" s="2" t="s">
        <v>157</v>
      </c>
      <c r="BB51" s="2" t="n">
        <v>11396</v>
      </c>
      <c r="BC51" s="2" t="n">
        <v>179</v>
      </c>
      <c r="BD51" s="2" t="n">
        <v>4</v>
      </c>
      <c r="BE51" s="2" t="n">
        <f aca="false">IF(ISNUMBER(BB51),Q51-BB51,"")</f>
        <v>7010</v>
      </c>
      <c r="BF51" s="4" t="n">
        <f aca="false">IF(AND(ISNUMBER(BB51),BB51&gt;0),(Q51-BB51)/BB51,"")</f>
        <v>0.615128115128115</v>
      </c>
      <c r="BG51" s="2" t="n">
        <f aca="false">IF(ISNUMBER(BC51),X51-BC51,"")</f>
        <v>62</v>
      </c>
      <c r="BH51" s="4" t="n">
        <f aca="false">IF(AND(ISNUMBER(BC51),BC51&gt;0),(X51-BC51)/BC51,"")</f>
        <v>0.346368715083799</v>
      </c>
      <c r="BI51" s="2" t="n">
        <f aca="false">IF(ISNUMBER(BD51),AD51-BD51,"")</f>
        <v>2</v>
      </c>
      <c r="BJ51" s="2" t="s">
        <v>85</v>
      </c>
      <c r="BK51" s="2" t="s">
        <v>683</v>
      </c>
      <c r="BL51" s="2" t="s">
        <v>684</v>
      </c>
      <c r="BM51" s="2" t="n">
        <v>5</v>
      </c>
      <c r="BN51" s="2" t="n">
        <v>2</v>
      </c>
      <c r="BO51" s="2" t="n">
        <v>2</v>
      </c>
      <c r="BP51" s="2" t="n">
        <v>0</v>
      </c>
      <c r="BQ51" s="2"/>
    </row>
    <row r="52" customFormat="false" ht="15" hidden="false" customHeight="false" outlineLevel="0" collapsed="false">
      <c r="A52" s="2" t="n">
        <v>51</v>
      </c>
      <c r="B52" s="2" t="s">
        <v>685</v>
      </c>
      <c r="C52" s="2" t="s">
        <v>686</v>
      </c>
      <c r="D52" s="2" t="s">
        <v>348</v>
      </c>
      <c r="E52" s="2" t="s">
        <v>72</v>
      </c>
      <c r="F52" s="2" t="s">
        <v>676</v>
      </c>
      <c r="G52" s="2" t="s">
        <v>163</v>
      </c>
      <c r="H52" s="2" t="s">
        <v>621</v>
      </c>
      <c r="I52" s="2" t="s">
        <v>687</v>
      </c>
      <c r="J52" s="2" t="s">
        <v>688</v>
      </c>
      <c r="K52" s="2" t="s">
        <v>77</v>
      </c>
      <c r="L52" s="2" t="s">
        <v>77</v>
      </c>
      <c r="M52" s="2" t="s">
        <v>689</v>
      </c>
      <c r="N52" s="2" t="s">
        <v>79</v>
      </c>
      <c r="O52" s="2" t="s">
        <v>690</v>
      </c>
      <c r="P52" s="3" t="n">
        <v>31</v>
      </c>
      <c r="Q52" s="3" t="n">
        <v>14863</v>
      </c>
      <c r="R52" s="3" t="n">
        <v>7025</v>
      </c>
      <c r="S52" s="3" t="n">
        <v>6914</v>
      </c>
      <c r="T52" s="3" t="n">
        <v>6635</v>
      </c>
      <c r="U52" s="3" t="n">
        <v>1203</v>
      </c>
      <c r="V52" s="3" t="n">
        <v>0</v>
      </c>
      <c r="W52" s="3" t="n">
        <v>0</v>
      </c>
      <c r="X52" s="3" t="n">
        <v>118</v>
      </c>
      <c r="Y52" s="3" t="n">
        <v>101</v>
      </c>
      <c r="Z52" s="3" t="n">
        <v>6</v>
      </c>
      <c r="AA52" s="3" t="n">
        <v>0</v>
      </c>
      <c r="AB52" s="3" t="n">
        <v>1</v>
      </c>
      <c r="AC52" s="3" t="n">
        <v>10</v>
      </c>
      <c r="AD52" s="3" t="n">
        <v>37</v>
      </c>
      <c r="AE52" s="3" t="n">
        <v>37</v>
      </c>
      <c r="AF52" s="3" t="n">
        <v>11</v>
      </c>
      <c r="AG52" s="3" t="n">
        <v>33</v>
      </c>
      <c r="AH52" s="2" t="s">
        <v>691</v>
      </c>
      <c r="AI52" s="3" t="n">
        <v>118</v>
      </c>
      <c r="AJ52" s="2" t="n">
        <v>37</v>
      </c>
      <c r="AK52" s="2" t="n">
        <f aca="false">COUNTIFS(secondary_acts!$A$2:$A$771,$A52,secondary_acts!$E$2:$E$771,"implementing")</f>
        <v>0</v>
      </c>
      <c r="AL52" s="2" t="n">
        <f aca="false">COUNTIFS(secondary_acts!$A$2:$A$771,$A52,secondary_acts!$E$2:$E$771,"delegated")</f>
        <v>0</v>
      </c>
      <c r="AM52" s="2" t="n">
        <f aca="false">COUNTIFS(secondary_acts!$A$2:$A$771,$A52,secondary_acts!$E$2:$E$771,"other Commission/Council act")</f>
        <v>0</v>
      </c>
      <c r="AN52" s="2" t="n">
        <f aca="false">COUNTIFS(secondary_acts!$A$2:$A$771,$A52,secondary_acts!$E$2:$E$771,"guidance")</f>
        <v>0</v>
      </c>
      <c r="AO52" s="2" t="n">
        <f aca="false">COUNTIF(guidance_web!$A$2:$A$7,$A52)</f>
        <v>0</v>
      </c>
      <c r="AP52" s="2" t="n">
        <f aca="false">COUNTIFS(guidance_agencies!$A$2:$A$81,$A52,guidance_agencies!$D$2:$D$81,"EDPB")</f>
        <v>0</v>
      </c>
      <c r="AQ52" s="2" t="n">
        <f aca="false">COUNTIFS(guidance_agencies!$A$2:$A$81,$A52,guidance_agencies!$D$2:$D$81,"EBA")</f>
        <v>0</v>
      </c>
      <c r="AR52" s="2" t="n">
        <f aca="false">COUNTIFS(guidance_agencies!$A$2:$A$81,$A52,guidance_agencies!$D$2:$D$81,"ESMA")</f>
        <v>0</v>
      </c>
      <c r="AS52" s="3" t="n">
        <f aca="false">SUMIFS(secondary_acts!$S$2:$S$771,secondary_acts!$A$2:$A$771,$A52,secondary_acts!$E$2:$E$771,"implementing")+SUMIFS(secondary_acts!$S$2:$S$771,secondary_acts!$A$2:$A$771,$A52,secondary_acts!$E$2:$E$771,"delegated")</f>
        <v>0</v>
      </c>
      <c r="AT52" s="3"/>
      <c r="AU52" s="2"/>
      <c r="AV52" s="2" t="n">
        <v>0</v>
      </c>
      <c r="AW52" s="2"/>
      <c r="AX52" s="2"/>
      <c r="AY52" s="2" t="n">
        <v>3</v>
      </c>
      <c r="AZ52" s="2" t="s">
        <v>692</v>
      </c>
      <c r="BA52" s="2" t="s">
        <v>157</v>
      </c>
      <c r="BB52" s="2" t="n">
        <v>11209</v>
      </c>
      <c r="BC52" s="2" t="n">
        <v>95</v>
      </c>
      <c r="BD52" s="2" t="n">
        <v>35</v>
      </c>
      <c r="BE52" s="2" t="n">
        <f aca="false">IF(ISNUMBER(BB52),Q52-BB52,"")</f>
        <v>3654</v>
      </c>
      <c r="BF52" s="4" t="n">
        <f aca="false">IF(AND(ISNUMBER(BB52),BB52&gt;0),(Q52-BB52)/BB52,"")</f>
        <v>0.325988045320724</v>
      </c>
      <c r="BG52" s="2" t="n">
        <f aca="false">IF(ISNUMBER(BC52),X52-BC52,"")</f>
        <v>23</v>
      </c>
      <c r="BH52" s="4" t="n">
        <f aca="false">IF(AND(ISNUMBER(BC52),BC52&gt;0),(X52-BC52)/BC52,"")</f>
        <v>0.242105263157895</v>
      </c>
      <c r="BI52" s="2" t="n">
        <f aca="false">IF(ISNUMBER(BD52),AD52-BD52,"")</f>
        <v>2</v>
      </c>
      <c r="BJ52" s="2" t="s">
        <v>85</v>
      </c>
      <c r="BK52" s="2" t="s">
        <v>693</v>
      </c>
      <c r="BL52" s="2" t="s">
        <v>694</v>
      </c>
      <c r="BM52" s="2" t="n">
        <v>4</v>
      </c>
      <c r="BN52" s="2" t="n">
        <v>3</v>
      </c>
      <c r="BO52" s="2" t="n">
        <v>2</v>
      </c>
      <c r="BP52" s="2" t="n">
        <v>0</v>
      </c>
      <c r="BQ52" s="2" t="s">
        <v>118</v>
      </c>
    </row>
    <row r="53" customFormat="false" ht="15" hidden="false" customHeight="false" outlineLevel="0" collapsed="false">
      <c r="A53" s="2" t="n">
        <v>52</v>
      </c>
      <c r="B53" s="2" t="s">
        <v>695</v>
      </c>
      <c r="C53" s="2" t="s">
        <v>696</v>
      </c>
      <c r="D53" s="2" t="s">
        <v>634</v>
      </c>
      <c r="E53" s="2" t="s">
        <v>72</v>
      </c>
      <c r="F53" s="2" t="s">
        <v>697</v>
      </c>
      <c r="G53" s="2" t="s">
        <v>163</v>
      </c>
      <c r="H53" s="2" t="s">
        <v>698</v>
      </c>
      <c r="I53" s="2" t="s">
        <v>699</v>
      </c>
      <c r="J53" s="2" t="s">
        <v>700</v>
      </c>
      <c r="K53" s="2" t="s">
        <v>77</v>
      </c>
      <c r="L53" s="2" t="s">
        <v>77</v>
      </c>
      <c r="M53" s="2" t="s">
        <v>701</v>
      </c>
      <c r="N53" s="2" t="s">
        <v>79</v>
      </c>
      <c r="O53" s="2" t="s">
        <v>702</v>
      </c>
      <c r="P53" s="3" t="n">
        <v>59</v>
      </c>
      <c r="Q53" s="3" t="n">
        <v>29391</v>
      </c>
      <c r="R53" s="3" t="n">
        <v>8842</v>
      </c>
      <c r="S53" s="3" t="n">
        <v>8721</v>
      </c>
      <c r="T53" s="3" t="n">
        <v>11556</v>
      </c>
      <c r="U53" s="3" t="n">
        <v>8993</v>
      </c>
      <c r="V53" s="3" t="n">
        <v>0</v>
      </c>
      <c r="W53" s="3" t="n">
        <v>0</v>
      </c>
      <c r="X53" s="3" t="n">
        <v>189</v>
      </c>
      <c r="Y53" s="3" t="n">
        <v>177</v>
      </c>
      <c r="Z53" s="3" t="n">
        <v>7</v>
      </c>
      <c r="AA53" s="3" t="n">
        <v>3</v>
      </c>
      <c r="AB53" s="3" t="n">
        <v>1</v>
      </c>
      <c r="AC53" s="3" t="n">
        <v>1</v>
      </c>
      <c r="AD53" s="3" t="n">
        <v>8</v>
      </c>
      <c r="AE53" s="3" t="n">
        <v>29</v>
      </c>
      <c r="AF53" s="3" t="n">
        <v>91</v>
      </c>
      <c r="AG53" s="3" t="n">
        <v>61</v>
      </c>
      <c r="AH53" s="2" t="s">
        <v>703</v>
      </c>
      <c r="AI53" s="3" t="n">
        <v>226</v>
      </c>
      <c r="AJ53" s="2" t="n">
        <v>14</v>
      </c>
      <c r="AK53" s="2" t="n">
        <f aca="false">COUNTIFS(secondary_acts!$A$2:$A$771,$A53,secondary_acts!$E$2:$E$771,"implementing")</f>
        <v>1</v>
      </c>
      <c r="AL53" s="2" t="n">
        <f aca="false">COUNTIFS(secondary_acts!$A$2:$A$771,$A53,secondary_acts!$E$2:$E$771,"delegated")</f>
        <v>2</v>
      </c>
      <c r="AM53" s="2" t="n">
        <f aca="false">COUNTIFS(secondary_acts!$A$2:$A$771,$A53,secondary_acts!$E$2:$E$771,"other Commission/Council act")</f>
        <v>0</v>
      </c>
      <c r="AN53" s="2" t="n">
        <f aca="false">COUNTIFS(secondary_acts!$A$2:$A$771,$A53,secondary_acts!$E$2:$E$771,"guidance")</f>
        <v>4</v>
      </c>
      <c r="AO53" s="2" t="n">
        <f aca="false">COUNTIF(guidance_web!$A$2:$A$7,$A53)</f>
        <v>0</v>
      </c>
      <c r="AP53" s="2" t="n">
        <f aca="false">COUNTIFS(guidance_agencies!$A$2:$A$81,$A53,guidance_agencies!$D$2:$D$81,"EDPB")</f>
        <v>0</v>
      </c>
      <c r="AQ53" s="2" t="n">
        <f aca="false">COUNTIFS(guidance_agencies!$A$2:$A$81,$A53,guidance_agencies!$D$2:$D$81,"EBA")</f>
        <v>0</v>
      </c>
      <c r="AR53" s="2" t="n">
        <f aca="false">COUNTIFS(guidance_agencies!$A$2:$A$81,$A53,guidance_agencies!$D$2:$D$81,"ESMA")</f>
        <v>0</v>
      </c>
      <c r="AS53" s="3" t="n">
        <f aca="false">SUMIFS(secondary_acts!$S$2:$S$771,secondary_acts!$A$2:$A$771,$A53,secondary_acts!$E$2:$E$771,"implementing")+SUMIFS(secondary_acts!$S$2:$S$771,secondary_acts!$A$2:$A$771,$A53,secondary_acts!$E$2:$E$771,"delegated")</f>
        <v>111</v>
      </c>
      <c r="AT53" s="3"/>
      <c r="AU53" s="2"/>
      <c r="AV53" s="2" t="n">
        <v>2</v>
      </c>
      <c r="AW53" s="2" t="s">
        <v>704</v>
      </c>
      <c r="AX53" s="2" t="s">
        <v>640</v>
      </c>
      <c r="AY53" s="2" t="n">
        <v>9</v>
      </c>
      <c r="AZ53" s="2" t="s">
        <v>705</v>
      </c>
      <c r="BA53" s="2" t="s">
        <v>157</v>
      </c>
      <c r="BB53" s="2" t="n">
        <v>12953</v>
      </c>
      <c r="BC53" s="2" t="n">
        <v>117</v>
      </c>
      <c r="BD53" s="2" t="n">
        <v>5</v>
      </c>
      <c r="BE53" s="2" t="n">
        <f aca="false">IF(ISNUMBER(BB53),Q53-BB53,"")</f>
        <v>16438</v>
      </c>
      <c r="BF53" s="4" t="n">
        <f aca="false">IF(AND(ISNUMBER(BB53),BB53&gt;0),(Q53-BB53)/BB53,"")</f>
        <v>1.2690496410098</v>
      </c>
      <c r="BG53" s="2" t="n">
        <f aca="false">IF(ISNUMBER(BC53),X53-BC53,"")</f>
        <v>72</v>
      </c>
      <c r="BH53" s="4" t="n">
        <f aca="false">IF(AND(ISNUMBER(BC53),BC53&gt;0),(X53-BC53)/BC53,"")</f>
        <v>0.615384615384615</v>
      </c>
      <c r="BI53" s="2" t="n">
        <f aca="false">IF(ISNUMBER(BD53),AD53-BD53,"")</f>
        <v>3</v>
      </c>
      <c r="BJ53" s="2" t="s">
        <v>199</v>
      </c>
      <c r="BK53" s="2" t="s">
        <v>706</v>
      </c>
      <c r="BL53" s="2" t="s">
        <v>707</v>
      </c>
      <c r="BM53" s="2" t="n">
        <v>5</v>
      </c>
      <c r="BN53" s="2" t="n">
        <v>5</v>
      </c>
      <c r="BO53" s="2" t="n">
        <v>7</v>
      </c>
      <c r="BP53" s="2" t="n">
        <v>0</v>
      </c>
      <c r="BQ53" s="2"/>
    </row>
    <row r="54" customFormat="false" ht="15" hidden="false" customHeight="false" outlineLevel="0" collapsed="false">
      <c r="A54" s="2" t="n">
        <v>53</v>
      </c>
      <c r="B54" s="2" t="s">
        <v>708</v>
      </c>
      <c r="C54" s="2" t="s">
        <v>709</v>
      </c>
      <c r="D54" s="2" t="s">
        <v>348</v>
      </c>
      <c r="E54" s="2" t="s">
        <v>72</v>
      </c>
      <c r="F54" s="2" t="s">
        <v>710</v>
      </c>
      <c r="G54" s="2" t="s">
        <v>163</v>
      </c>
      <c r="H54" s="2" t="s">
        <v>648</v>
      </c>
      <c r="I54" s="2" t="s">
        <v>711</v>
      </c>
      <c r="J54" s="2" t="s">
        <v>712</v>
      </c>
      <c r="K54" s="2" t="s">
        <v>77</v>
      </c>
      <c r="L54" s="2" t="s">
        <v>77</v>
      </c>
      <c r="M54" s="2" t="s">
        <v>713</v>
      </c>
      <c r="N54" s="2" t="s">
        <v>79</v>
      </c>
      <c r="O54" s="2" t="s">
        <v>714</v>
      </c>
      <c r="P54" s="3" t="n">
        <v>11</v>
      </c>
      <c r="Q54" s="3" t="n">
        <v>6315</v>
      </c>
      <c r="R54" s="3" t="n">
        <v>4021</v>
      </c>
      <c r="S54" s="3" t="n">
        <v>3869</v>
      </c>
      <c r="T54" s="3" t="n">
        <v>2294</v>
      </c>
      <c r="U54" s="3" t="n">
        <v>0</v>
      </c>
      <c r="V54" s="3" t="n">
        <v>0</v>
      </c>
      <c r="W54" s="3" t="n">
        <v>0</v>
      </c>
      <c r="X54" s="3" t="n">
        <v>11</v>
      </c>
      <c r="Y54" s="3" t="n">
        <v>11</v>
      </c>
      <c r="Z54" s="3" t="n">
        <v>0</v>
      </c>
      <c r="AA54" s="3" t="n">
        <v>0</v>
      </c>
      <c r="AB54" s="3" t="n">
        <v>0</v>
      </c>
      <c r="AC54" s="3" t="n">
        <v>0</v>
      </c>
      <c r="AD54" s="3" t="n">
        <v>2</v>
      </c>
      <c r="AE54" s="3" t="n">
        <v>1</v>
      </c>
      <c r="AF54" s="3" t="n">
        <v>7</v>
      </c>
      <c r="AG54" s="3" t="n">
        <v>1</v>
      </c>
      <c r="AH54" s="2" t="s">
        <v>715</v>
      </c>
      <c r="AI54" s="3" t="n">
        <v>16</v>
      </c>
      <c r="AJ54" s="2" t="n">
        <v>2</v>
      </c>
      <c r="AK54" s="2" t="n">
        <f aca="false">COUNTIFS(secondary_acts!$A$2:$A$771,$A54,secondary_acts!$E$2:$E$771,"implementing")</f>
        <v>1</v>
      </c>
      <c r="AL54" s="2" t="n">
        <f aca="false">COUNTIFS(secondary_acts!$A$2:$A$771,$A54,secondary_acts!$E$2:$E$771,"delegated")</f>
        <v>0</v>
      </c>
      <c r="AM54" s="2" t="n">
        <f aca="false">COUNTIFS(secondary_acts!$A$2:$A$771,$A54,secondary_acts!$E$2:$E$771,"other Commission/Council act")</f>
        <v>0</v>
      </c>
      <c r="AN54" s="2" t="n">
        <f aca="false">COUNTIFS(secondary_acts!$A$2:$A$771,$A54,secondary_acts!$E$2:$E$771,"guidance")</f>
        <v>0</v>
      </c>
      <c r="AO54" s="2" t="n">
        <f aca="false">COUNTIF(guidance_web!$A$2:$A$7,$A54)</f>
        <v>0</v>
      </c>
      <c r="AP54" s="2" t="n">
        <f aca="false">COUNTIFS(guidance_agencies!$A$2:$A$81,$A54,guidance_agencies!$D$2:$D$81,"EDPB")</f>
        <v>0</v>
      </c>
      <c r="AQ54" s="2" t="n">
        <f aca="false">COUNTIFS(guidance_agencies!$A$2:$A$81,$A54,guidance_agencies!$D$2:$D$81,"EBA")</f>
        <v>0</v>
      </c>
      <c r="AR54" s="2" t="n">
        <f aca="false">COUNTIFS(guidance_agencies!$A$2:$A$81,$A54,guidance_agencies!$D$2:$D$81,"ESMA")</f>
        <v>0</v>
      </c>
      <c r="AS54" s="3" t="n">
        <f aca="false">SUMIFS(secondary_acts!$S$2:$S$771,secondary_acts!$A$2:$A$771,$A54,secondary_acts!$E$2:$E$771,"implementing")+SUMIFS(secondary_acts!$S$2:$S$771,secondary_acts!$A$2:$A$771,$A54,secondary_acts!$E$2:$E$771,"delegated")</f>
        <v>1</v>
      </c>
      <c r="AT54" s="3"/>
      <c r="AU54" s="2"/>
      <c r="AV54" s="2" t="n">
        <v>1</v>
      </c>
      <c r="AW54" s="2" t="s">
        <v>390</v>
      </c>
      <c r="AX54" s="2" t="s">
        <v>390</v>
      </c>
      <c r="AY54" s="2" t="n">
        <v>0</v>
      </c>
      <c r="AZ54" s="2" t="s">
        <v>716</v>
      </c>
      <c r="BA54" s="2" t="s">
        <v>157</v>
      </c>
      <c r="BB54" s="2" t="n">
        <v>2709</v>
      </c>
      <c r="BC54" s="2" t="n">
        <v>1</v>
      </c>
      <c r="BD54" s="2" t="n">
        <v>1</v>
      </c>
      <c r="BE54" s="2" t="n">
        <f aca="false">IF(ISNUMBER(BB54),Q54-BB54,"")</f>
        <v>3606</v>
      </c>
      <c r="BF54" s="4" t="n">
        <f aca="false">IF(AND(ISNUMBER(BB54),BB54&gt;0),(Q54-BB54)/BB54,"")</f>
        <v>1.33111849390919</v>
      </c>
      <c r="BG54" s="2" t="n">
        <f aca="false">IF(ISNUMBER(BC54),X54-BC54,"")</f>
        <v>10</v>
      </c>
      <c r="BH54" s="4" t="n">
        <f aca="false">IF(AND(ISNUMBER(BC54),BC54&gt;0),(X54-BC54)/BC54,"")</f>
        <v>10</v>
      </c>
      <c r="BI54" s="2" t="n">
        <f aca="false">IF(ISNUMBER(BD54),AD54-BD54,"")</f>
        <v>1</v>
      </c>
      <c r="BJ54" s="2" t="s">
        <v>85</v>
      </c>
      <c r="BK54" s="2" t="s">
        <v>717</v>
      </c>
      <c r="BL54" s="2" t="s">
        <v>718</v>
      </c>
      <c r="BM54" s="2" t="n">
        <v>3</v>
      </c>
      <c r="BN54" s="2" t="n">
        <v>3</v>
      </c>
      <c r="BO54" s="2" t="n">
        <v>3</v>
      </c>
      <c r="BP54" s="2" t="n">
        <v>0</v>
      </c>
      <c r="BQ54" s="2"/>
    </row>
    <row r="55" customFormat="false" ht="15" hidden="false" customHeight="false" outlineLevel="0" collapsed="false">
      <c r="A55" s="2" t="n">
        <v>54</v>
      </c>
      <c r="B55" s="2" t="s">
        <v>719</v>
      </c>
      <c r="C55" s="2" t="s">
        <v>720</v>
      </c>
      <c r="D55" s="2" t="s">
        <v>634</v>
      </c>
      <c r="E55" s="2" t="s">
        <v>72</v>
      </c>
      <c r="F55" s="2" t="s">
        <v>721</v>
      </c>
      <c r="G55" s="2" t="s">
        <v>163</v>
      </c>
      <c r="H55" s="2" t="s">
        <v>722</v>
      </c>
      <c r="I55" s="2" t="s">
        <v>723</v>
      </c>
      <c r="J55" s="2" t="s">
        <v>724</v>
      </c>
      <c r="K55" s="2" t="s">
        <v>77</v>
      </c>
      <c r="L55" s="2" t="s">
        <v>77</v>
      </c>
      <c r="M55" s="2" t="s">
        <v>725</v>
      </c>
      <c r="N55" s="2" t="s">
        <v>79</v>
      </c>
      <c r="O55" s="2" t="s">
        <v>726</v>
      </c>
      <c r="P55" s="3" t="n">
        <v>49</v>
      </c>
      <c r="Q55" s="3" t="n">
        <v>26545</v>
      </c>
      <c r="R55" s="3" t="n">
        <v>7467</v>
      </c>
      <c r="S55" s="3" t="n">
        <v>7367</v>
      </c>
      <c r="T55" s="3" t="n">
        <v>11295</v>
      </c>
      <c r="U55" s="3" t="n">
        <v>7783</v>
      </c>
      <c r="V55" s="3" t="n">
        <v>0</v>
      </c>
      <c r="W55" s="3" t="n">
        <v>0</v>
      </c>
      <c r="X55" s="3" t="n">
        <v>340</v>
      </c>
      <c r="Y55" s="3" t="n">
        <v>313</v>
      </c>
      <c r="Z55" s="3" t="n">
        <v>18</v>
      </c>
      <c r="AA55" s="3" t="n">
        <v>3</v>
      </c>
      <c r="AB55" s="3" t="n">
        <v>1</v>
      </c>
      <c r="AC55" s="3" t="n">
        <v>5</v>
      </c>
      <c r="AD55" s="3" t="n">
        <v>33</v>
      </c>
      <c r="AE55" s="3" t="n">
        <v>7</v>
      </c>
      <c r="AF55" s="3" t="n">
        <v>204</v>
      </c>
      <c r="AG55" s="3" t="n">
        <v>96</v>
      </c>
      <c r="AH55" s="2" t="s">
        <v>727</v>
      </c>
      <c r="AI55" s="3" t="n">
        <v>438</v>
      </c>
      <c r="AJ55" s="2" t="n">
        <v>47</v>
      </c>
      <c r="AK55" s="2" t="n">
        <f aca="false">COUNTIFS(secondary_acts!$A$2:$A$771,$A55,secondary_acts!$E$2:$E$771,"implementing")</f>
        <v>0</v>
      </c>
      <c r="AL55" s="2" t="n">
        <f aca="false">COUNTIFS(secondary_acts!$A$2:$A$771,$A55,secondary_acts!$E$2:$E$771,"delegated")</f>
        <v>0</v>
      </c>
      <c r="AM55" s="2" t="n">
        <f aca="false">COUNTIFS(secondary_acts!$A$2:$A$771,$A55,secondary_acts!$E$2:$E$771,"other Commission/Council act")</f>
        <v>0</v>
      </c>
      <c r="AN55" s="2" t="n">
        <f aca="false">COUNTIFS(secondary_acts!$A$2:$A$771,$A55,secondary_acts!$E$2:$E$771,"guidance")</f>
        <v>0</v>
      </c>
      <c r="AO55" s="2" t="n">
        <f aca="false">COUNTIF(guidance_web!$A$2:$A$7,$A55)</f>
        <v>0</v>
      </c>
      <c r="AP55" s="2" t="n">
        <f aca="false">COUNTIFS(guidance_agencies!$A$2:$A$81,$A55,guidance_agencies!$D$2:$D$81,"EDPB")</f>
        <v>0</v>
      </c>
      <c r="AQ55" s="2" t="n">
        <f aca="false">COUNTIFS(guidance_agencies!$A$2:$A$81,$A55,guidance_agencies!$D$2:$D$81,"EBA")</f>
        <v>0</v>
      </c>
      <c r="AR55" s="2" t="n">
        <f aca="false">COUNTIFS(guidance_agencies!$A$2:$A$81,$A55,guidance_agencies!$D$2:$D$81,"ESMA")</f>
        <v>0</v>
      </c>
      <c r="AS55" s="3" t="n">
        <f aca="false">SUMIFS(secondary_acts!$S$2:$S$771,secondary_acts!$A$2:$A$771,$A55,secondary_acts!$E$2:$E$771,"implementing")+SUMIFS(secondary_acts!$S$2:$S$771,secondary_acts!$A$2:$A$771,$A55,secondary_acts!$E$2:$E$771,"delegated")</f>
        <v>0</v>
      </c>
      <c r="AT55" s="3"/>
      <c r="AU55" s="2"/>
      <c r="AV55" s="2" t="n">
        <v>2</v>
      </c>
      <c r="AW55" s="2" t="s">
        <v>728</v>
      </c>
      <c r="AX55" s="2" t="s">
        <v>729</v>
      </c>
      <c r="AY55" s="2" t="n">
        <v>2</v>
      </c>
      <c r="AZ55" s="2" t="s">
        <v>730</v>
      </c>
      <c r="BA55" s="2" t="s">
        <v>157</v>
      </c>
      <c r="BB55" s="2" t="n">
        <v>24251</v>
      </c>
      <c r="BC55" s="2" t="n">
        <v>318</v>
      </c>
      <c r="BD55" s="2" t="n">
        <v>29</v>
      </c>
      <c r="BE55" s="2" t="n">
        <f aca="false">IF(ISNUMBER(BB55),Q55-BB55,"")</f>
        <v>2294</v>
      </c>
      <c r="BF55" s="4" t="n">
        <f aca="false">IF(AND(ISNUMBER(BB55),BB55&gt;0),(Q55-BB55)/BB55,"")</f>
        <v>0.0945940373592842</v>
      </c>
      <c r="BG55" s="2" t="n">
        <f aca="false">IF(ISNUMBER(BC55),X55-BC55,"")</f>
        <v>22</v>
      </c>
      <c r="BH55" s="4" t="n">
        <f aca="false">IF(AND(ISNUMBER(BC55),BC55&gt;0),(X55-BC55)/BC55,"")</f>
        <v>0.0691823899371069</v>
      </c>
      <c r="BI55" s="2" t="n">
        <f aca="false">IF(ISNUMBER(BD55),AD55-BD55,"")</f>
        <v>4</v>
      </c>
      <c r="BJ55" s="2" t="s">
        <v>85</v>
      </c>
      <c r="BK55" s="2" t="s">
        <v>731</v>
      </c>
      <c r="BL55" s="2" t="s">
        <v>732</v>
      </c>
      <c r="BM55" s="2" t="n">
        <v>4</v>
      </c>
      <c r="BN55" s="2" t="n">
        <v>3</v>
      </c>
      <c r="BO55" s="2" t="n">
        <v>2</v>
      </c>
      <c r="BP55" s="2" t="n">
        <v>0</v>
      </c>
      <c r="BQ55" s="2"/>
    </row>
    <row r="56" customFormat="false" ht="15" hidden="false" customHeight="false" outlineLevel="0" collapsed="false">
      <c r="A56" s="2" t="n">
        <v>55</v>
      </c>
      <c r="B56" s="2" t="s">
        <v>733</v>
      </c>
      <c r="C56" s="2" t="s">
        <v>734</v>
      </c>
      <c r="D56" s="2" t="s">
        <v>619</v>
      </c>
      <c r="E56" s="2" t="s">
        <v>72</v>
      </c>
      <c r="F56" s="2" t="s">
        <v>735</v>
      </c>
      <c r="G56" s="2" t="s">
        <v>163</v>
      </c>
      <c r="H56" s="2" t="s">
        <v>525</v>
      </c>
      <c r="I56" s="2" t="s">
        <v>736</v>
      </c>
      <c r="J56" s="2" t="s">
        <v>737</v>
      </c>
      <c r="K56" s="2" t="s">
        <v>77</v>
      </c>
      <c r="L56" s="2" t="s">
        <v>77</v>
      </c>
      <c r="M56" s="2" t="s">
        <v>738</v>
      </c>
      <c r="N56" s="2" t="s">
        <v>79</v>
      </c>
      <c r="O56" s="2" t="s">
        <v>739</v>
      </c>
      <c r="P56" s="3" t="n">
        <v>33</v>
      </c>
      <c r="Q56" s="3" t="n">
        <v>20926</v>
      </c>
      <c r="R56" s="3" t="n">
        <v>8227</v>
      </c>
      <c r="S56" s="3" t="n">
        <v>8084</v>
      </c>
      <c r="T56" s="3" t="n">
        <v>12699</v>
      </c>
      <c r="U56" s="3" t="n">
        <v>0</v>
      </c>
      <c r="V56" s="3" t="n">
        <v>0</v>
      </c>
      <c r="W56" s="3" t="n">
        <v>0</v>
      </c>
      <c r="X56" s="3" t="n">
        <v>178</v>
      </c>
      <c r="Y56" s="3" t="n">
        <v>159</v>
      </c>
      <c r="Z56" s="3" t="n">
        <v>11</v>
      </c>
      <c r="AA56" s="3" t="n">
        <v>1</v>
      </c>
      <c r="AB56" s="3" t="n">
        <v>1</v>
      </c>
      <c r="AC56" s="3" t="n">
        <v>6</v>
      </c>
      <c r="AD56" s="3" t="n">
        <v>53</v>
      </c>
      <c r="AE56" s="3" t="n">
        <v>53</v>
      </c>
      <c r="AF56" s="3" t="n">
        <v>34</v>
      </c>
      <c r="AG56" s="3" t="n">
        <v>38</v>
      </c>
      <c r="AH56" s="2" t="s">
        <v>740</v>
      </c>
      <c r="AI56" s="3" t="n">
        <v>178</v>
      </c>
      <c r="AJ56" s="2" t="n">
        <v>53</v>
      </c>
      <c r="AK56" s="2" t="n">
        <f aca="false">COUNTIFS(secondary_acts!$A$2:$A$771,$A56,secondary_acts!$E$2:$E$771,"implementing")</f>
        <v>0</v>
      </c>
      <c r="AL56" s="2" t="n">
        <f aca="false">COUNTIFS(secondary_acts!$A$2:$A$771,$A56,secondary_acts!$E$2:$E$771,"delegated")</f>
        <v>0</v>
      </c>
      <c r="AM56" s="2" t="n">
        <f aca="false">COUNTIFS(secondary_acts!$A$2:$A$771,$A56,secondary_acts!$E$2:$E$771,"other Commission/Council act")</f>
        <v>0</v>
      </c>
      <c r="AN56" s="2" t="n">
        <f aca="false">COUNTIFS(secondary_acts!$A$2:$A$771,$A56,secondary_acts!$E$2:$E$771,"guidance")</f>
        <v>0</v>
      </c>
      <c r="AO56" s="2" t="n">
        <f aca="false">COUNTIF(guidance_web!$A$2:$A$7,$A56)</f>
        <v>0</v>
      </c>
      <c r="AP56" s="2" t="n">
        <f aca="false">COUNTIFS(guidance_agencies!$A$2:$A$81,$A56,guidance_agencies!$D$2:$D$81,"EDPB")</f>
        <v>0</v>
      </c>
      <c r="AQ56" s="2" t="n">
        <f aca="false">COUNTIFS(guidance_agencies!$A$2:$A$81,$A56,guidance_agencies!$D$2:$D$81,"EBA")</f>
        <v>0</v>
      </c>
      <c r="AR56" s="2" t="n">
        <f aca="false">COUNTIFS(guidance_agencies!$A$2:$A$81,$A56,guidance_agencies!$D$2:$D$81,"ESMA")</f>
        <v>1</v>
      </c>
      <c r="AS56" s="3" t="n">
        <f aca="false">SUMIFS(secondary_acts!$S$2:$S$771,secondary_acts!$A$2:$A$771,$A56,secondary_acts!$E$2:$E$771,"implementing")+SUMIFS(secondary_acts!$S$2:$S$771,secondary_acts!$A$2:$A$771,$A56,secondary_acts!$E$2:$E$771,"delegated")</f>
        <v>0</v>
      </c>
      <c r="AT56" s="3"/>
      <c r="AU56" s="2"/>
      <c r="AV56" s="2" t="n">
        <v>0</v>
      </c>
      <c r="AW56" s="2"/>
      <c r="AX56" s="2"/>
      <c r="AY56" s="2" t="n">
        <v>1</v>
      </c>
      <c r="AZ56" s="2" t="s">
        <v>741</v>
      </c>
      <c r="BA56" s="2" t="s">
        <v>157</v>
      </c>
      <c r="BB56" s="2" t="n">
        <v>12859</v>
      </c>
      <c r="BC56" s="2" t="n">
        <v>84</v>
      </c>
      <c r="BD56" s="2" t="n">
        <v>34</v>
      </c>
      <c r="BE56" s="2" t="n">
        <f aca="false">IF(ISNUMBER(BB56),Q56-BB56,"")</f>
        <v>8067</v>
      </c>
      <c r="BF56" s="4" t="n">
        <f aca="false">IF(AND(ISNUMBER(BB56),BB56&gt;0),(Q56-BB56)/BB56,"")</f>
        <v>0.627342717163076</v>
      </c>
      <c r="BG56" s="2" t="n">
        <f aca="false">IF(ISNUMBER(BC56),X56-BC56,"")</f>
        <v>94</v>
      </c>
      <c r="BH56" s="4" t="n">
        <f aca="false">IF(AND(ISNUMBER(BC56),BC56&gt;0),(X56-BC56)/BC56,"")</f>
        <v>1.11904761904762</v>
      </c>
      <c r="BI56" s="2" t="n">
        <f aca="false">IF(ISNUMBER(BD56),AD56-BD56,"")</f>
        <v>19</v>
      </c>
      <c r="BJ56" s="2" t="s">
        <v>85</v>
      </c>
      <c r="BK56" s="2" t="s">
        <v>742</v>
      </c>
      <c r="BL56" s="2" t="s">
        <v>743</v>
      </c>
      <c r="BM56" s="2" t="n">
        <v>3</v>
      </c>
      <c r="BN56" s="2" t="n">
        <v>1</v>
      </c>
      <c r="BO56" s="2" t="n">
        <v>1</v>
      </c>
      <c r="BP56" s="2" t="n">
        <v>0</v>
      </c>
      <c r="BQ56" s="2" t="s">
        <v>118</v>
      </c>
    </row>
    <row r="57" customFormat="false" ht="15" hidden="false" customHeight="false" outlineLevel="0" collapsed="false">
      <c r="A57" s="2" t="n">
        <v>56</v>
      </c>
      <c r="B57" s="2" t="s">
        <v>744</v>
      </c>
      <c r="C57" s="2" t="s">
        <v>745</v>
      </c>
      <c r="D57" s="2" t="s">
        <v>253</v>
      </c>
      <c r="E57" s="2" t="s">
        <v>72</v>
      </c>
      <c r="F57" s="2" t="s">
        <v>735</v>
      </c>
      <c r="G57" s="2" t="s">
        <v>163</v>
      </c>
      <c r="H57" s="2" t="s">
        <v>746</v>
      </c>
      <c r="I57" s="2" t="s">
        <v>747</v>
      </c>
      <c r="J57" s="2" t="s">
        <v>748</v>
      </c>
      <c r="K57" s="2" t="s">
        <v>77</v>
      </c>
      <c r="L57" s="2" t="s">
        <v>77</v>
      </c>
      <c r="M57" s="2" t="s">
        <v>749</v>
      </c>
      <c r="N57" s="2" t="s">
        <v>79</v>
      </c>
      <c r="O57" s="2" t="s">
        <v>750</v>
      </c>
      <c r="P57" s="3" t="n">
        <v>166</v>
      </c>
      <c r="Q57" s="3" t="n">
        <v>95588</v>
      </c>
      <c r="R57" s="3" t="n">
        <v>15644</v>
      </c>
      <c r="S57" s="3" t="n">
        <v>15505</v>
      </c>
      <c r="T57" s="3" t="n">
        <v>69742</v>
      </c>
      <c r="U57" s="3" t="n">
        <v>10202</v>
      </c>
      <c r="V57" s="3" t="n">
        <v>0</v>
      </c>
      <c r="W57" s="3" t="n">
        <v>0</v>
      </c>
      <c r="X57" s="3" t="n">
        <v>1117</v>
      </c>
      <c r="Y57" s="3" t="n">
        <v>969</v>
      </c>
      <c r="Z57" s="3" t="n">
        <v>84</v>
      </c>
      <c r="AA57" s="3" t="n">
        <v>13</v>
      </c>
      <c r="AB57" s="3" t="n">
        <v>14</v>
      </c>
      <c r="AC57" s="3" t="n">
        <v>37</v>
      </c>
      <c r="AD57" s="3" t="n">
        <v>444</v>
      </c>
      <c r="AE57" s="3" t="n">
        <v>209</v>
      </c>
      <c r="AF57" s="3" t="n">
        <v>262</v>
      </c>
      <c r="AG57" s="3" t="n">
        <v>202</v>
      </c>
      <c r="AH57" s="2" t="s">
        <v>751</v>
      </c>
      <c r="AI57" s="3" t="n">
        <v>1129</v>
      </c>
      <c r="AJ57" s="2" t="n">
        <v>446</v>
      </c>
      <c r="AK57" s="2" t="n">
        <f aca="false">COUNTIFS(secondary_acts!$A$2:$A$771,$A57,secondary_acts!$E$2:$E$771,"implementing")</f>
        <v>8</v>
      </c>
      <c r="AL57" s="2" t="n">
        <f aca="false">COUNTIFS(secondary_acts!$A$2:$A$771,$A57,secondary_acts!$E$2:$E$771,"delegated")</f>
        <v>29</v>
      </c>
      <c r="AM57" s="2" t="n">
        <f aca="false">COUNTIFS(secondary_acts!$A$2:$A$771,$A57,secondary_acts!$E$2:$E$771,"other Commission/Council act")</f>
        <v>0</v>
      </c>
      <c r="AN57" s="2" t="n">
        <f aca="false">COUNTIFS(secondary_acts!$A$2:$A$771,$A57,secondary_acts!$E$2:$E$771,"guidance")</f>
        <v>0</v>
      </c>
      <c r="AO57" s="2" t="n">
        <f aca="false">COUNTIF(guidance_web!$A$2:$A$7,$A57)</f>
        <v>0</v>
      </c>
      <c r="AP57" s="2" t="n">
        <f aca="false">COUNTIFS(guidance_agencies!$A$2:$A$81,$A57,guidance_agencies!$D$2:$D$81,"EDPB")</f>
        <v>0</v>
      </c>
      <c r="AQ57" s="2" t="n">
        <f aca="false">COUNTIFS(guidance_agencies!$A$2:$A$81,$A57,guidance_agencies!$D$2:$D$81,"EBA")</f>
        <v>7</v>
      </c>
      <c r="AR57" s="2" t="n">
        <f aca="false">COUNTIFS(guidance_agencies!$A$2:$A$81,$A57,guidance_agencies!$D$2:$D$81,"ESMA")</f>
        <v>7</v>
      </c>
      <c r="AS57" s="3" t="n">
        <f aca="false">SUMIFS(secondary_acts!$S$2:$S$771,secondary_acts!$A$2:$A$771,$A57,secondary_acts!$E$2:$E$771,"implementing")+SUMIFS(secondary_acts!$S$2:$S$771,secondary_acts!$A$2:$A$771,$A57,secondary_acts!$E$2:$E$771,"delegated")</f>
        <v>1340</v>
      </c>
      <c r="AT57" s="3"/>
      <c r="AU57" s="2"/>
      <c r="AV57" s="2" t="n">
        <v>1</v>
      </c>
      <c r="AW57" s="2" t="s">
        <v>752</v>
      </c>
      <c r="AX57" s="2" t="s">
        <v>752</v>
      </c>
      <c r="AY57" s="2" t="n">
        <v>6</v>
      </c>
      <c r="AZ57" s="2" t="s">
        <v>753</v>
      </c>
      <c r="BA57" s="2" t="s">
        <v>157</v>
      </c>
      <c r="BB57" s="2" t="n">
        <v>64264</v>
      </c>
      <c r="BC57" s="2" t="n">
        <v>766</v>
      </c>
      <c r="BD57" s="2" t="n">
        <v>335</v>
      </c>
      <c r="BE57" s="2" t="n">
        <f aca="false">IF(ISNUMBER(BB57),Q57-BB57,"")</f>
        <v>31324</v>
      </c>
      <c r="BF57" s="4" t="n">
        <f aca="false">IF(AND(ISNUMBER(BB57),BB57&gt;0),(Q57-BB57)/BB57,"")</f>
        <v>0.487426864185236</v>
      </c>
      <c r="BG57" s="2" t="n">
        <f aca="false">IF(ISNUMBER(BC57),X57-BC57,"")</f>
        <v>351</v>
      </c>
      <c r="BH57" s="4" t="n">
        <f aca="false">IF(AND(ISNUMBER(BC57),BC57&gt;0),(X57-BC57)/BC57,"")</f>
        <v>0.45822454308094</v>
      </c>
      <c r="BI57" s="2" t="n">
        <f aca="false">IF(ISNUMBER(BD57),AD57-BD57,"")</f>
        <v>109</v>
      </c>
      <c r="BJ57" s="2" t="s">
        <v>85</v>
      </c>
      <c r="BK57" s="2" t="s">
        <v>754</v>
      </c>
      <c r="BL57" s="2" t="s">
        <v>755</v>
      </c>
      <c r="BM57" s="2" t="n">
        <v>6</v>
      </c>
      <c r="BN57" s="2" t="n">
        <v>2</v>
      </c>
      <c r="BO57" s="2" t="n">
        <v>5</v>
      </c>
      <c r="BP57" s="2" t="n">
        <v>2</v>
      </c>
      <c r="BQ57" s="2"/>
    </row>
    <row r="58" customFormat="false" ht="15" hidden="false" customHeight="false" outlineLevel="0" collapsed="false">
      <c r="A58" s="2" t="n">
        <v>57</v>
      </c>
      <c r="B58" s="2" t="s">
        <v>756</v>
      </c>
      <c r="C58" s="2" t="s">
        <v>757</v>
      </c>
      <c r="D58" s="2" t="s">
        <v>253</v>
      </c>
      <c r="E58" s="2" t="s">
        <v>72</v>
      </c>
      <c r="F58" s="2" t="s">
        <v>735</v>
      </c>
      <c r="G58" s="2" t="s">
        <v>163</v>
      </c>
      <c r="H58" s="2" t="s">
        <v>365</v>
      </c>
      <c r="I58" s="2" t="s">
        <v>758</v>
      </c>
      <c r="J58" s="2" t="s">
        <v>759</v>
      </c>
      <c r="K58" s="2" t="s">
        <v>77</v>
      </c>
      <c r="L58" s="2" t="s">
        <v>77</v>
      </c>
      <c r="M58" s="2" t="s">
        <v>760</v>
      </c>
      <c r="N58" s="2" t="s">
        <v>79</v>
      </c>
      <c r="O58" s="2" t="s">
        <v>761</v>
      </c>
      <c r="P58" s="3" t="n">
        <v>79</v>
      </c>
      <c r="Q58" s="3" t="n">
        <v>43943</v>
      </c>
      <c r="R58" s="3" t="n">
        <v>14445</v>
      </c>
      <c r="S58" s="3" t="n">
        <v>14300</v>
      </c>
      <c r="T58" s="3" t="n">
        <v>29498</v>
      </c>
      <c r="U58" s="3" t="n">
        <v>0</v>
      </c>
      <c r="V58" s="3" t="n">
        <v>0</v>
      </c>
      <c r="W58" s="3" t="n">
        <v>0</v>
      </c>
      <c r="X58" s="3" t="n">
        <v>431</v>
      </c>
      <c r="Y58" s="3" t="n">
        <v>397</v>
      </c>
      <c r="Z58" s="3" t="n">
        <v>8</v>
      </c>
      <c r="AA58" s="3" t="n">
        <v>5</v>
      </c>
      <c r="AB58" s="3" t="n">
        <v>8</v>
      </c>
      <c r="AC58" s="3" t="n">
        <v>13</v>
      </c>
      <c r="AD58" s="3" t="n">
        <v>185</v>
      </c>
      <c r="AE58" s="3" t="n">
        <v>48</v>
      </c>
      <c r="AF58" s="3" t="n">
        <v>30</v>
      </c>
      <c r="AG58" s="3" t="n">
        <v>168</v>
      </c>
      <c r="AH58" s="2" t="s">
        <v>762</v>
      </c>
      <c r="AI58" s="3" t="n">
        <v>431</v>
      </c>
      <c r="AJ58" s="2" t="n">
        <v>185</v>
      </c>
      <c r="AK58" s="2" t="n">
        <f aca="false">COUNTIFS(secondary_acts!$A$2:$A$771,$A58,secondary_acts!$E$2:$E$771,"implementing")</f>
        <v>2</v>
      </c>
      <c r="AL58" s="2" t="n">
        <f aca="false">COUNTIFS(secondary_acts!$A$2:$A$771,$A58,secondary_acts!$E$2:$E$771,"delegated")</f>
        <v>10</v>
      </c>
      <c r="AM58" s="2" t="n">
        <f aca="false">COUNTIFS(secondary_acts!$A$2:$A$771,$A58,secondary_acts!$E$2:$E$771,"other Commission/Council act")</f>
        <v>0</v>
      </c>
      <c r="AN58" s="2" t="n">
        <f aca="false">COUNTIFS(secondary_acts!$A$2:$A$771,$A58,secondary_acts!$E$2:$E$771,"guidance")</f>
        <v>0</v>
      </c>
      <c r="AO58" s="2" t="n">
        <f aca="false">COUNTIF(guidance_web!$A$2:$A$7,$A58)</f>
        <v>0</v>
      </c>
      <c r="AP58" s="2" t="n">
        <f aca="false">COUNTIFS(guidance_agencies!$A$2:$A$81,$A58,guidance_agencies!$D$2:$D$81,"EDPB")</f>
        <v>0</v>
      </c>
      <c r="AQ58" s="2" t="n">
        <f aca="false">COUNTIFS(guidance_agencies!$A$2:$A$81,$A58,guidance_agencies!$D$2:$D$81,"EBA")</f>
        <v>2</v>
      </c>
      <c r="AR58" s="2" t="n">
        <f aca="false">COUNTIFS(guidance_agencies!$A$2:$A$81,$A58,guidance_agencies!$D$2:$D$81,"ESMA")</f>
        <v>0</v>
      </c>
      <c r="AS58" s="3" t="n">
        <f aca="false">SUMIFS(secondary_acts!$S$2:$S$771,secondary_acts!$A$2:$A$771,$A58,secondary_acts!$E$2:$E$771,"implementing")+SUMIFS(secondary_acts!$S$2:$S$771,secondary_acts!$A$2:$A$771,$A58,secondary_acts!$E$2:$E$771,"delegated")</f>
        <v>828</v>
      </c>
      <c r="AT58" s="3"/>
      <c r="AU58" s="2"/>
      <c r="AV58" s="2" t="n">
        <v>0</v>
      </c>
      <c r="AW58" s="2"/>
      <c r="AX58" s="2"/>
      <c r="AY58" s="2" t="n">
        <v>9</v>
      </c>
      <c r="AZ58" s="2" t="s">
        <v>763</v>
      </c>
      <c r="BA58" s="2" t="s">
        <v>157</v>
      </c>
      <c r="BB58" s="2" t="n">
        <v>35110</v>
      </c>
      <c r="BC58" s="2" t="n">
        <v>323</v>
      </c>
      <c r="BD58" s="2" t="n">
        <v>162</v>
      </c>
      <c r="BE58" s="2" t="n">
        <f aca="false">IF(ISNUMBER(BB58),Q58-BB58,"")</f>
        <v>8833</v>
      </c>
      <c r="BF58" s="4" t="n">
        <f aca="false">IF(AND(ISNUMBER(BB58),BB58&gt;0),(Q58-BB58)/BB58,"")</f>
        <v>0.251580746226146</v>
      </c>
      <c r="BG58" s="2" t="n">
        <f aca="false">IF(ISNUMBER(BC58),X58-BC58,"")</f>
        <v>108</v>
      </c>
      <c r="BH58" s="4" t="n">
        <f aca="false">IF(AND(ISNUMBER(BC58),BC58&gt;0),(X58-BC58)/BC58,"")</f>
        <v>0.334365325077399</v>
      </c>
      <c r="BI58" s="2" t="n">
        <f aca="false">IF(ISNUMBER(BD58),AD58-BD58,"")</f>
        <v>23</v>
      </c>
      <c r="BJ58" s="2" t="s">
        <v>85</v>
      </c>
      <c r="BK58" s="2" t="s">
        <v>764</v>
      </c>
      <c r="BL58" s="2" t="s">
        <v>765</v>
      </c>
      <c r="BM58" s="2" t="n">
        <v>5</v>
      </c>
      <c r="BN58" s="2" t="n">
        <v>2</v>
      </c>
      <c r="BO58" s="2" t="n">
        <v>4</v>
      </c>
      <c r="BP58" s="2" t="n">
        <v>0</v>
      </c>
      <c r="BQ58" s="2" t="s">
        <v>118</v>
      </c>
    </row>
    <row r="59" customFormat="false" ht="15" hidden="false" customHeight="false" outlineLevel="0" collapsed="false">
      <c r="A59" s="2" t="n">
        <v>58</v>
      </c>
      <c r="B59" s="2" t="s">
        <v>766</v>
      </c>
      <c r="C59" s="2" t="s">
        <v>767</v>
      </c>
      <c r="D59" s="2" t="s">
        <v>188</v>
      </c>
      <c r="E59" s="2" t="s">
        <v>72</v>
      </c>
      <c r="F59" s="2" t="s">
        <v>768</v>
      </c>
      <c r="G59" s="2" t="s">
        <v>163</v>
      </c>
      <c r="H59" s="2" t="s">
        <v>525</v>
      </c>
      <c r="I59" s="2" t="s">
        <v>769</v>
      </c>
      <c r="J59" s="2" t="s">
        <v>770</v>
      </c>
      <c r="K59" s="2" t="s">
        <v>77</v>
      </c>
      <c r="L59" s="2" t="s">
        <v>77</v>
      </c>
      <c r="M59" s="2" t="s">
        <v>771</v>
      </c>
      <c r="N59" s="2" t="s">
        <v>79</v>
      </c>
      <c r="O59" s="2" t="s">
        <v>772</v>
      </c>
      <c r="P59" s="3" t="n">
        <v>44</v>
      </c>
      <c r="Q59" s="3" t="n">
        <v>27006</v>
      </c>
      <c r="R59" s="3" t="n">
        <v>12417</v>
      </c>
      <c r="S59" s="3" t="n">
        <v>12294</v>
      </c>
      <c r="T59" s="3" t="n">
        <v>14589</v>
      </c>
      <c r="U59" s="3" t="n">
        <v>0</v>
      </c>
      <c r="V59" s="3" t="n">
        <v>0</v>
      </c>
      <c r="W59" s="3" t="n">
        <v>0</v>
      </c>
      <c r="X59" s="3" t="n">
        <v>215</v>
      </c>
      <c r="Y59" s="3" t="n">
        <v>191</v>
      </c>
      <c r="Z59" s="3" t="n">
        <v>15</v>
      </c>
      <c r="AA59" s="3" t="n">
        <v>0</v>
      </c>
      <c r="AB59" s="3" t="n">
        <v>1</v>
      </c>
      <c r="AC59" s="3" t="n">
        <v>8</v>
      </c>
      <c r="AD59" s="3" t="n">
        <v>54</v>
      </c>
      <c r="AE59" s="3" t="n">
        <v>78</v>
      </c>
      <c r="AF59" s="3" t="n">
        <v>37</v>
      </c>
      <c r="AG59" s="3" t="n">
        <v>46</v>
      </c>
      <c r="AH59" s="2" t="s">
        <v>773</v>
      </c>
      <c r="AI59" s="3" t="n">
        <v>215</v>
      </c>
      <c r="AJ59" s="2" t="n">
        <v>54</v>
      </c>
      <c r="AK59" s="2" t="n">
        <f aca="false">COUNTIFS(secondary_acts!$A$2:$A$771,$A59,secondary_acts!$E$2:$E$771,"implementing")</f>
        <v>1</v>
      </c>
      <c r="AL59" s="2" t="n">
        <f aca="false">COUNTIFS(secondary_acts!$A$2:$A$771,$A59,secondary_acts!$E$2:$E$771,"delegated")</f>
        <v>0</v>
      </c>
      <c r="AM59" s="2" t="n">
        <f aca="false">COUNTIFS(secondary_acts!$A$2:$A$771,$A59,secondary_acts!$E$2:$E$771,"other Commission/Council act")</f>
        <v>0</v>
      </c>
      <c r="AN59" s="2" t="n">
        <f aca="false">COUNTIFS(secondary_acts!$A$2:$A$771,$A59,secondary_acts!$E$2:$E$771,"guidance")</f>
        <v>0</v>
      </c>
      <c r="AO59" s="2" t="n">
        <f aca="false">COUNTIF(guidance_web!$A$2:$A$7,$A59)</f>
        <v>1</v>
      </c>
      <c r="AP59" s="2" t="n">
        <f aca="false">COUNTIFS(guidance_agencies!$A$2:$A$81,$A59,guidance_agencies!$D$2:$D$81,"EDPB")</f>
        <v>0</v>
      </c>
      <c r="AQ59" s="2" t="n">
        <f aca="false">COUNTIFS(guidance_agencies!$A$2:$A$81,$A59,guidance_agencies!$D$2:$D$81,"EBA")</f>
        <v>0</v>
      </c>
      <c r="AR59" s="2" t="n">
        <f aca="false">COUNTIFS(guidance_agencies!$A$2:$A$81,$A59,guidance_agencies!$D$2:$D$81,"ESMA")</f>
        <v>0</v>
      </c>
      <c r="AS59" s="3" t="n">
        <f aca="false">SUMIFS(secondary_acts!$S$2:$S$771,secondary_acts!$A$2:$A$771,$A59,secondary_acts!$E$2:$E$771,"implementing")+SUMIFS(secondary_acts!$S$2:$S$771,secondary_acts!$A$2:$A$771,$A59,secondary_acts!$E$2:$E$771,"delegated")</f>
        <v>7</v>
      </c>
      <c r="AT59" s="3"/>
      <c r="AU59" s="2"/>
      <c r="AV59" s="2" t="n">
        <v>0</v>
      </c>
      <c r="AW59" s="2"/>
      <c r="AX59" s="2"/>
      <c r="AY59" s="2" t="n">
        <v>6</v>
      </c>
      <c r="AZ59" s="2" t="s">
        <v>774</v>
      </c>
      <c r="BA59" s="2" t="s">
        <v>157</v>
      </c>
      <c r="BB59" s="2" t="n">
        <v>15916</v>
      </c>
      <c r="BC59" s="2" t="n">
        <v>143</v>
      </c>
      <c r="BD59" s="2" t="n">
        <v>28</v>
      </c>
      <c r="BE59" s="2" t="n">
        <f aca="false">IF(ISNUMBER(BB59),Q59-BB59,"")</f>
        <v>11090</v>
      </c>
      <c r="BF59" s="4" t="n">
        <f aca="false">IF(AND(ISNUMBER(BB59),BB59&gt;0),(Q59-BB59)/BB59,"")</f>
        <v>0.696783111334506</v>
      </c>
      <c r="BG59" s="2" t="n">
        <f aca="false">IF(ISNUMBER(BC59),X59-BC59,"")</f>
        <v>72</v>
      </c>
      <c r="BH59" s="4" t="n">
        <f aca="false">IF(AND(ISNUMBER(BC59),BC59&gt;0),(X59-BC59)/BC59,"")</f>
        <v>0.503496503496504</v>
      </c>
      <c r="BI59" s="2" t="n">
        <f aca="false">IF(ISNUMBER(BD59),AD59-BD59,"")</f>
        <v>26</v>
      </c>
      <c r="BJ59" s="2" t="s">
        <v>85</v>
      </c>
      <c r="BK59" s="2" t="s">
        <v>775</v>
      </c>
      <c r="BL59" s="2" t="s">
        <v>776</v>
      </c>
      <c r="BM59" s="2" t="n">
        <v>5</v>
      </c>
      <c r="BN59" s="2" t="n">
        <v>3</v>
      </c>
      <c r="BO59" s="2" t="n">
        <v>4</v>
      </c>
      <c r="BP59" s="2" t="n">
        <v>0</v>
      </c>
      <c r="BQ59" s="2" t="s">
        <v>118</v>
      </c>
    </row>
    <row r="60" customFormat="false" ht="15" hidden="false" customHeight="false" outlineLevel="0" collapsed="false">
      <c r="A60" s="2" t="n">
        <v>59</v>
      </c>
      <c r="B60" s="2" t="s">
        <v>777</v>
      </c>
      <c r="C60" s="2" t="s">
        <v>778</v>
      </c>
      <c r="D60" s="2" t="s">
        <v>215</v>
      </c>
      <c r="E60" s="2" t="s">
        <v>72</v>
      </c>
      <c r="F60" s="2" t="s">
        <v>779</v>
      </c>
      <c r="G60" s="2" t="s">
        <v>163</v>
      </c>
      <c r="H60" s="2" t="s">
        <v>780</v>
      </c>
      <c r="I60" s="2" t="s">
        <v>781</v>
      </c>
      <c r="J60" s="2" t="s">
        <v>782</v>
      </c>
      <c r="K60" s="2" t="s">
        <v>77</v>
      </c>
      <c r="L60" s="2" t="s">
        <v>77</v>
      </c>
      <c r="M60" s="2" t="s">
        <v>783</v>
      </c>
      <c r="N60" s="2" t="s">
        <v>79</v>
      </c>
      <c r="O60" s="2" t="s">
        <v>784</v>
      </c>
      <c r="P60" s="3" t="n">
        <v>66</v>
      </c>
      <c r="Q60" s="3" t="n">
        <v>39028</v>
      </c>
      <c r="R60" s="3" t="n">
        <v>18191</v>
      </c>
      <c r="S60" s="3" t="n">
        <v>18054</v>
      </c>
      <c r="T60" s="3" t="n">
        <v>18770</v>
      </c>
      <c r="U60" s="3" t="n">
        <v>2067</v>
      </c>
      <c r="V60" s="3" t="n">
        <v>0</v>
      </c>
      <c r="W60" s="3" t="n">
        <v>0</v>
      </c>
      <c r="X60" s="3" t="n">
        <v>281</v>
      </c>
      <c r="Y60" s="3" t="n">
        <v>233</v>
      </c>
      <c r="Z60" s="3" t="n">
        <v>34</v>
      </c>
      <c r="AA60" s="3" t="n">
        <v>3</v>
      </c>
      <c r="AB60" s="3" t="n">
        <v>4</v>
      </c>
      <c r="AC60" s="3" t="n">
        <v>7</v>
      </c>
      <c r="AD60" s="3" t="n">
        <v>111</v>
      </c>
      <c r="AE60" s="3" t="n">
        <v>20</v>
      </c>
      <c r="AF60" s="3" t="n">
        <v>118</v>
      </c>
      <c r="AG60" s="3" t="n">
        <v>32</v>
      </c>
      <c r="AH60" s="2" t="s">
        <v>785</v>
      </c>
      <c r="AI60" s="3" t="n">
        <v>281</v>
      </c>
      <c r="AJ60" s="2" t="n">
        <v>111</v>
      </c>
      <c r="AK60" s="2" t="n">
        <f aca="false">COUNTIFS(secondary_acts!$A$2:$A$771,$A60,secondary_acts!$E$2:$E$771,"implementing")</f>
        <v>1</v>
      </c>
      <c r="AL60" s="2" t="n">
        <f aca="false">COUNTIFS(secondary_acts!$A$2:$A$771,$A60,secondary_acts!$E$2:$E$771,"delegated")</f>
        <v>0</v>
      </c>
      <c r="AM60" s="2" t="n">
        <f aca="false">COUNTIFS(secondary_acts!$A$2:$A$771,$A60,secondary_acts!$E$2:$E$771,"other Commission/Council act")</f>
        <v>0</v>
      </c>
      <c r="AN60" s="2" t="n">
        <f aca="false">COUNTIFS(secondary_acts!$A$2:$A$771,$A60,secondary_acts!$E$2:$E$771,"guidance")</f>
        <v>0</v>
      </c>
      <c r="AO60" s="2" t="n">
        <f aca="false">COUNTIF(guidance_web!$A$2:$A$7,$A60)</f>
        <v>0</v>
      </c>
      <c r="AP60" s="2" t="n">
        <f aca="false">COUNTIFS(guidance_agencies!$A$2:$A$81,$A60,guidance_agencies!$D$2:$D$81,"EDPB")</f>
        <v>0</v>
      </c>
      <c r="AQ60" s="2" t="n">
        <f aca="false">COUNTIFS(guidance_agencies!$A$2:$A$81,$A60,guidance_agencies!$D$2:$D$81,"EBA")</f>
        <v>0</v>
      </c>
      <c r="AR60" s="2" t="n">
        <f aca="false">COUNTIFS(guidance_agencies!$A$2:$A$81,$A60,guidance_agencies!$D$2:$D$81,"ESMA")</f>
        <v>0</v>
      </c>
      <c r="AS60" s="3" t="n">
        <f aca="false">SUMIFS(secondary_acts!$S$2:$S$771,secondary_acts!$A$2:$A$771,$A60,secondary_acts!$E$2:$E$771,"implementing")+SUMIFS(secondary_acts!$S$2:$S$771,secondary_acts!$A$2:$A$771,$A60,secondary_acts!$E$2:$E$771,"delegated")</f>
        <v>72</v>
      </c>
      <c r="AT60" s="3"/>
      <c r="AU60" s="2"/>
      <c r="AV60" s="2" t="n">
        <v>0</v>
      </c>
      <c r="AW60" s="2"/>
      <c r="AX60" s="2"/>
      <c r="AY60" s="2" t="n">
        <v>3</v>
      </c>
      <c r="AZ60" s="2" t="s">
        <v>786</v>
      </c>
      <c r="BA60" s="2" t="s">
        <v>157</v>
      </c>
      <c r="BB60" s="2" t="n">
        <v>21090</v>
      </c>
      <c r="BC60" s="2" t="n">
        <v>141</v>
      </c>
      <c r="BD60" s="2" t="n">
        <v>40</v>
      </c>
      <c r="BE60" s="2" t="n">
        <f aca="false">IF(ISNUMBER(BB60),Q60-BB60,"")</f>
        <v>17938</v>
      </c>
      <c r="BF60" s="4" t="n">
        <f aca="false">IF(AND(ISNUMBER(BB60),BB60&gt;0),(Q60-BB60)/BB60,"")</f>
        <v>0.85054528212423</v>
      </c>
      <c r="BG60" s="2" t="n">
        <f aca="false">IF(ISNUMBER(BC60),X60-BC60,"")</f>
        <v>140</v>
      </c>
      <c r="BH60" s="4" t="n">
        <f aca="false">IF(AND(ISNUMBER(BC60),BC60&gt;0),(X60-BC60)/BC60,"")</f>
        <v>0.99290780141844</v>
      </c>
      <c r="BI60" s="2" t="n">
        <f aca="false">IF(ISNUMBER(BD60),AD60-BD60,"")</f>
        <v>71</v>
      </c>
      <c r="BJ60" s="2" t="s">
        <v>85</v>
      </c>
      <c r="BK60" s="2" t="s">
        <v>787</v>
      </c>
      <c r="BL60" s="2" t="s">
        <v>788</v>
      </c>
      <c r="BM60" s="2" t="n">
        <v>10</v>
      </c>
      <c r="BN60" s="2" t="n">
        <v>3</v>
      </c>
      <c r="BO60" s="2" t="n">
        <v>13</v>
      </c>
      <c r="BP60" s="2" t="n">
        <v>5</v>
      </c>
      <c r="BQ60" s="2"/>
    </row>
    <row r="61" customFormat="false" ht="15" hidden="false" customHeight="false" outlineLevel="0" collapsed="false">
      <c r="A61" s="2" t="n">
        <v>60</v>
      </c>
      <c r="B61" s="2" t="s">
        <v>789</v>
      </c>
      <c r="C61" s="2" t="s">
        <v>790</v>
      </c>
      <c r="D61" s="2" t="s">
        <v>90</v>
      </c>
      <c r="E61" s="2" t="s">
        <v>72</v>
      </c>
      <c r="F61" s="2" t="s">
        <v>779</v>
      </c>
      <c r="G61" s="2" t="s">
        <v>163</v>
      </c>
      <c r="H61" s="2" t="s">
        <v>182</v>
      </c>
      <c r="I61" s="2" t="s">
        <v>791</v>
      </c>
      <c r="J61" s="2" t="s">
        <v>792</v>
      </c>
      <c r="K61" s="2" t="s">
        <v>77</v>
      </c>
      <c r="L61" s="2" t="s">
        <v>77</v>
      </c>
      <c r="M61" s="2" t="s">
        <v>793</v>
      </c>
      <c r="N61" s="2" t="s">
        <v>79</v>
      </c>
      <c r="O61" s="2" t="s">
        <v>794</v>
      </c>
      <c r="P61" s="3" t="n">
        <v>102</v>
      </c>
      <c r="Q61" s="3" t="n">
        <v>62625</v>
      </c>
      <c r="R61" s="3" t="n">
        <v>29191</v>
      </c>
      <c r="S61" s="3" t="n">
        <v>29060</v>
      </c>
      <c r="T61" s="3" t="n">
        <v>33434</v>
      </c>
      <c r="U61" s="3" t="n">
        <v>0</v>
      </c>
      <c r="V61" s="3" t="n">
        <v>0</v>
      </c>
      <c r="W61" s="3" t="n">
        <v>0</v>
      </c>
      <c r="X61" s="3" t="n">
        <v>479</v>
      </c>
      <c r="Y61" s="3" t="n">
        <v>413</v>
      </c>
      <c r="Z61" s="3" t="n">
        <v>28</v>
      </c>
      <c r="AA61" s="3" t="n">
        <v>4</v>
      </c>
      <c r="AB61" s="3" t="n">
        <v>2</v>
      </c>
      <c r="AC61" s="3" t="n">
        <v>32</v>
      </c>
      <c r="AD61" s="3" t="n">
        <v>139</v>
      </c>
      <c r="AE61" s="3" t="n">
        <v>101</v>
      </c>
      <c r="AF61" s="3" t="n">
        <v>151</v>
      </c>
      <c r="AG61" s="3" t="n">
        <v>88</v>
      </c>
      <c r="AH61" s="2" t="s">
        <v>795</v>
      </c>
      <c r="AI61" s="3" t="n">
        <v>479</v>
      </c>
      <c r="AJ61" s="2" t="n">
        <v>139</v>
      </c>
      <c r="AK61" s="2" t="n">
        <f aca="false">COUNTIFS(secondary_acts!$A$2:$A$771,$A61,secondary_acts!$E$2:$E$771,"implementing")</f>
        <v>3</v>
      </c>
      <c r="AL61" s="2" t="n">
        <f aca="false">COUNTIFS(secondary_acts!$A$2:$A$771,$A61,secondary_acts!$E$2:$E$771,"delegated")</f>
        <v>3</v>
      </c>
      <c r="AM61" s="2" t="n">
        <f aca="false">COUNTIFS(secondary_acts!$A$2:$A$771,$A61,secondary_acts!$E$2:$E$771,"other Commission/Council act")</f>
        <v>0</v>
      </c>
      <c r="AN61" s="2" t="n">
        <f aca="false">COUNTIFS(secondary_acts!$A$2:$A$771,$A61,secondary_acts!$E$2:$E$771,"guidance")</f>
        <v>2</v>
      </c>
      <c r="AO61" s="2" t="n">
        <f aca="false">COUNTIF(guidance_web!$A$2:$A$7,$A61)</f>
        <v>0</v>
      </c>
      <c r="AP61" s="2" t="n">
        <f aca="false">COUNTIFS(guidance_agencies!$A$2:$A$81,$A61,guidance_agencies!$D$2:$D$81,"EDPB")</f>
        <v>1</v>
      </c>
      <c r="AQ61" s="2" t="n">
        <f aca="false">COUNTIFS(guidance_agencies!$A$2:$A$81,$A61,guidance_agencies!$D$2:$D$81,"EBA")</f>
        <v>0</v>
      </c>
      <c r="AR61" s="2" t="n">
        <f aca="false">COUNTIFS(guidance_agencies!$A$2:$A$81,$A61,guidance_agencies!$D$2:$D$81,"ESMA")</f>
        <v>0</v>
      </c>
      <c r="AS61" s="3" t="n">
        <f aca="false">SUMIFS(secondary_acts!$S$2:$S$771,secondary_acts!$A$2:$A$771,$A61,secondary_acts!$E$2:$E$771,"implementing")+SUMIFS(secondary_acts!$S$2:$S$771,secondary_acts!$A$2:$A$771,$A61,secondary_acts!$E$2:$E$771,"delegated")</f>
        <v>543</v>
      </c>
      <c r="AT61" s="3"/>
      <c r="AU61" s="2"/>
      <c r="AV61" s="2" t="n">
        <v>0</v>
      </c>
      <c r="AW61" s="2"/>
      <c r="AX61" s="2"/>
      <c r="AY61" s="2" t="n">
        <v>10</v>
      </c>
      <c r="AZ61" s="2" t="s">
        <v>796</v>
      </c>
      <c r="BA61" s="2" t="s">
        <v>157</v>
      </c>
      <c r="BB61" s="2" t="n">
        <v>33588</v>
      </c>
      <c r="BC61" s="2" t="n">
        <v>284</v>
      </c>
      <c r="BD61" s="2" t="n">
        <v>84</v>
      </c>
      <c r="BE61" s="2" t="n">
        <f aca="false">IF(ISNUMBER(BB61),Q61-BB61,"")</f>
        <v>29037</v>
      </c>
      <c r="BF61" s="4" t="n">
        <f aca="false">IF(AND(ISNUMBER(BB61),BB61&gt;0),(Q61-BB61)/BB61,"")</f>
        <v>0.864505180421579</v>
      </c>
      <c r="BG61" s="2" t="n">
        <f aca="false">IF(ISNUMBER(BC61),X61-BC61,"")</f>
        <v>195</v>
      </c>
      <c r="BH61" s="4" t="n">
        <f aca="false">IF(AND(ISNUMBER(BC61),BC61&gt;0),(X61-BC61)/BC61,"")</f>
        <v>0.686619718309859</v>
      </c>
      <c r="BI61" s="2" t="n">
        <f aca="false">IF(ISNUMBER(BD61),AD61-BD61,"")</f>
        <v>55</v>
      </c>
      <c r="BJ61" s="2" t="s">
        <v>85</v>
      </c>
      <c r="BK61" s="2" t="s">
        <v>797</v>
      </c>
      <c r="BL61" s="2" t="s">
        <v>798</v>
      </c>
      <c r="BM61" s="2" t="n">
        <v>3</v>
      </c>
      <c r="BN61" s="2" t="n">
        <v>1</v>
      </c>
      <c r="BO61" s="2" t="n">
        <v>2</v>
      </c>
      <c r="BP61" s="2" t="n">
        <v>0</v>
      </c>
      <c r="BQ61" s="2" t="s">
        <v>118</v>
      </c>
    </row>
    <row r="62" customFormat="false" ht="15" hidden="false" customHeight="false" outlineLevel="0" collapsed="false">
      <c r="A62" s="2" t="n">
        <v>61</v>
      </c>
      <c r="B62" s="2" t="s">
        <v>799</v>
      </c>
      <c r="C62" s="2" t="s">
        <v>800</v>
      </c>
      <c r="D62" s="2" t="s">
        <v>532</v>
      </c>
      <c r="E62" s="2" t="s">
        <v>72</v>
      </c>
      <c r="F62" s="2" t="s">
        <v>801</v>
      </c>
      <c r="G62" s="2" t="s">
        <v>163</v>
      </c>
      <c r="H62" s="2" t="s">
        <v>365</v>
      </c>
      <c r="I62" s="2" t="s">
        <v>758</v>
      </c>
      <c r="J62" s="2" t="s">
        <v>759</v>
      </c>
      <c r="K62" s="2" t="s">
        <v>77</v>
      </c>
      <c r="L62" s="2" t="s">
        <v>77</v>
      </c>
      <c r="M62" s="2" t="s">
        <v>802</v>
      </c>
      <c r="N62" s="2" t="s">
        <v>79</v>
      </c>
      <c r="O62" s="2" t="s">
        <v>803</v>
      </c>
      <c r="P62" s="3" t="n">
        <v>73</v>
      </c>
      <c r="Q62" s="3" t="n">
        <v>40220</v>
      </c>
      <c r="R62" s="3" t="n">
        <v>18851</v>
      </c>
      <c r="S62" s="3" t="n">
        <v>18698</v>
      </c>
      <c r="T62" s="3" t="n">
        <v>18071</v>
      </c>
      <c r="U62" s="3" t="n">
        <v>3298</v>
      </c>
      <c r="V62" s="3" t="n">
        <v>0</v>
      </c>
      <c r="W62" s="3" t="n">
        <v>0</v>
      </c>
      <c r="X62" s="3" t="n">
        <v>288</v>
      </c>
      <c r="Y62" s="3" t="n">
        <v>219</v>
      </c>
      <c r="Z62" s="3" t="n">
        <v>7</v>
      </c>
      <c r="AA62" s="3" t="n">
        <v>0</v>
      </c>
      <c r="AB62" s="3" t="n">
        <v>2</v>
      </c>
      <c r="AC62" s="3" t="n">
        <v>60</v>
      </c>
      <c r="AD62" s="3" t="n">
        <v>11</v>
      </c>
      <c r="AE62" s="3" t="n">
        <v>179</v>
      </c>
      <c r="AF62" s="3" t="n">
        <v>52</v>
      </c>
      <c r="AG62" s="3" t="n">
        <v>46</v>
      </c>
      <c r="AH62" s="2" t="s">
        <v>804</v>
      </c>
      <c r="AI62" s="3" t="n">
        <v>288</v>
      </c>
      <c r="AJ62" s="2" t="n">
        <v>11</v>
      </c>
      <c r="AK62" s="2" t="n">
        <f aca="false">COUNTIFS(secondary_acts!$A$2:$A$771,$A62,secondary_acts!$E$2:$E$771,"implementing")</f>
        <v>1</v>
      </c>
      <c r="AL62" s="2" t="n">
        <f aca="false">COUNTIFS(secondary_acts!$A$2:$A$771,$A62,secondary_acts!$E$2:$E$771,"delegated")</f>
        <v>0</v>
      </c>
      <c r="AM62" s="2" t="n">
        <f aca="false">COUNTIFS(secondary_acts!$A$2:$A$771,$A62,secondary_acts!$E$2:$E$771,"other Commission/Council act")</f>
        <v>0</v>
      </c>
      <c r="AN62" s="2" t="n">
        <f aca="false">COUNTIFS(secondary_acts!$A$2:$A$771,$A62,secondary_acts!$E$2:$E$771,"guidance")</f>
        <v>3</v>
      </c>
      <c r="AO62" s="2" t="n">
        <f aca="false">COUNTIF(guidance_web!$A$2:$A$7,$A62)</f>
        <v>0</v>
      </c>
      <c r="AP62" s="2" t="n">
        <f aca="false">COUNTIFS(guidance_agencies!$A$2:$A$81,$A62,guidance_agencies!$D$2:$D$81,"EDPB")</f>
        <v>0</v>
      </c>
      <c r="AQ62" s="2" t="n">
        <f aca="false">COUNTIFS(guidance_agencies!$A$2:$A$81,$A62,guidance_agencies!$D$2:$D$81,"EBA")</f>
        <v>0</v>
      </c>
      <c r="AR62" s="2" t="n">
        <f aca="false">COUNTIFS(guidance_agencies!$A$2:$A$81,$A62,guidance_agencies!$D$2:$D$81,"ESMA")</f>
        <v>0</v>
      </c>
      <c r="AS62" s="3" t="n">
        <f aca="false">SUMIFS(secondary_acts!$S$2:$S$771,secondary_acts!$A$2:$A$771,$A62,secondary_acts!$E$2:$E$771,"implementing")+SUMIFS(secondary_acts!$S$2:$S$771,secondary_acts!$A$2:$A$771,$A62,secondary_acts!$E$2:$E$771,"delegated")</f>
        <v>219</v>
      </c>
      <c r="AT62" s="3" t="n">
        <v>3232</v>
      </c>
      <c r="AU62" s="2" t="n">
        <v>25</v>
      </c>
      <c r="AV62" s="2" t="n">
        <v>0</v>
      </c>
      <c r="AW62" s="2"/>
      <c r="AX62" s="2"/>
      <c r="AY62" s="2" t="n">
        <v>9</v>
      </c>
      <c r="AZ62" s="2" t="s">
        <v>805</v>
      </c>
      <c r="BA62" s="2" t="s">
        <v>157</v>
      </c>
      <c r="BB62" s="2" t="n">
        <v>31823</v>
      </c>
      <c r="BC62" s="2" t="n">
        <v>227</v>
      </c>
      <c r="BD62" s="2" t="n">
        <v>12</v>
      </c>
      <c r="BE62" s="2" t="n">
        <f aca="false">IF(ISNUMBER(BB62),Q62-BB62,"")</f>
        <v>8397</v>
      </c>
      <c r="BF62" s="4" t="n">
        <f aca="false">IF(AND(ISNUMBER(BB62),BB62&gt;0),(Q62-BB62)/BB62,"")</f>
        <v>0.263865757471012</v>
      </c>
      <c r="BG62" s="2" t="n">
        <f aca="false">IF(ISNUMBER(BC62),X62-BC62,"")</f>
        <v>61</v>
      </c>
      <c r="BH62" s="4" t="n">
        <f aca="false">IF(AND(ISNUMBER(BC62),BC62&gt;0),(X62-BC62)/BC62,"")</f>
        <v>0.268722466960352</v>
      </c>
      <c r="BI62" s="2" t="n">
        <f aca="false">IF(ISNUMBER(BD62),AD62-BD62,"")</f>
        <v>-1</v>
      </c>
      <c r="BJ62" s="2" t="s">
        <v>85</v>
      </c>
      <c r="BK62" s="2" t="s">
        <v>806</v>
      </c>
      <c r="BL62" s="2" t="s">
        <v>807</v>
      </c>
      <c r="BM62" s="2" t="n">
        <v>5</v>
      </c>
      <c r="BN62" s="2" t="n">
        <v>3</v>
      </c>
      <c r="BO62" s="2" t="n">
        <v>6</v>
      </c>
      <c r="BP62" s="2" t="n">
        <v>0</v>
      </c>
      <c r="BQ62" s="2"/>
    </row>
    <row r="63" customFormat="false" ht="15" hidden="false" customHeight="false" outlineLevel="0" collapsed="false">
      <c r="A63" s="2" t="n">
        <v>62</v>
      </c>
      <c r="B63" s="2" t="s">
        <v>808</v>
      </c>
      <c r="C63" s="2" t="s">
        <v>809</v>
      </c>
      <c r="D63" s="2" t="s">
        <v>634</v>
      </c>
      <c r="E63" s="2" t="s">
        <v>72</v>
      </c>
      <c r="F63" s="2" t="s">
        <v>810</v>
      </c>
      <c r="G63" s="2" t="s">
        <v>163</v>
      </c>
      <c r="H63" s="2" t="s">
        <v>811</v>
      </c>
      <c r="I63" s="2" t="s">
        <v>812</v>
      </c>
      <c r="J63" s="2" t="s">
        <v>812</v>
      </c>
      <c r="K63" s="2" t="s">
        <v>77</v>
      </c>
      <c r="L63" s="2" t="s">
        <v>77</v>
      </c>
      <c r="M63" s="2" t="s">
        <v>813</v>
      </c>
      <c r="N63" s="2" t="s">
        <v>79</v>
      </c>
      <c r="O63" s="2" t="s">
        <v>814</v>
      </c>
      <c r="P63" s="3" t="n">
        <v>103</v>
      </c>
      <c r="Q63" s="3" t="n">
        <v>50649</v>
      </c>
      <c r="R63" s="3" t="n">
        <v>13039</v>
      </c>
      <c r="S63" s="3" t="n">
        <v>12915</v>
      </c>
      <c r="T63" s="3" t="n">
        <v>34391</v>
      </c>
      <c r="U63" s="3" t="n">
        <v>3219</v>
      </c>
      <c r="V63" s="3" t="n">
        <v>0</v>
      </c>
      <c r="W63" s="3" t="n">
        <v>0</v>
      </c>
      <c r="X63" s="3" t="n">
        <v>553</v>
      </c>
      <c r="Y63" s="3" t="n">
        <v>504</v>
      </c>
      <c r="Z63" s="3" t="n">
        <v>28</v>
      </c>
      <c r="AA63" s="3" t="n">
        <v>2</v>
      </c>
      <c r="AB63" s="3" t="n">
        <v>3</v>
      </c>
      <c r="AC63" s="3" t="n">
        <v>16</v>
      </c>
      <c r="AD63" s="3" t="n">
        <v>13</v>
      </c>
      <c r="AE63" s="3" t="n">
        <v>11</v>
      </c>
      <c r="AF63" s="3" t="n">
        <v>361</v>
      </c>
      <c r="AG63" s="3" t="n">
        <v>168</v>
      </c>
      <c r="AH63" s="2" t="s">
        <v>815</v>
      </c>
      <c r="AI63" s="3" t="n">
        <v>573</v>
      </c>
      <c r="AJ63" s="2" t="n">
        <v>14</v>
      </c>
      <c r="AK63" s="2" t="n">
        <f aca="false">COUNTIFS(secondary_acts!$A$2:$A$771,$A63,secondary_acts!$E$2:$E$771,"implementing")</f>
        <v>0</v>
      </c>
      <c r="AL63" s="2" t="n">
        <f aca="false">COUNTIFS(secondary_acts!$A$2:$A$771,$A63,secondary_acts!$E$2:$E$771,"delegated")</f>
        <v>0</v>
      </c>
      <c r="AM63" s="2" t="n">
        <f aca="false">COUNTIFS(secondary_acts!$A$2:$A$771,$A63,secondary_acts!$E$2:$E$771,"other Commission/Council act")</f>
        <v>0</v>
      </c>
      <c r="AN63" s="2" t="n">
        <f aca="false">COUNTIFS(secondary_acts!$A$2:$A$771,$A63,secondary_acts!$E$2:$E$771,"guidance")</f>
        <v>0</v>
      </c>
      <c r="AO63" s="2" t="n">
        <f aca="false">COUNTIF(guidance_web!$A$2:$A$7,$A63)</f>
        <v>0</v>
      </c>
      <c r="AP63" s="2" t="n">
        <f aca="false">COUNTIFS(guidance_agencies!$A$2:$A$81,$A63,guidance_agencies!$D$2:$D$81,"EDPB")</f>
        <v>0</v>
      </c>
      <c r="AQ63" s="2" t="n">
        <f aca="false">COUNTIFS(guidance_agencies!$A$2:$A$81,$A63,guidance_agencies!$D$2:$D$81,"EBA")</f>
        <v>0</v>
      </c>
      <c r="AR63" s="2" t="n">
        <f aca="false">COUNTIFS(guidance_agencies!$A$2:$A$81,$A63,guidance_agencies!$D$2:$D$81,"ESMA")</f>
        <v>0</v>
      </c>
      <c r="AS63" s="3" t="n">
        <f aca="false">SUMIFS(secondary_acts!$S$2:$S$771,secondary_acts!$A$2:$A$771,$A63,secondary_acts!$E$2:$E$771,"implementing")+SUMIFS(secondary_acts!$S$2:$S$771,secondary_acts!$A$2:$A$771,$A63,secondary_acts!$E$2:$E$771,"delegated")</f>
        <v>0</v>
      </c>
      <c r="AT63" s="3"/>
      <c r="AU63" s="2"/>
      <c r="AV63" s="2" t="n">
        <v>1</v>
      </c>
      <c r="AW63" s="2" t="s">
        <v>816</v>
      </c>
      <c r="AX63" s="2" t="s">
        <v>816</v>
      </c>
      <c r="AY63" s="2" t="n">
        <v>1</v>
      </c>
      <c r="AZ63" s="2" t="s">
        <v>817</v>
      </c>
      <c r="BA63" s="2" t="s">
        <v>157</v>
      </c>
      <c r="BB63" s="2" t="n">
        <v>46901</v>
      </c>
      <c r="BC63" s="2" t="n">
        <v>523</v>
      </c>
      <c r="BD63" s="2" t="n">
        <v>11</v>
      </c>
      <c r="BE63" s="2" t="n">
        <f aca="false">IF(ISNUMBER(BB63),Q63-BB63,"")</f>
        <v>3748</v>
      </c>
      <c r="BF63" s="4" t="n">
        <f aca="false">IF(AND(ISNUMBER(BB63),BB63&gt;0),(Q63-BB63)/BB63,"")</f>
        <v>0.0799130082514232</v>
      </c>
      <c r="BG63" s="2" t="n">
        <f aca="false">IF(ISNUMBER(BC63),X63-BC63,"")</f>
        <v>30</v>
      </c>
      <c r="BH63" s="4" t="n">
        <f aca="false">IF(AND(ISNUMBER(BC63),BC63&gt;0),(X63-BC63)/BC63,"")</f>
        <v>0.0573613766730402</v>
      </c>
      <c r="BI63" s="2" t="n">
        <f aca="false">IF(ISNUMBER(BD63),AD63-BD63,"")</f>
        <v>2</v>
      </c>
      <c r="BJ63" s="2" t="s">
        <v>85</v>
      </c>
      <c r="BK63" s="2" t="s">
        <v>818</v>
      </c>
      <c r="BL63" s="2" t="s">
        <v>819</v>
      </c>
      <c r="BM63" s="2" t="n">
        <v>4</v>
      </c>
      <c r="BN63" s="2" t="n">
        <v>3</v>
      </c>
      <c r="BO63" s="2" t="n">
        <v>2</v>
      </c>
      <c r="BP63" s="2" t="n">
        <v>0</v>
      </c>
      <c r="BQ63" s="2"/>
    </row>
    <row r="64" customFormat="false" ht="15" hidden="false" customHeight="false" outlineLevel="0" collapsed="false">
      <c r="A64" s="2" t="n">
        <v>63</v>
      </c>
      <c r="B64" s="2" t="s">
        <v>820</v>
      </c>
      <c r="C64" s="2" t="s">
        <v>821</v>
      </c>
      <c r="D64" s="2" t="s">
        <v>71</v>
      </c>
      <c r="E64" s="2" t="s">
        <v>72</v>
      </c>
      <c r="F64" s="2" t="s">
        <v>822</v>
      </c>
      <c r="G64" s="2" t="s">
        <v>163</v>
      </c>
      <c r="H64" s="2" t="s">
        <v>823</v>
      </c>
      <c r="I64" s="2" t="s">
        <v>824</v>
      </c>
      <c r="J64" s="2" t="s">
        <v>825</v>
      </c>
      <c r="K64" s="2" t="s">
        <v>77</v>
      </c>
      <c r="L64" s="2" t="s">
        <v>77</v>
      </c>
      <c r="M64" s="2" t="s">
        <v>826</v>
      </c>
      <c r="N64" s="2" t="s">
        <v>79</v>
      </c>
      <c r="O64" s="2" t="s">
        <v>827</v>
      </c>
      <c r="P64" s="3" t="n">
        <v>37</v>
      </c>
      <c r="Q64" s="3" t="n">
        <v>22492</v>
      </c>
      <c r="R64" s="3" t="n">
        <v>11653</v>
      </c>
      <c r="S64" s="3" t="n">
        <v>11532</v>
      </c>
      <c r="T64" s="3" t="n">
        <v>10036</v>
      </c>
      <c r="U64" s="3" t="n">
        <v>803</v>
      </c>
      <c r="V64" s="3" t="n">
        <v>0</v>
      </c>
      <c r="W64" s="3" t="n">
        <v>0</v>
      </c>
      <c r="X64" s="3" t="n">
        <v>162</v>
      </c>
      <c r="Y64" s="3" t="n">
        <v>141</v>
      </c>
      <c r="Z64" s="3" t="n">
        <v>14</v>
      </c>
      <c r="AA64" s="3" t="n">
        <v>1</v>
      </c>
      <c r="AB64" s="3" t="n">
        <v>0</v>
      </c>
      <c r="AC64" s="3" t="n">
        <v>6</v>
      </c>
      <c r="AD64" s="3" t="n">
        <v>60</v>
      </c>
      <c r="AE64" s="3" t="n">
        <v>29</v>
      </c>
      <c r="AF64" s="3" t="n">
        <v>25</v>
      </c>
      <c r="AG64" s="3" t="n">
        <v>48</v>
      </c>
      <c r="AH64" s="2" t="s">
        <v>828</v>
      </c>
      <c r="AI64" s="3" t="n">
        <v>162</v>
      </c>
      <c r="AJ64" s="2" t="n">
        <v>60</v>
      </c>
      <c r="AK64" s="2" t="n">
        <f aca="false">COUNTIFS(secondary_acts!$A$2:$A$771,$A64,secondary_acts!$E$2:$E$771,"implementing")</f>
        <v>0</v>
      </c>
      <c r="AL64" s="2" t="n">
        <f aca="false">COUNTIFS(secondary_acts!$A$2:$A$771,$A64,secondary_acts!$E$2:$E$771,"delegated")</f>
        <v>0</v>
      </c>
      <c r="AM64" s="2" t="n">
        <f aca="false">COUNTIFS(secondary_acts!$A$2:$A$771,$A64,secondary_acts!$E$2:$E$771,"other Commission/Council act")</f>
        <v>0</v>
      </c>
      <c r="AN64" s="2" t="n">
        <f aca="false">COUNTIFS(secondary_acts!$A$2:$A$771,$A64,secondary_acts!$E$2:$E$771,"guidance")</f>
        <v>0</v>
      </c>
      <c r="AO64" s="2" t="n">
        <f aca="false">COUNTIF(guidance_web!$A$2:$A$7,$A64)</f>
        <v>0</v>
      </c>
      <c r="AP64" s="2" t="n">
        <f aca="false">COUNTIFS(guidance_agencies!$A$2:$A$81,$A64,guidance_agencies!$D$2:$D$81,"EDPB")</f>
        <v>0</v>
      </c>
      <c r="AQ64" s="2" t="n">
        <f aca="false">COUNTIFS(guidance_agencies!$A$2:$A$81,$A64,guidance_agencies!$D$2:$D$81,"EBA")</f>
        <v>0</v>
      </c>
      <c r="AR64" s="2" t="n">
        <f aca="false">COUNTIFS(guidance_agencies!$A$2:$A$81,$A64,guidance_agencies!$D$2:$D$81,"ESMA")</f>
        <v>0</v>
      </c>
      <c r="AS64" s="3" t="n">
        <f aca="false">SUMIFS(secondary_acts!$S$2:$S$771,secondary_acts!$A$2:$A$771,$A64,secondary_acts!$E$2:$E$771,"implementing")+SUMIFS(secondary_acts!$S$2:$S$771,secondary_acts!$A$2:$A$771,$A64,secondary_acts!$E$2:$E$771,"delegated")</f>
        <v>0</v>
      </c>
      <c r="AT64" s="3"/>
      <c r="AU64" s="2"/>
      <c r="AV64" s="2" t="n">
        <v>0</v>
      </c>
      <c r="AW64" s="2"/>
      <c r="AX64" s="2"/>
      <c r="AY64" s="2" t="n">
        <v>2</v>
      </c>
      <c r="AZ64" s="2" t="s">
        <v>829</v>
      </c>
      <c r="BA64" s="2" t="s">
        <v>157</v>
      </c>
      <c r="BB64" s="2" t="n">
        <v>29549</v>
      </c>
      <c r="BC64" s="2" t="n">
        <v>184</v>
      </c>
      <c r="BD64" s="2" t="n">
        <v>64</v>
      </c>
      <c r="BE64" s="2" t="n">
        <f aca="false">IF(ISNUMBER(BB64),Q64-BB64,"")</f>
        <v>-7057</v>
      </c>
      <c r="BF64" s="4" t="n">
        <f aca="false">IF(AND(ISNUMBER(BB64),BB64&gt;0),(Q64-BB64)/BB64,"")</f>
        <v>-0.238823648854445</v>
      </c>
      <c r="BG64" s="2" t="n">
        <f aca="false">IF(ISNUMBER(BC64),X64-BC64,"")</f>
        <v>-22</v>
      </c>
      <c r="BH64" s="4" t="n">
        <f aca="false">IF(AND(ISNUMBER(BC64),BC64&gt;0),(X64-BC64)/BC64,"")</f>
        <v>-0.119565217391304</v>
      </c>
      <c r="BI64" s="2" t="n">
        <f aca="false">IF(ISNUMBER(BD64),AD64-BD64,"")</f>
        <v>-4</v>
      </c>
      <c r="BJ64" s="2" t="s">
        <v>343</v>
      </c>
      <c r="BK64" s="2" t="s">
        <v>830</v>
      </c>
      <c r="BL64" s="2" t="s">
        <v>831</v>
      </c>
      <c r="BM64" s="2" t="n">
        <v>4</v>
      </c>
      <c r="BN64" s="2" t="n">
        <v>4</v>
      </c>
      <c r="BO64" s="2" t="n">
        <v>6</v>
      </c>
      <c r="BP64" s="2" t="n">
        <v>3</v>
      </c>
      <c r="BQ64" s="2" t="s">
        <v>118</v>
      </c>
    </row>
    <row r="65" customFormat="false" ht="15" hidden="false" customHeight="false" outlineLevel="0" collapsed="false">
      <c r="A65" s="2" t="n">
        <v>64</v>
      </c>
      <c r="B65" s="2" t="s">
        <v>832</v>
      </c>
      <c r="C65" s="2" t="s">
        <v>833</v>
      </c>
      <c r="D65" s="2" t="s">
        <v>296</v>
      </c>
      <c r="E65" s="2" t="s">
        <v>72</v>
      </c>
      <c r="F65" s="2" t="s">
        <v>834</v>
      </c>
      <c r="G65" s="2" t="s">
        <v>163</v>
      </c>
      <c r="H65" s="2" t="s">
        <v>437</v>
      </c>
      <c r="I65" s="2" t="s">
        <v>835</v>
      </c>
      <c r="J65" s="2" t="s">
        <v>836</v>
      </c>
      <c r="K65" s="2" t="s">
        <v>77</v>
      </c>
      <c r="L65" s="2" t="s">
        <v>77</v>
      </c>
      <c r="M65" s="2" t="s">
        <v>837</v>
      </c>
      <c r="N65" s="2" t="s">
        <v>79</v>
      </c>
      <c r="O65" s="2" t="s">
        <v>838</v>
      </c>
      <c r="P65" s="3" t="n">
        <v>144</v>
      </c>
      <c r="Q65" s="3" t="n">
        <v>88508</v>
      </c>
      <c r="R65" s="3" t="n">
        <v>34913</v>
      </c>
      <c r="S65" s="3" t="n">
        <v>34737</v>
      </c>
      <c r="T65" s="3" t="n">
        <v>45964</v>
      </c>
      <c r="U65" s="3" t="n">
        <v>7631</v>
      </c>
      <c r="V65" s="3" t="n">
        <v>0</v>
      </c>
      <c r="W65" s="3" t="n">
        <v>0</v>
      </c>
      <c r="X65" s="3" t="n">
        <v>767</v>
      </c>
      <c r="Y65" s="3" t="n">
        <v>688</v>
      </c>
      <c r="Z65" s="3" t="n">
        <v>37</v>
      </c>
      <c r="AA65" s="3" t="n">
        <v>4</v>
      </c>
      <c r="AB65" s="3" t="n">
        <v>5</v>
      </c>
      <c r="AC65" s="3" t="n">
        <v>33</v>
      </c>
      <c r="AD65" s="3" t="n">
        <v>217</v>
      </c>
      <c r="AE65" s="3" t="n">
        <v>133</v>
      </c>
      <c r="AF65" s="3" t="n">
        <v>173</v>
      </c>
      <c r="AG65" s="3" t="n">
        <v>244</v>
      </c>
      <c r="AH65" s="2" t="s">
        <v>839</v>
      </c>
      <c r="AI65" s="3" t="n">
        <v>863</v>
      </c>
      <c r="AJ65" s="2" t="n">
        <v>229</v>
      </c>
      <c r="AK65" s="2" t="n">
        <f aca="false">COUNTIFS(secondary_acts!$A$2:$A$771,$A65,secondary_acts!$E$2:$E$771,"implementing")</f>
        <v>2</v>
      </c>
      <c r="AL65" s="2" t="n">
        <f aca="false">COUNTIFS(secondary_acts!$A$2:$A$771,$A65,secondary_acts!$E$2:$E$771,"delegated")</f>
        <v>0</v>
      </c>
      <c r="AM65" s="2" t="n">
        <f aca="false">COUNTIFS(secondary_acts!$A$2:$A$771,$A65,secondary_acts!$E$2:$E$771,"other Commission/Council act")</f>
        <v>0</v>
      </c>
      <c r="AN65" s="2" t="n">
        <f aca="false">COUNTIFS(secondary_acts!$A$2:$A$771,$A65,secondary_acts!$E$2:$E$771,"guidance")</f>
        <v>0</v>
      </c>
      <c r="AO65" s="2" t="n">
        <f aca="false">COUNTIF(guidance_web!$A$2:$A$7,$A65)</f>
        <v>3</v>
      </c>
      <c r="AP65" s="2" t="n">
        <f aca="false">COUNTIFS(guidance_agencies!$A$2:$A$81,$A65,guidance_agencies!$D$2:$D$81,"EDPB")</f>
        <v>0</v>
      </c>
      <c r="AQ65" s="2" t="n">
        <f aca="false">COUNTIFS(guidance_agencies!$A$2:$A$81,$A65,guidance_agencies!$D$2:$D$81,"EBA")</f>
        <v>0</v>
      </c>
      <c r="AR65" s="2" t="n">
        <f aca="false">COUNTIFS(guidance_agencies!$A$2:$A$81,$A65,guidance_agencies!$D$2:$D$81,"ESMA")</f>
        <v>0</v>
      </c>
      <c r="AS65" s="3" t="n">
        <f aca="false">SUMIFS(secondary_acts!$S$2:$S$771,secondary_acts!$A$2:$A$771,$A65,secondary_acts!$E$2:$E$771,"implementing")+SUMIFS(secondary_acts!$S$2:$S$771,secondary_acts!$A$2:$A$771,$A65,secondary_acts!$E$2:$E$771,"delegated")</f>
        <v>159</v>
      </c>
      <c r="AT65" s="3"/>
      <c r="AU65" s="2"/>
      <c r="AV65" s="2" t="n">
        <v>1</v>
      </c>
      <c r="AW65" s="2" t="s">
        <v>581</v>
      </c>
      <c r="AX65" s="2" t="s">
        <v>581</v>
      </c>
      <c r="AY65" s="2" t="n">
        <v>4</v>
      </c>
      <c r="AZ65" s="2" t="s">
        <v>840</v>
      </c>
      <c r="BA65" s="2" t="s">
        <v>157</v>
      </c>
      <c r="BB65" s="2" t="n">
        <v>38412</v>
      </c>
      <c r="BC65" s="2" t="n">
        <v>394</v>
      </c>
      <c r="BD65" s="2" t="n">
        <v>126</v>
      </c>
      <c r="BE65" s="2" t="n">
        <f aca="false">IF(ISNUMBER(BB65),Q65-BB65,"")</f>
        <v>50096</v>
      </c>
      <c r="BF65" s="4" t="n">
        <f aca="false">IF(AND(ISNUMBER(BB65),BB65&gt;0),(Q65-BB65)/BB65,"")</f>
        <v>1.30417577840258</v>
      </c>
      <c r="BG65" s="2" t="n">
        <f aca="false">IF(ISNUMBER(BC65),X65-BC65,"")</f>
        <v>373</v>
      </c>
      <c r="BH65" s="4" t="n">
        <f aca="false">IF(AND(ISNUMBER(BC65),BC65&gt;0),(X65-BC65)/BC65,"")</f>
        <v>0.946700507614213</v>
      </c>
      <c r="BI65" s="2" t="n">
        <f aca="false">IF(ISNUMBER(BD65),AD65-BD65,"")</f>
        <v>91</v>
      </c>
      <c r="BJ65" s="2" t="s">
        <v>85</v>
      </c>
      <c r="BK65" s="2" t="s">
        <v>841</v>
      </c>
      <c r="BL65" s="2" t="s">
        <v>842</v>
      </c>
      <c r="BM65" s="2" t="n">
        <v>4</v>
      </c>
      <c r="BN65" s="2" t="n">
        <v>1</v>
      </c>
      <c r="BO65" s="2" t="n">
        <v>3</v>
      </c>
      <c r="BP65" s="2" t="n">
        <v>0</v>
      </c>
      <c r="BQ65" s="2"/>
    </row>
    <row r="66" customFormat="false" ht="15" hidden="false" customHeight="false" outlineLevel="0" collapsed="false">
      <c r="A66" s="2" t="n">
        <v>65</v>
      </c>
      <c r="B66" s="2" t="s">
        <v>843</v>
      </c>
      <c r="C66" s="2" t="s">
        <v>844</v>
      </c>
      <c r="D66" s="2" t="s">
        <v>296</v>
      </c>
      <c r="E66" s="2" t="s">
        <v>72</v>
      </c>
      <c r="F66" s="2" t="s">
        <v>834</v>
      </c>
      <c r="G66" s="2" t="s">
        <v>163</v>
      </c>
      <c r="H66" s="2" t="s">
        <v>845</v>
      </c>
      <c r="I66" s="2" t="s">
        <v>748</v>
      </c>
      <c r="J66" s="2" t="s">
        <v>846</v>
      </c>
      <c r="K66" s="2" t="s">
        <v>77</v>
      </c>
      <c r="L66" s="2" t="s">
        <v>77</v>
      </c>
      <c r="M66" s="2" t="s">
        <v>847</v>
      </c>
      <c r="N66" s="2" t="s">
        <v>79</v>
      </c>
      <c r="O66" s="2" t="s">
        <v>848</v>
      </c>
      <c r="P66" s="3" t="n">
        <v>102</v>
      </c>
      <c r="Q66" s="3" t="n">
        <v>51980</v>
      </c>
      <c r="R66" s="3" t="n">
        <v>7189</v>
      </c>
      <c r="S66" s="3" t="n">
        <v>7064</v>
      </c>
      <c r="T66" s="3" t="n">
        <v>16691</v>
      </c>
      <c r="U66" s="3" t="n">
        <v>28100</v>
      </c>
      <c r="V66" s="3" t="n">
        <v>0</v>
      </c>
      <c r="W66" s="3" t="n">
        <v>0</v>
      </c>
      <c r="X66" s="3" t="n">
        <v>921</v>
      </c>
      <c r="Y66" s="3" t="n">
        <v>806</v>
      </c>
      <c r="Z66" s="3" t="n">
        <v>62</v>
      </c>
      <c r="AA66" s="3" t="n">
        <v>8</v>
      </c>
      <c r="AB66" s="3" t="n">
        <v>8</v>
      </c>
      <c r="AC66" s="3" t="n">
        <v>37</v>
      </c>
      <c r="AD66" s="3" t="n">
        <v>292</v>
      </c>
      <c r="AE66" s="3" t="n">
        <v>53</v>
      </c>
      <c r="AF66" s="3" t="n">
        <v>61</v>
      </c>
      <c r="AG66" s="3" t="n">
        <v>515</v>
      </c>
      <c r="AH66" s="2" t="s">
        <v>849</v>
      </c>
      <c r="AI66" s="3" t="n">
        <v>956</v>
      </c>
      <c r="AJ66" s="2" t="n">
        <v>297</v>
      </c>
      <c r="AK66" s="2" t="n">
        <f aca="false">COUNTIFS(secondary_acts!$A$2:$A$771,$A66,secondary_acts!$E$2:$E$771,"implementing")</f>
        <v>1</v>
      </c>
      <c r="AL66" s="2" t="n">
        <f aca="false">COUNTIFS(secondary_acts!$A$2:$A$771,$A66,secondary_acts!$E$2:$E$771,"delegated")</f>
        <v>0</v>
      </c>
      <c r="AM66" s="2" t="n">
        <f aca="false">COUNTIFS(secondary_acts!$A$2:$A$771,$A66,secondary_acts!$E$2:$E$771,"other Commission/Council act")</f>
        <v>0</v>
      </c>
      <c r="AN66" s="2" t="n">
        <f aca="false">COUNTIFS(secondary_acts!$A$2:$A$771,$A66,secondary_acts!$E$2:$E$771,"guidance")</f>
        <v>1</v>
      </c>
      <c r="AO66" s="2" t="n">
        <f aca="false">COUNTIF(guidance_web!$A$2:$A$7,$A66)</f>
        <v>0</v>
      </c>
      <c r="AP66" s="2" t="n">
        <f aca="false">COUNTIFS(guidance_agencies!$A$2:$A$81,$A66,guidance_agencies!$D$2:$D$81,"EDPB")</f>
        <v>0</v>
      </c>
      <c r="AQ66" s="2" t="n">
        <f aca="false">COUNTIFS(guidance_agencies!$A$2:$A$81,$A66,guidance_agencies!$D$2:$D$81,"EBA")</f>
        <v>0</v>
      </c>
      <c r="AR66" s="2" t="n">
        <f aca="false">COUNTIFS(guidance_agencies!$A$2:$A$81,$A66,guidance_agencies!$D$2:$D$81,"ESMA")</f>
        <v>0</v>
      </c>
      <c r="AS66" s="3" t="n">
        <f aca="false">SUMIFS(secondary_acts!$S$2:$S$771,secondary_acts!$A$2:$A$771,$A66,secondary_acts!$E$2:$E$771,"implementing")+SUMIFS(secondary_acts!$S$2:$S$771,secondary_acts!$A$2:$A$771,$A66,secondary_acts!$E$2:$E$771,"delegated")</f>
        <v>1</v>
      </c>
      <c r="AT66" s="3"/>
      <c r="AU66" s="2"/>
      <c r="AV66" s="2" t="n">
        <v>2</v>
      </c>
      <c r="AW66" s="2" t="s">
        <v>850</v>
      </c>
      <c r="AX66" s="2" t="s">
        <v>581</v>
      </c>
      <c r="AY66" s="2" t="n">
        <v>3</v>
      </c>
      <c r="AZ66" s="2" t="s">
        <v>851</v>
      </c>
      <c r="BA66" s="2" t="s">
        <v>157</v>
      </c>
      <c r="BB66" s="2" t="n">
        <v>43556</v>
      </c>
      <c r="BC66" s="2" t="n">
        <v>814</v>
      </c>
      <c r="BD66" s="2" t="n">
        <v>240</v>
      </c>
      <c r="BE66" s="2" t="n">
        <f aca="false">IF(ISNUMBER(BB66),Q66-BB66,"")</f>
        <v>8424</v>
      </c>
      <c r="BF66" s="4" t="n">
        <f aca="false">IF(AND(ISNUMBER(BB66),BB66&gt;0),(Q66-BB66)/BB66,"")</f>
        <v>0.193406189732758</v>
      </c>
      <c r="BG66" s="2" t="n">
        <f aca="false">IF(ISNUMBER(BC66),X66-BC66,"")</f>
        <v>107</v>
      </c>
      <c r="BH66" s="4" t="n">
        <f aca="false">IF(AND(ISNUMBER(BC66),BC66&gt;0),(X66-BC66)/BC66,"")</f>
        <v>0.131449631449631</v>
      </c>
      <c r="BI66" s="2" t="n">
        <f aca="false">IF(ISNUMBER(BD66),AD66-BD66,"")</f>
        <v>52</v>
      </c>
      <c r="BJ66" s="2" t="s">
        <v>429</v>
      </c>
      <c r="BK66" s="2" t="s">
        <v>852</v>
      </c>
      <c r="BL66" s="2" t="s">
        <v>853</v>
      </c>
      <c r="BM66" s="2" t="n">
        <v>3</v>
      </c>
      <c r="BN66" s="2" t="n">
        <v>0</v>
      </c>
      <c r="BO66" s="2" t="n">
        <v>1</v>
      </c>
      <c r="BP66" s="2" t="n">
        <v>0</v>
      </c>
      <c r="BQ66" s="2"/>
    </row>
    <row r="67" customFormat="false" ht="15" hidden="false" customHeight="false" outlineLevel="0" collapsed="false">
      <c r="A67" s="2" t="n">
        <v>66</v>
      </c>
      <c r="B67" s="2" t="s">
        <v>854</v>
      </c>
      <c r="C67" s="2" t="s">
        <v>855</v>
      </c>
      <c r="D67" s="2" t="s">
        <v>215</v>
      </c>
      <c r="E67" s="2" t="s">
        <v>72</v>
      </c>
      <c r="F67" s="2" t="s">
        <v>856</v>
      </c>
      <c r="G67" s="2" t="s">
        <v>163</v>
      </c>
      <c r="H67" s="2" t="s">
        <v>365</v>
      </c>
      <c r="I67" s="2" t="s">
        <v>857</v>
      </c>
      <c r="J67" s="2" t="s">
        <v>858</v>
      </c>
      <c r="K67" s="2" t="s">
        <v>77</v>
      </c>
      <c r="L67" s="2" t="s">
        <v>77</v>
      </c>
      <c r="M67" s="2" t="s">
        <v>859</v>
      </c>
      <c r="N67" s="2" t="s">
        <v>79</v>
      </c>
      <c r="O67" s="2" t="s">
        <v>860</v>
      </c>
      <c r="P67" s="3" t="n">
        <v>45</v>
      </c>
      <c r="Q67" s="3" t="n">
        <v>23466</v>
      </c>
      <c r="R67" s="3" t="n">
        <v>7459</v>
      </c>
      <c r="S67" s="3" t="n">
        <v>7351</v>
      </c>
      <c r="T67" s="3" t="n">
        <v>16007</v>
      </c>
      <c r="U67" s="3" t="n">
        <v>0</v>
      </c>
      <c r="V67" s="3" t="n">
        <v>0</v>
      </c>
      <c r="W67" s="3" t="n">
        <v>0</v>
      </c>
      <c r="X67" s="3" t="n">
        <v>176</v>
      </c>
      <c r="Y67" s="3" t="n">
        <v>146</v>
      </c>
      <c r="Z67" s="3" t="n">
        <v>26</v>
      </c>
      <c r="AA67" s="3" t="n">
        <v>0</v>
      </c>
      <c r="AB67" s="3" t="n">
        <v>2</v>
      </c>
      <c r="AC67" s="3" t="n">
        <v>2</v>
      </c>
      <c r="AD67" s="3" t="n">
        <v>20</v>
      </c>
      <c r="AE67" s="3" t="n">
        <v>14</v>
      </c>
      <c r="AF67" s="3" t="n">
        <v>86</v>
      </c>
      <c r="AG67" s="3" t="n">
        <v>56</v>
      </c>
      <c r="AH67" s="2" t="s">
        <v>861</v>
      </c>
      <c r="AI67" s="3" t="n">
        <v>176</v>
      </c>
      <c r="AJ67" s="2" t="n">
        <v>20</v>
      </c>
      <c r="AK67" s="2" t="n">
        <f aca="false">COUNTIFS(secondary_acts!$A$2:$A$771,$A67,secondary_acts!$E$2:$E$771,"implementing")</f>
        <v>2</v>
      </c>
      <c r="AL67" s="2" t="n">
        <f aca="false">COUNTIFS(secondary_acts!$A$2:$A$771,$A67,secondary_acts!$E$2:$E$771,"delegated")</f>
        <v>0</v>
      </c>
      <c r="AM67" s="2" t="n">
        <f aca="false">COUNTIFS(secondary_acts!$A$2:$A$771,$A67,secondary_acts!$E$2:$E$771,"other Commission/Council act")</f>
        <v>0</v>
      </c>
      <c r="AN67" s="2" t="n">
        <f aca="false">COUNTIFS(secondary_acts!$A$2:$A$771,$A67,secondary_acts!$E$2:$E$771,"guidance")</f>
        <v>1</v>
      </c>
      <c r="AO67" s="2" t="n">
        <f aca="false">COUNTIF(guidance_web!$A$2:$A$7,$A67)</f>
        <v>0</v>
      </c>
      <c r="AP67" s="2" t="n">
        <f aca="false">COUNTIFS(guidance_agencies!$A$2:$A$81,$A67,guidance_agencies!$D$2:$D$81,"EDPB")</f>
        <v>0</v>
      </c>
      <c r="AQ67" s="2" t="n">
        <f aca="false">COUNTIFS(guidance_agencies!$A$2:$A$81,$A67,guidance_agencies!$D$2:$D$81,"EBA")</f>
        <v>0</v>
      </c>
      <c r="AR67" s="2" t="n">
        <f aca="false">COUNTIFS(guidance_agencies!$A$2:$A$81,$A67,guidance_agencies!$D$2:$D$81,"ESMA")</f>
        <v>0</v>
      </c>
      <c r="AS67" s="3" t="n">
        <f aca="false">SUMIFS(secondary_acts!$S$2:$S$771,secondary_acts!$A$2:$A$771,$A67,secondary_acts!$E$2:$E$771,"implementing")+SUMIFS(secondary_acts!$S$2:$S$771,secondary_acts!$A$2:$A$771,$A67,secondary_acts!$E$2:$E$771,"delegated")</f>
        <v>191</v>
      </c>
      <c r="AT67" s="3"/>
      <c r="AU67" s="2"/>
      <c r="AV67" s="2" t="n">
        <v>0</v>
      </c>
      <c r="AW67" s="2"/>
      <c r="AX67" s="2"/>
      <c r="AY67" s="2" t="n">
        <v>2</v>
      </c>
      <c r="AZ67" s="2" t="s">
        <v>862</v>
      </c>
      <c r="BA67" s="2" t="s">
        <v>157</v>
      </c>
      <c r="BB67" s="2" t="n">
        <v>13590</v>
      </c>
      <c r="BC67" s="2" t="n">
        <v>112</v>
      </c>
      <c r="BD67" s="2" t="n">
        <v>20</v>
      </c>
      <c r="BE67" s="2" t="n">
        <f aca="false">IF(ISNUMBER(BB67),Q67-BB67,"")</f>
        <v>9876</v>
      </c>
      <c r="BF67" s="4" t="n">
        <f aca="false">IF(AND(ISNUMBER(BB67),BB67&gt;0),(Q67-BB67)/BB67,"")</f>
        <v>0.726710816777042</v>
      </c>
      <c r="BG67" s="2" t="n">
        <f aca="false">IF(ISNUMBER(BC67),X67-BC67,"")</f>
        <v>64</v>
      </c>
      <c r="BH67" s="4" t="n">
        <f aca="false">IF(AND(ISNUMBER(BC67),BC67&gt;0),(X67-BC67)/BC67,"")</f>
        <v>0.571428571428571</v>
      </c>
      <c r="BI67" s="2" t="n">
        <f aca="false">IF(ISNUMBER(BD67),AD67-BD67,"")</f>
        <v>0</v>
      </c>
      <c r="BJ67" s="2" t="s">
        <v>85</v>
      </c>
      <c r="BK67" s="2" t="s">
        <v>863</v>
      </c>
      <c r="BL67" s="2" t="s">
        <v>864</v>
      </c>
      <c r="BM67" s="2" t="n">
        <v>5</v>
      </c>
      <c r="BN67" s="2" t="n">
        <v>3</v>
      </c>
      <c r="BO67" s="2" t="n">
        <v>1</v>
      </c>
      <c r="BP67" s="2" t="n">
        <v>0</v>
      </c>
      <c r="BQ67" s="2"/>
    </row>
    <row r="68" customFormat="false" ht="15" hidden="false" customHeight="false" outlineLevel="0" collapsed="false">
      <c r="A68" s="2" t="n">
        <v>67</v>
      </c>
      <c r="B68" s="2" t="s">
        <v>865</v>
      </c>
      <c r="C68" s="2" t="s">
        <v>866</v>
      </c>
      <c r="D68" s="2" t="s">
        <v>296</v>
      </c>
      <c r="E68" s="2" t="s">
        <v>72</v>
      </c>
      <c r="F68" s="2" t="s">
        <v>867</v>
      </c>
      <c r="G68" s="2" t="s">
        <v>163</v>
      </c>
      <c r="H68" s="2" t="s">
        <v>868</v>
      </c>
      <c r="I68" s="2" t="s">
        <v>869</v>
      </c>
      <c r="J68" s="2" t="s">
        <v>870</v>
      </c>
      <c r="K68" s="2" t="s">
        <v>77</v>
      </c>
      <c r="L68" s="2" t="s">
        <v>77</v>
      </c>
      <c r="M68" s="2" t="s">
        <v>871</v>
      </c>
      <c r="N68" s="2" t="s">
        <v>79</v>
      </c>
      <c r="O68" s="2" t="s">
        <v>872</v>
      </c>
      <c r="P68" s="3" t="n">
        <v>51</v>
      </c>
      <c r="Q68" s="3" t="n">
        <v>27494</v>
      </c>
      <c r="R68" s="3" t="n">
        <v>11555</v>
      </c>
      <c r="S68" s="3" t="n">
        <v>11402</v>
      </c>
      <c r="T68" s="3" t="n">
        <v>15446</v>
      </c>
      <c r="U68" s="3" t="n">
        <v>493</v>
      </c>
      <c r="V68" s="3" t="n">
        <v>0</v>
      </c>
      <c r="W68" s="3" t="n">
        <v>0</v>
      </c>
      <c r="X68" s="3" t="n">
        <v>249</v>
      </c>
      <c r="Y68" s="3" t="n">
        <v>209</v>
      </c>
      <c r="Z68" s="3" t="n">
        <v>11</v>
      </c>
      <c r="AA68" s="3" t="n">
        <v>7</v>
      </c>
      <c r="AB68" s="3" t="n">
        <v>1</v>
      </c>
      <c r="AC68" s="3" t="n">
        <v>21</v>
      </c>
      <c r="AD68" s="3" t="n">
        <v>102</v>
      </c>
      <c r="AE68" s="3" t="n">
        <v>33</v>
      </c>
      <c r="AF68" s="3" t="n">
        <v>74</v>
      </c>
      <c r="AG68" s="3" t="n">
        <v>40</v>
      </c>
      <c r="AH68" s="2" t="s">
        <v>873</v>
      </c>
      <c r="AI68" s="3" t="n">
        <v>248</v>
      </c>
      <c r="AJ68" s="2" t="n">
        <v>102</v>
      </c>
      <c r="AK68" s="2" t="n">
        <f aca="false">COUNTIFS(secondary_acts!$A$2:$A$771,$A68,secondary_acts!$E$2:$E$771,"implementing")</f>
        <v>5</v>
      </c>
      <c r="AL68" s="2" t="n">
        <f aca="false">COUNTIFS(secondary_acts!$A$2:$A$771,$A68,secondary_acts!$E$2:$E$771,"delegated")</f>
        <v>1</v>
      </c>
      <c r="AM68" s="2" t="n">
        <f aca="false">COUNTIFS(secondary_acts!$A$2:$A$771,$A68,secondary_acts!$E$2:$E$771,"other Commission/Council act")</f>
        <v>0</v>
      </c>
      <c r="AN68" s="2" t="n">
        <f aca="false">COUNTIFS(secondary_acts!$A$2:$A$771,$A68,secondary_acts!$E$2:$E$771,"guidance")</f>
        <v>2</v>
      </c>
      <c r="AO68" s="2" t="n">
        <f aca="false">COUNTIF(guidance_web!$A$2:$A$7,$A68)</f>
        <v>0</v>
      </c>
      <c r="AP68" s="2" t="n">
        <f aca="false">COUNTIFS(guidance_agencies!$A$2:$A$81,$A68,guidance_agencies!$D$2:$D$81,"EDPB")</f>
        <v>0</v>
      </c>
      <c r="AQ68" s="2" t="n">
        <f aca="false">COUNTIFS(guidance_agencies!$A$2:$A$81,$A68,guidance_agencies!$D$2:$D$81,"EBA")</f>
        <v>0</v>
      </c>
      <c r="AR68" s="2" t="n">
        <f aca="false">COUNTIFS(guidance_agencies!$A$2:$A$81,$A68,guidance_agencies!$D$2:$D$81,"ESMA")</f>
        <v>0</v>
      </c>
      <c r="AS68" s="3" t="n">
        <f aca="false">SUMIFS(secondary_acts!$S$2:$S$771,secondary_acts!$A$2:$A$771,$A68,secondary_acts!$E$2:$E$771,"implementing")+SUMIFS(secondary_acts!$S$2:$S$771,secondary_acts!$A$2:$A$771,$A68,secondary_acts!$E$2:$E$771,"delegated")</f>
        <v>138</v>
      </c>
      <c r="AT68" s="3"/>
      <c r="AU68" s="2"/>
      <c r="AV68" s="2" t="n">
        <v>1</v>
      </c>
      <c r="AW68" s="2" t="s">
        <v>850</v>
      </c>
      <c r="AX68" s="2" t="s">
        <v>850</v>
      </c>
      <c r="AY68" s="2" t="n">
        <v>4</v>
      </c>
      <c r="AZ68" s="2" t="s">
        <v>874</v>
      </c>
      <c r="BA68" s="2" t="s">
        <v>157</v>
      </c>
      <c r="BB68" s="2" t="n">
        <v>19646</v>
      </c>
      <c r="BC68" s="2" t="n">
        <v>198</v>
      </c>
      <c r="BD68" s="2" t="n">
        <v>83</v>
      </c>
      <c r="BE68" s="2" t="n">
        <f aca="false">IF(ISNUMBER(BB68),Q68-BB68,"")</f>
        <v>7848</v>
      </c>
      <c r="BF68" s="4" t="n">
        <f aca="false">IF(AND(ISNUMBER(BB68),BB68&gt;0),(Q68-BB68)/BB68,"")</f>
        <v>0.399470630153721</v>
      </c>
      <c r="BG68" s="2" t="n">
        <f aca="false">IF(ISNUMBER(BC68),X68-BC68,"")</f>
        <v>51</v>
      </c>
      <c r="BH68" s="4" t="n">
        <f aca="false">IF(AND(ISNUMBER(BC68),BC68&gt;0),(X68-BC68)/BC68,"")</f>
        <v>0.257575757575758</v>
      </c>
      <c r="BI68" s="2" t="n">
        <f aca="false">IF(ISNUMBER(BD68),AD68-BD68,"")</f>
        <v>19</v>
      </c>
      <c r="BJ68" s="2" t="s">
        <v>85</v>
      </c>
      <c r="BK68" s="2" t="s">
        <v>875</v>
      </c>
      <c r="BL68" s="2" t="s">
        <v>876</v>
      </c>
      <c r="BM68" s="2" t="n">
        <v>4</v>
      </c>
      <c r="BN68" s="2" t="n">
        <v>1</v>
      </c>
      <c r="BO68" s="2" t="n">
        <v>2</v>
      </c>
      <c r="BP68" s="2" t="n">
        <v>0</v>
      </c>
      <c r="BQ68" s="2"/>
    </row>
    <row r="69" customFormat="false" ht="15" hidden="false" customHeight="false" outlineLevel="0" collapsed="false">
      <c r="A69" s="2" t="n">
        <v>68</v>
      </c>
      <c r="B69" s="2" t="s">
        <v>877</v>
      </c>
      <c r="C69" s="2" t="s">
        <v>878</v>
      </c>
      <c r="D69" s="2" t="s">
        <v>253</v>
      </c>
      <c r="E69" s="2" t="s">
        <v>72</v>
      </c>
      <c r="F69" s="2" t="s">
        <v>879</v>
      </c>
      <c r="G69" s="2" t="s">
        <v>163</v>
      </c>
      <c r="H69" s="2" t="s">
        <v>880</v>
      </c>
      <c r="I69" s="2" t="s">
        <v>881</v>
      </c>
      <c r="J69" s="2" t="s">
        <v>882</v>
      </c>
      <c r="K69" s="2" t="s">
        <v>77</v>
      </c>
      <c r="L69" s="2" t="s">
        <v>77</v>
      </c>
      <c r="M69" s="2" t="s">
        <v>883</v>
      </c>
      <c r="N69" s="2" t="s">
        <v>79</v>
      </c>
      <c r="O69" s="2" t="s">
        <v>884</v>
      </c>
      <c r="P69" s="3" t="n">
        <v>111</v>
      </c>
      <c r="Q69" s="3" t="n">
        <v>63417</v>
      </c>
      <c r="R69" s="3" t="n">
        <v>25391</v>
      </c>
      <c r="S69" s="3" t="n">
        <v>25257</v>
      </c>
      <c r="T69" s="3" t="n">
        <v>35314</v>
      </c>
      <c r="U69" s="3" t="n">
        <v>2712</v>
      </c>
      <c r="V69" s="3" t="n">
        <v>0</v>
      </c>
      <c r="W69" s="3" t="n">
        <v>0</v>
      </c>
      <c r="X69" s="3" t="n">
        <v>467</v>
      </c>
      <c r="Y69" s="3" t="n">
        <v>408</v>
      </c>
      <c r="Z69" s="3" t="n">
        <v>26</v>
      </c>
      <c r="AA69" s="3" t="n">
        <v>8</v>
      </c>
      <c r="AB69" s="3" t="n">
        <v>4</v>
      </c>
      <c r="AC69" s="3" t="n">
        <v>21</v>
      </c>
      <c r="AD69" s="3" t="n">
        <v>234</v>
      </c>
      <c r="AE69" s="3" t="n">
        <v>48</v>
      </c>
      <c r="AF69" s="3" t="n">
        <v>87</v>
      </c>
      <c r="AG69" s="3" t="n">
        <v>98</v>
      </c>
      <c r="AH69" s="2" t="s">
        <v>885</v>
      </c>
      <c r="AI69" s="3" t="n">
        <v>467</v>
      </c>
      <c r="AJ69" s="2" t="n">
        <v>234</v>
      </c>
      <c r="AK69" s="2" t="n">
        <f aca="false">COUNTIFS(secondary_acts!$A$2:$A$771,$A69,secondary_acts!$E$2:$E$771,"implementing")</f>
        <v>0</v>
      </c>
      <c r="AL69" s="2" t="n">
        <f aca="false">COUNTIFS(secondary_acts!$A$2:$A$771,$A69,secondary_acts!$E$2:$E$771,"delegated")</f>
        <v>0</v>
      </c>
      <c r="AM69" s="2" t="n">
        <f aca="false">COUNTIFS(secondary_acts!$A$2:$A$771,$A69,secondary_acts!$E$2:$E$771,"other Commission/Council act")</f>
        <v>0</v>
      </c>
      <c r="AN69" s="2" t="n">
        <f aca="false">COUNTIFS(secondary_acts!$A$2:$A$771,$A69,secondary_acts!$E$2:$E$771,"guidance")</f>
        <v>0</v>
      </c>
      <c r="AO69" s="2" t="n">
        <f aca="false">COUNTIF(guidance_web!$A$2:$A$7,$A69)</f>
        <v>0</v>
      </c>
      <c r="AP69" s="2" t="n">
        <f aca="false">COUNTIFS(guidance_agencies!$A$2:$A$81,$A69,guidance_agencies!$D$2:$D$81,"EDPB")</f>
        <v>0</v>
      </c>
      <c r="AQ69" s="2" t="n">
        <f aca="false">COUNTIFS(guidance_agencies!$A$2:$A$81,$A69,guidance_agencies!$D$2:$D$81,"EBA")</f>
        <v>0</v>
      </c>
      <c r="AR69" s="2" t="n">
        <f aca="false">COUNTIFS(guidance_agencies!$A$2:$A$81,$A69,guidance_agencies!$D$2:$D$81,"ESMA")</f>
        <v>0</v>
      </c>
      <c r="AS69" s="3" t="n">
        <f aca="false">SUMIFS(secondary_acts!$S$2:$S$771,secondary_acts!$A$2:$A$771,$A69,secondary_acts!$E$2:$E$771,"implementing")+SUMIFS(secondary_acts!$S$2:$S$771,secondary_acts!$A$2:$A$771,$A69,secondary_acts!$E$2:$E$771,"delegated")</f>
        <v>0</v>
      </c>
      <c r="AT69" s="3"/>
      <c r="AU69" s="2"/>
      <c r="AV69" s="2" t="n">
        <v>0</v>
      </c>
      <c r="AW69" s="2"/>
      <c r="AX69" s="2"/>
      <c r="AY69" s="2" t="n">
        <v>4</v>
      </c>
      <c r="AZ69" s="2" t="s">
        <v>886</v>
      </c>
      <c r="BA69" s="2" t="s">
        <v>157</v>
      </c>
      <c r="BB69" s="2" t="n">
        <v>33016</v>
      </c>
      <c r="BC69" s="2" t="n">
        <v>264</v>
      </c>
      <c r="BD69" s="2" t="n">
        <v>129</v>
      </c>
      <c r="BE69" s="2" t="n">
        <f aca="false">IF(ISNUMBER(BB69),Q69-BB69,"")</f>
        <v>30401</v>
      </c>
      <c r="BF69" s="4" t="n">
        <f aca="false">IF(AND(ISNUMBER(BB69),BB69&gt;0),(Q69-BB69)/BB69,"")</f>
        <v>0.920795977707778</v>
      </c>
      <c r="BG69" s="2" t="n">
        <f aca="false">IF(ISNUMBER(BC69),X69-BC69,"")</f>
        <v>203</v>
      </c>
      <c r="BH69" s="4" t="n">
        <f aca="false">IF(AND(ISNUMBER(BC69),BC69&gt;0),(X69-BC69)/BC69,"")</f>
        <v>0.768939393939394</v>
      </c>
      <c r="BI69" s="2" t="n">
        <f aca="false">IF(ISNUMBER(BD69),AD69-BD69,"")</f>
        <v>105</v>
      </c>
      <c r="BJ69" s="2" t="s">
        <v>85</v>
      </c>
      <c r="BK69" s="2" t="s">
        <v>887</v>
      </c>
      <c r="BL69" s="2" t="s">
        <v>888</v>
      </c>
      <c r="BM69" s="2" t="n">
        <v>5</v>
      </c>
      <c r="BN69" s="2" t="n">
        <v>0</v>
      </c>
      <c r="BO69" s="2" t="n">
        <v>6</v>
      </c>
      <c r="BP69" s="2" t="n">
        <v>1</v>
      </c>
      <c r="BQ69" s="2" t="s">
        <v>118</v>
      </c>
    </row>
    <row r="70" customFormat="false" ht="15" hidden="false" customHeight="false" outlineLevel="0" collapsed="false">
      <c r="A70" s="2" t="n">
        <v>69</v>
      </c>
      <c r="B70" s="2" t="s">
        <v>889</v>
      </c>
      <c r="C70" s="2" t="s">
        <v>890</v>
      </c>
      <c r="D70" s="2" t="s">
        <v>215</v>
      </c>
      <c r="E70" s="2" t="s">
        <v>72</v>
      </c>
      <c r="F70" s="2" t="s">
        <v>891</v>
      </c>
      <c r="G70" s="2" t="s">
        <v>74</v>
      </c>
      <c r="H70" s="2" t="s">
        <v>892</v>
      </c>
      <c r="I70" s="2" t="s">
        <v>893</v>
      </c>
      <c r="J70" s="2" t="s">
        <v>894</v>
      </c>
      <c r="K70" s="2" t="s">
        <v>77</v>
      </c>
      <c r="L70" s="2" t="s">
        <v>77</v>
      </c>
      <c r="M70" s="2" t="s">
        <v>895</v>
      </c>
      <c r="N70" s="2" t="s">
        <v>79</v>
      </c>
      <c r="O70" s="2" t="s">
        <v>896</v>
      </c>
      <c r="P70" s="3" t="n">
        <v>10</v>
      </c>
      <c r="Q70" s="3" t="n">
        <v>5548</v>
      </c>
      <c r="R70" s="3" t="n">
        <v>1985</v>
      </c>
      <c r="S70" s="3" t="n">
        <v>1860</v>
      </c>
      <c r="T70" s="3" t="n">
        <v>3563</v>
      </c>
      <c r="U70" s="3" t="n">
        <v>0</v>
      </c>
      <c r="V70" s="3" t="n">
        <v>0</v>
      </c>
      <c r="W70" s="3" t="n">
        <v>0</v>
      </c>
      <c r="X70" s="3" t="n">
        <v>4</v>
      </c>
      <c r="Y70" s="3" t="n">
        <v>3</v>
      </c>
      <c r="Z70" s="3" t="n">
        <v>1</v>
      </c>
      <c r="AA70" s="3" t="n">
        <v>0</v>
      </c>
      <c r="AB70" s="3" t="n">
        <v>0</v>
      </c>
      <c r="AC70" s="3" t="n">
        <v>0</v>
      </c>
      <c r="AD70" s="3" t="n">
        <v>1</v>
      </c>
      <c r="AE70" s="3" t="n">
        <v>0</v>
      </c>
      <c r="AF70" s="3" t="n">
        <v>0</v>
      </c>
      <c r="AG70" s="3" t="n">
        <v>3</v>
      </c>
      <c r="AH70" s="2" t="s">
        <v>897</v>
      </c>
      <c r="AI70" s="3" t="n">
        <v>4</v>
      </c>
      <c r="AJ70" s="2" t="n">
        <v>1</v>
      </c>
      <c r="AK70" s="2" t="n">
        <f aca="false">COUNTIFS(secondary_acts!$A$2:$A$771,$A70,secondary_acts!$E$2:$E$771,"implementing")</f>
        <v>0</v>
      </c>
      <c r="AL70" s="2" t="n">
        <f aca="false">COUNTIFS(secondary_acts!$A$2:$A$771,$A70,secondary_acts!$E$2:$E$771,"delegated")</f>
        <v>0</v>
      </c>
      <c r="AM70" s="2" t="n">
        <f aca="false">COUNTIFS(secondary_acts!$A$2:$A$771,$A70,secondary_acts!$E$2:$E$771,"other Commission/Council act")</f>
        <v>0</v>
      </c>
      <c r="AN70" s="2" t="n">
        <f aca="false">COUNTIFS(secondary_acts!$A$2:$A$771,$A70,secondary_acts!$E$2:$E$771,"guidance")</f>
        <v>1</v>
      </c>
      <c r="AO70" s="2" t="n">
        <f aca="false">COUNTIF(guidance_web!$A$2:$A$7,$A70)</f>
        <v>0</v>
      </c>
      <c r="AP70" s="2" t="n">
        <f aca="false">COUNTIFS(guidance_agencies!$A$2:$A$81,$A70,guidance_agencies!$D$2:$D$81,"EDPB")</f>
        <v>0</v>
      </c>
      <c r="AQ70" s="2" t="n">
        <f aca="false">COUNTIFS(guidance_agencies!$A$2:$A$81,$A70,guidance_agencies!$D$2:$D$81,"EBA")</f>
        <v>0</v>
      </c>
      <c r="AR70" s="2" t="n">
        <f aca="false">COUNTIFS(guidance_agencies!$A$2:$A$81,$A70,guidance_agencies!$D$2:$D$81,"ESMA")</f>
        <v>0</v>
      </c>
      <c r="AS70" s="3" t="n">
        <f aca="false">SUMIFS(secondary_acts!$S$2:$S$771,secondary_acts!$A$2:$A$771,$A70,secondary_acts!$E$2:$E$771,"implementing")+SUMIFS(secondary_acts!$S$2:$S$771,secondary_acts!$A$2:$A$771,$A70,secondary_acts!$E$2:$E$771,"delegated")</f>
        <v>0</v>
      </c>
      <c r="AT70" s="3"/>
      <c r="AU70" s="2"/>
      <c r="AV70" s="2" t="n">
        <v>1</v>
      </c>
      <c r="AW70" s="2" t="s">
        <v>898</v>
      </c>
      <c r="AX70" s="2" t="s">
        <v>898</v>
      </c>
      <c r="AY70" s="2" t="n">
        <v>1</v>
      </c>
      <c r="AZ70" s="2"/>
      <c r="BA70" s="2" t="s">
        <v>403</v>
      </c>
      <c r="BB70" s="2"/>
      <c r="BC70" s="2"/>
      <c r="BD70" s="2"/>
      <c r="BE70" s="2" t="str">
        <f aca="false">IF(ISNUMBER(BB70),Q70-BB70,"")</f>
        <v/>
      </c>
      <c r="BF70" s="4" t="str">
        <f aca="false">IF(AND(ISNUMBER(BB70),BB70&gt;0),(Q70-BB70)/BB70,"")</f>
        <v/>
      </c>
      <c r="BG70" s="2" t="str">
        <f aca="false">IF(ISNUMBER(BC70),X70-BC70,"")</f>
        <v/>
      </c>
      <c r="BH70" s="4" t="str">
        <f aca="false">IF(AND(ISNUMBER(BC70),BC70&gt;0),(X70-BC70)/BC70,"")</f>
        <v/>
      </c>
      <c r="BI70" s="2" t="str">
        <f aca="false">IF(ISNUMBER(BD70),AD70-BD70,"")</f>
        <v/>
      </c>
      <c r="BJ70" s="2" t="s">
        <v>85</v>
      </c>
      <c r="BK70" s="2" t="s">
        <v>899</v>
      </c>
      <c r="BL70" s="2" t="s">
        <v>900</v>
      </c>
      <c r="BM70" s="2" t="n">
        <v>3</v>
      </c>
      <c r="BN70" s="2" t="n">
        <v>0</v>
      </c>
      <c r="BO70" s="2" t="n">
        <v>3</v>
      </c>
      <c r="BP70" s="2" t="n">
        <v>2</v>
      </c>
      <c r="BQ70" s="2" t="s">
        <v>406</v>
      </c>
    </row>
    <row r="71" customFormat="false" ht="15" hidden="false" customHeight="false" outlineLevel="0" collapsed="false">
      <c r="A71" s="2" t="n">
        <v>70</v>
      </c>
      <c r="B71" s="2" t="s">
        <v>901</v>
      </c>
      <c r="C71" s="2" t="s">
        <v>902</v>
      </c>
      <c r="D71" s="2" t="s">
        <v>634</v>
      </c>
      <c r="E71" s="2" t="s">
        <v>72</v>
      </c>
      <c r="F71" s="2" t="s">
        <v>903</v>
      </c>
      <c r="G71" s="2" t="s">
        <v>163</v>
      </c>
      <c r="H71" s="2" t="s">
        <v>365</v>
      </c>
      <c r="I71" s="2" t="s">
        <v>904</v>
      </c>
      <c r="J71" s="2" t="s">
        <v>905</v>
      </c>
      <c r="K71" s="2" t="s">
        <v>77</v>
      </c>
      <c r="L71" s="2" t="s">
        <v>77</v>
      </c>
      <c r="M71" s="2" t="s">
        <v>906</v>
      </c>
      <c r="N71" s="2" t="s">
        <v>79</v>
      </c>
      <c r="O71" s="2" t="s">
        <v>907</v>
      </c>
      <c r="P71" s="3" t="n">
        <v>23</v>
      </c>
      <c r="Q71" s="3" t="n">
        <v>12229</v>
      </c>
      <c r="R71" s="3" t="n">
        <v>5675</v>
      </c>
      <c r="S71" s="3" t="n">
        <v>5557</v>
      </c>
      <c r="T71" s="3" t="n">
        <v>6391</v>
      </c>
      <c r="U71" s="3" t="n">
        <v>163</v>
      </c>
      <c r="V71" s="3" t="n">
        <v>0</v>
      </c>
      <c r="W71" s="3" t="n">
        <v>0</v>
      </c>
      <c r="X71" s="3" t="n">
        <v>114</v>
      </c>
      <c r="Y71" s="3" t="n">
        <v>110</v>
      </c>
      <c r="Z71" s="3" t="n">
        <v>2</v>
      </c>
      <c r="AA71" s="3" t="n">
        <v>0</v>
      </c>
      <c r="AB71" s="3" t="n">
        <v>1</v>
      </c>
      <c r="AC71" s="3" t="n">
        <v>1</v>
      </c>
      <c r="AD71" s="3" t="n">
        <v>0</v>
      </c>
      <c r="AE71" s="3" t="n">
        <v>20</v>
      </c>
      <c r="AF71" s="3" t="n">
        <v>50</v>
      </c>
      <c r="AG71" s="3" t="n">
        <v>44</v>
      </c>
      <c r="AH71" s="2"/>
      <c r="AI71" s="3"/>
      <c r="AJ71" s="2"/>
      <c r="AK71" s="2" t="n">
        <f aca="false">COUNTIFS(secondary_acts!$A$2:$A$771,$A71,secondary_acts!$E$2:$E$771,"implementing")</f>
        <v>8</v>
      </c>
      <c r="AL71" s="2" t="n">
        <f aca="false">COUNTIFS(secondary_acts!$A$2:$A$771,$A71,secondary_acts!$E$2:$E$771,"delegated")</f>
        <v>0</v>
      </c>
      <c r="AM71" s="2" t="n">
        <f aca="false">COUNTIFS(secondary_acts!$A$2:$A$771,$A71,secondary_acts!$E$2:$E$771,"other Commission/Council act")</f>
        <v>0</v>
      </c>
      <c r="AN71" s="2" t="n">
        <f aca="false">COUNTIFS(secondary_acts!$A$2:$A$771,$A71,secondary_acts!$E$2:$E$771,"guidance")</f>
        <v>1</v>
      </c>
      <c r="AO71" s="2" t="n">
        <f aca="false">COUNTIF(guidance_web!$A$2:$A$7,$A71)</f>
        <v>0</v>
      </c>
      <c r="AP71" s="2" t="n">
        <f aca="false">COUNTIFS(guidance_agencies!$A$2:$A$81,$A71,guidance_agencies!$D$2:$D$81,"EDPB")</f>
        <v>0</v>
      </c>
      <c r="AQ71" s="2" t="n">
        <f aca="false">COUNTIFS(guidance_agencies!$A$2:$A$81,$A71,guidance_agencies!$D$2:$D$81,"EBA")</f>
        <v>0</v>
      </c>
      <c r="AR71" s="2" t="n">
        <f aca="false">COUNTIFS(guidance_agencies!$A$2:$A$81,$A71,guidance_agencies!$D$2:$D$81,"ESMA")</f>
        <v>0</v>
      </c>
      <c r="AS71" s="3" t="n">
        <f aca="false">SUMIFS(secondary_acts!$S$2:$S$771,secondary_acts!$A$2:$A$771,$A71,secondary_acts!$E$2:$E$771,"implementing")+SUMIFS(secondary_acts!$S$2:$S$771,secondary_acts!$A$2:$A$771,$A71,secondary_acts!$E$2:$E$771,"delegated")</f>
        <v>68</v>
      </c>
      <c r="AT71" s="3"/>
      <c r="AU71" s="2"/>
      <c r="AV71" s="2" t="n">
        <v>0</v>
      </c>
      <c r="AW71" s="2"/>
      <c r="AX71" s="2"/>
      <c r="AY71" s="2" t="n">
        <v>0</v>
      </c>
      <c r="AZ71" s="2" t="s">
        <v>908</v>
      </c>
      <c r="BA71" s="2" t="s">
        <v>157</v>
      </c>
      <c r="BB71" s="2" t="n">
        <v>8794</v>
      </c>
      <c r="BC71" s="2" t="n">
        <v>90</v>
      </c>
      <c r="BD71" s="2" t="n">
        <v>1</v>
      </c>
      <c r="BE71" s="2" t="n">
        <f aca="false">IF(ISNUMBER(BB71),Q71-BB71,"")</f>
        <v>3435</v>
      </c>
      <c r="BF71" s="4" t="n">
        <f aca="false">IF(AND(ISNUMBER(BB71),BB71&gt;0),(Q71-BB71)/BB71,"")</f>
        <v>0.390607232203775</v>
      </c>
      <c r="BG71" s="2" t="n">
        <f aca="false">IF(ISNUMBER(BC71),X71-BC71,"")</f>
        <v>24</v>
      </c>
      <c r="BH71" s="4" t="n">
        <f aca="false">IF(AND(ISNUMBER(BC71),BC71&gt;0),(X71-BC71)/BC71,"")</f>
        <v>0.266666666666667</v>
      </c>
      <c r="BI71" s="2" t="n">
        <f aca="false">IF(ISNUMBER(BD71),AD71-BD71,"")</f>
        <v>-1</v>
      </c>
      <c r="BJ71" s="2" t="s">
        <v>429</v>
      </c>
      <c r="BK71" s="2" t="s">
        <v>909</v>
      </c>
      <c r="BL71" s="2" t="s">
        <v>910</v>
      </c>
      <c r="BM71" s="2" t="n">
        <v>6</v>
      </c>
      <c r="BN71" s="2" t="n">
        <v>6</v>
      </c>
      <c r="BO71" s="2" t="n">
        <v>2</v>
      </c>
      <c r="BP71" s="2" t="n">
        <v>0</v>
      </c>
      <c r="BQ71" s="2"/>
    </row>
    <row r="72" customFormat="false" ht="15" hidden="false" customHeight="false" outlineLevel="0" collapsed="false">
      <c r="A72" s="2" t="n">
        <v>71</v>
      </c>
      <c r="B72" s="2" t="s">
        <v>911</v>
      </c>
      <c r="C72" s="2" t="s">
        <v>912</v>
      </c>
      <c r="D72" s="2" t="s">
        <v>90</v>
      </c>
      <c r="E72" s="2" t="s">
        <v>72</v>
      </c>
      <c r="F72" s="2" t="s">
        <v>913</v>
      </c>
      <c r="G72" s="2" t="s">
        <v>163</v>
      </c>
      <c r="H72" s="2" t="s">
        <v>377</v>
      </c>
      <c r="I72" s="2" t="s">
        <v>914</v>
      </c>
      <c r="J72" s="2" t="s">
        <v>915</v>
      </c>
      <c r="K72" s="2" t="s">
        <v>77</v>
      </c>
      <c r="L72" s="2" t="s">
        <v>77</v>
      </c>
      <c r="M72" s="2" t="s">
        <v>916</v>
      </c>
      <c r="N72" s="2" t="s">
        <v>79</v>
      </c>
      <c r="O72" s="2" t="s">
        <v>917</v>
      </c>
      <c r="P72" s="3" t="n">
        <v>44</v>
      </c>
      <c r="Q72" s="3" t="n">
        <v>25259</v>
      </c>
      <c r="R72" s="3" t="n">
        <v>14100</v>
      </c>
      <c r="S72" s="3" t="n">
        <v>13974</v>
      </c>
      <c r="T72" s="3" t="n">
        <v>11159</v>
      </c>
      <c r="U72" s="3" t="n">
        <v>0</v>
      </c>
      <c r="V72" s="3" t="n">
        <v>0</v>
      </c>
      <c r="W72" s="3" t="n">
        <v>0</v>
      </c>
      <c r="X72" s="3" t="n">
        <v>187</v>
      </c>
      <c r="Y72" s="3" t="n">
        <v>157</v>
      </c>
      <c r="Z72" s="3" t="n">
        <v>9</v>
      </c>
      <c r="AA72" s="3" t="n">
        <v>1</v>
      </c>
      <c r="AB72" s="3" t="n">
        <v>0</v>
      </c>
      <c r="AC72" s="3" t="n">
        <v>20</v>
      </c>
      <c r="AD72" s="3" t="n">
        <v>77</v>
      </c>
      <c r="AE72" s="3" t="n">
        <v>44</v>
      </c>
      <c r="AF72" s="3" t="n">
        <v>23</v>
      </c>
      <c r="AG72" s="3" t="n">
        <v>43</v>
      </c>
      <c r="AH72" s="2" t="s">
        <v>918</v>
      </c>
      <c r="AI72" s="3" t="n">
        <v>187</v>
      </c>
      <c r="AJ72" s="2" t="n">
        <v>77</v>
      </c>
      <c r="AK72" s="2" t="n">
        <f aca="false">COUNTIFS(secondary_acts!$A$2:$A$771,$A72,secondary_acts!$E$2:$E$771,"implementing")</f>
        <v>2</v>
      </c>
      <c r="AL72" s="2" t="n">
        <f aca="false">COUNTIFS(secondary_acts!$A$2:$A$771,$A72,secondary_acts!$E$2:$E$771,"delegated")</f>
        <v>0</v>
      </c>
      <c r="AM72" s="2" t="n">
        <f aca="false">COUNTIFS(secondary_acts!$A$2:$A$771,$A72,secondary_acts!$E$2:$E$771,"other Commission/Council act")</f>
        <v>0</v>
      </c>
      <c r="AN72" s="2" t="n">
        <f aca="false">COUNTIFS(secondary_acts!$A$2:$A$771,$A72,secondary_acts!$E$2:$E$771,"guidance")</f>
        <v>1</v>
      </c>
      <c r="AO72" s="2" t="n">
        <f aca="false">COUNTIF(guidance_web!$A$2:$A$7,$A72)</f>
        <v>0</v>
      </c>
      <c r="AP72" s="2" t="n">
        <f aca="false">COUNTIFS(guidance_agencies!$A$2:$A$81,$A72,guidance_agencies!$D$2:$D$81,"EDPB")</f>
        <v>0</v>
      </c>
      <c r="AQ72" s="2" t="n">
        <f aca="false">COUNTIFS(guidance_agencies!$A$2:$A$81,$A72,guidance_agencies!$D$2:$D$81,"EBA")</f>
        <v>0</v>
      </c>
      <c r="AR72" s="2" t="n">
        <f aca="false">COUNTIFS(guidance_agencies!$A$2:$A$81,$A72,guidance_agencies!$D$2:$D$81,"ESMA")</f>
        <v>0</v>
      </c>
      <c r="AS72" s="3" t="n">
        <f aca="false">SUMIFS(secondary_acts!$S$2:$S$771,secondary_acts!$A$2:$A$771,$A72,secondary_acts!$E$2:$E$771,"implementing")+SUMIFS(secondary_acts!$S$2:$S$771,secondary_acts!$A$2:$A$771,$A72,secondary_acts!$E$2:$E$771,"delegated")</f>
        <v>70</v>
      </c>
      <c r="AT72" s="3"/>
      <c r="AU72" s="2"/>
      <c r="AV72" s="2" t="n">
        <v>0</v>
      </c>
      <c r="AW72" s="2"/>
      <c r="AX72" s="2"/>
      <c r="AY72" s="2" t="n">
        <v>1</v>
      </c>
      <c r="AZ72" s="2" t="s">
        <v>919</v>
      </c>
      <c r="BA72" s="2" t="s">
        <v>157</v>
      </c>
      <c r="BB72" s="2" t="n">
        <v>12473</v>
      </c>
      <c r="BC72" s="2" t="n">
        <v>86</v>
      </c>
      <c r="BD72" s="2" t="n">
        <v>31</v>
      </c>
      <c r="BE72" s="2" t="n">
        <f aca="false">IF(ISNUMBER(BB72),Q72-BB72,"")</f>
        <v>12786</v>
      </c>
      <c r="BF72" s="4" t="n">
        <f aca="false">IF(AND(ISNUMBER(BB72),BB72&gt;0),(Q72-BB72)/BB72,"")</f>
        <v>1.02509420347952</v>
      </c>
      <c r="BG72" s="2" t="n">
        <f aca="false">IF(ISNUMBER(BC72),X72-BC72,"")</f>
        <v>101</v>
      </c>
      <c r="BH72" s="4" t="n">
        <f aca="false">IF(AND(ISNUMBER(BC72),BC72&gt;0),(X72-BC72)/BC72,"")</f>
        <v>1.17441860465116</v>
      </c>
      <c r="BI72" s="2" t="n">
        <f aca="false">IF(ISNUMBER(BD72),AD72-BD72,"")</f>
        <v>46</v>
      </c>
      <c r="BJ72" s="2" t="s">
        <v>429</v>
      </c>
      <c r="BK72" s="2" t="s">
        <v>920</v>
      </c>
      <c r="BL72" s="2" t="s">
        <v>921</v>
      </c>
      <c r="BM72" s="2" t="n">
        <v>3</v>
      </c>
      <c r="BN72" s="2" t="n">
        <v>1</v>
      </c>
      <c r="BO72" s="2" t="n">
        <v>2</v>
      </c>
      <c r="BP72" s="2" t="n">
        <v>0</v>
      </c>
      <c r="BQ72" s="2" t="s">
        <v>118</v>
      </c>
    </row>
    <row r="73" customFormat="false" ht="15" hidden="false" customHeight="false" outlineLevel="0" collapsed="false">
      <c r="A73" s="2" t="n">
        <v>72</v>
      </c>
      <c r="B73" s="2" t="s">
        <v>922</v>
      </c>
      <c r="C73" s="2" t="s">
        <v>923</v>
      </c>
      <c r="D73" s="2" t="s">
        <v>348</v>
      </c>
      <c r="E73" s="2" t="s">
        <v>72</v>
      </c>
      <c r="F73" s="2" t="s">
        <v>924</v>
      </c>
      <c r="G73" s="2" t="s">
        <v>163</v>
      </c>
      <c r="H73" s="2" t="s">
        <v>752</v>
      </c>
      <c r="I73" s="2" t="s">
        <v>925</v>
      </c>
      <c r="J73" s="2" t="s">
        <v>926</v>
      </c>
      <c r="K73" s="2" t="s">
        <v>77</v>
      </c>
      <c r="L73" s="2" t="s">
        <v>77</v>
      </c>
      <c r="M73" s="2" t="s">
        <v>927</v>
      </c>
      <c r="N73" s="2" t="s">
        <v>79</v>
      </c>
      <c r="O73" s="2" t="s">
        <v>928</v>
      </c>
      <c r="P73" s="3" t="n">
        <v>29</v>
      </c>
      <c r="Q73" s="3" t="n">
        <v>15400</v>
      </c>
      <c r="R73" s="3" t="n">
        <v>5996</v>
      </c>
      <c r="S73" s="3" t="n">
        <v>5858</v>
      </c>
      <c r="T73" s="3" t="n">
        <v>8635</v>
      </c>
      <c r="U73" s="3" t="n">
        <v>769</v>
      </c>
      <c r="V73" s="3" t="n">
        <v>0</v>
      </c>
      <c r="W73" s="3" t="n">
        <v>0</v>
      </c>
      <c r="X73" s="3" t="n">
        <v>135</v>
      </c>
      <c r="Y73" s="3" t="n">
        <v>121</v>
      </c>
      <c r="Z73" s="3" t="n">
        <v>4</v>
      </c>
      <c r="AA73" s="3" t="n">
        <v>0</v>
      </c>
      <c r="AB73" s="3" t="n">
        <v>1</v>
      </c>
      <c r="AC73" s="3" t="n">
        <v>9</v>
      </c>
      <c r="AD73" s="3" t="n">
        <v>9</v>
      </c>
      <c r="AE73" s="3" t="n">
        <v>63</v>
      </c>
      <c r="AF73" s="3" t="n">
        <v>25</v>
      </c>
      <c r="AG73" s="3" t="n">
        <v>38</v>
      </c>
      <c r="AH73" s="2" t="s">
        <v>929</v>
      </c>
      <c r="AI73" s="3" t="n">
        <v>125</v>
      </c>
      <c r="AJ73" s="2" t="n">
        <v>9</v>
      </c>
      <c r="AK73" s="2" t="n">
        <f aca="false">COUNTIFS(secondary_acts!$A$2:$A$771,$A73,secondary_acts!$E$2:$E$771,"implementing")</f>
        <v>2</v>
      </c>
      <c r="AL73" s="2" t="n">
        <f aca="false">COUNTIFS(secondary_acts!$A$2:$A$771,$A73,secondary_acts!$E$2:$E$771,"delegated")</f>
        <v>0</v>
      </c>
      <c r="AM73" s="2" t="n">
        <f aca="false">COUNTIFS(secondary_acts!$A$2:$A$771,$A73,secondary_acts!$E$2:$E$771,"other Commission/Council act")</f>
        <v>0</v>
      </c>
      <c r="AN73" s="2" t="n">
        <f aca="false">COUNTIFS(secondary_acts!$A$2:$A$771,$A73,secondary_acts!$E$2:$E$771,"guidance")</f>
        <v>0</v>
      </c>
      <c r="AO73" s="2" t="n">
        <f aca="false">COUNTIF(guidance_web!$A$2:$A$7,$A73)</f>
        <v>0</v>
      </c>
      <c r="AP73" s="2" t="n">
        <f aca="false">COUNTIFS(guidance_agencies!$A$2:$A$81,$A73,guidance_agencies!$D$2:$D$81,"EDPB")</f>
        <v>0</v>
      </c>
      <c r="AQ73" s="2" t="n">
        <f aca="false">COUNTIFS(guidance_agencies!$A$2:$A$81,$A73,guidance_agencies!$D$2:$D$81,"EBA")</f>
        <v>0</v>
      </c>
      <c r="AR73" s="2" t="n">
        <f aca="false">COUNTIFS(guidance_agencies!$A$2:$A$81,$A73,guidance_agencies!$D$2:$D$81,"ESMA")</f>
        <v>0</v>
      </c>
      <c r="AS73" s="3" t="n">
        <f aca="false">SUMIFS(secondary_acts!$S$2:$S$771,secondary_acts!$A$2:$A$771,$A73,secondary_acts!$E$2:$E$771,"implementing")+SUMIFS(secondary_acts!$S$2:$S$771,secondary_acts!$A$2:$A$771,$A73,secondary_acts!$E$2:$E$771,"delegated")</f>
        <v>214</v>
      </c>
      <c r="AT73" s="3"/>
      <c r="AU73" s="2"/>
      <c r="AV73" s="2" t="n">
        <v>0</v>
      </c>
      <c r="AW73" s="2"/>
      <c r="AX73" s="2"/>
      <c r="AY73" s="2" t="n">
        <v>2</v>
      </c>
      <c r="AZ73" s="2" t="s">
        <v>930</v>
      </c>
      <c r="BA73" s="2" t="s">
        <v>157</v>
      </c>
      <c r="BB73" s="2" t="n">
        <v>9442</v>
      </c>
      <c r="BC73" s="2" t="n">
        <v>101</v>
      </c>
      <c r="BD73" s="2" t="n">
        <v>1</v>
      </c>
      <c r="BE73" s="2" t="n">
        <f aca="false">IF(ISNUMBER(BB73),Q73-BB73,"")</f>
        <v>5958</v>
      </c>
      <c r="BF73" s="4" t="n">
        <f aca="false">IF(AND(ISNUMBER(BB73),BB73&gt;0),(Q73-BB73)/BB73,"")</f>
        <v>0.631010379156958</v>
      </c>
      <c r="BG73" s="2" t="n">
        <f aca="false">IF(ISNUMBER(BC73),X73-BC73,"")</f>
        <v>34</v>
      </c>
      <c r="BH73" s="4" t="n">
        <f aca="false">IF(AND(ISNUMBER(BC73),BC73&gt;0),(X73-BC73)/BC73,"")</f>
        <v>0.336633663366337</v>
      </c>
      <c r="BI73" s="2" t="n">
        <f aca="false">IF(ISNUMBER(BD73),AD73-BD73,"")</f>
        <v>8</v>
      </c>
      <c r="BJ73" s="2" t="s">
        <v>429</v>
      </c>
      <c r="BK73" s="2" t="s">
        <v>931</v>
      </c>
      <c r="BL73" s="2" t="s">
        <v>932</v>
      </c>
      <c r="BM73" s="2" t="n">
        <v>4</v>
      </c>
      <c r="BN73" s="2" t="n">
        <v>0</v>
      </c>
      <c r="BO73" s="2" t="n">
        <v>0</v>
      </c>
      <c r="BP73" s="2" t="n">
        <v>0</v>
      </c>
      <c r="BQ73" s="2"/>
    </row>
    <row r="74" customFormat="false" ht="15" hidden="false" customHeight="false" outlineLevel="0" collapsed="false">
      <c r="A74" s="2" t="n">
        <v>73</v>
      </c>
      <c r="B74" s="2" t="s">
        <v>933</v>
      </c>
      <c r="C74" s="2" t="s">
        <v>934</v>
      </c>
      <c r="D74" s="2" t="s">
        <v>215</v>
      </c>
      <c r="E74" s="2" t="s">
        <v>72</v>
      </c>
      <c r="F74" s="2" t="s">
        <v>935</v>
      </c>
      <c r="G74" s="2" t="s">
        <v>163</v>
      </c>
      <c r="H74" s="2" t="s">
        <v>142</v>
      </c>
      <c r="I74" s="2" t="s">
        <v>936</v>
      </c>
      <c r="J74" s="2" t="s">
        <v>937</v>
      </c>
      <c r="K74" s="2" t="s">
        <v>77</v>
      </c>
      <c r="L74" s="2" t="s">
        <v>77</v>
      </c>
      <c r="M74" s="2" t="s">
        <v>938</v>
      </c>
      <c r="N74" s="2" t="s">
        <v>79</v>
      </c>
      <c r="O74" s="2" t="s">
        <v>939</v>
      </c>
      <c r="P74" s="3" t="n">
        <v>26</v>
      </c>
      <c r="Q74" s="3" t="n">
        <v>16094</v>
      </c>
      <c r="R74" s="3" t="n">
        <v>9641</v>
      </c>
      <c r="S74" s="3" t="n">
        <v>9503</v>
      </c>
      <c r="T74" s="3" t="n">
        <v>6453</v>
      </c>
      <c r="U74" s="3" t="n">
        <v>0</v>
      </c>
      <c r="V74" s="3" t="n">
        <v>0</v>
      </c>
      <c r="W74" s="3" t="n">
        <v>0</v>
      </c>
      <c r="X74" s="3" t="n">
        <v>100</v>
      </c>
      <c r="Y74" s="3" t="n">
        <v>77</v>
      </c>
      <c r="Z74" s="3" t="n">
        <v>4</v>
      </c>
      <c r="AA74" s="3" t="n">
        <v>0</v>
      </c>
      <c r="AB74" s="3" t="n">
        <v>0</v>
      </c>
      <c r="AC74" s="3" t="n">
        <v>19</v>
      </c>
      <c r="AD74" s="3" t="n">
        <v>33</v>
      </c>
      <c r="AE74" s="3" t="n">
        <v>50</v>
      </c>
      <c r="AF74" s="3" t="n">
        <v>2</v>
      </c>
      <c r="AG74" s="3" t="n">
        <v>15</v>
      </c>
      <c r="AH74" s="2" t="s">
        <v>940</v>
      </c>
      <c r="AI74" s="3" t="n">
        <v>100</v>
      </c>
      <c r="AJ74" s="2" t="n">
        <v>33</v>
      </c>
      <c r="AK74" s="2" t="n">
        <f aca="false">COUNTIFS(secondary_acts!$A$2:$A$771,$A74,secondary_acts!$E$2:$E$771,"implementing")</f>
        <v>0</v>
      </c>
      <c r="AL74" s="2" t="n">
        <f aca="false">COUNTIFS(secondary_acts!$A$2:$A$771,$A74,secondary_acts!$E$2:$E$771,"delegated")</f>
        <v>0</v>
      </c>
      <c r="AM74" s="2" t="n">
        <f aca="false">COUNTIFS(secondary_acts!$A$2:$A$771,$A74,secondary_acts!$E$2:$E$771,"other Commission/Council act")</f>
        <v>0</v>
      </c>
      <c r="AN74" s="2" t="n">
        <f aca="false">COUNTIFS(secondary_acts!$A$2:$A$771,$A74,secondary_acts!$E$2:$E$771,"guidance")</f>
        <v>0</v>
      </c>
      <c r="AO74" s="2" t="n">
        <f aca="false">COUNTIF(guidance_web!$A$2:$A$7,$A74)</f>
        <v>0</v>
      </c>
      <c r="AP74" s="2" t="n">
        <f aca="false">COUNTIFS(guidance_agencies!$A$2:$A$81,$A74,guidance_agencies!$D$2:$D$81,"EDPB")</f>
        <v>0</v>
      </c>
      <c r="AQ74" s="2" t="n">
        <f aca="false">COUNTIFS(guidance_agencies!$A$2:$A$81,$A74,guidance_agencies!$D$2:$D$81,"EBA")</f>
        <v>0</v>
      </c>
      <c r="AR74" s="2" t="n">
        <f aca="false">COUNTIFS(guidance_agencies!$A$2:$A$81,$A74,guidance_agencies!$D$2:$D$81,"ESMA")</f>
        <v>0</v>
      </c>
      <c r="AS74" s="3" t="n">
        <f aca="false">SUMIFS(secondary_acts!$S$2:$S$771,secondary_acts!$A$2:$A$771,$A74,secondary_acts!$E$2:$E$771,"implementing")+SUMIFS(secondary_acts!$S$2:$S$771,secondary_acts!$A$2:$A$771,$A74,secondary_acts!$E$2:$E$771,"delegated")</f>
        <v>0</v>
      </c>
      <c r="AT74" s="3" t="n">
        <v>0</v>
      </c>
      <c r="AU74" s="2" t="n">
        <v>0</v>
      </c>
      <c r="AV74" s="2" t="n">
        <v>0</v>
      </c>
      <c r="AW74" s="2"/>
      <c r="AX74" s="2"/>
      <c r="AY74" s="2" t="n">
        <v>1</v>
      </c>
      <c r="AZ74" s="2" t="s">
        <v>941</v>
      </c>
      <c r="BA74" s="2" t="s">
        <v>157</v>
      </c>
      <c r="BB74" s="2" t="n">
        <v>10937</v>
      </c>
      <c r="BC74" s="2" t="n">
        <v>67</v>
      </c>
      <c r="BD74" s="2" t="n">
        <v>18</v>
      </c>
      <c r="BE74" s="2" t="n">
        <f aca="false">IF(ISNUMBER(BB74),Q74-BB74,"")</f>
        <v>5157</v>
      </c>
      <c r="BF74" s="4" t="n">
        <f aca="false">IF(AND(ISNUMBER(BB74),BB74&gt;0),(Q74-BB74)/BB74,"")</f>
        <v>0.471518697997623</v>
      </c>
      <c r="BG74" s="2" t="n">
        <f aca="false">IF(ISNUMBER(BC74),X74-BC74,"")</f>
        <v>33</v>
      </c>
      <c r="BH74" s="4" t="n">
        <f aca="false">IF(AND(ISNUMBER(BC74),BC74&gt;0),(X74-BC74)/BC74,"")</f>
        <v>0.492537313432836</v>
      </c>
      <c r="BI74" s="2" t="n">
        <f aca="false">IF(ISNUMBER(BD74),AD74-BD74,"")</f>
        <v>15</v>
      </c>
      <c r="BJ74" s="2" t="s">
        <v>429</v>
      </c>
      <c r="BK74" s="2" t="s">
        <v>942</v>
      </c>
      <c r="BL74" s="2" t="s">
        <v>943</v>
      </c>
      <c r="BM74" s="2" t="n">
        <v>3</v>
      </c>
      <c r="BN74" s="2" t="n">
        <v>0</v>
      </c>
      <c r="BO74" s="2" t="n">
        <v>1</v>
      </c>
      <c r="BP74" s="2" t="n">
        <v>0</v>
      </c>
      <c r="BQ74" s="2"/>
    </row>
    <row r="75" customFormat="false" ht="15" hidden="false" customHeight="false" outlineLevel="0" collapsed="false">
      <c r="A75" s="2" t="n">
        <v>74</v>
      </c>
      <c r="B75" s="2" t="s">
        <v>944</v>
      </c>
      <c r="C75" s="2" t="s">
        <v>945</v>
      </c>
      <c r="D75" s="2" t="s">
        <v>634</v>
      </c>
      <c r="E75" s="2" t="s">
        <v>72</v>
      </c>
      <c r="F75" s="2" t="s">
        <v>946</v>
      </c>
      <c r="G75" s="2" t="s">
        <v>163</v>
      </c>
      <c r="H75" s="2" t="s">
        <v>627</v>
      </c>
      <c r="I75" s="2" t="s">
        <v>947</v>
      </c>
      <c r="J75" s="2" t="s">
        <v>948</v>
      </c>
      <c r="K75" s="2" t="s">
        <v>77</v>
      </c>
      <c r="L75" s="2" t="s">
        <v>77</v>
      </c>
      <c r="M75" s="2" t="s">
        <v>949</v>
      </c>
      <c r="N75" s="2" t="s">
        <v>79</v>
      </c>
      <c r="O75" s="2" t="s">
        <v>950</v>
      </c>
      <c r="P75" s="3" t="n">
        <v>53</v>
      </c>
      <c r="Q75" s="3" t="n">
        <v>28299</v>
      </c>
      <c r="R75" s="3" t="n">
        <v>11733</v>
      </c>
      <c r="S75" s="3" t="n">
        <v>11596</v>
      </c>
      <c r="T75" s="3" t="n">
        <v>14035</v>
      </c>
      <c r="U75" s="3" t="n">
        <v>2531</v>
      </c>
      <c r="V75" s="3" t="n">
        <v>0</v>
      </c>
      <c r="W75" s="3" t="n">
        <v>0</v>
      </c>
      <c r="X75" s="3" t="n">
        <v>242</v>
      </c>
      <c r="Y75" s="3" t="n">
        <v>210</v>
      </c>
      <c r="Z75" s="3" t="n">
        <v>12</v>
      </c>
      <c r="AA75" s="3" t="n">
        <v>0</v>
      </c>
      <c r="AB75" s="3" t="n">
        <v>5</v>
      </c>
      <c r="AC75" s="3" t="n">
        <v>15</v>
      </c>
      <c r="AD75" s="3" t="n">
        <v>14</v>
      </c>
      <c r="AE75" s="3" t="n">
        <v>28</v>
      </c>
      <c r="AF75" s="3" t="n">
        <v>114</v>
      </c>
      <c r="AG75" s="3" t="n">
        <v>86</v>
      </c>
      <c r="AH75" s="2"/>
      <c r="AI75" s="3"/>
      <c r="AJ75" s="2"/>
      <c r="AK75" s="2" t="n">
        <f aca="false">COUNTIFS(secondary_acts!$A$2:$A$771,$A75,secondary_acts!$E$2:$E$771,"implementing")</f>
        <v>0</v>
      </c>
      <c r="AL75" s="2" t="n">
        <f aca="false">COUNTIFS(secondary_acts!$A$2:$A$771,$A75,secondary_acts!$E$2:$E$771,"delegated")</f>
        <v>0</v>
      </c>
      <c r="AM75" s="2" t="n">
        <f aca="false">COUNTIFS(secondary_acts!$A$2:$A$771,$A75,secondary_acts!$E$2:$E$771,"other Commission/Council act")</f>
        <v>0</v>
      </c>
      <c r="AN75" s="2" t="n">
        <f aca="false">COUNTIFS(secondary_acts!$A$2:$A$771,$A75,secondary_acts!$E$2:$E$771,"guidance")</f>
        <v>1</v>
      </c>
      <c r="AO75" s="2" t="n">
        <f aca="false">COUNTIF(guidance_web!$A$2:$A$7,$A75)</f>
        <v>0</v>
      </c>
      <c r="AP75" s="2" t="n">
        <f aca="false">COUNTIFS(guidance_agencies!$A$2:$A$81,$A75,guidance_agencies!$D$2:$D$81,"EDPB")</f>
        <v>0</v>
      </c>
      <c r="AQ75" s="2" t="n">
        <f aca="false">COUNTIFS(guidance_agencies!$A$2:$A$81,$A75,guidance_agencies!$D$2:$D$81,"EBA")</f>
        <v>0</v>
      </c>
      <c r="AR75" s="2" t="n">
        <f aca="false">COUNTIFS(guidance_agencies!$A$2:$A$81,$A75,guidance_agencies!$D$2:$D$81,"ESMA")</f>
        <v>0</v>
      </c>
      <c r="AS75" s="3" t="n">
        <f aca="false">SUMIFS(secondary_acts!$S$2:$S$771,secondary_acts!$A$2:$A$771,$A75,secondary_acts!$E$2:$E$771,"implementing")+SUMIFS(secondary_acts!$S$2:$S$771,secondary_acts!$A$2:$A$771,$A75,secondary_acts!$E$2:$E$771,"delegated")</f>
        <v>0</v>
      </c>
      <c r="AT75" s="3"/>
      <c r="AU75" s="2"/>
      <c r="AV75" s="2" t="n">
        <v>0</v>
      </c>
      <c r="AW75" s="2"/>
      <c r="AX75" s="2"/>
      <c r="AY75" s="2" t="n">
        <v>0</v>
      </c>
      <c r="AZ75" s="2" t="s">
        <v>951</v>
      </c>
      <c r="BA75" s="2" t="s">
        <v>157</v>
      </c>
      <c r="BB75" s="2" t="n">
        <v>19811</v>
      </c>
      <c r="BC75" s="2" t="n">
        <v>171</v>
      </c>
      <c r="BD75" s="2" t="n">
        <v>13</v>
      </c>
      <c r="BE75" s="2" t="n">
        <f aca="false">IF(ISNUMBER(BB75),Q75-BB75,"")</f>
        <v>8488</v>
      </c>
      <c r="BF75" s="4" t="n">
        <f aca="false">IF(AND(ISNUMBER(BB75),BB75&gt;0),(Q75-BB75)/BB75,"")</f>
        <v>0.428448841552673</v>
      </c>
      <c r="BG75" s="2" t="n">
        <f aca="false">IF(ISNUMBER(BC75),X75-BC75,"")</f>
        <v>71</v>
      </c>
      <c r="BH75" s="4" t="n">
        <f aca="false">IF(AND(ISNUMBER(BC75),BC75&gt;0),(X75-BC75)/BC75,"")</f>
        <v>0.415204678362573</v>
      </c>
      <c r="BI75" s="2" t="n">
        <f aca="false">IF(ISNUMBER(BD75),AD75-BD75,"")</f>
        <v>1</v>
      </c>
      <c r="BJ75" s="2" t="s">
        <v>85</v>
      </c>
      <c r="BK75" s="2" t="s">
        <v>952</v>
      </c>
      <c r="BL75" s="2" t="s">
        <v>953</v>
      </c>
      <c r="BM75" s="2" t="n">
        <v>4</v>
      </c>
      <c r="BN75" s="2" t="n">
        <v>4</v>
      </c>
      <c r="BO75" s="2" t="n">
        <v>3</v>
      </c>
      <c r="BP75" s="2" t="n">
        <v>0</v>
      </c>
      <c r="BQ75" s="2"/>
    </row>
    <row r="76" customFormat="false" ht="15" hidden="false" customHeight="false" outlineLevel="0" collapsed="false">
      <c r="A76" s="2" t="n">
        <v>75</v>
      </c>
      <c r="B76" s="2" t="s">
        <v>954</v>
      </c>
      <c r="C76" s="2" t="s">
        <v>955</v>
      </c>
      <c r="D76" s="2" t="s">
        <v>71</v>
      </c>
      <c r="E76" s="2" t="s">
        <v>72</v>
      </c>
      <c r="F76" s="2" t="s">
        <v>956</v>
      </c>
      <c r="G76" s="2" t="s">
        <v>163</v>
      </c>
      <c r="H76" s="2" t="s">
        <v>957</v>
      </c>
      <c r="I76" s="2" t="s">
        <v>958</v>
      </c>
      <c r="J76" s="2" t="s">
        <v>959</v>
      </c>
      <c r="K76" s="2" t="s">
        <v>77</v>
      </c>
      <c r="L76" s="2" t="s">
        <v>77</v>
      </c>
      <c r="M76" s="2" t="s">
        <v>960</v>
      </c>
      <c r="N76" s="2" t="s">
        <v>79</v>
      </c>
      <c r="O76" s="2" t="s">
        <v>961</v>
      </c>
      <c r="P76" s="3" t="n">
        <v>39</v>
      </c>
      <c r="Q76" s="3" t="n">
        <v>19825</v>
      </c>
      <c r="R76" s="3" t="n">
        <v>8242</v>
      </c>
      <c r="S76" s="3" t="n">
        <v>8145</v>
      </c>
      <c r="T76" s="3" t="n">
        <v>10757</v>
      </c>
      <c r="U76" s="3" t="n">
        <v>826</v>
      </c>
      <c r="V76" s="3" t="n">
        <v>0</v>
      </c>
      <c r="W76" s="3" t="n">
        <v>0</v>
      </c>
      <c r="X76" s="3" t="n">
        <v>174</v>
      </c>
      <c r="Y76" s="3" t="n">
        <v>154</v>
      </c>
      <c r="Z76" s="3" t="n">
        <v>4</v>
      </c>
      <c r="AA76" s="3" t="n">
        <v>0</v>
      </c>
      <c r="AB76" s="3" t="n">
        <v>1</v>
      </c>
      <c r="AC76" s="3" t="n">
        <v>15</v>
      </c>
      <c r="AD76" s="3" t="n">
        <v>10</v>
      </c>
      <c r="AE76" s="3" t="n">
        <v>14</v>
      </c>
      <c r="AF76" s="3" t="n">
        <v>82</v>
      </c>
      <c r="AG76" s="3" t="n">
        <v>68</v>
      </c>
      <c r="AH76" s="2"/>
      <c r="AI76" s="3"/>
      <c r="AJ76" s="2"/>
      <c r="AK76" s="2" t="n">
        <f aca="false">COUNTIFS(secondary_acts!$A$2:$A$771,$A76,secondary_acts!$E$2:$E$771,"implementing")</f>
        <v>2</v>
      </c>
      <c r="AL76" s="2" t="n">
        <f aca="false">COUNTIFS(secondary_acts!$A$2:$A$771,$A76,secondary_acts!$E$2:$E$771,"delegated")</f>
        <v>0</v>
      </c>
      <c r="AM76" s="2" t="n">
        <f aca="false">COUNTIFS(secondary_acts!$A$2:$A$771,$A76,secondary_acts!$E$2:$E$771,"other Commission/Council act")</f>
        <v>0</v>
      </c>
      <c r="AN76" s="2" t="n">
        <f aca="false">COUNTIFS(secondary_acts!$A$2:$A$771,$A76,secondary_acts!$E$2:$E$771,"guidance")</f>
        <v>0</v>
      </c>
      <c r="AO76" s="2" t="n">
        <f aca="false">COUNTIF(guidance_web!$A$2:$A$7,$A76)</f>
        <v>0</v>
      </c>
      <c r="AP76" s="2" t="n">
        <f aca="false">COUNTIFS(guidance_agencies!$A$2:$A$81,$A76,guidance_agencies!$D$2:$D$81,"EDPB")</f>
        <v>0</v>
      </c>
      <c r="AQ76" s="2" t="n">
        <f aca="false">COUNTIFS(guidance_agencies!$A$2:$A$81,$A76,guidance_agencies!$D$2:$D$81,"EBA")</f>
        <v>0</v>
      </c>
      <c r="AR76" s="2" t="n">
        <f aca="false">COUNTIFS(guidance_agencies!$A$2:$A$81,$A76,guidance_agencies!$D$2:$D$81,"ESMA")</f>
        <v>0</v>
      </c>
      <c r="AS76" s="3" t="n">
        <f aca="false">SUMIFS(secondary_acts!$S$2:$S$771,secondary_acts!$A$2:$A$771,$A76,secondary_acts!$E$2:$E$771,"implementing")+SUMIFS(secondary_acts!$S$2:$S$771,secondary_acts!$A$2:$A$771,$A76,secondary_acts!$E$2:$E$771,"delegated")</f>
        <v>16</v>
      </c>
      <c r="AT76" s="3"/>
      <c r="AU76" s="2"/>
      <c r="AV76" s="2" t="n">
        <v>0</v>
      </c>
      <c r="AW76" s="2"/>
      <c r="AX76" s="2"/>
      <c r="AY76" s="2" t="n">
        <v>0</v>
      </c>
      <c r="AZ76" s="2" t="s">
        <v>962</v>
      </c>
      <c r="BA76" s="2" t="s">
        <v>157</v>
      </c>
      <c r="BB76" s="2" t="n">
        <v>15371</v>
      </c>
      <c r="BC76" s="2" t="n">
        <v>133</v>
      </c>
      <c r="BD76" s="2" t="n">
        <v>10</v>
      </c>
      <c r="BE76" s="2" t="n">
        <f aca="false">IF(ISNUMBER(BB76),Q76-BB76,"")</f>
        <v>4454</v>
      </c>
      <c r="BF76" s="4" t="n">
        <f aca="false">IF(AND(ISNUMBER(BB76),BB76&gt;0),(Q76-BB76)/BB76,"")</f>
        <v>0.289766443302323</v>
      </c>
      <c r="BG76" s="2" t="n">
        <f aca="false">IF(ISNUMBER(BC76),X76-BC76,"")</f>
        <v>41</v>
      </c>
      <c r="BH76" s="4" t="n">
        <f aca="false">IF(AND(ISNUMBER(BC76),BC76&gt;0),(X76-BC76)/BC76,"")</f>
        <v>0.308270676691729</v>
      </c>
      <c r="BI76" s="2" t="n">
        <f aca="false">IF(ISNUMBER(BD76),AD76-BD76,"")</f>
        <v>0</v>
      </c>
      <c r="BJ76" s="2" t="s">
        <v>85</v>
      </c>
      <c r="BK76" s="2" t="s">
        <v>963</v>
      </c>
      <c r="BL76" s="2" t="s">
        <v>964</v>
      </c>
      <c r="BM76" s="2" t="n">
        <v>5</v>
      </c>
      <c r="BN76" s="2" t="n">
        <v>2</v>
      </c>
      <c r="BO76" s="2" t="n">
        <v>2</v>
      </c>
      <c r="BP76" s="2" t="n">
        <v>0</v>
      </c>
      <c r="BQ76" s="2"/>
    </row>
    <row r="77" customFormat="false" ht="15" hidden="false" customHeight="false" outlineLevel="0" collapsed="false">
      <c r="A77" s="2" t="n">
        <v>76</v>
      </c>
      <c r="B77" s="2" t="s">
        <v>965</v>
      </c>
      <c r="C77" s="2" t="s">
        <v>966</v>
      </c>
      <c r="D77" s="2" t="s">
        <v>188</v>
      </c>
      <c r="E77" s="2" t="s">
        <v>72</v>
      </c>
      <c r="F77" s="2" t="s">
        <v>967</v>
      </c>
      <c r="G77" s="2" t="s">
        <v>163</v>
      </c>
      <c r="H77" s="2" t="s">
        <v>752</v>
      </c>
      <c r="I77" s="2" t="s">
        <v>968</v>
      </c>
      <c r="J77" s="2" t="s">
        <v>969</v>
      </c>
      <c r="K77" s="2" t="s">
        <v>77</v>
      </c>
      <c r="L77" s="2" t="s">
        <v>77</v>
      </c>
      <c r="M77" s="2" t="s">
        <v>970</v>
      </c>
      <c r="N77" s="2" t="s">
        <v>79</v>
      </c>
      <c r="O77" s="2" t="s">
        <v>971</v>
      </c>
      <c r="P77" s="3" t="n">
        <v>71</v>
      </c>
      <c r="Q77" s="3" t="n">
        <v>44522</v>
      </c>
      <c r="R77" s="3" t="n">
        <v>22506</v>
      </c>
      <c r="S77" s="3" t="n">
        <v>22355</v>
      </c>
      <c r="T77" s="3" t="n">
        <v>22016</v>
      </c>
      <c r="U77" s="3" t="n">
        <v>0</v>
      </c>
      <c r="V77" s="3" t="n">
        <v>0</v>
      </c>
      <c r="W77" s="3" t="n">
        <v>0</v>
      </c>
      <c r="X77" s="3" t="n">
        <v>264</v>
      </c>
      <c r="Y77" s="3" t="n">
        <v>216</v>
      </c>
      <c r="Z77" s="3" t="n">
        <v>37</v>
      </c>
      <c r="AA77" s="3" t="n">
        <v>2</v>
      </c>
      <c r="AB77" s="3" t="n">
        <v>5</v>
      </c>
      <c r="AC77" s="3" t="n">
        <v>4</v>
      </c>
      <c r="AD77" s="3" t="n">
        <v>110</v>
      </c>
      <c r="AE77" s="3" t="n">
        <v>44</v>
      </c>
      <c r="AF77" s="3" t="n">
        <v>56</v>
      </c>
      <c r="AG77" s="3" t="n">
        <v>54</v>
      </c>
      <c r="AH77" s="2" t="s">
        <v>972</v>
      </c>
      <c r="AI77" s="3" t="n">
        <v>264</v>
      </c>
      <c r="AJ77" s="2" t="n">
        <v>110</v>
      </c>
      <c r="AK77" s="2" t="n">
        <f aca="false">COUNTIFS(secondary_acts!$A$2:$A$771,$A77,secondary_acts!$E$2:$E$771,"implementing")</f>
        <v>0</v>
      </c>
      <c r="AL77" s="2" t="n">
        <f aca="false">COUNTIFS(secondary_acts!$A$2:$A$771,$A77,secondary_acts!$E$2:$E$771,"delegated")</f>
        <v>0</v>
      </c>
      <c r="AM77" s="2" t="n">
        <f aca="false">COUNTIFS(secondary_acts!$A$2:$A$771,$A77,secondary_acts!$E$2:$E$771,"other Commission/Council act")</f>
        <v>0</v>
      </c>
      <c r="AN77" s="2" t="n">
        <f aca="false">COUNTIFS(secondary_acts!$A$2:$A$771,$A77,secondary_acts!$E$2:$E$771,"guidance")</f>
        <v>1</v>
      </c>
      <c r="AO77" s="2" t="n">
        <f aca="false">COUNTIF(guidance_web!$A$2:$A$7,$A77)</f>
        <v>0</v>
      </c>
      <c r="AP77" s="2" t="n">
        <f aca="false">COUNTIFS(guidance_agencies!$A$2:$A$81,$A77,guidance_agencies!$D$2:$D$81,"EDPB")</f>
        <v>0</v>
      </c>
      <c r="AQ77" s="2" t="n">
        <f aca="false">COUNTIFS(guidance_agencies!$A$2:$A$81,$A77,guidance_agencies!$D$2:$D$81,"EBA")</f>
        <v>0</v>
      </c>
      <c r="AR77" s="2" t="n">
        <f aca="false">COUNTIFS(guidance_agencies!$A$2:$A$81,$A77,guidance_agencies!$D$2:$D$81,"ESMA")</f>
        <v>0</v>
      </c>
      <c r="AS77" s="3" t="n">
        <f aca="false">SUMIFS(secondary_acts!$S$2:$S$771,secondary_acts!$A$2:$A$771,$A77,secondary_acts!$E$2:$E$771,"implementing")+SUMIFS(secondary_acts!$S$2:$S$771,secondary_acts!$A$2:$A$771,$A77,secondary_acts!$E$2:$E$771,"delegated")</f>
        <v>0</v>
      </c>
      <c r="AT77" s="3"/>
      <c r="AU77" s="2"/>
      <c r="AV77" s="2" t="n">
        <v>0</v>
      </c>
      <c r="AW77" s="2"/>
      <c r="AX77" s="2"/>
      <c r="AY77" s="2" t="n">
        <v>6</v>
      </c>
      <c r="AZ77" s="2" t="s">
        <v>973</v>
      </c>
      <c r="BA77" s="2" t="s">
        <v>157</v>
      </c>
      <c r="BB77" s="2" t="n">
        <v>23623</v>
      </c>
      <c r="BC77" s="2" t="n">
        <v>150</v>
      </c>
      <c r="BD77" s="2" t="n">
        <v>58</v>
      </c>
      <c r="BE77" s="2" t="n">
        <f aca="false">IF(ISNUMBER(BB77),Q77-BB77,"")</f>
        <v>20899</v>
      </c>
      <c r="BF77" s="4" t="n">
        <f aca="false">IF(AND(ISNUMBER(BB77),BB77&gt;0),(Q77-BB77)/BB77,"")</f>
        <v>0.884688650891081</v>
      </c>
      <c r="BG77" s="2" t="n">
        <f aca="false">IF(ISNUMBER(BC77),X77-BC77,"")</f>
        <v>114</v>
      </c>
      <c r="BH77" s="4" t="n">
        <f aca="false">IF(AND(ISNUMBER(BC77),BC77&gt;0),(X77-BC77)/BC77,"")</f>
        <v>0.76</v>
      </c>
      <c r="BI77" s="2" t="n">
        <f aca="false">IF(ISNUMBER(BD77),AD77-BD77,"")</f>
        <v>52</v>
      </c>
      <c r="BJ77" s="2" t="s">
        <v>429</v>
      </c>
      <c r="BK77" s="2" t="s">
        <v>974</v>
      </c>
      <c r="BL77" s="2" t="s">
        <v>975</v>
      </c>
      <c r="BM77" s="2" t="n">
        <v>4</v>
      </c>
      <c r="BN77" s="2" t="n">
        <v>0</v>
      </c>
      <c r="BO77" s="2" t="n">
        <v>6</v>
      </c>
      <c r="BP77" s="2" t="n">
        <v>0</v>
      </c>
      <c r="BQ77" s="2" t="s">
        <v>118</v>
      </c>
    </row>
    <row r="78" customFormat="false" ht="15" hidden="false" customHeight="false" outlineLevel="0" collapsed="false">
      <c r="A78" s="2" t="n">
        <v>77</v>
      </c>
      <c r="B78" s="2" t="s">
        <v>976</v>
      </c>
      <c r="C78" s="2" t="s">
        <v>977</v>
      </c>
      <c r="D78" s="2" t="s">
        <v>348</v>
      </c>
      <c r="E78" s="2" t="s">
        <v>72</v>
      </c>
      <c r="F78" s="2" t="s">
        <v>978</v>
      </c>
      <c r="G78" s="2" t="s">
        <v>163</v>
      </c>
      <c r="H78" s="2" t="s">
        <v>979</v>
      </c>
      <c r="I78" s="2" t="s">
        <v>980</v>
      </c>
      <c r="J78" s="2" t="s">
        <v>437</v>
      </c>
      <c r="K78" s="2" t="s">
        <v>77</v>
      </c>
      <c r="L78" s="2" t="s">
        <v>77</v>
      </c>
      <c r="M78" s="2" t="s">
        <v>981</v>
      </c>
      <c r="N78" s="2" t="s">
        <v>79</v>
      </c>
      <c r="O78" s="2" t="s">
        <v>982</v>
      </c>
      <c r="P78" s="3" t="n">
        <v>36</v>
      </c>
      <c r="Q78" s="3" t="n">
        <v>21341</v>
      </c>
      <c r="R78" s="3" t="n">
        <v>10771</v>
      </c>
      <c r="S78" s="3" t="n">
        <v>10658</v>
      </c>
      <c r="T78" s="3" t="n">
        <v>10570</v>
      </c>
      <c r="U78" s="3" t="n">
        <v>0</v>
      </c>
      <c r="V78" s="3" t="n">
        <v>0</v>
      </c>
      <c r="W78" s="3" t="n">
        <v>0</v>
      </c>
      <c r="X78" s="3" t="n">
        <v>206</v>
      </c>
      <c r="Y78" s="3" t="n">
        <v>132</v>
      </c>
      <c r="Z78" s="3" t="n">
        <v>3</v>
      </c>
      <c r="AA78" s="3" t="n">
        <v>0</v>
      </c>
      <c r="AB78" s="3" t="n">
        <v>0</v>
      </c>
      <c r="AC78" s="3" t="n">
        <v>71</v>
      </c>
      <c r="AD78" s="3" t="n">
        <v>6</v>
      </c>
      <c r="AE78" s="3" t="n">
        <v>131</v>
      </c>
      <c r="AF78" s="3" t="n">
        <v>3</v>
      </c>
      <c r="AG78" s="3" t="n">
        <v>66</v>
      </c>
      <c r="AH78" s="2"/>
      <c r="AI78" s="3"/>
      <c r="AJ78" s="2"/>
      <c r="AK78" s="2" t="n">
        <f aca="false">COUNTIFS(secondary_acts!$A$2:$A$771,$A78,secondary_acts!$E$2:$E$771,"implementing")</f>
        <v>0</v>
      </c>
      <c r="AL78" s="2" t="n">
        <f aca="false">COUNTIFS(secondary_acts!$A$2:$A$771,$A78,secondary_acts!$E$2:$E$771,"delegated")</f>
        <v>0</v>
      </c>
      <c r="AM78" s="2" t="n">
        <f aca="false">COUNTIFS(secondary_acts!$A$2:$A$771,$A78,secondary_acts!$E$2:$E$771,"other Commission/Council act")</f>
        <v>0</v>
      </c>
      <c r="AN78" s="2" t="n">
        <f aca="false">COUNTIFS(secondary_acts!$A$2:$A$771,$A78,secondary_acts!$E$2:$E$771,"guidance")</f>
        <v>0</v>
      </c>
      <c r="AO78" s="2" t="n">
        <f aca="false">COUNTIF(guidance_web!$A$2:$A$7,$A78)</f>
        <v>0</v>
      </c>
      <c r="AP78" s="2" t="n">
        <f aca="false">COUNTIFS(guidance_agencies!$A$2:$A$81,$A78,guidance_agencies!$D$2:$D$81,"EDPB")</f>
        <v>0</v>
      </c>
      <c r="AQ78" s="2" t="n">
        <f aca="false">COUNTIFS(guidance_agencies!$A$2:$A$81,$A78,guidance_agencies!$D$2:$D$81,"EBA")</f>
        <v>0</v>
      </c>
      <c r="AR78" s="2" t="n">
        <f aca="false">COUNTIFS(guidance_agencies!$A$2:$A$81,$A78,guidance_agencies!$D$2:$D$81,"ESMA")</f>
        <v>0</v>
      </c>
      <c r="AS78" s="3" t="n">
        <f aca="false">SUMIFS(secondary_acts!$S$2:$S$771,secondary_acts!$A$2:$A$771,$A78,secondary_acts!$E$2:$E$771,"implementing")+SUMIFS(secondary_acts!$S$2:$S$771,secondary_acts!$A$2:$A$771,$A78,secondary_acts!$E$2:$E$771,"delegated")</f>
        <v>0</v>
      </c>
      <c r="AT78" s="3" t="n">
        <v>3503</v>
      </c>
      <c r="AU78" s="2" t="n">
        <v>4</v>
      </c>
      <c r="AV78" s="2" t="n">
        <v>0</v>
      </c>
      <c r="AW78" s="2"/>
      <c r="AX78" s="2"/>
      <c r="AY78" s="2" t="n">
        <v>0</v>
      </c>
      <c r="AZ78" s="2" t="s">
        <v>983</v>
      </c>
      <c r="BA78" s="2" t="s">
        <v>157</v>
      </c>
      <c r="BB78" s="2" t="n">
        <v>15874</v>
      </c>
      <c r="BC78" s="2" t="n">
        <v>187</v>
      </c>
      <c r="BD78" s="2" t="n">
        <v>3</v>
      </c>
      <c r="BE78" s="2" t="n">
        <f aca="false">IF(ISNUMBER(BB78),Q78-BB78,"")</f>
        <v>5467</v>
      </c>
      <c r="BF78" s="4" t="n">
        <f aca="false">IF(AND(ISNUMBER(BB78),BB78&gt;0),(Q78-BB78)/BB78,"")</f>
        <v>0.344399647221872</v>
      </c>
      <c r="BG78" s="2" t="n">
        <f aca="false">IF(ISNUMBER(BC78),X78-BC78,"")</f>
        <v>19</v>
      </c>
      <c r="BH78" s="4" t="n">
        <f aca="false">IF(AND(ISNUMBER(BC78),BC78&gt;0),(X78-BC78)/BC78,"")</f>
        <v>0.101604278074866</v>
      </c>
      <c r="BI78" s="2" t="n">
        <f aca="false">IF(ISNUMBER(BD78),AD78-BD78,"")</f>
        <v>3</v>
      </c>
      <c r="BJ78" s="2" t="s">
        <v>429</v>
      </c>
      <c r="BK78" s="2" t="s">
        <v>984</v>
      </c>
      <c r="BL78" s="2" t="s">
        <v>985</v>
      </c>
      <c r="BM78" s="2" t="n">
        <v>4</v>
      </c>
      <c r="BN78" s="2" t="n">
        <v>0</v>
      </c>
      <c r="BO78" s="2" t="n">
        <v>1</v>
      </c>
      <c r="BP78" s="2" t="n">
        <v>0</v>
      </c>
      <c r="BQ78" s="2"/>
    </row>
    <row r="79" customFormat="false" ht="15" hidden="false" customHeight="false" outlineLevel="0" collapsed="false">
      <c r="A79" s="2" t="n">
        <v>78</v>
      </c>
      <c r="B79" s="2" t="s">
        <v>986</v>
      </c>
      <c r="C79" s="2" t="s">
        <v>987</v>
      </c>
      <c r="D79" s="2" t="s">
        <v>532</v>
      </c>
      <c r="E79" s="2" t="s">
        <v>72</v>
      </c>
      <c r="F79" s="2" t="s">
        <v>988</v>
      </c>
      <c r="G79" s="2" t="s">
        <v>163</v>
      </c>
      <c r="H79" s="2" t="s">
        <v>752</v>
      </c>
      <c r="I79" s="2" t="s">
        <v>989</v>
      </c>
      <c r="J79" s="2" t="s">
        <v>990</v>
      </c>
      <c r="K79" s="2" t="s">
        <v>77</v>
      </c>
      <c r="L79" s="2" t="s">
        <v>77</v>
      </c>
      <c r="M79" s="2" t="s">
        <v>991</v>
      </c>
      <c r="N79" s="2" t="s">
        <v>79</v>
      </c>
      <c r="O79" s="2" t="s">
        <v>992</v>
      </c>
      <c r="P79" s="3" t="n">
        <v>27</v>
      </c>
      <c r="Q79" s="3" t="n">
        <v>14545</v>
      </c>
      <c r="R79" s="3" t="n">
        <v>5325</v>
      </c>
      <c r="S79" s="3" t="n">
        <v>5200</v>
      </c>
      <c r="T79" s="3" t="n">
        <v>9220</v>
      </c>
      <c r="U79" s="3" t="n">
        <v>0</v>
      </c>
      <c r="V79" s="3" t="n">
        <v>0</v>
      </c>
      <c r="W79" s="3" t="n">
        <v>0</v>
      </c>
      <c r="X79" s="3" t="n">
        <v>166</v>
      </c>
      <c r="Y79" s="3" t="n">
        <v>153</v>
      </c>
      <c r="Z79" s="3" t="n">
        <v>6</v>
      </c>
      <c r="AA79" s="3" t="n">
        <v>1</v>
      </c>
      <c r="AB79" s="3" t="n">
        <v>2</v>
      </c>
      <c r="AC79" s="3" t="n">
        <v>4</v>
      </c>
      <c r="AD79" s="3" t="n">
        <v>1</v>
      </c>
      <c r="AE79" s="3" t="n">
        <v>1</v>
      </c>
      <c r="AF79" s="3" t="n">
        <v>126</v>
      </c>
      <c r="AG79" s="3" t="n">
        <v>38</v>
      </c>
      <c r="AH79" s="2" t="s">
        <v>993</v>
      </c>
      <c r="AI79" s="3" t="n">
        <v>166</v>
      </c>
      <c r="AJ79" s="2" t="n">
        <v>1</v>
      </c>
      <c r="AK79" s="2" t="n">
        <f aca="false">COUNTIFS(secondary_acts!$A$2:$A$771,$A79,secondary_acts!$E$2:$E$771,"implementing")</f>
        <v>0</v>
      </c>
      <c r="AL79" s="2" t="n">
        <f aca="false">COUNTIFS(secondary_acts!$A$2:$A$771,$A79,secondary_acts!$E$2:$E$771,"delegated")</f>
        <v>0</v>
      </c>
      <c r="AM79" s="2" t="n">
        <f aca="false">COUNTIFS(secondary_acts!$A$2:$A$771,$A79,secondary_acts!$E$2:$E$771,"other Commission/Council act")</f>
        <v>0</v>
      </c>
      <c r="AN79" s="2" t="n">
        <f aca="false">COUNTIFS(secondary_acts!$A$2:$A$771,$A79,secondary_acts!$E$2:$E$771,"guidance")</f>
        <v>0</v>
      </c>
      <c r="AO79" s="2" t="n">
        <f aca="false">COUNTIF(guidance_web!$A$2:$A$7,$A79)</f>
        <v>0</v>
      </c>
      <c r="AP79" s="2" t="n">
        <f aca="false">COUNTIFS(guidance_agencies!$A$2:$A$81,$A79,guidance_agencies!$D$2:$D$81,"EDPB")</f>
        <v>0</v>
      </c>
      <c r="AQ79" s="2" t="n">
        <f aca="false">COUNTIFS(guidance_agencies!$A$2:$A$81,$A79,guidance_agencies!$D$2:$D$81,"EBA")</f>
        <v>0</v>
      </c>
      <c r="AR79" s="2" t="n">
        <f aca="false">COUNTIFS(guidance_agencies!$A$2:$A$81,$A79,guidance_agencies!$D$2:$D$81,"ESMA")</f>
        <v>0</v>
      </c>
      <c r="AS79" s="3" t="n">
        <f aca="false">SUMIFS(secondary_acts!$S$2:$S$771,secondary_acts!$A$2:$A$771,$A79,secondary_acts!$E$2:$E$771,"implementing")+SUMIFS(secondary_acts!$S$2:$S$771,secondary_acts!$A$2:$A$771,$A79,secondary_acts!$E$2:$E$771,"delegated")</f>
        <v>0</v>
      </c>
      <c r="AT79" s="3"/>
      <c r="AU79" s="2"/>
      <c r="AV79" s="2" t="n">
        <v>0</v>
      </c>
      <c r="AW79" s="2"/>
      <c r="AX79" s="2"/>
      <c r="AY79" s="2" t="n">
        <v>2</v>
      </c>
      <c r="AZ79" s="2" t="s">
        <v>994</v>
      </c>
      <c r="BA79" s="2" t="s">
        <v>157</v>
      </c>
      <c r="BB79" s="2" t="n">
        <v>7223</v>
      </c>
      <c r="BC79" s="2" t="n">
        <v>94</v>
      </c>
      <c r="BD79" s="2" t="n">
        <v>6</v>
      </c>
      <c r="BE79" s="2" t="n">
        <f aca="false">IF(ISNUMBER(BB79),Q79-BB79,"")</f>
        <v>7322</v>
      </c>
      <c r="BF79" s="4" t="n">
        <f aca="false">IF(AND(ISNUMBER(BB79),BB79&gt;0),(Q79-BB79)/BB79,"")</f>
        <v>1.01370621625363</v>
      </c>
      <c r="BG79" s="2" t="n">
        <f aca="false">IF(ISNUMBER(BC79),X79-BC79,"")</f>
        <v>72</v>
      </c>
      <c r="BH79" s="4" t="n">
        <f aca="false">IF(AND(ISNUMBER(BC79),BC79&gt;0),(X79-BC79)/BC79,"")</f>
        <v>0.765957446808511</v>
      </c>
      <c r="BI79" s="2" t="n">
        <f aca="false">IF(ISNUMBER(BD79),AD79-BD79,"")</f>
        <v>-5</v>
      </c>
      <c r="BJ79" s="2" t="s">
        <v>85</v>
      </c>
      <c r="BK79" s="2" t="s">
        <v>995</v>
      </c>
      <c r="BL79" s="2" t="s">
        <v>996</v>
      </c>
      <c r="BM79" s="2" t="n">
        <v>4</v>
      </c>
      <c r="BN79" s="2" t="n">
        <v>3</v>
      </c>
      <c r="BO79" s="2" t="n">
        <v>2</v>
      </c>
      <c r="BP79" s="2" t="n">
        <v>0</v>
      </c>
      <c r="BQ79" s="2" t="s">
        <v>118</v>
      </c>
    </row>
    <row r="80" customFormat="false" ht="15" hidden="false" customHeight="false" outlineLevel="0" collapsed="false">
      <c r="A80" s="2" t="n">
        <v>79</v>
      </c>
      <c r="B80" s="2" t="s">
        <v>997</v>
      </c>
      <c r="C80" s="2" t="s">
        <v>998</v>
      </c>
      <c r="D80" s="2" t="s">
        <v>532</v>
      </c>
      <c r="E80" s="2" t="s">
        <v>999</v>
      </c>
      <c r="F80" s="2" t="s">
        <v>988</v>
      </c>
      <c r="G80" s="2" t="s">
        <v>163</v>
      </c>
      <c r="H80" s="2"/>
      <c r="I80" s="2"/>
      <c r="J80" s="2"/>
      <c r="K80" s="2" t="s">
        <v>1000</v>
      </c>
      <c r="L80" s="2" t="s">
        <v>1000</v>
      </c>
      <c r="M80" s="2" t="s">
        <v>1001</v>
      </c>
      <c r="N80" s="2" t="s">
        <v>1002</v>
      </c>
      <c r="O80" s="2" t="s">
        <v>1003</v>
      </c>
      <c r="P80" s="3" t="n">
        <v>90</v>
      </c>
      <c r="Q80" s="3" t="n">
        <v>22121</v>
      </c>
      <c r="R80" s="3" t="n">
        <v>2056</v>
      </c>
      <c r="S80" s="3" t="n">
        <v>1958</v>
      </c>
      <c r="T80" s="3" t="n">
        <v>13090</v>
      </c>
      <c r="U80" s="3" t="n">
        <v>6975</v>
      </c>
      <c r="V80" s="3" t="n">
        <v>3755</v>
      </c>
      <c r="W80" s="3" t="n">
        <v>4388</v>
      </c>
      <c r="X80" s="3" t="n">
        <v>398</v>
      </c>
      <c r="Y80" s="3" t="n">
        <v>364</v>
      </c>
      <c r="Z80" s="3" t="n">
        <v>19</v>
      </c>
      <c r="AA80" s="3" t="n">
        <v>5</v>
      </c>
      <c r="AB80" s="3" t="n">
        <v>2</v>
      </c>
      <c r="AC80" s="3" t="n">
        <v>8</v>
      </c>
      <c r="AD80" s="3" t="n">
        <v>30</v>
      </c>
      <c r="AE80" s="3" t="n">
        <v>15</v>
      </c>
      <c r="AF80" s="3" t="n">
        <v>163</v>
      </c>
      <c r="AG80" s="3" t="n">
        <v>190</v>
      </c>
      <c r="AH80" s="2"/>
      <c r="AI80" s="3"/>
      <c r="AJ80" s="2"/>
      <c r="AK80" s="2" t="n">
        <f aca="false">COUNTIFS(secondary_acts!$A$2:$A$771,$A80,secondary_acts!$E$2:$E$771,"implementing")</f>
        <v>0</v>
      </c>
      <c r="AL80" s="2" t="n">
        <f aca="false">COUNTIFS(secondary_acts!$A$2:$A$771,$A80,secondary_acts!$E$2:$E$771,"delegated")</f>
        <v>0</v>
      </c>
      <c r="AM80" s="2" t="n">
        <f aca="false">COUNTIFS(secondary_acts!$A$2:$A$771,$A80,secondary_acts!$E$2:$E$771,"other Commission/Council act")</f>
        <v>0</v>
      </c>
      <c r="AN80" s="2" t="n">
        <f aca="false">COUNTIFS(secondary_acts!$A$2:$A$771,$A80,secondary_acts!$E$2:$E$771,"guidance")</f>
        <v>0</v>
      </c>
      <c r="AO80" s="2" t="n">
        <f aca="false">COUNTIF(guidance_web!$A$2:$A$7,$A80)</f>
        <v>0</v>
      </c>
      <c r="AP80" s="2" t="n">
        <f aca="false">COUNTIFS(guidance_agencies!$A$2:$A$81,$A80,guidance_agencies!$D$2:$D$81,"EDPB")</f>
        <v>0</v>
      </c>
      <c r="AQ80" s="2" t="n">
        <f aca="false">COUNTIFS(guidance_agencies!$A$2:$A$81,$A80,guidance_agencies!$D$2:$D$81,"EBA")</f>
        <v>0</v>
      </c>
      <c r="AR80" s="2" t="n">
        <f aca="false">COUNTIFS(guidance_agencies!$A$2:$A$81,$A80,guidance_agencies!$D$2:$D$81,"ESMA")</f>
        <v>0</v>
      </c>
      <c r="AS80" s="3" t="n">
        <f aca="false">SUMIFS(secondary_acts!$S$2:$S$771,secondary_acts!$A$2:$A$771,$A80,secondary_acts!$E$2:$E$771,"implementing")+SUMIFS(secondary_acts!$S$2:$S$771,secondary_acts!$A$2:$A$771,$A80,secondary_acts!$E$2:$E$771,"delegated")</f>
        <v>0</v>
      </c>
      <c r="AT80" s="3"/>
      <c r="AU80" s="2"/>
      <c r="AV80" s="2"/>
      <c r="AW80" s="2"/>
      <c r="AX80" s="2"/>
      <c r="AY80" s="2"/>
      <c r="AZ80" s="2"/>
      <c r="BA80" s="2" t="s">
        <v>1004</v>
      </c>
      <c r="BB80" s="2"/>
      <c r="BC80" s="2"/>
      <c r="BD80" s="2"/>
      <c r="BE80" s="2" t="str">
        <f aca="false">IF(ISNUMBER(BB80),Q80-BB80,"")</f>
        <v/>
      </c>
      <c r="BF80" s="4" t="str">
        <f aca="false">IF(AND(ISNUMBER(BB80),BB80&gt;0),(Q80-BB80)/BB80,"")</f>
        <v/>
      </c>
      <c r="BG80" s="2" t="str">
        <f aca="false">IF(ISNUMBER(BC80),X80-BC80,"")</f>
        <v/>
      </c>
      <c r="BH80" s="4" t="str">
        <f aca="false">IF(AND(ISNUMBER(BC80),BC80&gt;0),(X80-BC80)/BC80,"")</f>
        <v/>
      </c>
      <c r="BI80" s="2" t="str">
        <f aca="false">IF(ISNUMBER(BD80),AD80-BD80,"")</f>
        <v/>
      </c>
      <c r="BJ80" s="2" t="s">
        <v>429</v>
      </c>
      <c r="BK80" s="2" t="s">
        <v>1005</v>
      </c>
      <c r="BL80" s="2" t="s">
        <v>1006</v>
      </c>
      <c r="BM80" s="2" t="n">
        <v>4</v>
      </c>
      <c r="BN80" s="2" t="n">
        <v>0</v>
      </c>
      <c r="BO80" s="2" t="n">
        <v>1</v>
      </c>
      <c r="BP80" s="2" t="n">
        <v>0</v>
      </c>
      <c r="BQ80" s="2"/>
    </row>
    <row r="81" customFormat="false" ht="15" hidden="false" customHeight="false" outlineLevel="0" collapsed="false">
      <c r="A81" s="2" t="n">
        <v>80</v>
      </c>
      <c r="B81" s="2" t="s">
        <v>1007</v>
      </c>
      <c r="C81" s="2" t="s">
        <v>1008</v>
      </c>
      <c r="D81" s="2" t="s">
        <v>296</v>
      </c>
      <c r="E81" s="2" t="s">
        <v>72</v>
      </c>
      <c r="F81" s="2" t="s">
        <v>1009</v>
      </c>
      <c r="G81" s="2" t="s">
        <v>163</v>
      </c>
      <c r="H81" s="2" t="s">
        <v>437</v>
      </c>
      <c r="I81" s="2" t="s">
        <v>1010</v>
      </c>
      <c r="J81" s="2" t="s">
        <v>1011</v>
      </c>
      <c r="K81" s="2" t="s">
        <v>77</v>
      </c>
      <c r="L81" s="2" t="s">
        <v>77</v>
      </c>
      <c r="M81" s="2" t="s">
        <v>1012</v>
      </c>
      <c r="N81" s="2" t="s">
        <v>79</v>
      </c>
      <c r="O81" s="2" t="s">
        <v>1013</v>
      </c>
      <c r="P81" s="3" t="n">
        <v>89</v>
      </c>
      <c r="Q81" s="3" t="n">
        <v>49096</v>
      </c>
      <c r="R81" s="3" t="n">
        <v>18418</v>
      </c>
      <c r="S81" s="3" t="n">
        <v>18286</v>
      </c>
      <c r="T81" s="3" t="n">
        <v>27289</v>
      </c>
      <c r="U81" s="3" t="n">
        <v>3389</v>
      </c>
      <c r="V81" s="3" t="n">
        <v>0</v>
      </c>
      <c r="W81" s="3" t="n">
        <v>0</v>
      </c>
      <c r="X81" s="3" t="n">
        <v>466</v>
      </c>
      <c r="Y81" s="3" t="n">
        <v>395</v>
      </c>
      <c r="Z81" s="3" t="n">
        <v>34</v>
      </c>
      <c r="AA81" s="3" t="n">
        <v>6</v>
      </c>
      <c r="AB81" s="3" t="n">
        <v>4</v>
      </c>
      <c r="AC81" s="3" t="n">
        <v>27</v>
      </c>
      <c r="AD81" s="3" t="n">
        <v>116</v>
      </c>
      <c r="AE81" s="3" t="n">
        <v>58</v>
      </c>
      <c r="AF81" s="3" t="n">
        <v>149</v>
      </c>
      <c r="AG81" s="3" t="n">
        <v>143</v>
      </c>
      <c r="AH81" s="2" t="s">
        <v>1014</v>
      </c>
      <c r="AI81" s="3" t="n">
        <v>466</v>
      </c>
      <c r="AJ81" s="2" t="n">
        <v>116</v>
      </c>
      <c r="AK81" s="2" t="n">
        <f aca="false">COUNTIFS(secondary_acts!$A$2:$A$771,$A81,secondary_acts!$E$2:$E$771,"implementing")</f>
        <v>2</v>
      </c>
      <c r="AL81" s="2" t="n">
        <f aca="false">COUNTIFS(secondary_acts!$A$2:$A$771,$A81,secondary_acts!$E$2:$E$771,"delegated")</f>
        <v>1</v>
      </c>
      <c r="AM81" s="2" t="n">
        <f aca="false">COUNTIFS(secondary_acts!$A$2:$A$771,$A81,secondary_acts!$E$2:$E$771,"other Commission/Council act")</f>
        <v>0</v>
      </c>
      <c r="AN81" s="2" t="n">
        <f aca="false">COUNTIFS(secondary_acts!$A$2:$A$771,$A81,secondary_acts!$E$2:$E$771,"guidance")</f>
        <v>0</v>
      </c>
      <c r="AO81" s="2" t="n">
        <f aca="false">COUNTIF(guidance_web!$A$2:$A$7,$A81)</f>
        <v>0</v>
      </c>
      <c r="AP81" s="2" t="n">
        <f aca="false">COUNTIFS(guidance_agencies!$A$2:$A$81,$A81,guidance_agencies!$D$2:$D$81,"EDPB")</f>
        <v>0</v>
      </c>
      <c r="AQ81" s="2" t="n">
        <f aca="false">COUNTIFS(guidance_agencies!$A$2:$A$81,$A81,guidance_agencies!$D$2:$D$81,"EBA")</f>
        <v>0</v>
      </c>
      <c r="AR81" s="2" t="n">
        <f aca="false">COUNTIFS(guidance_agencies!$A$2:$A$81,$A81,guidance_agencies!$D$2:$D$81,"ESMA")</f>
        <v>0</v>
      </c>
      <c r="AS81" s="3" t="n">
        <f aca="false">SUMIFS(secondary_acts!$S$2:$S$771,secondary_acts!$A$2:$A$771,$A81,secondary_acts!$E$2:$E$771,"implementing")+SUMIFS(secondary_acts!$S$2:$S$771,secondary_acts!$A$2:$A$771,$A81,secondary_acts!$E$2:$E$771,"delegated")</f>
        <v>145</v>
      </c>
      <c r="AT81" s="3"/>
      <c r="AU81" s="2"/>
      <c r="AV81" s="2" t="n">
        <v>0</v>
      </c>
      <c r="AW81" s="2"/>
      <c r="AX81" s="2"/>
      <c r="AY81" s="2" t="n">
        <v>4</v>
      </c>
      <c r="AZ81" s="2" t="s">
        <v>1015</v>
      </c>
      <c r="BA81" s="2" t="s">
        <v>157</v>
      </c>
      <c r="BB81" s="2" t="n">
        <v>38936</v>
      </c>
      <c r="BC81" s="2" t="n">
        <v>474</v>
      </c>
      <c r="BD81" s="2" t="n">
        <v>117</v>
      </c>
      <c r="BE81" s="2" t="n">
        <f aca="false">IF(ISNUMBER(BB81),Q81-BB81,"")</f>
        <v>10160</v>
      </c>
      <c r="BF81" s="4" t="n">
        <f aca="false">IF(AND(ISNUMBER(BB81),BB81&gt;0),(Q81-BB81)/BB81,"")</f>
        <v>0.260941031436203</v>
      </c>
      <c r="BG81" s="2" t="n">
        <f aca="false">IF(ISNUMBER(BC81),X81-BC81,"")</f>
        <v>-8</v>
      </c>
      <c r="BH81" s="4" t="n">
        <f aca="false">IF(AND(ISNUMBER(BC81),BC81&gt;0),(X81-BC81)/BC81,"")</f>
        <v>-0.0168776371308017</v>
      </c>
      <c r="BI81" s="2" t="n">
        <f aca="false">IF(ISNUMBER(BD81),AD81-BD81,"")</f>
        <v>-1</v>
      </c>
      <c r="BJ81" s="2" t="s">
        <v>429</v>
      </c>
      <c r="BK81" s="2" t="s">
        <v>1016</v>
      </c>
      <c r="BL81" s="2" t="s">
        <v>1017</v>
      </c>
      <c r="BM81" s="2" t="n">
        <v>5</v>
      </c>
      <c r="BN81" s="2" t="n">
        <v>1</v>
      </c>
      <c r="BO81" s="2" t="n">
        <v>1</v>
      </c>
      <c r="BP81" s="2" t="n">
        <v>0</v>
      </c>
      <c r="BQ81" s="2"/>
    </row>
    <row r="82" customFormat="false" ht="15" hidden="false" customHeight="false" outlineLevel="0" collapsed="false">
      <c r="A82" s="2" t="n">
        <v>81</v>
      </c>
      <c r="B82" s="2" t="s">
        <v>1018</v>
      </c>
      <c r="C82" s="2" t="s">
        <v>1019</v>
      </c>
      <c r="D82" s="2" t="s">
        <v>188</v>
      </c>
      <c r="E82" s="2" t="s">
        <v>72</v>
      </c>
      <c r="F82" s="2" t="s">
        <v>1020</v>
      </c>
      <c r="G82" s="2" t="s">
        <v>163</v>
      </c>
      <c r="H82" s="2" t="s">
        <v>1021</v>
      </c>
      <c r="I82" s="2" t="s">
        <v>1022</v>
      </c>
      <c r="J82" s="2" t="s">
        <v>1023</v>
      </c>
      <c r="K82" s="2" t="s">
        <v>77</v>
      </c>
      <c r="L82" s="2" t="s">
        <v>77</v>
      </c>
      <c r="M82" s="2" t="s">
        <v>1024</v>
      </c>
      <c r="N82" s="2" t="s">
        <v>79</v>
      </c>
      <c r="O82" s="2" t="s">
        <v>1025</v>
      </c>
      <c r="P82" s="3" t="n">
        <v>96</v>
      </c>
      <c r="Q82" s="3" t="n">
        <v>59369</v>
      </c>
      <c r="R82" s="3" t="n">
        <v>22349</v>
      </c>
      <c r="S82" s="3" t="n">
        <v>22214</v>
      </c>
      <c r="T82" s="3" t="n">
        <v>35353</v>
      </c>
      <c r="U82" s="3" t="n">
        <v>1667</v>
      </c>
      <c r="V82" s="3" t="n">
        <v>0</v>
      </c>
      <c r="W82" s="3" t="n">
        <v>0</v>
      </c>
      <c r="X82" s="3" t="n">
        <v>609</v>
      </c>
      <c r="Y82" s="3" t="n">
        <v>541</v>
      </c>
      <c r="Z82" s="3" t="n">
        <v>26</v>
      </c>
      <c r="AA82" s="3" t="n">
        <v>6</v>
      </c>
      <c r="AB82" s="3" t="n">
        <v>4</v>
      </c>
      <c r="AC82" s="3" t="n">
        <v>32</v>
      </c>
      <c r="AD82" s="3" t="n">
        <v>164</v>
      </c>
      <c r="AE82" s="3" t="n">
        <v>128</v>
      </c>
      <c r="AF82" s="3" t="n">
        <v>140</v>
      </c>
      <c r="AG82" s="3" t="n">
        <v>177</v>
      </c>
      <c r="AH82" s="2" t="s">
        <v>1026</v>
      </c>
      <c r="AI82" s="3" t="n">
        <v>609</v>
      </c>
      <c r="AJ82" s="2" t="n">
        <v>164</v>
      </c>
      <c r="AK82" s="2" t="n">
        <f aca="false">COUNTIFS(secondary_acts!$A$2:$A$771,$A82,secondary_acts!$E$2:$E$771,"implementing")</f>
        <v>4</v>
      </c>
      <c r="AL82" s="2" t="n">
        <f aca="false">COUNTIFS(secondary_acts!$A$2:$A$771,$A82,secondary_acts!$E$2:$E$771,"delegated")</f>
        <v>0</v>
      </c>
      <c r="AM82" s="2" t="n">
        <f aca="false">COUNTIFS(secondary_acts!$A$2:$A$771,$A82,secondary_acts!$E$2:$E$771,"other Commission/Council act")</f>
        <v>0</v>
      </c>
      <c r="AN82" s="2" t="n">
        <f aca="false">COUNTIFS(secondary_acts!$A$2:$A$771,$A82,secondary_acts!$E$2:$E$771,"guidance")</f>
        <v>0</v>
      </c>
      <c r="AO82" s="2" t="n">
        <f aca="false">COUNTIF(guidance_web!$A$2:$A$7,$A82)</f>
        <v>0</v>
      </c>
      <c r="AP82" s="2" t="n">
        <f aca="false">COUNTIFS(guidance_agencies!$A$2:$A$81,$A82,guidance_agencies!$D$2:$D$81,"EDPB")</f>
        <v>0</v>
      </c>
      <c r="AQ82" s="2" t="n">
        <f aca="false">COUNTIFS(guidance_agencies!$A$2:$A$81,$A82,guidance_agencies!$D$2:$D$81,"EBA")</f>
        <v>0</v>
      </c>
      <c r="AR82" s="2" t="n">
        <f aca="false">COUNTIFS(guidance_agencies!$A$2:$A$81,$A82,guidance_agencies!$D$2:$D$81,"ESMA")</f>
        <v>0</v>
      </c>
      <c r="AS82" s="3" t="n">
        <f aca="false">SUMIFS(secondary_acts!$S$2:$S$771,secondary_acts!$A$2:$A$771,$A82,secondary_acts!$E$2:$E$771,"implementing")+SUMIFS(secondary_acts!$S$2:$S$771,secondary_acts!$A$2:$A$771,$A82,secondary_acts!$E$2:$E$771,"delegated")</f>
        <v>144</v>
      </c>
      <c r="AT82" s="3"/>
      <c r="AU82" s="2"/>
      <c r="AV82" s="2" t="n">
        <v>0</v>
      </c>
      <c r="AW82" s="2"/>
      <c r="AX82" s="2"/>
      <c r="AY82" s="2" t="n">
        <v>3</v>
      </c>
      <c r="AZ82" s="2" t="s">
        <v>1027</v>
      </c>
      <c r="BA82" s="2" t="s">
        <v>157</v>
      </c>
      <c r="BB82" s="2" t="n">
        <v>37113</v>
      </c>
      <c r="BC82" s="2" t="n">
        <v>398</v>
      </c>
      <c r="BD82" s="2" t="n">
        <v>91</v>
      </c>
      <c r="BE82" s="2" t="n">
        <f aca="false">IF(ISNUMBER(BB82),Q82-BB82,"")</f>
        <v>22256</v>
      </c>
      <c r="BF82" s="4" t="n">
        <f aca="false">IF(AND(ISNUMBER(BB82),BB82&gt;0),(Q82-BB82)/BB82,"")</f>
        <v>0.59968205211112</v>
      </c>
      <c r="BG82" s="2" t="n">
        <f aca="false">IF(ISNUMBER(BC82),X82-BC82,"")</f>
        <v>211</v>
      </c>
      <c r="BH82" s="4" t="n">
        <f aca="false">IF(AND(ISNUMBER(BC82),BC82&gt;0),(X82-BC82)/BC82,"")</f>
        <v>0.530150753768844</v>
      </c>
      <c r="BI82" s="2" t="n">
        <f aca="false">IF(ISNUMBER(BD82),AD82-BD82,"")</f>
        <v>73</v>
      </c>
      <c r="BJ82" s="2" t="s">
        <v>429</v>
      </c>
      <c r="BK82" s="2" t="s">
        <v>1028</v>
      </c>
      <c r="BL82" s="2" t="s">
        <v>1029</v>
      </c>
      <c r="BM82" s="2" t="n">
        <v>4</v>
      </c>
      <c r="BN82" s="2" t="n">
        <v>1</v>
      </c>
      <c r="BO82" s="2" t="n">
        <v>3</v>
      </c>
      <c r="BP82" s="2" t="n">
        <v>0</v>
      </c>
      <c r="BQ82" s="2" t="s">
        <v>118</v>
      </c>
    </row>
    <row r="83" customFormat="false" ht="15" hidden="false" customHeight="false" outlineLevel="0" collapsed="false">
      <c r="A83" s="2" t="n">
        <v>82</v>
      </c>
      <c r="B83" s="2" t="s">
        <v>1030</v>
      </c>
      <c r="C83" s="2" t="s">
        <v>1031</v>
      </c>
      <c r="D83" s="2" t="s">
        <v>348</v>
      </c>
      <c r="E83" s="2" t="s">
        <v>1032</v>
      </c>
      <c r="F83" s="2" t="s">
        <v>893</v>
      </c>
      <c r="G83" s="2" t="s">
        <v>163</v>
      </c>
      <c r="H83" s="2"/>
      <c r="I83" s="2"/>
      <c r="J83" s="2"/>
      <c r="K83" s="2" t="s">
        <v>1000</v>
      </c>
      <c r="L83" s="2" t="s">
        <v>1000</v>
      </c>
      <c r="M83" s="2" t="s">
        <v>1033</v>
      </c>
      <c r="N83" s="2" t="s">
        <v>1002</v>
      </c>
      <c r="O83" s="2" t="s">
        <v>1034</v>
      </c>
      <c r="P83" s="3" t="n">
        <v>156</v>
      </c>
      <c r="Q83" s="3" t="n">
        <v>41850</v>
      </c>
      <c r="R83" s="3" t="n">
        <v>9755</v>
      </c>
      <c r="S83" s="3" t="n">
        <v>9630</v>
      </c>
      <c r="T83" s="3" t="n">
        <v>28710</v>
      </c>
      <c r="U83" s="3" t="n">
        <v>3385</v>
      </c>
      <c r="V83" s="3" t="n">
        <v>10245</v>
      </c>
      <c r="W83" s="3" t="n">
        <v>8749</v>
      </c>
      <c r="X83" s="3" t="n">
        <v>467</v>
      </c>
      <c r="Y83" s="3" t="n">
        <v>410</v>
      </c>
      <c r="Z83" s="3" t="n">
        <v>20</v>
      </c>
      <c r="AA83" s="3" t="n">
        <v>5</v>
      </c>
      <c r="AB83" s="3" t="n">
        <v>5</v>
      </c>
      <c r="AC83" s="3" t="n">
        <v>27</v>
      </c>
      <c r="AD83" s="3" t="n">
        <v>67</v>
      </c>
      <c r="AE83" s="3" t="n">
        <v>124</v>
      </c>
      <c r="AF83" s="3" t="n">
        <v>125</v>
      </c>
      <c r="AG83" s="3" t="n">
        <v>151</v>
      </c>
      <c r="AH83" s="2"/>
      <c r="AI83" s="3"/>
      <c r="AJ83" s="2"/>
      <c r="AK83" s="2" t="n">
        <f aca="false">COUNTIFS(secondary_acts!$A$2:$A$771,$A83,secondary_acts!$E$2:$E$771,"implementing")</f>
        <v>0</v>
      </c>
      <c r="AL83" s="2" t="n">
        <f aca="false">COUNTIFS(secondary_acts!$A$2:$A$771,$A83,secondary_acts!$E$2:$E$771,"delegated")</f>
        <v>0</v>
      </c>
      <c r="AM83" s="2" t="n">
        <f aca="false">COUNTIFS(secondary_acts!$A$2:$A$771,$A83,secondary_acts!$E$2:$E$771,"other Commission/Council act")</f>
        <v>0</v>
      </c>
      <c r="AN83" s="2" t="n">
        <f aca="false">COUNTIFS(secondary_acts!$A$2:$A$771,$A83,secondary_acts!$E$2:$E$771,"guidance")</f>
        <v>0</v>
      </c>
      <c r="AO83" s="2" t="n">
        <f aca="false">COUNTIF(guidance_web!$A$2:$A$7,$A83)</f>
        <v>0</v>
      </c>
      <c r="AP83" s="2" t="n">
        <f aca="false">COUNTIFS(guidance_agencies!$A$2:$A$81,$A83,guidance_agencies!$D$2:$D$81,"EDPB")</f>
        <v>0</v>
      </c>
      <c r="AQ83" s="2" t="n">
        <f aca="false">COUNTIFS(guidance_agencies!$A$2:$A$81,$A83,guidance_agencies!$D$2:$D$81,"EBA")</f>
        <v>0</v>
      </c>
      <c r="AR83" s="2" t="n">
        <f aca="false">COUNTIFS(guidance_agencies!$A$2:$A$81,$A83,guidance_agencies!$D$2:$D$81,"ESMA")</f>
        <v>0</v>
      </c>
      <c r="AS83" s="3" t="n">
        <f aca="false">SUMIFS(secondary_acts!$S$2:$S$771,secondary_acts!$A$2:$A$771,$A83,secondary_acts!$E$2:$E$771,"implementing")+SUMIFS(secondary_acts!$S$2:$S$771,secondary_acts!$A$2:$A$771,$A83,secondary_acts!$E$2:$E$771,"delegated")</f>
        <v>0</v>
      </c>
      <c r="AT83" s="3"/>
      <c r="AU83" s="2"/>
      <c r="AV83" s="2"/>
      <c r="AW83" s="2"/>
      <c r="AX83" s="2"/>
      <c r="AY83" s="2"/>
      <c r="AZ83" s="2"/>
      <c r="BA83" s="2" t="s">
        <v>1004</v>
      </c>
      <c r="BB83" s="2"/>
      <c r="BC83" s="2"/>
      <c r="BD83" s="2"/>
      <c r="BE83" s="2" t="str">
        <f aca="false">IF(ISNUMBER(BB83),Q83-BB83,"")</f>
        <v/>
      </c>
      <c r="BF83" s="4" t="str">
        <f aca="false">IF(AND(ISNUMBER(BB83),BB83&gt;0),(Q83-BB83)/BB83,"")</f>
        <v/>
      </c>
      <c r="BG83" s="2" t="str">
        <f aca="false">IF(ISNUMBER(BC83),X83-BC83,"")</f>
        <v/>
      </c>
      <c r="BH83" s="4" t="str">
        <f aca="false">IF(AND(ISNUMBER(BC83),BC83&gt;0),(X83-BC83)/BC83,"")</f>
        <v/>
      </c>
      <c r="BI83" s="2" t="str">
        <f aca="false">IF(ISNUMBER(BD83),AD83-BD83,"")</f>
        <v/>
      </c>
      <c r="BJ83" s="2" t="s">
        <v>429</v>
      </c>
      <c r="BK83" s="2" t="s">
        <v>1035</v>
      </c>
      <c r="BL83" s="2" t="s">
        <v>1036</v>
      </c>
      <c r="BM83" s="2" t="n">
        <v>2</v>
      </c>
      <c r="BN83" s="2" t="n">
        <v>0</v>
      </c>
      <c r="BO83" s="2" t="n">
        <v>1</v>
      </c>
      <c r="BP83" s="2" t="n">
        <v>0</v>
      </c>
      <c r="BQ83" s="2"/>
    </row>
    <row r="84" customFormat="false" ht="15" hidden="false" customHeight="false" outlineLevel="0" collapsed="false">
      <c r="A84" s="2" t="n">
        <v>83</v>
      </c>
      <c r="B84" s="2" t="s">
        <v>1037</v>
      </c>
      <c r="C84" s="2" t="s">
        <v>1038</v>
      </c>
      <c r="D84" s="2" t="s">
        <v>532</v>
      </c>
      <c r="E84" s="2" t="s">
        <v>72</v>
      </c>
      <c r="F84" s="2" t="s">
        <v>1039</v>
      </c>
      <c r="G84" s="2" t="s">
        <v>163</v>
      </c>
      <c r="H84" s="2" t="s">
        <v>142</v>
      </c>
      <c r="I84" s="2" t="s">
        <v>1040</v>
      </c>
      <c r="J84" s="2" t="s">
        <v>1041</v>
      </c>
      <c r="K84" s="2" t="s">
        <v>77</v>
      </c>
      <c r="L84" s="2" t="s">
        <v>77</v>
      </c>
      <c r="M84" s="2" t="s">
        <v>1042</v>
      </c>
      <c r="N84" s="2" t="s">
        <v>79</v>
      </c>
      <c r="O84" s="2" t="s">
        <v>1043</v>
      </c>
      <c r="P84" s="3" t="n">
        <v>81</v>
      </c>
      <c r="Q84" s="3" t="n">
        <v>51049</v>
      </c>
      <c r="R84" s="3" t="n">
        <v>21364</v>
      </c>
      <c r="S84" s="3" t="n">
        <v>21224</v>
      </c>
      <c r="T84" s="3" t="n">
        <v>23872</v>
      </c>
      <c r="U84" s="3" t="n">
        <v>5813</v>
      </c>
      <c r="V84" s="3" t="n">
        <v>0</v>
      </c>
      <c r="W84" s="3" t="n">
        <v>0</v>
      </c>
      <c r="X84" s="3" t="n">
        <v>501</v>
      </c>
      <c r="Y84" s="3" t="n">
        <v>451</v>
      </c>
      <c r="Z84" s="3" t="n">
        <v>18</v>
      </c>
      <c r="AA84" s="3" t="n">
        <v>2</v>
      </c>
      <c r="AB84" s="3" t="n">
        <v>3</v>
      </c>
      <c r="AC84" s="3" t="n">
        <v>27</v>
      </c>
      <c r="AD84" s="3" t="n">
        <v>183</v>
      </c>
      <c r="AE84" s="3" t="n">
        <v>90</v>
      </c>
      <c r="AF84" s="3" t="n">
        <v>102</v>
      </c>
      <c r="AG84" s="3" t="n">
        <v>126</v>
      </c>
      <c r="AH84" s="2" t="s">
        <v>1044</v>
      </c>
      <c r="AI84" s="3" t="n">
        <v>501</v>
      </c>
      <c r="AJ84" s="2" t="n">
        <v>183</v>
      </c>
      <c r="AK84" s="2" t="n">
        <f aca="false">COUNTIFS(secondary_acts!$A$2:$A$771,$A84,secondary_acts!$E$2:$E$771,"implementing")</f>
        <v>1</v>
      </c>
      <c r="AL84" s="2" t="n">
        <f aca="false">COUNTIFS(secondary_acts!$A$2:$A$771,$A84,secondary_acts!$E$2:$E$771,"delegated")</f>
        <v>2</v>
      </c>
      <c r="AM84" s="2" t="n">
        <f aca="false">COUNTIFS(secondary_acts!$A$2:$A$771,$A84,secondary_acts!$E$2:$E$771,"other Commission/Council act")</f>
        <v>0</v>
      </c>
      <c r="AN84" s="2" t="n">
        <f aca="false">COUNTIFS(secondary_acts!$A$2:$A$771,$A84,secondary_acts!$E$2:$E$771,"guidance")</f>
        <v>0</v>
      </c>
      <c r="AO84" s="2" t="n">
        <f aca="false">COUNTIF(guidance_web!$A$2:$A$7,$A84)</f>
        <v>2</v>
      </c>
      <c r="AP84" s="2" t="n">
        <f aca="false">COUNTIFS(guidance_agencies!$A$2:$A$81,$A84,guidance_agencies!$D$2:$D$81,"EDPB")</f>
        <v>0</v>
      </c>
      <c r="AQ84" s="2" t="n">
        <f aca="false">COUNTIFS(guidance_agencies!$A$2:$A$81,$A84,guidance_agencies!$D$2:$D$81,"EBA")</f>
        <v>0</v>
      </c>
      <c r="AR84" s="2" t="n">
        <f aca="false">COUNTIFS(guidance_agencies!$A$2:$A$81,$A84,guidance_agencies!$D$2:$D$81,"ESMA")</f>
        <v>0</v>
      </c>
      <c r="AS84" s="3" t="n">
        <f aca="false">SUMIFS(secondary_acts!$S$2:$S$771,secondary_acts!$A$2:$A$771,$A84,secondary_acts!$E$2:$E$771,"implementing")+SUMIFS(secondary_acts!$S$2:$S$771,secondary_acts!$A$2:$A$771,$A84,secondary_acts!$E$2:$E$771,"delegated")</f>
        <v>7</v>
      </c>
      <c r="AT84" s="3"/>
      <c r="AU84" s="2"/>
      <c r="AV84" s="2" t="n">
        <v>1</v>
      </c>
      <c r="AW84" s="2" t="s">
        <v>1021</v>
      </c>
      <c r="AX84" s="2" t="s">
        <v>1021</v>
      </c>
      <c r="AY84" s="2" t="n">
        <v>8</v>
      </c>
      <c r="AZ84" s="2" t="s">
        <v>1045</v>
      </c>
      <c r="BA84" s="2" t="s">
        <v>157</v>
      </c>
      <c r="BB84" s="2" t="n">
        <v>30753</v>
      </c>
      <c r="BC84" s="2" t="n">
        <v>356</v>
      </c>
      <c r="BD84" s="2" t="n">
        <v>140</v>
      </c>
      <c r="BE84" s="2" t="n">
        <f aca="false">IF(ISNUMBER(BB84),Q84-BB84,"")</f>
        <v>20296</v>
      </c>
      <c r="BF84" s="4" t="n">
        <f aca="false">IF(AND(ISNUMBER(BB84),BB84&gt;0),(Q84-BB84)/BB84,"")</f>
        <v>0.659968133190258</v>
      </c>
      <c r="BG84" s="2" t="n">
        <f aca="false">IF(ISNUMBER(BC84),X84-BC84,"")</f>
        <v>145</v>
      </c>
      <c r="BH84" s="4" t="n">
        <f aca="false">IF(AND(ISNUMBER(BC84),BC84&gt;0),(X84-BC84)/BC84,"")</f>
        <v>0.407303370786517</v>
      </c>
      <c r="BI84" s="2" t="n">
        <f aca="false">IF(ISNUMBER(BD84),AD84-BD84,"")</f>
        <v>43</v>
      </c>
      <c r="BJ84" s="2" t="s">
        <v>429</v>
      </c>
      <c r="BK84" s="2" t="s">
        <v>1046</v>
      </c>
      <c r="BL84" s="2" t="s">
        <v>1047</v>
      </c>
      <c r="BM84" s="2" t="n">
        <v>5</v>
      </c>
      <c r="BN84" s="2" t="n">
        <v>0</v>
      </c>
      <c r="BO84" s="2" t="n">
        <v>1</v>
      </c>
      <c r="BP84" s="2" t="n">
        <v>0</v>
      </c>
      <c r="BQ84" s="2"/>
    </row>
    <row r="85" customFormat="false" ht="15" hidden="false" customHeight="false" outlineLevel="0" collapsed="false">
      <c r="A85" s="2" t="n">
        <v>84</v>
      </c>
      <c r="B85" s="2" t="s">
        <v>1048</v>
      </c>
      <c r="C85" s="2" t="s">
        <v>1049</v>
      </c>
      <c r="D85" s="2" t="s">
        <v>106</v>
      </c>
      <c r="E85" s="2" t="s">
        <v>72</v>
      </c>
      <c r="F85" s="2" t="s">
        <v>1050</v>
      </c>
      <c r="G85" s="2" t="s">
        <v>163</v>
      </c>
      <c r="H85" s="2" t="s">
        <v>276</v>
      </c>
      <c r="I85" s="2" t="s">
        <v>1051</v>
      </c>
      <c r="J85" s="2" t="s">
        <v>1052</v>
      </c>
      <c r="K85" s="2" t="s">
        <v>77</v>
      </c>
      <c r="L85" s="2" t="s">
        <v>77</v>
      </c>
      <c r="M85" s="2" t="s">
        <v>1053</v>
      </c>
      <c r="N85" s="2" t="s">
        <v>79</v>
      </c>
      <c r="O85" s="2" t="s">
        <v>1054</v>
      </c>
      <c r="P85" s="3" t="n">
        <v>37</v>
      </c>
      <c r="Q85" s="3" t="n">
        <v>26160</v>
      </c>
      <c r="R85" s="3" t="n">
        <v>16599</v>
      </c>
      <c r="S85" s="3" t="n">
        <v>16462</v>
      </c>
      <c r="T85" s="3" t="n">
        <v>9561</v>
      </c>
      <c r="U85" s="3" t="n">
        <v>0</v>
      </c>
      <c r="V85" s="3" t="n">
        <v>0</v>
      </c>
      <c r="W85" s="3" t="n">
        <v>0</v>
      </c>
      <c r="X85" s="3" t="n">
        <v>153</v>
      </c>
      <c r="Y85" s="3" t="n">
        <v>131</v>
      </c>
      <c r="Z85" s="3" t="n">
        <v>3</v>
      </c>
      <c r="AA85" s="3" t="n">
        <v>1</v>
      </c>
      <c r="AB85" s="3" t="n">
        <v>1</v>
      </c>
      <c r="AC85" s="3" t="n">
        <v>17</v>
      </c>
      <c r="AD85" s="3" t="n">
        <v>24</v>
      </c>
      <c r="AE85" s="3" t="n">
        <v>48</v>
      </c>
      <c r="AF85" s="3" t="n">
        <v>63</v>
      </c>
      <c r="AG85" s="3" t="n">
        <v>18</v>
      </c>
      <c r="AH85" s="2" t="s">
        <v>1055</v>
      </c>
      <c r="AI85" s="3" t="n">
        <v>153</v>
      </c>
      <c r="AJ85" s="2" t="n">
        <v>24</v>
      </c>
      <c r="AK85" s="2" t="n">
        <f aca="false">COUNTIFS(secondary_acts!$A$2:$A$771,$A85,secondary_acts!$E$2:$E$771,"implementing")</f>
        <v>0</v>
      </c>
      <c r="AL85" s="2" t="n">
        <f aca="false">COUNTIFS(secondary_acts!$A$2:$A$771,$A85,secondary_acts!$E$2:$E$771,"delegated")</f>
        <v>0</v>
      </c>
      <c r="AM85" s="2" t="n">
        <f aca="false">COUNTIFS(secondary_acts!$A$2:$A$771,$A85,secondary_acts!$E$2:$E$771,"other Commission/Council act")</f>
        <v>0</v>
      </c>
      <c r="AN85" s="2" t="n">
        <f aca="false">COUNTIFS(secondary_acts!$A$2:$A$771,$A85,secondary_acts!$E$2:$E$771,"guidance")</f>
        <v>1</v>
      </c>
      <c r="AO85" s="2" t="n">
        <f aca="false">COUNTIF(guidance_web!$A$2:$A$7,$A85)</f>
        <v>0</v>
      </c>
      <c r="AP85" s="2" t="n">
        <f aca="false">COUNTIFS(guidance_agencies!$A$2:$A$81,$A85,guidance_agencies!$D$2:$D$81,"EDPB")</f>
        <v>0</v>
      </c>
      <c r="AQ85" s="2" t="n">
        <f aca="false">COUNTIFS(guidance_agencies!$A$2:$A$81,$A85,guidance_agencies!$D$2:$D$81,"EBA")</f>
        <v>0</v>
      </c>
      <c r="AR85" s="2" t="n">
        <f aca="false">COUNTIFS(guidance_agencies!$A$2:$A$81,$A85,guidance_agencies!$D$2:$D$81,"ESMA")</f>
        <v>0</v>
      </c>
      <c r="AS85" s="3" t="n">
        <f aca="false">SUMIFS(secondary_acts!$S$2:$S$771,secondary_acts!$A$2:$A$771,$A85,secondary_acts!$E$2:$E$771,"implementing")+SUMIFS(secondary_acts!$S$2:$S$771,secondary_acts!$A$2:$A$771,$A85,secondary_acts!$E$2:$E$771,"delegated")</f>
        <v>0</v>
      </c>
      <c r="AT85" s="3"/>
      <c r="AU85" s="2"/>
      <c r="AV85" s="2" t="n">
        <v>0</v>
      </c>
      <c r="AW85" s="2"/>
      <c r="AX85" s="2"/>
      <c r="AY85" s="2" t="n">
        <v>4</v>
      </c>
      <c r="AZ85" s="2" t="s">
        <v>1056</v>
      </c>
      <c r="BA85" s="2" t="s">
        <v>157</v>
      </c>
      <c r="BB85" s="2" t="n">
        <v>14840</v>
      </c>
      <c r="BC85" s="2" t="n">
        <v>108</v>
      </c>
      <c r="BD85" s="2" t="n">
        <v>13</v>
      </c>
      <c r="BE85" s="2" t="n">
        <f aca="false">IF(ISNUMBER(BB85),Q85-BB85,"")</f>
        <v>11320</v>
      </c>
      <c r="BF85" s="4" t="n">
        <f aca="false">IF(AND(ISNUMBER(BB85),BB85&gt;0),(Q85-BB85)/BB85,"")</f>
        <v>0.762803234501348</v>
      </c>
      <c r="BG85" s="2" t="n">
        <f aca="false">IF(ISNUMBER(BC85),X85-BC85,"")</f>
        <v>45</v>
      </c>
      <c r="BH85" s="4" t="n">
        <f aca="false">IF(AND(ISNUMBER(BC85),BC85&gt;0),(X85-BC85)/BC85,"")</f>
        <v>0.416666666666667</v>
      </c>
      <c r="BI85" s="2" t="n">
        <f aca="false">IF(ISNUMBER(BD85),AD85-BD85,"")</f>
        <v>11</v>
      </c>
      <c r="BJ85" s="2" t="s">
        <v>429</v>
      </c>
      <c r="BK85" s="2" t="s">
        <v>1057</v>
      </c>
      <c r="BL85" s="2" t="s">
        <v>1058</v>
      </c>
      <c r="BM85" s="2" t="n">
        <v>5</v>
      </c>
      <c r="BN85" s="2" t="n">
        <v>2</v>
      </c>
      <c r="BO85" s="2" t="n">
        <v>1</v>
      </c>
      <c r="BP85" s="2" t="n">
        <v>0</v>
      </c>
      <c r="BQ85" s="2" t="s">
        <v>118</v>
      </c>
    </row>
    <row r="86" customFormat="false" ht="15" hidden="false" customHeight="false" outlineLevel="0" collapsed="false">
      <c r="A86" s="2" t="n">
        <v>85</v>
      </c>
      <c r="B86" s="2" t="s">
        <v>1059</v>
      </c>
      <c r="C86" s="2" t="s">
        <v>1060</v>
      </c>
      <c r="D86" s="2" t="s">
        <v>215</v>
      </c>
      <c r="E86" s="2" t="s">
        <v>72</v>
      </c>
      <c r="F86" s="2" t="s">
        <v>1061</v>
      </c>
      <c r="G86" s="2" t="s">
        <v>163</v>
      </c>
      <c r="H86" s="2" t="s">
        <v>850</v>
      </c>
      <c r="I86" s="2" t="s">
        <v>1062</v>
      </c>
      <c r="J86" s="2" t="s">
        <v>1063</v>
      </c>
      <c r="K86" s="2" t="s">
        <v>77</v>
      </c>
      <c r="L86" s="2" t="s">
        <v>77</v>
      </c>
      <c r="M86" s="2" t="s">
        <v>1064</v>
      </c>
      <c r="N86" s="2" t="s">
        <v>79</v>
      </c>
      <c r="O86" s="2" t="s">
        <v>1065</v>
      </c>
      <c r="P86" s="3" t="n">
        <v>43</v>
      </c>
      <c r="Q86" s="3" t="n">
        <v>24374</v>
      </c>
      <c r="R86" s="3" t="n">
        <v>10138</v>
      </c>
      <c r="S86" s="3" t="n">
        <v>9986</v>
      </c>
      <c r="T86" s="3" t="n">
        <v>14236</v>
      </c>
      <c r="U86" s="3" t="n">
        <v>0</v>
      </c>
      <c r="V86" s="3" t="n">
        <v>0</v>
      </c>
      <c r="W86" s="3" t="n">
        <v>0</v>
      </c>
      <c r="X86" s="3" t="n">
        <v>204</v>
      </c>
      <c r="Y86" s="3" t="n">
        <v>172</v>
      </c>
      <c r="Z86" s="3" t="n">
        <v>15</v>
      </c>
      <c r="AA86" s="3" t="n">
        <v>2</v>
      </c>
      <c r="AB86" s="3" t="n">
        <v>1</v>
      </c>
      <c r="AC86" s="3" t="n">
        <v>14</v>
      </c>
      <c r="AD86" s="3" t="n">
        <v>8</v>
      </c>
      <c r="AE86" s="3" t="n">
        <v>33</v>
      </c>
      <c r="AF86" s="3" t="n">
        <v>127</v>
      </c>
      <c r="AG86" s="3" t="n">
        <v>36</v>
      </c>
      <c r="AH86" s="2" t="s">
        <v>1066</v>
      </c>
      <c r="AI86" s="3" t="n">
        <v>204</v>
      </c>
      <c r="AJ86" s="2" t="n">
        <v>8</v>
      </c>
      <c r="AK86" s="2" t="n">
        <f aca="false">COUNTIFS(secondary_acts!$A$2:$A$771,$A86,secondary_acts!$E$2:$E$771,"implementing")</f>
        <v>0</v>
      </c>
      <c r="AL86" s="2" t="n">
        <f aca="false">COUNTIFS(secondary_acts!$A$2:$A$771,$A86,secondary_acts!$E$2:$E$771,"delegated")</f>
        <v>0</v>
      </c>
      <c r="AM86" s="2" t="n">
        <f aca="false">COUNTIFS(secondary_acts!$A$2:$A$771,$A86,secondary_acts!$E$2:$E$771,"other Commission/Council act")</f>
        <v>0</v>
      </c>
      <c r="AN86" s="2" t="n">
        <f aca="false">COUNTIFS(secondary_acts!$A$2:$A$771,$A86,secondary_acts!$E$2:$E$771,"guidance")</f>
        <v>0</v>
      </c>
      <c r="AO86" s="2" t="n">
        <f aca="false">COUNTIF(guidance_web!$A$2:$A$7,$A86)</f>
        <v>0</v>
      </c>
      <c r="AP86" s="2" t="n">
        <f aca="false">COUNTIFS(guidance_agencies!$A$2:$A$81,$A86,guidance_agencies!$D$2:$D$81,"EDPB")</f>
        <v>0</v>
      </c>
      <c r="AQ86" s="2" t="n">
        <f aca="false">COUNTIFS(guidance_agencies!$A$2:$A$81,$A86,guidance_agencies!$D$2:$D$81,"EBA")</f>
        <v>0</v>
      </c>
      <c r="AR86" s="2" t="n">
        <f aca="false">COUNTIFS(guidance_agencies!$A$2:$A$81,$A86,guidance_agencies!$D$2:$D$81,"ESMA")</f>
        <v>0</v>
      </c>
      <c r="AS86" s="3" t="n">
        <f aca="false">SUMIFS(secondary_acts!$S$2:$S$771,secondary_acts!$A$2:$A$771,$A86,secondary_acts!$E$2:$E$771,"implementing")+SUMIFS(secondary_acts!$S$2:$S$771,secondary_acts!$A$2:$A$771,$A86,secondary_acts!$E$2:$E$771,"delegated")</f>
        <v>0</v>
      </c>
      <c r="AT86" s="3"/>
      <c r="AU86" s="2"/>
      <c r="AV86" s="2" t="n">
        <v>0</v>
      </c>
      <c r="AW86" s="2"/>
      <c r="AX86" s="2"/>
      <c r="AY86" s="2" t="n">
        <v>2</v>
      </c>
      <c r="AZ86" s="2" t="s">
        <v>1067</v>
      </c>
      <c r="BA86" s="2" t="s">
        <v>157</v>
      </c>
      <c r="BB86" s="2" t="n">
        <v>16426</v>
      </c>
      <c r="BC86" s="2" t="n">
        <v>191</v>
      </c>
      <c r="BD86" s="2" t="n">
        <v>7</v>
      </c>
      <c r="BE86" s="2" t="n">
        <f aca="false">IF(ISNUMBER(BB86),Q86-BB86,"")</f>
        <v>7948</v>
      </c>
      <c r="BF86" s="4" t="n">
        <f aca="false">IF(AND(ISNUMBER(BB86),BB86&gt;0),(Q86-BB86)/BB86,"")</f>
        <v>0.483867040058444</v>
      </c>
      <c r="BG86" s="2" t="n">
        <f aca="false">IF(ISNUMBER(BC86),X86-BC86,"")</f>
        <v>13</v>
      </c>
      <c r="BH86" s="4" t="n">
        <f aca="false">IF(AND(ISNUMBER(BC86),BC86&gt;0),(X86-BC86)/BC86,"")</f>
        <v>0.0680628272251309</v>
      </c>
      <c r="BI86" s="2" t="n">
        <f aca="false">IF(ISNUMBER(BD86),AD86-BD86,"")</f>
        <v>1</v>
      </c>
      <c r="BJ86" s="2" t="s">
        <v>429</v>
      </c>
      <c r="BK86" s="2" t="s">
        <v>1068</v>
      </c>
      <c r="BL86" s="2" t="s">
        <v>1069</v>
      </c>
      <c r="BM86" s="2" t="n">
        <v>2</v>
      </c>
      <c r="BN86" s="2" t="n">
        <v>0</v>
      </c>
      <c r="BO86" s="2" t="n">
        <v>0</v>
      </c>
      <c r="BP86" s="2" t="n">
        <v>0</v>
      </c>
      <c r="BQ86" s="2" t="s">
        <v>118</v>
      </c>
    </row>
    <row r="87" customFormat="false" ht="15" hidden="false" customHeight="false" outlineLevel="0" collapsed="false">
      <c r="A87" s="2" t="n">
        <v>86</v>
      </c>
      <c r="B87" s="2" t="s">
        <v>1070</v>
      </c>
      <c r="C87" s="2" t="s">
        <v>1071</v>
      </c>
      <c r="D87" s="2" t="s">
        <v>296</v>
      </c>
      <c r="E87" s="2" t="s">
        <v>72</v>
      </c>
      <c r="F87" s="2" t="s">
        <v>1072</v>
      </c>
      <c r="G87" s="2" t="s">
        <v>163</v>
      </c>
      <c r="H87" s="2" t="s">
        <v>142</v>
      </c>
      <c r="I87" s="2" t="s">
        <v>1073</v>
      </c>
      <c r="J87" s="2" t="s">
        <v>1074</v>
      </c>
      <c r="K87" s="2" t="s">
        <v>77</v>
      </c>
      <c r="L87" s="2" t="s">
        <v>77</v>
      </c>
      <c r="M87" s="2" t="s">
        <v>1075</v>
      </c>
      <c r="N87" s="2" t="s">
        <v>79</v>
      </c>
      <c r="O87" s="2" t="s">
        <v>1076</v>
      </c>
      <c r="P87" s="3" t="n">
        <v>22</v>
      </c>
      <c r="Q87" s="3" t="n">
        <v>13026</v>
      </c>
      <c r="R87" s="3" t="n">
        <v>8269</v>
      </c>
      <c r="S87" s="3" t="n">
        <v>8153</v>
      </c>
      <c r="T87" s="3" t="n">
        <v>4486</v>
      </c>
      <c r="U87" s="3" t="n">
        <v>271</v>
      </c>
      <c r="V87" s="3" t="n">
        <v>0</v>
      </c>
      <c r="W87" s="3" t="n">
        <v>0</v>
      </c>
      <c r="X87" s="3" t="n">
        <v>46</v>
      </c>
      <c r="Y87" s="3" t="n">
        <v>24</v>
      </c>
      <c r="Z87" s="3" t="n">
        <v>4</v>
      </c>
      <c r="AA87" s="3" t="n">
        <v>0</v>
      </c>
      <c r="AB87" s="3" t="n">
        <v>2</v>
      </c>
      <c r="AC87" s="3" t="n">
        <v>16</v>
      </c>
      <c r="AD87" s="3" t="n">
        <v>5</v>
      </c>
      <c r="AE87" s="3" t="n">
        <v>30</v>
      </c>
      <c r="AF87" s="3" t="n">
        <v>4</v>
      </c>
      <c r="AG87" s="3" t="n">
        <v>7</v>
      </c>
      <c r="AH87" s="2" t="s">
        <v>1077</v>
      </c>
      <c r="AI87" s="3" t="n">
        <v>46</v>
      </c>
      <c r="AJ87" s="2" t="n">
        <v>5</v>
      </c>
      <c r="AK87" s="2" t="n">
        <f aca="false">COUNTIFS(secondary_acts!$A$2:$A$771,$A87,secondary_acts!$E$2:$E$771,"implementing")</f>
        <v>0</v>
      </c>
      <c r="AL87" s="2" t="n">
        <f aca="false">COUNTIFS(secondary_acts!$A$2:$A$771,$A87,secondary_acts!$E$2:$E$771,"delegated")</f>
        <v>0</v>
      </c>
      <c r="AM87" s="2" t="n">
        <f aca="false">COUNTIFS(secondary_acts!$A$2:$A$771,$A87,secondary_acts!$E$2:$E$771,"other Commission/Council act")</f>
        <v>0</v>
      </c>
      <c r="AN87" s="2" t="n">
        <f aca="false">COUNTIFS(secondary_acts!$A$2:$A$771,$A87,secondary_acts!$E$2:$E$771,"guidance")</f>
        <v>0</v>
      </c>
      <c r="AO87" s="2" t="n">
        <f aca="false">COUNTIF(guidance_web!$A$2:$A$7,$A87)</f>
        <v>0</v>
      </c>
      <c r="AP87" s="2" t="n">
        <f aca="false">COUNTIFS(guidance_agencies!$A$2:$A$81,$A87,guidance_agencies!$D$2:$D$81,"EDPB")</f>
        <v>0</v>
      </c>
      <c r="AQ87" s="2" t="n">
        <f aca="false">COUNTIFS(guidance_agencies!$A$2:$A$81,$A87,guidance_agencies!$D$2:$D$81,"EBA")</f>
        <v>0</v>
      </c>
      <c r="AR87" s="2" t="n">
        <f aca="false">COUNTIFS(guidance_agencies!$A$2:$A$81,$A87,guidance_agencies!$D$2:$D$81,"ESMA")</f>
        <v>0</v>
      </c>
      <c r="AS87" s="3" t="n">
        <f aca="false">SUMIFS(secondary_acts!$S$2:$S$771,secondary_acts!$A$2:$A$771,$A87,secondary_acts!$E$2:$E$771,"implementing")+SUMIFS(secondary_acts!$S$2:$S$771,secondary_acts!$A$2:$A$771,$A87,secondary_acts!$E$2:$E$771,"delegated")</f>
        <v>0</v>
      </c>
      <c r="AT87" s="3" t="n">
        <v>80</v>
      </c>
      <c r="AU87" s="2" t="n">
        <v>2</v>
      </c>
      <c r="AV87" s="2" t="n">
        <v>0</v>
      </c>
      <c r="AW87" s="2"/>
      <c r="AX87" s="2"/>
      <c r="AY87" s="2" t="n">
        <v>2</v>
      </c>
      <c r="AZ87" s="2" t="s">
        <v>1078</v>
      </c>
      <c r="BA87" s="2" t="s">
        <v>157</v>
      </c>
      <c r="BB87" s="2" t="n">
        <v>8628</v>
      </c>
      <c r="BC87" s="2" t="n">
        <v>32</v>
      </c>
      <c r="BD87" s="2" t="n">
        <v>2</v>
      </c>
      <c r="BE87" s="2" t="n">
        <f aca="false">IF(ISNUMBER(BB87),Q87-BB87,"")</f>
        <v>4398</v>
      </c>
      <c r="BF87" s="4" t="n">
        <f aca="false">IF(AND(ISNUMBER(BB87),BB87&gt;0),(Q87-BB87)/BB87,"")</f>
        <v>0.509735744089013</v>
      </c>
      <c r="BG87" s="2" t="n">
        <f aca="false">IF(ISNUMBER(BC87),X87-BC87,"")</f>
        <v>14</v>
      </c>
      <c r="BH87" s="4" t="n">
        <f aca="false">IF(AND(ISNUMBER(BC87),BC87&gt;0),(X87-BC87)/BC87,"")</f>
        <v>0.4375</v>
      </c>
      <c r="BI87" s="2" t="n">
        <f aca="false">IF(ISNUMBER(BD87),AD87-BD87,"")</f>
        <v>3</v>
      </c>
      <c r="BJ87" s="2" t="s">
        <v>429</v>
      </c>
      <c r="BK87" s="2" t="s">
        <v>1079</v>
      </c>
      <c r="BL87" s="2" t="s">
        <v>1080</v>
      </c>
      <c r="BM87" s="2" t="n">
        <v>3</v>
      </c>
      <c r="BN87" s="2" t="n">
        <v>0</v>
      </c>
      <c r="BO87" s="2" t="n">
        <v>2</v>
      </c>
      <c r="BP87" s="2" t="n">
        <v>0</v>
      </c>
      <c r="BQ87" s="2"/>
    </row>
    <row r="88" customFormat="false" ht="15" hidden="false" customHeight="false" outlineLevel="0" collapsed="false">
      <c r="A88" s="2" t="n">
        <v>87</v>
      </c>
      <c r="B88" s="2" t="s">
        <v>1081</v>
      </c>
      <c r="C88" s="2" t="s">
        <v>1082</v>
      </c>
      <c r="D88" s="2" t="s">
        <v>215</v>
      </c>
      <c r="E88" s="2" t="s">
        <v>72</v>
      </c>
      <c r="F88" s="2" t="s">
        <v>1083</v>
      </c>
      <c r="G88" s="2" t="s">
        <v>74</v>
      </c>
      <c r="H88" s="2" t="s">
        <v>1084</v>
      </c>
      <c r="I88" s="2" t="s">
        <v>1085</v>
      </c>
      <c r="J88" s="2" t="s">
        <v>1086</v>
      </c>
      <c r="K88" s="2" t="s">
        <v>77</v>
      </c>
      <c r="L88" s="2" t="s">
        <v>77</v>
      </c>
      <c r="M88" s="2" t="s">
        <v>1087</v>
      </c>
      <c r="N88" s="2" t="s">
        <v>79</v>
      </c>
      <c r="O88" s="2" t="s">
        <v>1088</v>
      </c>
      <c r="P88" s="3" t="n">
        <v>18</v>
      </c>
      <c r="Q88" s="3" t="n">
        <v>8700</v>
      </c>
      <c r="R88" s="3" t="n">
        <v>3248</v>
      </c>
      <c r="S88" s="3" t="n">
        <v>2996</v>
      </c>
      <c r="T88" s="3" t="n">
        <v>5452</v>
      </c>
      <c r="U88" s="3" t="n">
        <v>0</v>
      </c>
      <c r="V88" s="3" t="n">
        <v>0</v>
      </c>
      <c r="W88" s="3" t="n">
        <v>0</v>
      </c>
      <c r="X88" s="3" t="n">
        <v>12</v>
      </c>
      <c r="Y88" s="3" t="n">
        <v>5</v>
      </c>
      <c r="Z88" s="3" t="n">
        <v>2</v>
      </c>
      <c r="AA88" s="3" t="n">
        <v>0</v>
      </c>
      <c r="AB88" s="3" t="n">
        <v>5</v>
      </c>
      <c r="AC88" s="3" t="n">
        <v>0</v>
      </c>
      <c r="AD88" s="3" t="n">
        <v>2</v>
      </c>
      <c r="AE88" s="3" t="n">
        <v>0</v>
      </c>
      <c r="AF88" s="3" t="n">
        <v>0</v>
      </c>
      <c r="AG88" s="3" t="n">
        <v>10</v>
      </c>
      <c r="AH88" s="2" t="s">
        <v>1089</v>
      </c>
      <c r="AI88" s="3" t="n">
        <v>12</v>
      </c>
      <c r="AJ88" s="2" t="n">
        <v>2</v>
      </c>
      <c r="AK88" s="2" t="n">
        <f aca="false">COUNTIFS(secondary_acts!$A$2:$A$771,$A88,secondary_acts!$E$2:$E$771,"implementing")</f>
        <v>0</v>
      </c>
      <c r="AL88" s="2" t="n">
        <f aca="false">COUNTIFS(secondary_acts!$A$2:$A$771,$A88,secondary_acts!$E$2:$E$771,"delegated")</f>
        <v>0</v>
      </c>
      <c r="AM88" s="2" t="n">
        <f aca="false">COUNTIFS(secondary_acts!$A$2:$A$771,$A88,secondary_acts!$E$2:$E$771,"other Commission/Council act")</f>
        <v>0</v>
      </c>
      <c r="AN88" s="2" t="n">
        <f aca="false">COUNTIFS(secondary_acts!$A$2:$A$771,$A88,secondary_acts!$E$2:$E$771,"guidance")</f>
        <v>0</v>
      </c>
      <c r="AO88" s="2" t="n">
        <f aca="false">COUNTIF(guidance_web!$A$2:$A$7,$A88)</f>
        <v>0</v>
      </c>
      <c r="AP88" s="2" t="n">
        <f aca="false">COUNTIFS(guidance_agencies!$A$2:$A$81,$A88,guidance_agencies!$D$2:$D$81,"EDPB")</f>
        <v>0</v>
      </c>
      <c r="AQ88" s="2" t="n">
        <f aca="false">COUNTIFS(guidance_agencies!$A$2:$A$81,$A88,guidance_agencies!$D$2:$D$81,"EBA")</f>
        <v>0</v>
      </c>
      <c r="AR88" s="2" t="n">
        <f aca="false">COUNTIFS(guidance_agencies!$A$2:$A$81,$A88,guidance_agencies!$D$2:$D$81,"ESMA")</f>
        <v>0</v>
      </c>
      <c r="AS88" s="3" t="n">
        <f aca="false">SUMIFS(secondary_acts!$S$2:$S$771,secondary_acts!$A$2:$A$771,$A88,secondary_acts!$E$2:$E$771,"implementing")+SUMIFS(secondary_acts!$S$2:$S$771,secondary_acts!$A$2:$A$771,$A88,secondary_acts!$E$2:$E$771,"delegated")</f>
        <v>0</v>
      </c>
      <c r="AT88" s="3"/>
      <c r="AU88" s="2"/>
      <c r="AV88" s="2" t="n">
        <v>0</v>
      </c>
      <c r="AW88" s="2"/>
      <c r="AX88" s="2"/>
      <c r="AY88" s="2" t="n">
        <v>2</v>
      </c>
      <c r="AZ88" s="2"/>
      <c r="BA88" s="2" t="s">
        <v>403</v>
      </c>
      <c r="BB88" s="2"/>
      <c r="BC88" s="2"/>
      <c r="BD88" s="2"/>
      <c r="BE88" s="2" t="str">
        <f aca="false">IF(ISNUMBER(BB88),Q88-BB88,"")</f>
        <v/>
      </c>
      <c r="BF88" s="4" t="str">
        <f aca="false">IF(AND(ISNUMBER(BB88),BB88&gt;0),(Q88-BB88)/BB88,"")</f>
        <v/>
      </c>
      <c r="BG88" s="2" t="str">
        <f aca="false">IF(ISNUMBER(BC88),X88-BC88,"")</f>
        <v/>
      </c>
      <c r="BH88" s="4" t="str">
        <f aca="false">IF(AND(ISNUMBER(BC88),BC88&gt;0),(X88-BC88)/BC88,"")</f>
        <v/>
      </c>
      <c r="BI88" s="2" t="str">
        <f aca="false">IF(ISNUMBER(BD88),AD88-BD88,"")</f>
        <v/>
      </c>
      <c r="BJ88" s="2" t="s">
        <v>85</v>
      </c>
      <c r="BK88" s="2" t="s">
        <v>1090</v>
      </c>
      <c r="BL88" s="2" t="s">
        <v>1091</v>
      </c>
      <c r="BM88" s="2" t="n">
        <v>3</v>
      </c>
      <c r="BN88" s="2" t="n">
        <v>1</v>
      </c>
      <c r="BO88" s="2" t="n">
        <v>2</v>
      </c>
      <c r="BP88" s="2" t="n">
        <v>0</v>
      </c>
      <c r="BQ88" s="2" t="s">
        <v>406</v>
      </c>
    </row>
    <row r="89" customFormat="false" ht="15" hidden="false" customHeight="false" outlineLevel="0" collapsed="false">
      <c r="A89" s="2" t="n">
        <v>88</v>
      </c>
      <c r="B89" s="2" t="s">
        <v>1092</v>
      </c>
      <c r="C89" s="2" t="s">
        <v>1093</v>
      </c>
      <c r="D89" s="2" t="s">
        <v>188</v>
      </c>
      <c r="E89" s="2" t="s">
        <v>72</v>
      </c>
      <c r="F89" s="2" t="s">
        <v>1094</v>
      </c>
      <c r="G89" s="2" t="s">
        <v>163</v>
      </c>
      <c r="H89" s="2" t="s">
        <v>377</v>
      </c>
      <c r="I89" s="2" t="s">
        <v>1095</v>
      </c>
      <c r="J89" s="2" t="s">
        <v>276</v>
      </c>
      <c r="K89" s="2" t="s">
        <v>77</v>
      </c>
      <c r="L89" s="2" t="s">
        <v>77</v>
      </c>
      <c r="M89" s="2" t="s">
        <v>1096</v>
      </c>
      <c r="N89" s="2" t="s">
        <v>79</v>
      </c>
      <c r="O89" s="2" t="s">
        <v>1097</v>
      </c>
      <c r="P89" s="3" t="n">
        <v>26</v>
      </c>
      <c r="Q89" s="3" t="n">
        <v>13633</v>
      </c>
      <c r="R89" s="3" t="n">
        <v>6335</v>
      </c>
      <c r="S89" s="3" t="n">
        <v>6206</v>
      </c>
      <c r="T89" s="3" t="n">
        <v>7199</v>
      </c>
      <c r="U89" s="3" t="n">
        <v>99</v>
      </c>
      <c r="V89" s="3" t="n">
        <v>0</v>
      </c>
      <c r="W89" s="3" t="n">
        <v>0</v>
      </c>
      <c r="X89" s="3" t="n">
        <v>129</v>
      </c>
      <c r="Y89" s="3" t="n">
        <v>116</v>
      </c>
      <c r="Z89" s="3" t="n">
        <v>8</v>
      </c>
      <c r="AA89" s="3" t="n">
        <v>0</v>
      </c>
      <c r="AB89" s="3" t="n">
        <v>1</v>
      </c>
      <c r="AC89" s="3" t="n">
        <v>4</v>
      </c>
      <c r="AD89" s="3" t="n">
        <v>6</v>
      </c>
      <c r="AE89" s="3" t="n">
        <v>14</v>
      </c>
      <c r="AF89" s="3" t="n">
        <v>66</v>
      </c>
      <c r="AG89" s="3" t="n">
        <v>43</v>
      </c>
      <c r="AH89" s="2"/>
      <c r="AI89" s="3"/>
      <c r="AJ89" s="2"/>
      <c r="AK89" s="2" t="n">
        <f aca="false">COUNTIFS(secondary_acts!$A$2:$A$771,$A89,secondary_acts!$E$2:$E$771,"implementing")</f>
        <v>1</v>
      </c>
      <c r="AL89" s="2" t="n">
        <f aca="false">COUNTIFS(secondary_acts!$A$2:$A$771,$A89,secondary_acts!$E$2:$E$771,"delegated")</f>
        <v>0</v>
      </c>
      <c r="AM89" s="2" t="n">
        <f aca="false">COUNTIFS(secondary_acts!$A$2:$A$771,$A89,secondary_acts!$E$2:$E$771,"other Commission/Council act")</f>
        <v>0</v>
      </c>
      <c r="AN89" s="2" t="n">
        <f aca="false">COUNTIFS(secondary_acts!$A$2:$A$771,$A89,secondary_acts!$E$2:$E$771,"guidance")</f>
        <v>0</v>
      </c>
      <c r="AO89" s="2" t="n">
        <f aca="false">COUNTIF(guidance_web!$A$2:$A$7,$A89)</f>
        <v>0</v>
      </c>
      <c r="AP89" s="2" t="n">
        <f aca="false">COUNTIFS(guidance_agencies!$A$2:$A$81,$A89,guidance_agencies!$D$2:$D$81,"EDPB")</f>
        <v>0</v>
      </c>
      <c r="AQ89" s="2" t="n">
        <f aca="false">COUNTIFS(guidance_agencies!$A$2:$A$81,$A89,guidance_agencies!$D$2:$D$81,"EBA")</f>
        <v>0</v>
      </c>
      <c r="AR89" s="2" t="n">
        <f aca="false">COUNTIFS(guidance_agencies!$A$2:$A$81,$A89,guidance_agencies!$D$2:$D$81,"ESMA")</f>
        <v>0</v>
      </c>
      <c r="AS89" s="3" t="n">
        <f aca="false">SUMIFS(secondary_acts!$S$2:$S$771,secondary_acts!$A$2:$A$771,$A89,secondary_acts!$E$2:$E$771,"implementing")+SUMIFS(secondary_acts!$S$2:$S$771,secondary_acts!$A$2:$A$771,$A89,secondary_acts!$E$2:$E$771,"delegated")</f>
        <v>55</v>
      </c>
      <c r="AT89" s="3"/>
      <c r="AU89" s="2"/>
      <c r="AV89" s="2" t="n">
        <v>0</v>
      </c>
      <c r="AW89" s="2"/>
      <c r="AX89" s="2"/>
      <c r="AY89" s="2" t="n">
        <v>0</v>
      </c>
      <c r="AZ89" s="2" t="s">
        <v>1098</v>
      </c>
      <c r="BA89" s="2" t="s">
        <v>157</v>
      </c>
      <c r="BB89" s="2" t="n">
        <v>9785</v>
      </c>
      <c r="BC89" s="2" t="n">
        <v>99</v>
      </c>
      <c r="BD89" s="2" t="n">
        <v>4</v>
      </c>
      <c r="BE89" s="2" t="n">
        <f aca="false">IF(ISNUMBER(BB89),Q89-BB89,"")</f>
        <v>3848</v>
      </c>
      <c r="BF89" s="4" t="n">
        <f aca="false">IF(AND(ISNUMBER(BB89),BB89&gt;0),(Q89-BB89)/BB89,"")</f>
        <v>0.393254982115483</v>
      </c>
      <c r="BG89" s="2" t="n">
        <f aca="false">IF(ISNUMBER(BC89),X89-BC89,"")</f>
        <v>30</v>
      </c>
      <c r="BH89" s="4" t="n">
        <f aca="false">IF(AND(ISNUMBER(BC89),BC89&gt;0),(X89-BC89)/BC89,"")</f>
        <v>0.303030303030303</v>
      </c>
      <c r="BI89" s="2" t="n">
        <f aca="false">IF(ISNUMBER(BD89),AD89-BD89,"")</f>
        <v>2</v>
      </c>
      <c r="BJ89" s="2" t="s">
        <v>429</v>
      </c>
      <c r="BK89" s="2" t="s">
        <v>1099</v>
      </c>
      <c r="BL89" s="2" t="s">
        <v>1100</v>
      </c>
      <c r="BM89" s="2" t="n">
        <v>2</v>
      </c>
      <c r="BN89" s="2" t="n">
        <v>1</v>
      </c>
      <c r="BO89" s="2" t="n">
        <v>2</v>
      </c>
      <c r="BP89" s="2" t="n">
        <v>0</v>
      </c>
      <c r="BQ89" s="2"/>
    </row>
    <row r="90" customFormat="false" ht="15" hidden="false" customHeight="false" outlineLevel="0" collapsed="false">
      <c r="A90" s="2" t="n">
        <v>89</v>
      </c>
      <c r="B90" s="2" t="s">
        <v>1101</v>
      </c>
      <c r="C90" s="2" t="s">
        <v>1102</v>
      </c>
      <c r="D90" s="2" t="s">
        <v>121</v>
      </c>
      <c r="E90" s="2" t="s">
        <v>72</v>
      </c>
      <c r="F90" s="2" t="s">
        <v>1103</v>
      </c>
      <c r="G90" s="2" t="s">
        <v>163</v>
      </c>
      <c r="H90" s="2" t="s">
        <v>142</v>
      </c>
      <c r="I90" s="2" t="s">
        <v>1073</v>
      </c>
      <c r="J90" s="2" t="s">
        <v>1074</v>
      </c>
      <c r="K90" s="2" t="s">
        <v>77</v>
      </c>
      <c r="L90" s="2" t="s">
        <v>77</v>
      </c>
      <c r="M90" s="2" t="s">
        <v>1104</v>
      </c>
      <c r="N90" s="2" t="s">
        <v>79</v>
      </c>
      <c r="O90" s="2" t="s">
        <v>1105</v>
      </c>
      <c r="P90" s="3" t="n">
        <v>18</v>
      </c>
      <c r="Q90" s="3" t="n">
        <v>9716</v>
      </c>
      <c r="R90" s="3" t="n">
        <v>4254</v>
      </c>
      <c r="S90" s="3" t="n">
        <v>4142</v>
      </c>
      <c r="T90" s="3" t="n">
        <v>5241</v>
      </c>
      <c r="U90" s="3" t="n">
        <v>221</v>
      </c>
      <c r="V90" s="3" t="n">
        <v>0</v>
      </c>
      <c r="W90" s="3" t="n">
        <v>0</v>
      </c>
      <c r="X90" s="3" t="n">
        <v>69</v>
      </c>
      <c r="Y90" s="3" t="n">
        <v>55</v>
      </c>
      <c r="Z90" s="3" t="n">
        <v>14</v>
      </c>
      <c r="AA90" s="3" t="n">
        <v>0</v>
      </c>
      <c r="AB90" s="3" t="n">
        <v>0</v>
      </c>
      <c r="AC90" s="3" t="n">
        <v>0</v>
      </c>
      <c r="AD90" s="3" t="n">
        <v>4</v>
      </c>
      <c r="AE90" s="3" t="n">
        <v>12</v>
      </c>
      <c r="AF90" s="3" t="n">
        <v>4</v>
      </c>
      <c r="AG90" s="3" t="n">
        <v>49</v>
      </c>
      <c r="AH90" s="2" t="s">
        <v>1106</v>
      </c>
      <c r="AI90" s="3" t="n">
        <v>69</v>
      </c>
      <c r="AJ90" s="2" t="n">
        <v>4</v>
      </c>
      <c r="AK90" s="2" t="n">
        <f aca="false">COUNTIFS(secondary_acts!$A$2:$A$771,$A90,secondary_acts!$E$2:$E$771,"implementing")</f>
        <v>0</v>
      </c>
      <c r="AL90" s="2" t="n">
        <f aca="false">COUNTIFS(secondary_acts!$A$2:$A$771,$A90,secondary_acts!$E$2:$E$771,"delegated")</f>
        <v>0</v>
      </c>
      <c r="AM90" s="2" t="n">
        <f aca="false">COUNTIFS(secondary_acts!$A$2:$A$771,$A90,secondary_acts!$E$2:$E$771,"other Commission/Council act")</f>
        <v>0</v>
      </c>
      <c r="AN90" s="2" t="n">
        <f aca="false">COUNTIFS(secondary_acts!$A$2:$A$771,$A90,secondary_acts!$E$2:$E$771,"guidance")</f>
        <v>0</v>
      </c>
      <c r="AO90" s="2" t="n">
        <f aca="false">COUNTIF(guidance_web!$A$2:$A$7,$A90)</f>
        <v>0</v>
      </c>
      <c r="AP90" s="2" t="n">
        <f aca="false">COUNTIFS(guidance_agencies!$A$2:$A$81,$A90,guidance_agencies!$D$2:$D$81,"EDPB")</f>
        <v>0</v>
      </c>
      <c r="AQ90" s="2" t="n">
        <f aca="false">COUNTIFS(guidance_agencies!$A$2:$A$81,$A90,guidance_agencies!$D$2:$D$81,"EBA")</f>
        <v>0</v>
      </c>
      <c r="AR90" s="2" t="n">
        <f aca="false">COUNTIFS(guidance_agencies!$A$2:$A$81,$A90,guidance_agencies!$D$2:$D$81,"ESMA")</f>
        <v>0</v>
      </c>
      <c r="AS90" s="3" t="n">
        <f aca="false">SUMIFS(secondary_acts!$S$2:$S$771,secondary_acts!$A$2:$A$771,$A90,secondary_acts!$E$2:$E$771,"implementing")+SUMIFS(secondary_acts!$S$2:$S$771,secondary_acts!$A$2:$A$771,$A90,secondary_acts!$E$2:$E$771,"delegated")</f>
        <v>0</v>
      </c>
      <c r="AT90" s="3" t="n">
        <v>0</v>
      </c>
      <c r="AU90" s="2" t="n">
        <v>0</v>
      </c>
      <c r="AV90" s="2" t="n">
        <v>0</v>
      </c>
      <c r="AW90" s="2"/>
      <c r="AX90" s="2"/>
      <c r="AY90" s="2" t="n">
        <v>2</v>
      </c>
      <c r="AZ90" s="2" t="s">
        <v>1107</v>
      </c>
      <c r="BA90" s="2" t="s">
        <v>157</v>
      </c>
      <c r="BB90" s="2" t="n">
        <v>10541</v>
      </c>
      <c r="BC90" s="2" t="n">
        <v>81</v>
      </c>
      <c r="BD90" s="2" t="n">
        <v>3</v>
      </c>
      <c r="BE90" s="2" t="n">
        <f aca="false">IF(ISNUMBER(BB90),Q90-BB90,"")</f>
        <v>-825</v>
      </c>
      <c r="BF90" s="4" t="n">
        <f aca="false">IF(AND(ISNUMBER(BB90),BB90&gt;0),(Q90-BB90)/BB90,"")</f>
        <v>-0.0782658191822408</v>
      </c>
      <c r="BG90" s="2" t="n">
        <f aca="false">IF(ISNUMBER(BC90),X90-BC90,"")</f>
        <v>-12</v>
      </c>
      <c r="BH90" s="4" t="n">
        <f aca="false">IF(AND(ISNUMBER(BC90),BC90&gt;0),(X90-BC90)/BC90,"")</f>
        <v>-0.148148148148148</v>
      </c>
      <c r="BI90" s="2" t="n">
        <f aca="false">IF(ISNUMBER(BD90),AD90-BD90,"")</f>
        <v>1</v>
      </c>
      <c r="BJ90" s="2" t="s">
        <v>429</v>
      </c>
      <c r="BK90" s="2" t="s">
        <v>1108</v>
      </c>
      <c r="BL90" s="2" t="s">
        <v>1109</v>
      </c>
      <c r="BM90" s="2" t="n">
        <v>3</v>
      </c>
      <c r="BN90" s="2" t="n">
        <v>0</v>
      </c>
      <c r="BO90" s="2" t="n">
        <v>2</v>
      </c>
      <c r="BP90" s="2" t="n">
        <v>1</v>
      </c>
      <c r="BQ90" s="2" t="s">
        <v>118</v>
      </c>
    </row>
    <row r="91" customFormat="false" ht="15" hidden="false" customHeight="false" outlineLevel="0" collapsed="false">
      <c r="A91" s="2" t="n">
        <v>90</v>
      </c>
      <c r="B91" s="2" t="s">
        <v>1110</v>
      </c>
      <c r="C91" s="2" t="s">
        <v>1111</v>
      </c>
      <c r="D91" s="2" t="s">
        <v>253</v>
      </c>
      <c r="E91" s="2" t="s">
        <v>1032</v>
      </c>
      <c r="F91" s="2" t="s">
        <v>1112</v>
      </c>
      <c r="G91" s="2" t="s">
        <v>163</v>
      </c>
      <c r="H91" s="2" t="s">
        <v>1113</v>
      </c>
      <c r="I91" s="2" t="s">
        <v>1023</v>
      </c>
      <c r="J91" s="2" t="s">
        <v>329</v>
      </c>
      <c r="K91" s="2" t="s">
        <v>1000</v>
      </c>
      <c r="L91" s="2" t="s">
        <v>77</v>
      </c>
      <c r="M91" s="2" t="s">
        <v>1114</v>
      </c>
      <c r="N91" s="2" t="s">
        <v>79</v>
      </c>
      <c r="O91" s="2" t="s">
        <v>1115</v>
      </c>
      <c r="P91" s="3" t="n">
        <v>28</v>
      </c>
      <c r="Q91" s="3" t="n">
        <v>16279</v>
      </c>
      <c r="R91" s="3" t="n">
        <v>4856</v>
      </c>
      <c r="S91" s="3" t="n">
        <v>4745</v>
      </c>
      <c r="T91" s="3" t="n">
        <v>11423</v>
      </c>
      <c r="U91" s="3" t="n">
        <v>0</v>
      </c>
      <c r="V91" s="3" t="n">
        <v>0</v>
      </c>
      <c r="W91" s="3" t="n">
        <v>0</v>
      </c>
      <c r="X91" s="3" t="n">
        <v>86</v>
      </c>
      <c r="Y91" s="3" t="n">
        <v>76</v>
      </c>
      <c r="Z91" s="3" t="n">
        <v>7</v>
      </c>
      <c r="AA91" s="3" t="n">
        <v>0</v>
      </c>
      <c r="AB91" s="3" t="n">
        <v>3</v>
      </c>
      <c r="AC91" s="3" t="n">
        <v>0</v>
      </c>
      <c r="AD91" s="3" t="n">
        <v>19</v>
      </c>
      <c r="AE91" s="3" t="n">
        <v>31</v>
      </c>
      <c r="AF91" s="3" t="n">
        <v>4</v>
      </c>
      <c r="AG91" s="3" t="n">
        <v>32</v>
      </c>
      <c r="AH91" s="2" t="s">
        <v>1116</v>
      </c>
      <c r="AI91" s="3" t="n">
        <v>86</v>
      </c>
      <c r="AJ91" s="2" t="n">
        <v>19</v>
      </c>
      <c r="AK91" s="2" t="n">
        <f aca="false">COUNTIFS(secondary_acts!$A$2:$A$771,$A91,secondary_acts!$E$2:$E$771,"implementing")</f>
        <v>0</v>
      </c>
      <c r="AL91" s="2" t="n">
        <f aca="false">COUNTIFS(secondary_acts!$A$2:$A$771,$A91,secondary_acts!$E$2:$E$771,"delegated")</f>
        <v>0</v>
      </c>
      <c r="AM91" s="2" t="n">
        <f aca="false">COUNTIFS(secondary_acts!$A$2:$A$771,$A91,secondary_acts!$E$2:$E$771,"other Commission/Council act")</f>
        <v>0</v>
      </c>
      <c r="AN91" s="2" t="n">
        <f aca="false">COUNTIFS(secondary_acts!$A$2:$A$771,$A91,secondary_acts!$E$2:$E$771,"guidance")</f>
        <v>0</v>
      </c>
      <c r="AO91" s="2" t="n">
        <f aca="false">COUNTIF(guidance_web!$A$2:$A$7,$A91)</f>
        <v>0</v>
      </c>
      <c r="AP91" s="2" t="n">
        <f aca="false">COUNTIFS(guidance_agencies!$A$2:$A$81,$A91,guidance_agencies!$D$2:$D$81,"EDPB")</f>
        <v>0</v>
      </c>
      <c r="AQ91" s="2" t="n">
        <f aca="false">COUNTIFS(guidance_agencies!$A$2:$A$81,$A91,guidance_agencies!$D$2:$D$81,"EBA")</f>
        <v>0</v>
      </c>
      <c r="AR91" s="2" t="n">
        <f aca="false">COUNTIFS(guidance_agencies!$A$2:$A$81,$A91,guidance_agencies!$D$2:$D$81,"ESMA")</f>
        <v>0</v>
      </c>
      <c r="AS91" s="3" t="n">
        <f aca="false">SUMIFS(secondary_acts!$S$2:$S$771,secondary_acts!$A$2:$A$771,$A91,secondary_acts!$E$2:$E$771,"implementing")+SUMIFS(secondary_acts!$S$2:$S$771,secondary_acts!$A$2:$A$771,$A91,secondary_acts!$E$2:$E$771,"delegated")</f>
        <v>0</v>
      </c>
      <c r="AT91" s="3" t="n">
        <v>87</v>
      </c>
      <c r="AU91" s="2" t="n">
        <v>5</v>
      </c>
      <c r="AV91" s="2" t="n">
        <v>0</v>
      </c>
      <c r="AW91" s="2"/>
      <c r="AX91" s="2"/>
      <c r="AY91" s="2" t="n">
        <v>1</v>
      </c>
      <c r="AZ91" s="2" t="s">
        <v>1117</v>
      </c>
      <c r="BA91" s="2" t="s">
        <v>157</v>
      </c>
      <c r="BB91" s="2" t="n">
        <v>12271</v>
      </c>
      <c r="BC91" s="2" t="n">
        <v>59</v>
      </c>
      <c r="BD91" s="2" t="n">
        <v>8</v>
      </c>
      <c r="BE91" s="2" t="n">
        <f aca="false">IF(ISNUMBER(BB91),Q91-BB91,"")</f>
        <v>4008</v>
      </c>
      <c r="BF91" s="4" t="n">
        <f aca="false">IF(AND(ISNUMBER(BB91),BB91&gt;0),(Q91-BB91)/BB91,"")</f>
        <v>0.326623747045881</v>
      </c>
      <c r="BG91" s="2" t="n">
        <f aca="false">IF(ISNUMBER(BC91),X91-BC91,"")</f>
        <v>27</v>
      </c>
      <c r="BH91" s="4" t="n">
        <f aca="false">IF(AND(ISNUMBER(BC91),BC91&gt;0),(X91-BC91)/BC91,"")</f>
        <v>0.457627118644068</v>
      </c>
      <c r="BI91" s="2" t="n">
        <f aca="false">IF(ISNUMBER(BD91),AD91-BD91,"")</f>
        <v>11</v>
      </c>
      <c r="BJ91" s="2" t="s">
        <v>429</v>
      </c>
      <c r="BK91" s="2" t="s">
        <v>1118</v>
      </c>
      <c r="BL91" s="2" t="s">
        <v>1119</v>
      </c>
      <c r="BM91" s="2" t="n">
        <v>4</v>
      </c>
      <c r="BN91" s="2" t="n">
        <v>0</v>
      </c>
      <c r="BO91" s="2" t="n">
        <v>3</v>
      </c>
      <c r="BP91" s="2" t="n">
        <v>0</v>
      </c>
      <c r="BQ91" s="2" t="s">
        <v>1120</v>
      </c>
    </row>
    <row r="92" customFormat="false" ht="15" hidden="false" customHeight="false" outlineLevel="0" collapsed="false">
      <c r="A92" s="2" t="n">
        <v>91</v>
      </c>
      <c r="B92" s="2" t="s">
        <v>1121</v>
      </c>
      <c r="C92" s="2" t="s">
        <v>1122</v>
      </c>
      <c r="D92" s="2" t="s">
        <v>71</v>
      </c>
      <c r="E92" s="2" t="s">
        <v>72</v>
      </c>
      <c r="F92" s="2" t="s">
        <v>1123</v>
      </c>
      <c r="G92" s="2" t="s">
        <v>163</v>
      </c>
      <c r="H92" s="2" t="s">
        <v>390</v>
      </c>
      <c r="I92" s="2" t="s">
        <v>1124</v>
      </c>
      <c r="J92" s="2" t="s">
        <v>1125</v>
      </c>
      <c r="K92" s="2" t="s">
        <v>77</v>
      </c>
      <c r="L92" s="2" t="s">
        <v>77</v>
      </c>
      <c r="M92" s="2" t="s">
        <v>1126</v>
      </c>
      <c r="N92" s="2" t="s">
        <v>79</v>
      </c>
      <c r="O92" s="2" t="s">
        <v>1127</v>
      </c>
      <c r="P92" s="3" t="n">
        <v>40</v>
      </c>
      <c r="Q92" s="3" t="n">
        <v>23456</v>
      </c>
      <c r="R92" s="3" t="n">
        <v>13087</v>
      </c>
      <c r="S92" s="3" t="n">
        <v>12957</v>
      </c>
      <c r="T92" s="3" t="n">
        <v>9868</v>
      </c>
      <c r="U92" s="3" t="n">
        <v>501</v>
      </c>
      <c r="V92" s="3" t="n">
        <v>0</v>
      </c>
      <c r="W92" s="3" t="n">
        <v>0</v>
      </c>
      <c r="X92" s="3" t="n">
        <v>114</v>
      </c>
      <c r="Y92" s="3" t="n">
        <v>89</v>
      </c>
      <c r="Z92" s="3" t="n">
        <v>12</v>
      </c>
      <c r="AA92" s="3" t="n">
        <v>2</v>
      </c>
      <c r="AB92" s="3" t="n">
        <v>2</v>
      </c>
      <c r="AC92" s="3" t="n">
        <v>9</v>
      </c>
      <c r="AD92" s="3" t="n">
        <v>13</v>
      </c>
      <c r="AE92" s="3" t="n">
        <v>57</v>
      </c>
      <c r="AF92" s="3" t="n">
        <v>5</v>
      </c>
      <c r="AG92" s="3" t="n">
        <v>39</v>
      </c>
      <c r="AH92" s="2" t="s">
        <v>1128</v>
      </c>
      <c r="AI92" s="3" t="n">
        <v>114</v>
      </c>
      <c r="AJ92" s="2" t="n">
        <v>13</v>
      </c>
      <c r="AK92" s="2" t="n">
        <f aca="false">COUNTIFS(secondary_acts!$A$2:$A$771,$A92,secondary_acts!$E$2:$E$771,"implementing")</f>
        <v>0</v>
      </c>
      <c r="AL92" s="2" t="n">
        <f aca="false">COUNTIFS(secondary_acts!$A$2:$A$771,$A92,secondary_acts!$E$2:$E$771,"delegated")</f>
        <v>0</v>
      </c>
      <c r="AM92" s="2" t="n">
        <f aca="false">COUNTIFS(secondary_acts!$A$2:$A$771,$A92,secondary_acts!$E$2:$E$771,"other Commission/Council act")</f>
        <v>0</v>
      </c>
      <c r="AN92" s="2" t="n">
        <f aca="false">COUNTIFS(secondary_acts!$A$2:$A$771,$A92,secondary_acts!$E$2:$E$771,"guidance")</f>
        <v>0</v>
      </c>
      <c r="AO92" s="2" t="n">
        <f aca="false">COUNTIF(guidance_web!$A$2:$A$7,$A92)</f>
        <v>0</v>
      </c>
      <c r="AP92" s="2" t="n">
        <f aca="false">COUNTIFS(guidance_agencies!$A$2:$A$81,$A92,guidance_agencies!$D$2:$D$81,"EDPB")</f>
        <v>0</v>
      </c>
      <c r="AQ92" s="2" t="n">
        <f aca="false">COUNTIFS(guidance_agencies!$A$2:$A$81,$A92,guidance_agencies!$D$2:$D$81,"EBA")</f>
        <v>0</v>
      </c>
      <c r="AR92" s="2" t="n">
        <f aca="false">COUNTIFS(guidance_agencies!$A$2:$A$81,$A92,guidance_agencies!$D$2:$D$81,"ESMA")</f>
        <v>0</v>
      </c>
      <c r="AS92" s="3" t="n">
        <f aca="false">SUMIFS(secondary_acts!$S$2:$S$771,secondary_acts!$A$2:$A$771,$A92,secondary_acts!$E$2:$E$771,"implementing")+SUMIFS(secondary_acts!$S$2:$S$771,secondary_acts!$A$2:$A$771,$A92,secondary_acts!$E$2:$E$771,"delegated")</f>
        <v>0</v>
      </c>
      <c r="AT92" s="3"/>
      <c r="AU92" s="2"/>
      <c r="AV92" s="2" t="n">
        <v>0</v>
      </c>
      <c r="AW92" s="2"/>
      <c r="AX92" s="2"/>
      <c r="AY92" s="2" t="n">
        <v>3</v>
      </c>
      <c r="AZ92" s="2" t="s">
        <v>1129</v>
      </c>
      <c r="BA92" s="2" t="s">
        <v>157</v>
      </c>
      <c r="BB92" s="2" t="n">
        <v>15565</v>
      </c>
      <c r="BC92" s="2" t="n">
        <v>89</v>
      </c>
      <c r="BD92" s="2" t="n">
        <v>12</v>
      </c>
      <c r="BE92" s="2" t="n">
        <f aca="false">IF(ISNUMBER(BB92),Q92-BB92,"")</f>
        <v>7891</v>
      </c>
      <c r="BF92" s="4" t="n">
        <f aca="false">IF(AND(ISNUMBER(BB92),BB92&gt;0),(Q92-BB92)/BB92,"")</f>
        <v>0.506970767748153</v>
      </c>
      <c r="BG92" s="2" t="n">
        <f aca="false">IF(ISNUMBER(BC92),X92-BC92,"")</f>
        <v>25</v>
      </c>
      <c r="BH92" s="4" t="n">
        <f aca="false">IF(AND(ISNUMBER(BC92),BC92&gt;0),(X92-BC92)/BC92,"")</f>
        <v>0.280898876404494</v>
      </c>
      <c r="BI92" s="2" t="n">
        <f aca="false">IF(ISNUMBER(BD92),AD92-BD92,"")</f>
        <v>1</v>
      </c>
      <c r="BJ92" s="2" t="s">
        <v>429</v>
      </c>
      <c r="BK92" s="2" t="s">
        <v>1130</v>
      </c>
      <c r="BL92" s="2" t="s">
        <v>1131</v>
      </c>
      <c r="BM92" s="2" t="n">
        <v>4</v>
      </c>
      <c r="BN92" s="2" t="n">
        <v>1</v>
      </c>
      <c r="BO92" s="2" t="n">
        <v>1</v>
      </c>
      <c r="BP92" s="2" t="n">
        <v>0</v>
      </c>
      <c r="BQ92" s="2"/>
    </row>
    <row r="93" customFormat="false" ht="15" hidden="false" customHeight="false" outlineLevel="0" collapsed="false">
      <c r="A93" s="2" t="n">
        <v>92</v>
      </c>
      <c r="B93" s="2" t="s">
        <v>1132</v>
      </c>
      <c r="C93" s="2" t="s">
        <v>1133</v>
      </c>
      <c r="D93" s="2" t="s">
        <v>634</v>
      </c>
      <c r="E93" s="2" t="s">
        <v>72</v>
      </c>
      <c r="F93" s="2" t="s">
        <v>1134</v>
      </c>
      <c r="G93" s="2" t="s">
        <v>163</v>
      </c>
      <c r="H93" s="2" t="s">
        <v>276</v>
      </c>
      <c r="I93" s="2" t="s">
        <v>1135</v>
      </c>
      <c r="J93" s="2" t="s">
        <v>1136</v>
      </c>
      <c r="K93" s="2" t="s">
        <v>77</v>
      </c>
      <c r="L93" s="2" t="s">
        <v>77</v>
      </c>
      <c r="M93" s="2" t="s">
        <v>1137</v>
      </c>
      <c r="N93" s="2" t="s">
        <v>79</v>
      </c>
      <c r="O93" s="2" t="s">
        <v>1138</v>
      </c>
      <c r="P93" s="3" t="n">
        <v>67</v>
      </c>
      <c r="Q93" s="3" t="n">
        <v>37779</v>
      </c>
      <c r="R93" s="3" t="n">
        <v>11892</v>
      </c>
      <c r="S93" s="3" t="n">
        <v>11757</v>
      </c>
      <c r="T93" s="3" t="n">
        <v>21960</v>
      </c>
      <c r="U93" s="3" t="n">
        <v>3927</v>
      </c>
      <c r="V93" s="3" t="n">
        <v>0</v>
      </c>
      <c r="W93" s="3" t="n">
        <v>0</v>
      </c>
      <c r="X93" s="3" t="n">
        <v>364</v>
      </c>
      <c r="Y93" s="3" t="n">
        <v>317</v>
      </c>
      <c r="Z93" s="3" t="n">
        <v>20</v>
      </c>
      <c r="AA93" s="3" t="n">
        <v>0</v>
      </c>
      <c r="AB93" s="3" t="n">
        <v>6</v>
      </c>
      <c r="AC93" s="3" t="n">
        <v>21</v>
      </c>
      <c r="AD93" s="3" t="n">
        <v>34</v>
      </c>
      <c r="AE93" s="3" t="n">
        <v>76</v>
      </c>
      <c r="AF93" s="3" t="n">
        <v>137</v>
      </c>
      <c r="AG93" s="3" t="n">
        <v>117</v>
      </c>
      <c r="AH93" s="2" t="s">
        <v>1139</v>
      </c>
      <c r="AI93" s="3" t="n">
        <v>365</v>
      </c>
      <c r="AJ93" s="2" t="n">
        <v>34</v>
      </c>
      <c r="AK93" s="2" t="n">
        <f aca="false">COUNTIFS(secondary_acts!$A$2:$A$771,$A93,secondary_acts!$E$2:$E$771,"implementing")</f>
        <v>2</v>
      </c>
      <c r="AL93" s="2" t="n">
        <f aca="false">COUNTIFS(secondary_acts!$A$2:$A$771,$A93,secondary_acts!$E$2:$E$771,"delegated")</f>
        <v>0</v>
      </c>
      <c r="AM93" s="2" t="n">
        <f aca="false">COUNTIFS(secondary_acts!$A$2:$A$771,$A93,secondary_acts!$E$2:$E$771,"other Commission/Council act")</f>
        <v>0</v>
      </c>
      <c r="AN93" s="2" t="n">
        <f aca="false">COUNTIFS(secondary_acts!$A$2:$A$771,$A93,secondary_acts!$E$2:$E$771,"guidance")</f>
        <v>0</v>
      </c>
      <c r="AO93" s="2" t="n">
        <f aca="false">COUNTIF(guidance_web!$A$2:$A$7,$A93)</f>
        <v>0</v>
      </c>
      <c r="AP93" s="2" t="n">
        <f aca="false">COUNTIFS(guidance_agencies!$A$2:$A$81,$A93,guidance_agencies!$D$2:$D$81,"EDPB")</f>
        <v>0</v>
      </c>
      <c r="AQ93" s="2" t="n">
        <f aca="false">COUNTIFS(guidance_agencies!$A$2:$A$81,$A93,guidance_agencies!$D$2:$D$81,"EBA")</f>
        <v>0</v>
      </c>
      <c r="AR93" s="2" t="n">
        <f aca="false">COUNTIFS(guidance_agencies!$A$2:$A$81,$A93,guidance_agencies!$D$2:$D$81,"ESMA")</f>
        <v>0</v>
      </c>
      <c r="AS93" s="3" t="n">
        <f aca="false">SUMIFS(secondary_acts!$S$2:$S$771,secondary_acts!$A$2:$A$771,$A93,secondary_acts!$E$2:$E$771,"implementing")+SUMIFS(secondary_acts!$S$2:$S$771,secondary_acts!$A$2:$A$771,$A93,secondary_acts!$E$2:$E$771,"delegated")</f>
        <v>1</v>
      </c>
      <c r="AT93" s="3"/>
      <c r="AU93" s="2"/>
      <c r="AV93" s="2" t="n">
        <v>0</v>
      </c>
      <c r="AW93" s="2"/>
      <c r="AX93" s="2"/>
      <c r="AY93" s="2" t="n">
        <v>5</v>
      </c>
      <c r="AZ93" s="2" t="s">
        <v>1140</v>
      </c>
      <c r="BA93" s="2" t="s">
        <v>157</v>
      </c>
      <c r="BB93" s="2" t="n">
        <v>29042</v>
      </c>
      <c r="BC93" s="2" t="n">
        <v>296</v>
      </c>
      <c r="BD93" s="2" t="n">
        <v>24</v>
      </c>
      <c r="BE93" s="2" t="n">
        <f aca="false">IF(ISNUMBER(BB93),Q93-BB93,"")</f>
        <v>8737</v>
      </c>
      <c r="BF93" s="4" t="n">
        <f aca="false">IF(AND(ISNUMBER(BB93),BB93&gt;0),(Q93-BB93)/BB93,"")</f>
        <v>0.300840162523242</v>
      </c>
      <c r="BG93" s="2" t="n">
        <f aca="false">IF(ISNUMBER(BC93),X93-BC93,"")</f>
        <v>68</v>
      </c>
      <c r="BH93" s="4" t="n">
        <f aca="false">IF(AND(ISNUMBER(BC93),BC93&gt;0),(X93-BC93)/BC93,"")</f>
        <v>0.22972972972973</v>
      </c>
      <c r="BI93" s="2" t="n">
        <f aca="false">IF(ISNUMBER(BD93),AD93-BD93,"")</f>
        <v>10</v>
      </c>
      <c r="BJ93" s="2" t="s">
        <v>429</v>
      </c>
      <c r="BK93" s="2" t="s">
        <v>1141</v>
      </c>
      <c r="BL93" s="2" t="s">
        <v>1142</v>
      </c>
      <c r="BM93" s="2" t="n">
        <v>5</v>
      </c>
      <c r="BN93" s="2" t="n">
        <v>4</v>
      </c>
      <c r="BO93" s="2" t="n">
        <v>2</v>
      </c>
      <c r="BP93" s="2" t="n">
        <v>0</v>
      </c>
      <c r="BQ93" s="2"/>
    </row>
    <row r="94" customFormat="false" ht="15" hidden="false" customHeight="false" outlineLevel="0" collapsed="false">
      <c r="A94" s="2" t="n">
        <v>93</v>
      </c>
      <c r="B94" s="2" t="s">
        <v>1143</v>
      </c>
      <c r="C94" s="2" t="s">
        <v>1144</v>
      </c>
      <c r="D94" s="2" t="s">
        <v>634</v>
      </c>
      <c r="E94" s="2" t="s">
        <v>72</v>
      </c>
      <c r="F94" s="2" t="s">
        <v>1134</v>
      </c>
      <c r="G94" s="2" t="s">
        <v>163</v>
      </c>
      <c r="H94" s="2" t="s">
        <v>437</v>
      </c>
      <c r="I94" s="2" t="s">
        <v>1010</v>
      </c>
      <c r="J94" s="2" t="s">
        <v>1145</v>
      </c>
      <c r="K94" s="2" t="s">
        <v>77</v>
      </c>
      <c r="L94" s="2" t="s">
        <v>77</v>
      </c>
      <c r="M94" s="2" t="s">
        <v>1146</v>
      </c>
      <c r="N94" s="2" t="s">
        <v>79</v>
      </c>
      <c r="O94" s="2" t="s">
        <v>1147</v>
      </c>
      <c r="P94" s="3" t="n">
        <v>63</v>
      </c>
      <c r="Q94" s="3" t="n">
        <v>37451</v>
      </c>
      <c r="R94" s="3" t="n">
        <v>17117</v>
      </c>
      <c r="S94" s="3" t="n">
        <v>16982</v>
      </c>
      <c r="T94" s="3" t="n">
        <v>20058</v>
      </c>
      <c r="U94" s="3" t="n">
        <v>276</v>
      </c>
      <c r="V94" s="3" t="n">
        <v>0</v>
      </c>
      <c r="W94" s="3" t="n">
        <v>0</v>
      </c>
      <c r="X94" s="3" t="n">
        <v>288</v>
      </c>
      <c r="Y94" s="3" t="n">
        <v>248</v>
      </c>
      <c r="Z94" s="3" t="n">
        <v>16</v>
      </c>
      <c r="AA94" s="3" t="n">
        <v>2</v>
      </c>
      <c r="AB94" s="3" t="n">
        <v>7</v>
      </c>
      <c r="AC94" s="3" t="n">
        <v>15</v>
      </c>
      <c r="AD94" s="3" t="n">
        <v>6</v>
      </c>
      <c r="AE94" s="3" t="n">
        <v>92</v>
      </c>
      <c r="AF94" s="3" t="n">
        <v>96</v>
      </c>
      <c r="AG94" s="3" t="n">
        <v>94</v>
      </c>
      <c r="AH94" s="2" t="s">
        <v>1148</v>
      </c>
      <c r="AI94" s="3" t="n">
        <v>289</v>
      </c>
      <c r="AJ94" s="2" t="n">
        <v>6</v>
      </c>
      <c r="AK94" s="2" t="n">
        <f aca="false">COUNTIFS(secondary_acts!$A$2:$A$771,$A94,secondary_acts!$E$2:$E$771,"implementing")</f>
        <v>4</v>
      </c>
      <c r="AL94" s="2" t="n">
        <f aca="false">COUNTIFS(secondary_acts!$A$2:$A$771,$A94,secondary_acts!$E$2:$E$771,"delegated")</f>
        <v>2</v>
      </c>
      <c r="AM94" s="2" t="n">
        <f aca="false">COUNTIFS(secondary_acts!$A$2:$A$771,$A94,secondary_acts!$E$2:$E$771,"other Commission/Council act")</f>
        <v>0</v>
      </c>
      <c r="AN94" s="2" t="n">
        <f aca="false">COUNTIFS(secondary_acts!$A$2:$A$771,$A94,secondary_acts!$E$2:$E$771,"guidance")</f>
        <v>3</v>
      </c>
      <c r="AO94" s="2" t="n">
        <f aca="false">COUNTIF(guidance_web!$A$2:$A$7,$A94)</f>
        <v>0</v>
      </c>
      <c r="AP94" s="2" t="n">
        <f aca="false">COUNTIFS(guidance_agencies!$A$2:$A$81,$A94,guidance_agencies!$D$2:$D$81,"EDPB")</f>
        <v>0</v>
      </c>
      <c r="AQ94" s="2" t="n">
        <f aca="false">COUNTIFS(guidance_agencies!$A$2:$A$81,$A94,guidance_agencies!$D$2:$D$81,"EBA")</f>
        <v>0</v>
      </c>
      <c r="AR94" s="2" t="n">
        <f aca="false">COUNTIFS(guidance_agencies!$A$2:$A$81,$A94,guidance_agencies!$D$2:$D$81,"ESMA")</f>
        <v>0</v>
      </c>
      <c r="AS94" s="3" t="n">
        <f aca="false">SUMIFS(secondary_acts!$S$2:$S$771,secondary_acts!$A$2:$A$771,$A94,secondary_acts!$E$2:$E$771,"implementing")+SUMIFS(secondary_acts!$S$2:$S$771,secondary_acts!$A$2:$A$771,$A94,secondary_acts!$E$2:$E$771,"delegated")</f>
        <v>88</v>
      </c>
      <c r="AT94" s="3"/>
      <c r="AU94" s="2"/>
      <c r="AV94" s="2" t="n">
        <v>1</v>
      </c>
      <c r="AW94" s="2" t="s">
        <v>1149</v>
      </c>
      <c r="AX94" s="2" t="s">
        <v>1149</v>
      </c>
      <c r="AY94" s="2" t="n">
        <v>4</v>
      </c>
      <c r="AZ94" s="2" t="s">
        <v>1150</v>
      </c>
      <c r="BA94" s="2" t="s">
        <v>157</v>
      </c>
      <c r="BB94" s="2" t="n">
        <v>19871</v>
      </c>
      <c r="BC94" s="2" t="n">
        <v>153</v>
      </c>
      <c r="BD94" s="2" t="n">
        <v>9</v>
      </c>
      <c r="BE94" s="2" t="n">
        <f aca="false">IF(ISNUMBER(BB94),Q94-BB94,"")</f>
        <v>17580</v>
      </c>
      <c r="BF94" s="4" t="n">
        <f aca="false">IF(AND(ISNUMBER(BB94),BB94&gt;0),(Q94-BB94)/BB94,"")</f>
        <v>0.884706355996175</v>
      </c>
      <c r="BG94" s="2" t="n">
        <f aca="false">IF(ISNUMBER(BC94),X94-BC94,"")</f>
        <v>135</v>
      </c>
      <c r="BH94" s="4" t="n">
        <f aca="false">IF(AND(ISNUMBER(BC94),BC94&gt;0),(X94-BC94)/BC94,"")</f>
        <v>0.882352941176471</v>
      </c>
      <c r="BI94" s="2" t="n">
        <f aca="false">IF(ISNUMBER(BD94),AD94-BD94,"")</f>
        <v>-3</v>
      </c>
      <c r="BJ94" s="2" t="s">
        <v>429</v>
      </c>
      <c r="BK94" s="2" t="s">
        <v>1151</v>
      </c>
      <c r="BL94" s="2" t="s">
        <v>1152</v>
      </c>
      <c r="BM94" s="2" t="n">
        <v>3</v>
      </c>
      <c r="BN94" s="2" t="n">
        <v>0</v>
      </c>
      <c r="BO94" s="2" t="n">
        <v>2</v>
      </c>
      <c r="BP94" s="2" t="n">
        <v>0</v>
      </c>
      <c r="BQ94" s="2"/>
    </row>
    <row r="95" customFormat="false" ht="15" hidden="false" customHeight="false" outlineLevel="0" collapsed="false">
      <c r="A95" s="2" t="n">
        <v>94</v>
      </c>
      <c r="B95" s="2" t="s">
        <v>1153</v>
      </c>
      <c r="C95" s="2" t="s">
        <v>1154</v>
      </c>
      <c r="D95" s="2" t="s">
        <v>90</v>
      </c>
      <c r="E95" s="2" t="s">
        <v>72</v>
      </c>
      <c r="F95" s="2" t="s">
        <v>1155</v>
      </c>
      <c r="G95" s="2" t="s">
        <v>163</v>
      </c>
      <c r="H95" s="2" t="s">
        <v>437</v>
      </c>
      <c r="I95" s="2" t="s">
        <v>1156</v>
      </c>
      <c r="J95" s="2" t="s">
        <v>1157</v>
      </c>
      <c r="K95" s="2" t="s">
        <v>77</v>
      </c>
      <c r="L95" s="2" t="s">
        <v>77</v>
      </c>
      <c r="M95" s="2" t="s">
        <v>1158</v>
      </c>
      <c r="N95" s="2" t="s">
        <v>79</v>
      </c>
      <c r="O95" s="2" t="s">
        <v>1159</v>
      </c>
      <c r="P95" s="3" t="n">
        <v>20</v>
      </c>
      <c r="Q95" s="3" t="n">
        <v>11685</v>
      </c>
      <c r="R95" s="3" t="n">
        <v>6256</v>
      </c>
      <c r="S95" s="3" t="n">
        <v>6117</v>
      </c>
      <c r="T95" s="3" t="n">
        <v>4468</v>
      </c>
      <c r="U95" s="3" t="n">
        <v>961</v>
      </c>
      <c r="V95" s="3" t="n">
        <v>0</v>
      </c>
      <c r="W95" s="3" t="n">
        <v>0</v>
      </c>
      <c r="X95" s="3" t="n">
        <v>77</v>
      </c>
      <c r="Y95" s="3" t="n">
        <v>63</v>
      </c>
      <c r="Z95" s="3" t="n">
        <v>6</v>
      </c>
      <c r="AA95" s="3" t="n">
        <v>0</v>
      </c>
      <c r="AB95" s="3" t="n">
        <v>2</v>
      </c>
      <c r="AC95" s="3" t="n">
        <v>6</v>
      </c>
      <c r="AD95" s="3" t="n">
        <v>15</v>
      </c>
      <c r="AE95" s="3" t="n">
        <v>26</v>
      </c>
      <c r="AF95" s="3" t="n">
        <v>14</v>
      </c>
      <c r="AG95" s="3" t="n">
        <v>22</v>
      </c>
      <c r="AH95" s="2" t="s">
        <v>1160</v>
      </c>
      <c r="AI95" s="3" t="n">
        <v>77</v>
      </c>
      <c r="AJ95" s="2" t="n">
        <v>15</v>
      </c>
      <c r="AK95" s="2" t="n">
        <f aca="false">COUNTIFS(secondary_acts!$A$2:$A$771,$A95,secondary_acts!$E$2:$E$771,"implementing")</f>
        <v>0</v>
      </c>
      <c r="AL95" s="2" t="n">
        <f aca="false">COUNTIFS(secondary_acts!$A$2:$A$771,$A95,secondary_acts!$E$2:$E$771,"delegated")</f>
        <v>1</v>
      </c>
      <c r="AM95" s="2" t="n">
        <f aca="false">COUNTIFS(secondary_acts!$A$2:$A$771,$A95,secondary_acts!$E$2:$E$771,"other Commission/Council act")</f>
        <v>0</v>
      </c>
      <c r="AN95" s="2" t="n">
        <f aca="false">COUNTIFS(secondary_acts!$A$2:$A$771,$A95,secondary_acts!$E$2:$E$771,"guidance")</f>
        <v>0</v>
      </c>
      <c r="AO95" s="2" t="n">
        <f aca="false">COUNTIF(guidance_web!$A$2:$A$7,$A95)</f>
        <v>0</v>
      </c>
      <c r="AP95" s="2" t="n">
        <f aca="false">COUNTIFS(guidance_agencies!$A$2:$A$81,$A95,guidance_agencies!$D$2:$D$81,"EDPB")</f>
        <v>0</v>
      </c>
      <c r="AQ95" s="2" t="n">
        <f aca="false">COUNTIFS(guidance_agencies!$A$2:$A$81,$A95,guidance_agencies!$D$2:$D$81,"EBA")</f>
        <v>0</v>
      </c>
      <c r="AR95" s="2" t="n">
        <f aca="false">COUNTIFS(guidance_agencies!$A$2:$A$81,$A95,guidance_agencies!$D$2:$D$81,"ESMA")</f>
        <v>0</v>
      </c>
      <c r="AS95" s="3" t="n">
        <f aca="false">SUMIFS(secondary_acts!$S$2:$S$771,secondary_acts!$A$2:$A$771,$A95,secondary_acts!$E$2:$E$771,"implementing")+SUMIFS(secondary_acts!$S$2:$S$771,secondary_acts!$A$2:$A$771,$A95,secondary_acts!$E$2:$E$771,"delegated")</f>
        <v>5</v>
      </c>
      <c r="AT95" s="3" t="n">
        <v>387</v>
      </c>
      <c r="AU95" s="2" t="n">
        <v>11</v>
      </c>
      <c r="AV95" s="2" t="n">
        <v>1</v>
      </c>
      <c r="AW95" s="2" t="s">
        <v>1161</v>
      </c>
      <c r="AX95" s="2" t="s">
        <v>1161</v>
      </c>
      <c r="AY95" s="2" t="n">
        <v>3</v>
      </c>
      <c r="AZ95" s="2" t="s">
        <v>1162</v>
      </c>
      <c r="BA95" s="2" t="s">
        <v>157</v>
      </c>
      <c r="BB95" s="2" t="n">
        <v>7869</v>
      </c>
      <c r="BC95" s="2" t="n">
        <v>42</v>
      </c>
      <c r="BD95" s="2" t="n">
        <v>6</v>
      </c>
      <c r="BE95" s="2" t="n">
        <f aca="false">IF(ISNUMBER(BB95),Q95-BB95,"")</f>
        <v>3816</v>
      </c>
      <c r="BF95" s="4" t="n">
        <f aca="false">IF(AND(ISNUMBER(BB95),BB95&gt;0),(Q95-BB95)/BB95,"")</f>
        <v>0.484940907357987</v>
      </c>
      <c r="BG95" s="2" t="n">
        <f aca="false">IF(ISNUMBER(BC95),X95-BC95,"")</f>
        <v>35</v>
      </c>
      <c r="BH95" s="4" t="n">
        <f aca="false">IF(AND(ISNUMBER(BC95),BC95&gt;0),(X95-BC95)/BC95,"")</f>
        <v>0.833333333333333</v>
      </c>
      <c r="BI95" s="2" t="n">
        <f aca="false">IF(ISNUMBER(BD95),AD95-BD95,"")</f>
        <v>9</v>
      </c>
      <c r="BJ95" s="2" t="s">
        <v>429</v>
      </c>
      <c r="BK95" s="2" t="s">
        <v>1163</v>
      </c>
      <c r="BL95" s="2" t="s">
        <v>1164</v>
      </c>
      <c r="BM95" s="2" t="n">
        <v>3</v>
      </c>
      <c r="BN95" s="2" t="n">
        <v>0</v>
      </c>
      <c r="BO95" s="2" t="n">
        <v>1</v>
      </c>
      <c r="BP95" s="2" t="n">
        <v>0</v>
      </c>
      <c r="BQ95" s="2"/>
    </row>
    <row r="96" customFormat="false" ht="15" hidden="false" customHeight="false" outlineLevel="0" collapsed="false">
      <c r="A96" s="2" t="n">
        <v>95</v>
      </c>
      <c r="B96" s="2" t="s">
        <v>1165</v>
      </c>
      <c r="C96" s="2" t="s">
        <v>1166</v>
      </c>
      <c r="D96" s="2" t="s">
        <v>532</v>
      </c>
      <c r="E96" s="2" t="s">
        <v>72</v>
      </c>
      <c r="F96" s="2" t="s">
        <v>1167</v>
      </c>
      <c r="G96" s="2" t="s">
        <v>163</v>
      </c>
      <c r="H96" s="2" t="s">
        <v>450</v>
      </c>
      <c r="I96" s="2" t="s">
        <v>1168</v>
      </c>
      <c r="J96" s="2" t="s">
        <v>1169</v>
      </c>
      <c r="K96" s="2" t="s">
        <v>77</v>
      </c>
      <c r="L96" s="2" t="s">
        <v>77</v>
      </c>
      <c r="M96" s="2" t="s">
        <v>1170</v>
      </c>
      <c r="N96" s="2" t="s">
        <v>79</v>
      </c>
      <c r="O96" s="2" t="s">
        <v>1171</v>
      </c>
      <c r="P96" s="3" t="n">
        <v>34</v>
      </c>
      <c r="Q96" s="3" t="n">
        <v>20994</v>
      </c>
      <c r="R96" s="3" t="n">
        <v>9482</v>
      </c>
      <c r="S96" s="3" t="n">
        <v>9321</v>
      </c>
      <c r="T96" s="3" t="n">
        <v>11054</v>
      </c>
      <c r="U96" s="3" t="n">
        <v>458</v>
      </c>
      <c r="V96" s="3" t="n">
        <v>0</v>
      </c>
      <c r="W96" s="3" t="n">
        <v>0</v>
      </c>
      <c r="X96" s="3" t="n">
        <v>173</v>
      </c>
      <c r="Y96" s="3" t="n">
        <v>162</v>
      </c>
      <c r="Z96" s="3" t="n">
        <v>2</v>
      </c>
      <c r="AA96" s="3" t="n">
        <v>2</v>
      </c>
      <c r="AB96" s="3" t="n">
        <v>0</v>
      </c>
      <c r="AC96" s="3" t="n">
        <v>7</v>
      </c>
      <c r="AD96" s="3" t="n">
        <v>28</v>
      </c>
      <c r="AE96" s="3" t="n">
        <v>25</v>
      </c>
      <c r="AF96" s="3" t="n">
        <v>62</v>
      </c>
      <c r="AG96" s="3" t="n">
        <v>58</v>
      </c>
      <c r="AH96" s="2" t="s">
        <v>1172</v>
      </c>
      <c r="AI96" s="3" t="n">
        <v>173</v>
      </c>
      <c r="AJ96" s="2" t="n">
        <v>28</v>
      </c>
      <c r="AK96" s="2" t="n">
        <f aca="false">COUNTIFS(secondary_acts!$A$2:$A$771,$A96,secondary_acts!$E$2:$E$771,"implementing")</f>
        <v>2</v>
      </c>
      <c r="AL96" s="2" t="n">
        <f aca="false">COUNTIFS(secondary_acts!$A$2:$A$771,$A96,secondary_acts!$E$2:$E$771,"delegated")</f>
        <v>0</v>
      </c>
      <c r="AM96" s="2" t="n">
        <f aca="false">COUNTIFS(secondary_acts!$A$2:$A$771,$A96,secondary_acts!$E$2:$E$771,"other Commission/Council act")</f>
        <v>0</v>
      </c>
      <c r="AN96" s="2" t="n">
        <f aca="false">COUNTIFS(secondary_acts!$A$2:$A$771,$A96,secondary_acts!$E$2:$E$771,"guidance")</f>
        <v>0</v>
      </c>
      <c r="AO96" s="2" t="n">
        <f aca="false">COUNTIF(guidance_web!$A$2:$A$7,$A96)</f>
        <v>0</v>
      </c>
      <c r="AP96" s="2" t="n">
        <f aca="false">COUNTIFS(guidance_agencies!$A$2:$A$81,$A96,guidance_agencies!$D$2:$D$81,"EDPB")</f>
        <v>0</v>
      </c>
      <c r="AQ96" s="2" t="n">
        <f aca="false">COUNTIFS(guidance_agencies!$A$2:$A$81,$A96,guidance_agencies!$D$2:$D$81,"EBA")</f>
        <v>0</v>
      </c>
      <c r="AR96" s="2" t="n">
        <f aca="false">COUNTIFS(guidance_agencies!$A$2:$A$81,$A96,guidance_agencies!$D$2:$D$81,"ESMA")</f>
        <v>0</v>
      </c>
      <c r="AS96" s="3" t="n">
        <f aca="false">SUMIFS(secondary_acts!$S$2:$S$771,secondary_acts!$A$2:$A$771,$A96,secondary_acts!$E$2:$E$771,"implementing")+SUMIFS(secondary_acts!$S$2:$S$771,secondary_acts!$A$2:$A$771,$A96,secondary_acts!$E$2:$E$771,"delegated")</f>
        <v>0</v>
      </c>
      <c r="AT96" s="3"/>
      <c r="AU96" s="2"/>
      <c r="AV96" s="2" t="n">
        <v>0</v>
      </c>
      <c r="AW96" s="2"/>
      <c r="AX96" s="2"/>
      <c r="AY96" s="2" t="n">
        <v>3</v>
      </c>
      <c r="AZ96" s="2" t="s">
        <v>1173</v>
      </c>
      <c r="BA96" s="2" t="s">
        <v>157</v>
      </c>
      <c r="BB96" s="2" t="n">
        <v>10677</v>
      </c>
      <c r="BC96" s="2" t="n">
        <v>105</v>
      </c>
      <c r="BD96" s="2" t="n">
        <v>22</v>
      </c>
      <c r="BE96" s="2" t="n">
        <f aca="false">IF(ISNUMBER(BB96),Q96-BB96,"")</f>
        <v>10317</v>
      </c>
      <c r="BF96" s="4" t="n">
        <f aca="false">IF(AND(ISNUMBER(BB96),BB96&gt;0),(Q96-BB96)/BB96,"")</f>
        <v>0.96628266366957</v>
      </c>
      <c r="BG96" s="2" t="n">
        <f aca="false">IF(ISNUMBER(BC96),X96-BC96,"")</f>
        <v>68</v>
      </c>
      <c r="BH96" s="4" t="n">
        <f aca="false">IF(AND(ISNUMBER(BC96),BC96&gt;0),(X96-BC96)/BC96,"")</f>
        <v>0.647619047619048</v>
      </c>
      <c r="BI96" s="2" t="n">
        <f aca="false">IF(ISNUMBER(BD96),AD96-BD96,"")</f>
        <v>6</v>
      </c>
      <c r="BJ96" s="2" t="s">
        <v>429</v>
      </c>
      <c r="BK96" s="2" t="s">
        <v>1174</v>
      </c>
      <c r="BL96" s="2" t="s">
        <v>1175</v>
      </c>
      <c r="BM96" s="2" t="n">
        <v>2</v>
      </c>
      <c r="BN96" s="2" t="n">
        <v>1</v>
      </c>
      <c r="BO96" s="2" t="n">
        <v>2</v>
      </c>
      <c r="BP96" s="2" t="n">
        <v>0</v>
      </c>
      <c r="BQ96" s="2"/>
    </row>
    <row r="97" customFormat="false" ht="15" hidden="false" customHeight="false" outlineLevel="0" collapsed="false">
      <c r="A97" s="2" t="n">
        <v>96</v>
      </c>
      <c r="B97" s="2" t="s">
        <v>1176</v>
      </c>
      <c r="C97" s="2" t="s">
        <v>1177</v>
      </c>
      <c r="D97" s="2" t="s">
        <v>121</v>
      </c>
      <c r="E97" s="2" t="s">
        <v>999</v>
      </c>
      <c r="F97" s="2" t="s">
        <v>1178</v>
      </c>
      <c r="G97" s="2" t="s">
        <v>163</v>
      </c>
      <c r="H97" s="2" t="s">
        <v>641</v>
      </c>
      <c r="I97" s="2" t="s">
        <v>1179</v>
      </c>
      <c r="J97" s="2" t="s">
        <v>1180</v>
      </c>
      <c r="K97" s="2" t="s">
        <v>1000</v>
      </c>
      <c r="L97" s="2" t="s">
        <v>77</v>
      </c>
      <c r="M97" s="2" t="s">
        <v>1181</v>
      </c>
      <c r="N97" s="2" t="s">
        <v>79</v>
      </c>
      <c r="O97" s="2" t="s">
        <v>1182</v>
      </c>
      <c r="P97" s="3" t="n">
        <v>27</v>
      </c>
      <c r="Q97" s="3" t="n">
        <v>16187</v>
      </c>
      <c r="R97" s="3" t="n">
        <v>9032</v>
      </c>
      <c r="S97" s="3" t="n">
        <v>8906</v>
      </c>
      <c r="T97" s="3" t="n">
        <v>6911</v>
      </c>
      <c r="U97" s="3" t="n">
        <v>244</v>
      </c>
      <c r="V97" s="3" t="n">
        <v>0</v>
      </c>
      <c r="W97" s="3" t="n">
        <v>0</v>
      </c>
      <c r="X97" s="3" t="n">
        <v>112</v>
      </c>
      <c r="Y97" s="3" t="n">
        <v>91</v>
      </c>
      <c r="Z97" s="3" t="n">
        <v>10</v>
      </c>
      <c r="AA97" s="3" t="n">
        <v>1</v>
      </c>
      <c r="AB97" s="3" t="n">
        <v>3</v>
      </c>
      <c r="AC97" s="3" t="n">
        <v>7</v>
      </c>
      <c r="AD97" s="3" t="n">
        <v>17</v>
      </c>
      <c r="AE97" s="3" t="n">
        <v>7</v>
      </c>
      <c r="AF97" s="3" t="n">
        <v>60</v>
      </c>
      <c r="AG97" s="3" t="n">
        <v>28</v>
      </c>
      <c r="AH97" s="2"/>
      <c r="AI97" s="3"/>
      <c r="AJ97" s="2"/>
      <c r="AK97" s="2" t="n">
        <f aca="false">COUNTIFS(secondary_acts!$A$2:$A$771,$A97,secondary_acts!$E$2:$E$771,"implementing")</f>
        <v>0</v>
      </c>
      <c r="AL97" s="2" t="n">
        <f aca="false">COUNTIFS(secondary_acts!$A$2:$A$771,$A97,secondary_acts!$E$2:$E$771,"delegated")</f>
        <v>0</v>
      </c>
      <c r="AM97" s="2" t="n">
        <f aca="false">COUNTIFS(secondary_acts!$A$2:$A$771,$A97,secondary_acts!$E$2:$E$771,"other Commission/Council act")</f>
        <v>0</v>
      </c>
      <c r="AN97" s="2" t="n">
        <f aca="false">COUNTIFS(secondary_acts!$A$2:$A$771,$A97,secondary_acts!$E$2:$E$771,"guidance")</f>
        <v>0</v>
      </c>
      <c r="AO97" s="2" t="n">
        <f aca="false">COUNTIF(guidance_web!$A$2:$A$7,$A97)</f>
        <v>0</v>
      </c>
      <c r="AP97" s="2" t="n">
        <f aca="false">COUNTIFS(guidance_agencies!$A$2:$A$81,$A97,guidance_agencies!$D$2:$D$81,"EDPB")</f>
        <v>0</v>
      </c>
      <c r="AQ97" s="2" t="n">
        <f aca="false">COUNTIFS(guidance_agencies!$A$2:$A$81,$A97,guidance_agencies!$D$2:$D$81,"EBA")</f>
        <v>0</v>
      </c>
      <c r="AR97" s="2" t="n">
        <f aca="false">COUNTIFS(guidance_agencies!$A$2:$A$81,$A97,guidance_agencies!$D$2:$D$81,"ESMA")</f>
        <v>0</v>
      </c>
      <c r="AS97" s="3" t="n">
        <f aca="false">SUMIFS(secondary_acts!$S$2:$S$771,secondary_acts!$A$2:$A$771,$A97,secondary_acts!$E$2:$E$771,"implementing")+SUMIFS(secondary_acts!$S$2:$S$771,secondary_acts!$A$2:$A$771,$A97,secondary_acts!$E$2:$E$771,"delegated")</f>
        <v>0</v>
      </c>
      <c r="AT97" s="3"/>
      <c r="AU97" s="2"/>
      <c r="AV97" s="2" t="n">
        <v>0</v>
      </c>
      <c r="AW97" s="2"/>
      <c r="AX97" s="2"/>
      <c r="AY97" s="2" t="n">
        <v>0</v>
      </c>
      <c r="AZ97" s="2" t="s">
        <v>1183</v>
      </c>
      <c r="BA97" s="2" t="s">
        <v>157</v>
      </c>
      <c r="BB97" s="2" t="n">
        <v>10918</v>
      </c>
      <c r="BC97" s="2" t="n">
        <v>81</v>
      </c>
      <c r="BD97" s="2" t="n">
        <v>9</v>
      </c>
      <c r="BE97" s="2" t="n">
        <f aca="false">IF(ISNUMBER(BB97),Q97-BB97,"")</f>
        <v>5269</v>
      </c>
      <c r="BF97" s="4" t="n">
        <f aca="false">IF(AND(ISNUMBER(BB97),BB97&gt;0),(Q97-BB97)/BB97,"")</f>
        <v>0.482597545337974</v>
      </c>
      <c r="BG97" s="2" t="n">
        <f aca="false">IF(ISNUMBER(BC97),X97-BC97,"")</f>
        <v>31</v>
      </c>
      <c r="BH97" s="4" t="n">
        <f aca="false">IF(AND(ISNUMBER(BC97),BC97&gt;0),(X97-BC97)/BC97,"")</f>
        <v>0.382716049382716</v>
      </c>
      <c r="BI97" s="2" t="n">
        <f aca="false">IF(ISNUMBER(BD97),AD97-BD97,"")</f>
        <v>8</v>
      </c>
      <c r="BJ97" s="2" t="s">
        <v>429</v>
      </c>
      <c r="BK97" s="2" t="s">
        <v>1184</v>
      </c>
      <c r="BL97" s="2" t="s">
        <v>1185</v>
      </c>
      <c r="BM97" s="2" t="n">
        <v>1</v>
      </c>
      <c r="BN97" s="2" t="n">
        <v>0</v>
      </c>
      <c r="BO97" s="2" t="n">
        <v>1</v>
      </c>
      <c r="BP97" s="2" t="n">
        <v>0</v>
      </c>
      <c r="BQ97" s="2" t="s">
        <v>1186</v>
      </c>
    </row>
    <row r="98" customFormat="false" ht="15" hidden="false" customHeight="false" outlineLevel="0" collapsed="false">
      <c r="A98" s="2" t="n">
        <v>97</v>
      </c>
      <c r="B98" s="2" t="s">
        <v>1187</v>
      </c>
      <c r="C98" s="2" t="s">
        <v>1188</v>
      </c>
      <c r="D98" s="2" t="s">
        <v>634</v>
      </c>
      <c r="E98" s="2" t="s">
        <v>72</v>
      </c>
      <c r="F98" s="2" t="s">
        <v>1189</v>
      </c>
      <c r="G98" s="2" t="s">
        <v>163</v>
      </c>
      <c r="H98" s="2" t="s">
        <v>640</v>
      </c>
      <c r="I98" s="2" t="s">
        <v>640</v>
      </c>
      <c r="J98" s="2" t="s">
        <v>1190</v>
      </c>
      <c r="K98" s="2" t="s">
        <v>77</v>
      </c>
      <c r="L98" s="2" t="s">
        <v>77</v>
      </c>
      <c r="M98" s="2" t="s">
        <v>1191</v>
      </c>
      <c r="N98" s="2" t="s">
        <v>79</v>
      </c>
      <c r="O98" s="2" t="s">
        <v>1192</v>
      </c>
      <c r="P98" s="3" t="n">
        <v>27</v>
      </c>
      <c r="Q98" s="3" t="n">
        <v>14337</v>
      </c>
      <c r="R98" s="3" t="n">
        <v>5782</v>
      </c>
      <c r="S98" s="3" t="n">
        <v>5603</v>
      </c>
      <c r="T98" s="3" t="n">
        <v>8555</v>
      </c>
      <c r="U98" s="3" t="n">
        <v>0</v>
      </c>
      <c r="V98" s="3" t="n">
        <v>0</v>
      </c>
      <c r="W98" s="3" t="n">
        <v>0</v>
      </c>
      <c r="X98" s="3" t="n">
        <v>48</v>
      </c>
      <c r="Y98" s="3" t="n">
        <v>45</v>
      </c>
      <c r="Z98" s="3" t="n">
        <v>2</v>
      </c>
      <c r="AA98" s="3" t="n">
        <v>0</v>
      </c>
      <c r="AB98" s="3" t="n">
        <v>0</v>
      </c>
      <c r="AC98" s="3" t="n">
        <v>1</v>
      </c>
      <c r="AD98" s="3" t="n">
        <v>3</v>
      </c>
      <c r="AE98" s="3" t="n">
        <v>7</v>
      </c>
      <c r="AF98" s="3" t="n">
        <v>11</v>
      </c>
      <c r="AG98" s="3" t="n">
        <v>27</v>
      </c>
      <c r="AH98" s="2" t="s">
        <v>1193</v>
      </c>
      <c r="AI98" s="3" t="n">
        <v>49</v>
      </c>
      <c r="AJ98" s="2" t="n">
        <v>3</v>
      </c>
      <c r="AK98" s="2" t="n">
        <f aca="false">COUNTIFS(secondary_acts!$A$2:$A$771,$A98,secondary_acts!$E$2:$E$771,"implementing")</f>
        <v>0</v>
      </c>
      <c r="AL98" s="2" t="n">
        <f aca="false">COUNTIFS(secondary_acts!$A$2:$A$771,$A98,secondary_acts!$E$2:$E$771,"delegated")</f>
        <v>0</v>
      </c>
      <c r="AM98" s="2" t="n">
        <f aca="false">COUNTIFS(secondary_acts!$A$2:$A$771,$A98,secondary_acts!$E$2:$E$771,"other Commission/Council act")</f>
        <v>0</v>
      </c>
      <c r="AN98" s="2" t="n">
        <f aca="false">COUNTIFS(secondary_acts!$A$2:$A$771,$A98,secondary_acts!$E$2:$E$771,"guidance")</f>
        <v>2</v>
      </c>
      <c r="AO98" s="2" t="n">
        <f aca="false">COUNTIF(guidance_web!$A$2:$A$7,$A98)</f>
        <v>0</v>
      </c>
      <c r="AP98" s="2" t="n">
        <f aca="false">COUNTIFS(guidance_agencies!$A$2:$A$81,$A98,guidance_agencies!$D$2:$D$81,"EDPB")</f>
        <v>0</v>
      </c>
      <c r="AQ98" s="2" t="n">
        <f aca="false">COUNTIFS(guidance_agencies!$A$2:$A$81,$A98,guidance_agencies!$D$2:$D$81,"EBA")</f>
        <v>0</v>
      </c>
      <c r="AR98" s="2" t="n">
        <f aca="false">COUNTIFS(guidance_agencies!$A$2:$A$81,$A98,guidance_agencies!$D$2:$D$81,"ESMA")</f>
        <v>0</v>
      </c>
      <c r="AS98" s="3" t="n">
        <f aca="false">SUMIFS(secondary_acts!$S$2:$S$771,secondary_acts!$A$2:$A$771,$A98,secondary_acts!$E$2:$E$771,"implementing")+SUMIFS(secondary_acts!$S$2:$S$771,secondary_acts!$A$2:$A$771,$A98,secondary_acts!$E$2:$E$771,"delegated")</f>
        <v>0</v>
      </c>
      <c r="AT98" s="3"/>
      <c r="AU98" s="2"/>
      <c r="AV98" s="2" t="n">
        <v>1</v>
      </c>
      <c r="AW98" s="2" t="s">
        <v>628</v>
      </c>
      <c r="AX98" s="2" t="s">
        <v>628</v>
      </c>
      <c r="AY98" s="2" t="n">
        <v>2</v>
      </c>
      <c r="AZ98" s="2" t="s">
        <v>1194</v>
      </c>
      <c r="BA98" s="2" t="s">
        <v>157</v>
      </c>
      <c r="BB98" s="2" t="n">
        <v>9976</v>
      </c>
      <c r="BC98" s="2" t="n">
        <v>56</v>
      </c>
      <c r="BD98" s="2" t="n">
        <v>1</v>
      </c>
      <c r="BE98" s="2" t="n">
        <f aca="false">IF(ISNUMBER(BB98),Q98-BB98,"")</f>
        <v>4361</v>
      </c>
      <c r="BF98" s="4" t="n">
        <f aca="false">IF(AND(ISNUMBER(BB98),BB98&gt;0),(Q98-BB98)/BB98,"")</f>
        <v>0.43714915797915</v>
      </c>
      <c r="BG98" s="2" t="n">
        <f aca="false">IF(ISNUMBER(BC98),X98-BC98,"")</f>
        <v>-8</v>
      </c>
      <c r="BH98" s="4" t="n">
        <f aca="false">IF(AND(ISNUMBER(BC98),BC98&gt;0),(X98-BC98)/BC98,"")</f>
        <v>-0.142857142857143</v>
      </c>
      <c r="BI98" s="2" t="n">
        <f aca="false">IF(ISNUMBER(BD98),AD98-BD98,"")</f>
        <v>2</v>
      </c>
      <c r="BJ98" s="2" t="s">
        <v>429</v>
      </c>
      <c r="BK98" s="2" t="s">
        <v>1195</v>
      </c>
      <c r="BL98" s="2" t="s">
        <v>1196</v>
      </c>
      <c r="BM98" s="2" t="n">
        <v>3</v>
      </c>
      <c r="BN98" s="2" t="n">
        <v>2</v>
      </c>
      <c r="BO98" s="2" t="n">
        <v>1</v>
      </c>
      <c r="BP98" s="2" t="n">
        <v>0</v>
      </c>
      <c r="BQ98" s="2"/>
    </row>
    <row r="99" customFormat="false" ht="15" hidden="false" customHeight="false" outlineLevel="0" collapsed="false">
      <c r="A99" s="2" t="n">
        <v>98</v>
      </c>
      <c r="B99" s="2" t="s">
        <v>1197</v>
      </c>
      <c r="C99" s="2" t="s">
        <v>1198</v>
      </c>
      <c r="D99" s="2" t="s">
        <v>253</v>
      </c>
      <c r="E99" s="2" t="s">
        <v>999</v>
      </c>
      <c r="F99" s="2" t="s">
        <v>1199</v>
      </c>
      <c r="G99" s="2" t="s">
        <v>163</v>
      </c>
      <c r="H99" s="2"/>
      <c r="I99" s="2"/>
      <c r="J99" s="2"/>
      <c r="K99" s="2" t="s">
        <v>1000</v>
      </c>
      <c r="L99" s="2" t="s">
        <v>1000</v>
      </c>
      <c r="M99" s="2" t="s">
        <v>1200</v>
      </c>
      <c r="N99" s="2" t="s">
        <v>1002</v>
      </c>
      <c r="O99" s="2" t="s">
        <v>1201</v>
      </c>
      <c r="P99" s="3" t="n">
        <v>54</v>
      </c>
      <c r="Q99" s="3" t="n">
        <v>19053</v>
      </c>
      <c r="R99" s="3" t="n">
        <v>7197</v>
      </c>
      <c r="S99" s="3" t="n">
        <v>7086</v>
      </c>
      <c r="T99" s="3" t="n">
        <v>11856</v>
      </c>
      <c r="U99" s="3" t="n">
        <v>0</v>
      </c>
      <c r="V99" s="3" t="n">
        <v>5800</v>
      </c>
      <c r="W99" s="3" t="n">
        <v>0</v>
      </c>
      <c r="X99" s="3" t="n">
        <v>155</v>
      </c>
      <c r="Y99" s="3" t="n">
        <v>134</v>
      </c>
      <c r="Z99" s="3" t="n">
        <v>8</v>
      </c>
      <c r="AA99" s="3" t="n">
        <v>4</v>
      </c>
      <c r="AB99" s="3" t="n">
        <v>1</v>
      </c>
      <c r="AC99" s="3" t="n">
        <v>8</v>
      </c>
      <c r="AD99" s="3" t="n">
        <v>42</v>
      </c>
      <c r="AE99" s="3" t="n">
        <v>53</v>
      </c>
      <c r="AF99" s="3" t="n">
        <v>24</v>
      </c>
      <c r="AG99" s="3" t="n">
        <v>36</v>
      </c>
      <c r="AH99" s="2"/>
      <c r="AI99" s="3"/>
      <c r="AJ99" s="2"/>
      <c r="AK99" s="2" t="n">
        <f aca="false">COUNTIFS(secondary_acts!$A$2:$A$771,$A99,secondary_acts!$E$2:$E$771,"implementing")</f>
        <v>0</v>
      </c>
      <c r="AL99" s="2" t="n">
        <f aca="false">COUNTIFS(secondary_acts!$A$2:$A$771,$A99,secondary_acts!$E$2:$E$771,"delegated")</f>
        <v>0</v>
      </c>
      <c r="AM99" s="2" t="n">
        <f aca="false">COUNTIFS(secondary_acts!$A$2:$A$771,$A99,secondary_acts!$E$2:$E$771,"other Commission/Council act")</f>
        <v>0</v>
      </c>
      <c r="AN99" s="2" t="n">
        <f aca="false">COUNTIFS(secondary_acts!$A$2:$A$771,$A99,secondary_acts!$E$2:$E$771,"guidance")</f>
        <v>0</v>
      </c>
      <c r="AO99" s="2" t="n">
        <f aca="false">COUNTIF(guidance_web!$A$2:$A$7,$A99)</f>
        <v>0</v>
      </c>
      <c r="AP99" s="2" t="n">
        <f aca="false">COUNTIFS(guidance_agencies!$A$2:$A$81,$A99,guidance_agencies!$D$2:$D$81,"EDPB")</f>
        <v>0</v>
      </c>
      <c r="AQ99" s="2" t="n">
        <f aca="false">COUNTIFS(guidance_agencies!$A$2:$A$81,$A99,guidance_agencies!$D$2:$D$81,"EBA")</f>
        <v>0</v>
      </c>
      <c r="AR99" s="2" t="n">
        <f aca="false">COUNTIFS(guidance_agencies!$A$2:$A$81,$A99,guidance_agencies!$D$2:$D$81,"ESMA")</f>
        <v>0</v>
      </c>
      <c r="AS99" s="3" t="n">
        <f aca="false">SUMIFS(secondary_acts!$S$2:$S$771,secondary_acts!$A$2:$A$771,$A99,secondary_acts!$E$2:$E$771,"implementing")+SUMIFS(secondary_acts!$S$2:$S$771,secondary_acts!$A$2:$A$771,$A99,secondary_acts!$E$2:$E$771,"delegated")</f>
        <v>0</v>
      </c>
      <c r="AT99" s="3"/>
      <c r="AU99" s="2"/>
      <c r="AV99" s="2"/>
      <c r="AW99" s="2"/>
      <c r="AX99" s="2"/>
      <c r="AY99" s="2"/>
      <c r="AZ99" s="2"/>
      <c r="BA99" s="2" t="s">
        <v>1004</v>
      </c>
      <c r="BB99" s="2"/>
      <c r="BC99" s="2"/>
      <c r="BD99" s="2"/>
      <c r="BE99" s="2" t="str">
        <f aca="false">IF(ISNUMBER(BB99),Q99-BB99,"")</f>
        <v/>
      </c>
      <c r="BF99" s="4" t="str">
        <f aca="false">IF(AND(ISNUMBER(BB99),BB99&gt;0),(Q99-BB99)/BB99,"")</f>
        <v/>
      </c>
      <c r="BG99" s="2" t="str">
        <f aca="false">IF(ISNUMBER(BC99),X99-BC99,"")</f>
        <v/>
      </c>
      <c r="BH99" s="4" t="str">
        <f aca="false">IF(AND(ISNUMBER(BC99),BC99&gt;0),(X99-BC99)/BC99,"")</f>
        <v/>
      </c>
      <c r="BI99" s="2" t="str">
        <f aca="false">IF(ISNUMBER(BD99),AD99-BD99,"")</f>
        <v/>
      </c>
      <c r="BJ99" s="2" t="s">
        <v>429</v>
      </c>
      <c r="BK99" s="2" t="s">
        <v>1202</v>
      </c>
      <c r="BL99" s="2" t="s">
        <v>1203</v>
      </c>
      <c r="BM99" s="2" t="n">
        <v>3</v>
      </c>
      <c r="BN99" s="2" t="n">
        <v>0</v>
      </c>
      <c r="BO99" s="2" t="n">
        <v>1</v>
      </c>
      <c r="BP99" s="2" t="n">
        <v>0</v>
      </c>
      <c r="BQ99" s="2"/>
    </row>
    <row r="100" customFormat="false" ht="15" hidden="false" customHeight="false" outlineLevel="0" collapsed="false">
      <c r="A100" s="2" t="n">
        <v>99</v>
      </c>
      <c r="B100" s="2" t="s">
        <v>1204</v>
      </c>
      <c r="C100" s="2" t="s">
        <v>1205</v>
      </c>
      <c r="D100" s="2" t="s">
        <v>253</v>
      </c>
      <c r="E100" s="2" t="s">
        <v>999</v>
      </c>
      <c r="F100" s="2" t="s">
        <v>1199</v>
      </c>
      <c r="G100" s="2" t="s">
        <v>163</v>
      </c>
      <c r="H100" s="2"/>
      <c r="I100" s="2"/>
      <c r="J100" s="2"/>
      <c r="K100" s="2" t="s">
        <v>1000</v>
      </c>
      <c r="L100" s="2" t="s">
        <v>1206</v>
      </c>
      <c r="M100" s="2" t="s">
        <v>1207</v>
      </c>
      <c r="N100" s="2" t="s">
        <v>1002</v>
      </c>
      <c r="O100" s="2" t="s">
        <v>1208</v>
      </c>
      <c r="P100" s="3" t="n">
        <v>159</v>
      </c>
      <c r="Q100" s="3" t="n">
        <v>55334</v>
      </c>
      <c r="R100" s="3" t="n">
        <v>19804</v>
      </c>
      <c r="S100" s="3" t="n">
        <v>19694</v>
      </c>
      <c r="T100" s="3" t="n">
        <v>32412</v>
      </c>
      <c r="U100" s="3" t="n">
        <v>3118</v>
      </c>
      <c r="V100" s="3" t="n">
        <v>5272</v>
      </c>
      <c r="W100" s="3" t="n">
        <v>0</v>
      </c>
      <c r="X100" s="3" t="n">
        <v>447</v>
      </c>
      <c r="Y100" s="3" t="n">
        <v>354</v>
      </c>
      <c r="Z100" s="3" t="n">
        <v>50</v>
      </c>
      <c r="AA100" s="3" t="n">
        <v>8</v>
      </c>
      <c r="AB100" s="3" t="n">
        <v>6</v>
      </c>
      <c r="AC100" s="3" t="n">
        <v>29</v>
      </c>
      <c r="AD100" s="3" t="n">
        <v>249</v>
      </c>
      <c r="AE100" s="3" t="n">
        <v>69</v>
      </c>
      <c r="AF100" s="3" t="n">
        <v>45</v>
      </c>
      <c r="AG100" s="3" t="n">
        <v>84</v>
      </c>
      <c r="AH100" s="2"/>
      <c r="AI100" s="3"/>
      <c r="AJ100" s="2"/>
      <c r="AK100" s="2" t="n">
        <f aca="false">COUNTIFS(secondary_acts!$A$2:$A$771,$A100,secondary_acts!$E$2:$E$771,"implementing")</f>
        <v>0</v>
      </c>
      <c r="AL100" s="2" t="n">
        <f aca="false">COUNTIFS(secondary_acts!$A$2:$A$771,$A100,secondary_acts!$E$2:$E$771,"delegated")</f>
        <v>0</v>
      </c>
      <c r="AM100" s="2" t="n">
        <f aca="false">COUNTIFS(secondary_acts!$A$2:$A$771,$A100,secondary_acts!$E$2:$E$771,"other Commission/Council act")</f>
        <v>0</v>
      </c>
      <c r="AN100" s="2" t="n">
        <f aca="false">COUNTIFS(secondary_acts!$A$2:$A$771,$A100,secondary_acts!$E$2:$E$771,"guidance")</f>
        <v>0</v>
      </c>
      <c r="AO100" s="2" t="n">
        <f aca="false">COUNTIF(guidance_web!$A$2:$A$7,$A100)</f>
        <v>0</v>
      </c>
      <c r="AP100" s="2" t="n">
        <f aca="false">COUNTIFS(guidance_agencies!$A$2:$A$81,$A100,guidance_agencies!$D$2:$D$81,"EDPB")</f>
        <v>0</v>
      </c>
      <c r="AQ100" s="2" t="n">
        <f aca="false">COUNTIFS(guidance_agencies!$A$2:$A$81,$A100,guidance_agencies!$D$2:$D$81,"EBA")</f>
        <v>0</v>
      </c>
      <c r="AR100" s="2" t="n">
        <f aca="false">COUNTIFS(guidance_agencies!$A$2:$A$81,$A100,guidance_agencies!$D$2:$D$81,"ESMA")</f>
        <v>0</v>
      </c>
      <c r="AS100" s="3" t="n">
        <f aca="false">SUMIFS(secondary_acts!$S$2:$S$771,secondary_acts!$A$2:$A$771,$A100,secondary_acts!$E$2:$E$771,"implementing")+SUMIFS(secondary_acts!$S$2:$S$771,secondary_acts!$A$2:$A$771,$A100,secondary_acts!$E$2:$E$771,"delegated")</f>
        <v>0</v>
      </c>
      <c r="AT100" s="3"/>
      <c r="AU100" s="2"/>
      <c r="AV100" s="2"/>
      <c r="AW100" s="2"/>
      <c r="AX100" s="2"/>
      <c r="AY100" s="2"/>
      <c r="AZ100" s="2"/>
      <c r="BA100" s="2" t="s">
        <v>1004</v>
      </c>
      <c r="BB100" s="2"/>
      <c r="BC100" s="2"/>
      <c r="BD100" s="2"/>
      <c r="BE100" s="2" t="str">
        <f aca="false">IF(ISNUMBER(BB100),Q100-BB100,"")</f>
        <v/>
      </c>
      <c r="BF100" s="4" t="str">
        <f aca="false">IF(AND(ISNUMBER(BB100),BB100&gt;0),(Q100-BB100)/BB100,"")</f>
        <v/>
      </c>
      <c r="BG100" s="2" t="str">
        <f aca="false">IF(ISNUMBER(BC100),X100-BC100,"")</f>
        <v/>
      </c>
      <c r="BH100" s="4" t="str">
        <f aca="false">IF(AND(ISNUMBER(BC100),BC100&gt;0),(X100-BC100)/BC100,"")</f>
        <v/>
      </c>
      <c r="BI100" s="2" t="str">
        <f aca="false">IF(ISNUMBER(BD100),AD100-BD100,"")</f>
        <v/>
      </c>
      <c r="BJ100" s="2" t="s">
        <v>429</v>
      </c>
      <c r="BK100" s="2" t="s">
        <v>1209</v>
      </c>
      <c r="BL100" s="2" t="s">
        <v>1210</v>
      </c>
      <c r="BM100" s="2" t="n">
        <v>3</v>
      </c>
      <c r="BN100" s="2" t="n">
        <v>0</v>
      </c>
      <c r="BO100" s="2" t="n">
        <v>2</v>
      </c>
      <c r="BP100" s="2" t="n">
        <v>0</v>
      </c>
      <c r="BQ100" s="2" t="s">
        <v>1211</v>
      </c>
    </row>
    <row r="101" customFormat="false" ht="15" hidden="false" customHeight="false" outlineLevel="0" collapsed="false">
      <c r="A101" s="2" t="n">
        <v>100</v>
      </c>
      <c r="B101" s="2" t="s">
        <v>1212</v>
      </c>
      <c r="C101" s="2" t="s">
        <v>1213</v>
      </c>
      <c r="D101" s="2" t="s">
        <v>253</v>
      </c>
      <c r="E101" s="2" t="s">
        <v>1032</v>
      </c>
      <c r="F101" s="2" t="s">
        <v>1199</v>
      </c>
      <c r="G101" s="2" t="s">
        <v>163</v>
      </c>
      <c r="H101" s="2"/>
      <c r="I101" s="2"/>
      <c r="J101" s="2"/>
      <c r="K101" s="2" t="s">
        <v>1000</v>
      </c>
      <c r="L101" s="2" t="s">
        <v>1206</v>
      </c>
      <c r="M101" s="2" t="s">
        <v>1214</v>
      </c>
      <c r="N101" s="2" t="s">
        <v>1002</v>
      </c>
      <c r="O101" s="2" t="s">
        <v>1215</v>
      </c>
      <c r="P101" s="3" t="n">
        <v>99</v>
      </c>
      <c r="Q101" s="3" t="n">
        <v>29148</v>
      </c>
      <c r="R101" s="3" t="n">
        <v>8708</v>
      </c>
      <c r="S101" s="3" t="n">
        <v>8583</v>
      </c>
      <c r="T101" s="3" t="n">
        <v>17309</v>
      </c>
      <c r="U101" s="3" t="n">
        <v>3131</v>
      </c>
      <c r="V101" s="3" t="n">
        <v>3955</v>
      </c>
      <c r="W101" s="3" t="n">
        <v>0</v>
      </c>
      <c r="X101" s="3" t="n">
        <v>243</v>
      </c>
      <c r="Y101" s="3" t="n">
        <v>193</v>
      </c>
      <c r="Z101" s="3" t="n">
        <v>16</v>
      </c>
      <c r="AA101" s="3" t="n">
        <v>5</v>
      </c>
      <c r="AB101" s="3" t="n">
        <v>0</v>
      </c>
      <c r="AC101" s="3" t="n">
        <v>29</v>
      </c>
      <c r="AD101" s="3" t="n">
        <v>48</v>
      </c>
      <c r="AE101" s="3" t="n">
        <v>135</v>
      </c>
      <c r="AF101" s="3" t="n">
        <v>28</v>
      </c>
      <c r="AG101" s="3" t="n">
        <v>32</v>
      </c>
      <c r="AH101" s="2"/>
      <c r="AI101" s="3"/>
      <c r="AJ101" s="2"/>
      <c r="AK101" s="2" t="n">
        <f aca="false">COUNTIFS(secondary_acts!$A$2:$A$771,$A101,secondary_acts!$E$2:$E$771,"implementing")</f>
        <v>0</v>
      </c>
      <c r="AL101" s="2" t="n">
        <f aca="false">COUNTIFS(secondary_acts!$A$2:$A$771,$A101,secondary_acts!$E$2:$E$771,"delegated")</f>
        <v>0</v>
      </c>
      <c r="AM101" s="2" t="n">
        <f aca="false">COUNTIFS(secondary_acts!$A$2:$A$771,$A101,secondary_acts!$E$2:$E$771,"other Commission/Council act")</f>
        <v>0</v>
      </c>
      <c r="AN101" s="2" t="n">
        <f aca="false">COUNTIFS(secondary_acts!$A$2:$A$771,$A101,secondary_acts!$E$2:$E$771,"guidance")</f>
        <v>0</v>
      </c>
      <c r="AO101" s="2" t="n">
        <f aca="false">COUNTIF(guidance_web!$A$2:$A$7,$A101)</f>
        <v>0</v>
      </c>
      <c r="AP101" s="2" t="n">
        <f aca="false">COUNTIFS(guidance_agencies!$A$2:$A$81,$A101,guidance_agencies!$D$2:$D$81,"EDPB")</f>
        <v>0</v>
      </c>
      <c r="AQ101" s="2" t="n">
        <f aca="false">COUNTIFS(guidance_agencies!$A$2:$A$81,$A101,guidance_agencies!$D$2:$D$81,"EBA")</f>
        <v>0</v>
      </c>
      <c r="AR101" s="2" t="n">
        <f aca="false">COUNTIFS(guidance_agencies!$A$2:$A$81,$A101,guidance_agencies!$D$2:$D$81,"ESMA")</f>
        <v>0</v>
      </c>
      <c r="AS101" s="3" t="n">
        <f aca="false">SUMIFS(secondary_acts!$S$2:$S$771,secondary_acts!$A$2:$A$771,$A101,secondary_acts!$E$2:$E$771,"implementing")+SUMIFS(secondary_acts!$S$2:$S$771,secondary_acts!$A$2:$A$771,$A101,secondary_acts!$E$2:$E$771,"delegated")</f>
        <v>0</v>
      </c>
      <c r="AT101" s="3"/>
      <c r="AU101" s="2"/>
      <c r="AV101" s="2"/>
      <c r="AW101" s="2"/>
      <c r="AX101" s="2"/>
      <c r="AY101" s="2"/>
      <c r="AZ101" s="2"/>
      <c r="BA101" s="2" t="s">
        <v>1004</v>
      </c>
      <c r="BB101" s="2"/>
      <c r="BC101" s="2"/>
      <c r="BD101" s="2"/>
      <c r="BE101" s="2" t="str">
        <f aca="false">IF(ISNUMBER(BB101),Q101-BB101,"")</f>
        <v/>
      </c>
      <c r="BF101" s="4" t="str">
        <f aca="false">IF(AND(ISNUMBER(BB101),BB101&gt;0),(Q101-BB101)/BB101,"")</f>
        <v/>
      </c>
      <c r="BG101" s="2" t="str">
        <f aca="false">IF(ISNUMBER(BC101),X101-BC101,"")</f>
        <v/>
      </c>
      <c r="BH101" s="4" t="str">
        <f aca="false">IF(AND(ISNUMBER(BC101),BC101&gt;0),(X101-BC101)/BC101,"")</f>
        <v/>
      </c>
      <c r="BI101" s="2" t="str">
        <f aca="false">IF(ISNUMBER(BD101),AD101-BD101,"")</f>
        <v/>
      </c>
      <c r="BJ101" s="2" t="s">
        <v>429</v>
      </c>
      <c r="BK101" s="2" t="s">
        <v>1216</v>
      </c>
      <c r="BL101" s="2" t="s">
        <v>1217</v>
      </c>
      <c r="BM101" s="2" t="n">
        <v>3</v>
      </c>
      <c r="BN101" s="2" t="n">
        <v>0</v>
      </c>
      <c r="BO101" s="2" t="n">
        <v>2</v>
      </c>
      <c r="BP101" s="2" t="n">
        <v>0</v>
      </c>
      <c r="BQ101" s="2" t="s">
        <v>1218</v>
      </c>
    </row>
    <row r="102" customFormat="false" ht="15" hidden="false" customHeight="false" outlineLevel="0" collapsed="false">
      <c r="A102" s="2" t="n">
        <v>101</v>
      </c>
      <c r="B102" s="2" t="s">
        <v>1219</v>
      </c>
      <c r="C102" s="2" t="s">
        <v>1220</v>
      </c>
      <c r="D102" s="2" t="s">
        <v>253</v>
      </c>
      <c r="E102" s="2" t="s">
        <v>999</v>
      </c>
      <c r="F102" s="2" t="s">
        <v>1199</v>
      </c>
      <c r="G102" s="2" t="s">
        <v>163</v>
      </c>
      <c r="H102" s="2"/>
      <c r="I102" s="2"/>
      <c r="J102" s="2"/>
      <c r="K102" s="2" t="s">
        <v>1000</v>
      </c>
      <c r="L102" s="2" t="s">
        <v>1000</v>
      </c>
      <c r="M102" s="2" t="s">
        <v>1221</v>
      </c>
      <c r="N102" s="2" t="s">
        <v>1002</v>
      </c>
      <c r="O102" s="2" t="s">
        <v>1222</v>
      </c>
      <c r="P102" s="3" t="n">
        <v>68</v>
      </c>
      <c r="Q102" s="3" t="n">
        <v>23989</v>
      </c>
      <c r="R102" s="3" t="n">
        <v>12376</v>
      </c>
      <c r="S102" s="3" t="n">
        <v>12277</v>
      </c>
      <c r="T102" s="3" t="n">
        <v>10828</v>
      </c>
      <c r="U102" s="3" t="n">
        <v>785</v>
      </c>
      <c r="V102" s="3" t="n">
        <v>7972</v>
      </c>
      <c r="W102" s="3" t="n">
        <v>0</v>
      </c>
      <c r="X102" s="3" t="n">
        <v>153</v>
      </c>
      <c r="Y102" s="3" t="n">
        <v>123</v>
      </c>
      <c r="Z102" s="3" t="n">
        <v>19</v>
      </c>
      <c r="AA102" s="3" t="n">
        <v>6</v>
      </c>
      <c r="AB102" s="3" t="n">
        <v>2</v>
      </c>
      <c r="AC102" s="3" t="n">
        <v>3</v>
      </c>
      <c r="AD102" s="3" t="n">
        <v>74</v>
      </c>
      <c r="AE102" s="3" t="n">
        <v>16</v>
      </c>
      <c r="AF102" s="3" t="n">
        <v>16</v>
      </c>
      <c r="AG102" s="3" t="n">
        <v>47</v>
      </c>
      <c r="AH102" s="2"/>
      <c r="AI102" s="3"/>
      <c r="AJ102" s="2"/>
      <c r="AK102" s="2" t="n">
        <f aca="false">COUNTIFS(secondary_acts!$A$2:$A$771,$A102,secondary_acts!$E$2:$E$771,"implementing")</f>
        <v>0</v>
      </c>
      <c r="AL102" s="2" t="n">
        <f aca="false">COUNTIFS(secondary_acts!$A$2:$A$771,$A102,secondary_acts!$E$2:$E$771,"delegated")</f>
        <v>0</v>
      </c>
      <c r="AM102" s="2" t="n">
        <f aca="false">COUNTIFS(secondary_acts!$A$2:$A$771,$A102,secondary_acts!$E$2:$E$771,"other Commission/Council act")</f>
        <v>0</v>
      </c>
      <c r="AN102" s="2" t="n">
        <f aca="false">COUNTIFS(secondary_acts!$A$2:$A$771,$A102,secondary_acts!$E$2:$E$771,"guidance")</f>
        <v>0</v>
      </c>
      <c r="AO102" s="2" t="n">
        <f aca="false">COUNTIF(guidance_web!$A$2:$A$7,$A102)</f>
        <v>0</v>
      </c>
      <c r="AP102" s="2" t="n">
        <f aca="false">COUNTIFS(guidance_agencies!$A$2:$A$81,$A102,guidance_agencies!$D$2:$D$81,"EDPB")</f>
        <v>0</v>
      </c>
      <c r="AQ102" s="2" t="n">
        <f aca="false">COUNTIFS(guidance_agencies!$A$2:$A$81,$A102,guidance_agencies!$D$2:$D$81,"EBA")</f>
        <v>0</v>
      </c>
      <c r="AR102" s="2" t="n">
        <f aca="false">COUNTIFS(guidance_agencies!$A$2:$A$81,$A102,guidance_agencies!$D$2:$D$81,"ESMA")</f>
        <v>0</v>
      </c>
      <c r="AS102" s="3" t="n">
        <f aca="false">SUMIFS(secondary_acts!$S$2:$S$771,secondary_acts!$A$2:$A$771,$A102,secondary_acts!$E$2:$E$771,"implementing")+SUMIFS(secondary_acts!$S$2:$S$771,secondary_acts!$A$2:$A$771,$A102,secondary_acts!$E$2:$E$771,"delegated")</f>
        <v>0</v>
      </c>
      <c r="AT102" s="3"/>
      <c r="AU102" s="2"/>
      <c r="AV102" s="2"/>
      <c r="AW102" s="2"/>
      <c r="AX102" s="2"/>
      <c r="AY102" s="2"/>
      <c r="AZ102" s="2"/>
      <c r="BA102" s="2" t="s">
        <v>1004</v>
      </c>
      <c r="BB102" s="2"/>
      <c r="BC102" s="2"/>
      <c r="BD102" s="2"/>
      <c r="BE102" s="2" t="str">
        <f aca="false">IF(ISNUMBER(BB102),Q102-BB102,"")</f>
        <v/>
      </c>
      <c r="BF102" s="4" t="str">
        <f aca="false">IF(AND(ISNUMBER(BB102),BB102&gt;0),(Q102-BB102)/BB102,"")</f>
        <v/>
      </c>
      <c r="BG102" s="2" t="str">
        <f aca="false">IF(ISNUMBER(BC102),X102-BC102,"")</f>
        <v/>
      </c>
      <c r="BH102" s="4" t="str">
        <f aca="false">IF(AND(ISNUMBER(BC102),BC102&gt;0),(X102-BC102)/BC102,"")</f>
        <v/>
      </c>
      <c r="BI102" s="2" t="str">
        <f aca="false">IF(ISNUMBER(BD102),AD102-BD102,"")</f>
        <v/>
      </c>
      <c r="BJ102" s="2" t="s">
        <v>429</v>
      </c>
      <c r="BK102" s="2" t="s">
        <v>1223</v>
      </c>
      <c r="BL102" s="2" t="s">
        <v>1224</v>
      </c>
      <c r="BM102" s="2" t="n">
        <v>3</v>
      </c>
      <c r="BN102" s="2" t="n">
        <v>1</v>
      </c>
      <c r="BO102" s="2" t="n">
        <v>3</v>
      </c>
      <c r="BP102" s="2" t="n">
        <v>0</v>
      </c>
      <c r="BQ102" s="2"/>
    </row>
    <row r="103" customFormat="false" ht="15" hidden="false" customHeight="false" outlineLevel="0" collapsed="false">
      <c r="A103" s="2" t="n">
        <v>102</v>
      </c>
      <c r="B103" s="2" t="s">
        <v>1225</v>
      </c>
      <c r="C103" s="2" t="s">
        <v>1226</v>
      </c>
      <c r="D103" s="2" t="s">
        <v>188</v>
      </c>
      <c r="E103" s="2" t="s">
        <v>999</v>
      </c>
      <c r="F103" s="2" t="s">
        <v>1227</v>
      </c>
      <c r="G103" s="2" t="s">
        <v>163</v>
      </c>
      <c r="H103" s="2" t="s">
        <v>1228</v>
      </c>
      <c r="I103" s="2" t="s">
        <v>1229</v>
      </c>
      <c r="J103" s="2" t="s">
        <v>1230</v>
      </c>
      <c r="K103" s="2" t="s">
        <v>1000</v>
      </c>
      <c r="L103" s="2" t="s">
        <v>77</v>
      </c>
      <c r="M103" s="2" t="s">
        <v>1231</v>
      </c>
      <c r="N103" s="2" t="s">
        <v>79</v>
      </c>
      <c r="O103" s="2" t="s">
        <v>1232</v>
      </c>
      <c r="P103" s="3" t="n">
        <v>27</v>
      </c>
      <c r="Q103" s="3" t="n">
        <v>17116</v>
      </c>
      <c r="R103" s="3" t="n">
        <v>6916</v>
      </c>
      <c r="S103" s="3" t="n">
        <v>6792</v>
      </c>
      <c r="T103" s="3" t="n">
        <v>10200</v>
      </c>
      <c r="U103" s="3" t="n">
        <v>0</v>
      </c>
      <c r="V103" s="3" t="n">
        <v>0</v>
      </c>
      <c r="W103" s="3" t="n">
        <v>0</v>
      </c>
      <c r="X103" s="3" t="n">
        <v>133</v>
      </c>
      <c r="Y103" s="3" t="n">
        <v>123</v>
      </c>
      <c r="Z103" s="3" t="n">
        <v>5</v>
      </c>
      <c r="AA103" s="3" t="n">
        <v>0</v>
      </c>
      <c r="AB103" s="3" t="n">
        <v>3</v>
      </c>
      <c r="AC103" s="3" t="n">
        <v>2</v>
      </c>
      <c r="AD103" s="3" t="n">
        <v>5</v>
      </c>
      <c r="AE103" s="3" t="n">
        <v>76</v>
      </c>
      <c r="AF103" s="3" t="n">
        <v>20</v>
      </c>
      <c r="AG103" s="3" t="n">
        <v>32</v>
      </c>
      <c r="AH103" s="2"/>
      <c r="AI103" s="3"/>
      <c r="AJ103" s="2"/>
      <c r="AK103" s="2" t="n">
        <f aca="false">COUNTIFS(secondary_acts!$A$2:$A$771,$A103,secondary_acts!$E$2:$E$771,"implementing")</f>
        <v>0</v>
      </c>
      <c r="AL103" s="2" t="n">
        <f aca="false">COUNTIFS(secondary_acts!$A$2:$A$771,$A103,secondary_acts!$E$2:$E$771,"delegated")</f>
        <v>0</v>
      </c>
      <c r="AM103" s="2" t="n">
        <f aca="false">COUNTIFS(secondary_acts!$A$2:$A$771,$A103,secondary_acts!$E$2:$E$771,"other Commission/Council act")</f>
        <v>0</v>
      </c>
      <c r="AN103" s="2" t="n">
        <f aca="false">COUNTIFS(secondary_acts!$A$2:$A$771,$A103,secondary_acts!$E$2:$E$771,"guidance")</f>
        <v>0</v>
      </c>
      <c r="AO103" s="2" t="n">
        <f aca="false">COUNTIF(guidance_web!$A$2:$A$7,$A103)</f>
        <v>0</v>
      </c>
      <c r="AP103" s="2" t="n">
        <f aca="false">COUNTIFS(guidance_agencies!$A$2:$A$81,$A103,guidance_agencies!$D$2:$D$81,"EDPB")</f>
        <v>0</v>
      </c>
      <c r="AQ103" s="2" t="n">
        <f aca="false">COUNTIFS(guidance_agencies!$A$2:$A$81,$A103,guidance_agencies!$D$2:$D$81,"EBA")</f>
        <v>0</v>
      </c>
      <c r="AR103" s="2" t="n">
        <f aca="false">COUNTIFS(guidance_agencies!$A$2:$A$81,$A103,guidance_agencies!$D$2:$D$81,"ESMA")</f>
        <v>0</v>
      </c>
      <c r="AS103" s="3" t="n">
        <f aca="false">SUMIFS(secondary_acts!$S$2:$S$771,secondary_acts!$A$2:$A$771,$A103,secondary_acts!$E$2:$E$771,"implementing")+SUMIFS(secondary_acts!$S$2:$S$771,secondary_acts!$A$2:$A$771,$A103,secondary_acts!$E$2:$E$771,"delegated")</f>
        <v>0</v>
      </c>
      <c r="AT103" s="3"/>
      <c r="AU103" s="2"/>
      <c r="AV103" s="2" t="n">
        <v>0</v>
      </c>
      <c r="AW103" s="2"/>
      <c r="AX103" s="2"/>
      <c r="AY103" s="2" t="n">
        <v>0</v>
      </c>
      <c r="AZ103" s="2" t="s">
        <v>1233</v>
      </c>
      <c r="BA103" s="2" t="s">
        <v>157</v>
      </c>
      <c r="BB103" s="2" t="n">
        <v>10780</v>
      </c>
      <c r="BC103" s="2" t="n">
        <v>105</v>
      </c>
      <c r="BD103" s="2" t="n">
        <v>4</v>
      </c>
      <c r="BE103" s="2" t="n">
        <f aca="false">IF(ISNUMBER(BB103),Q103-BB103,"")</f>
        <v>6336</v>
      </c>
      <c r="BF103" s="4" t="n">
        <f aca="false">IF(AND(ISNUMBER(BB103),BB103&gt;0),(Q103-BB103)/BB103,"")</f>
        <v>0.587755102040816</v>
      </c>
      <c r="BG103" s="2" t="n">
        <f aca="false">IF(ISNUMBER(BC103),X103-BC103,"")</f>
        <v>28</v>
      </c>
      <c r="BH103" s="4" t="n">
        <f aca="false">IF(AND(ISNUMBER(BC103),BC103&gt;0),(X103-BC103)/BC103,"")</f>
        <v>0.266666666666667</v>
      </c>
      <c r="BI103" s="2" t="n">
        <f aca="false">IF(ISNUMBER(BD103),AD103-BD103,"")</f>
        <v>1</v>
      </c>
      <c r="BJ103" s="2" t="s">
        <v>429</v>
      </c>
      <c r="BK103" s="2" t="s">
        <v>1234</v>
      </c>
      <c r="BL103" s="2" t="s">
        <v>1235</v>
      </c>
      <c r="BM103" s="2" t="n">
        <v>1</v>
      </c>
      <c r="BN103" s="2" t="n">
        <v>0</v>
      </c>
      <c r="BO103" s="2" t="n">
        <v>3</v>
      </c>
      <c r="BP103" s="2" t="n">
        <v>0</v>
      </c>
      <c r="BQ103" s="2" t="s">
        <v>1236</v>
      </c>
    </row>
    <row r="104" customFormat="false" ht="15" hidden="false" customHeight="false" outlineLevel="0" collapsed="false">
      <c r="A104" s="2" t="n">
        <v>103</v>
      </c>
      <c r="B104" s="2" t="s">
        <v>1237</v>
      </c>
      <c r="C104" s="2" t="s">
        <v>1238</v>
      </c>
      <c r="D104" s="2" t="s">
        <v>296</v>
      </c>
      <c r="E104" s="2" t="s">
        <v>1032</v>
      </c>
      <c r="F104" s="2" t="s">
        <v>588</v>
      </c>
      <c r="G104" s="2" t="s">
        <v>163</v>
      </c>
      <c r="H104" s="2" t="s">
        <v>1228</v>
      </c>
      <c r="I104" s="2" t="s">
        <v>1229</v>
      </c>
      <c r="J104" s="2" t="s">
        <v>1230</v>
      </c>
      <c r="K104" s="2" t="s">
        <v>1000</v>
      </c>
      <c r="L104" s="2" t="s">
        <v>77</v>
      </c>
      <c r="M104" s="2" t="s">
        <v>1239</v>
      </c>
      <c r="N104" s="2" t="s">
        <v>79</v>
      </c>
      <c r="O104" s="2" t="s">
        <v>1240</v>
      </c>
      <c r="P104" s="3" t="n">
        <v>82</v>
      </c>
      <c r="Q104" s="3" t="n">
        <v>36819</v>
      </c>
      <c r="R104" s="3" t="n">
        <v>9321</v>
      </c>
      <c r="S104" s="3" t="n">
        <v>9206</v>
      </c>
      <c r="T104" s="3" t="n">
        <v>16538</v>
      </c>
      <c r="U104" s="3" t="n">
        <v>10960</v>
      </c>
      <c r="V104" s="3" t="n">
        <v>0</v>
      </c>
      <c r="W104" s="3" t="n">
        <v>0</v>
      </c>
      <c r="X104" s="3" t="n">
        <v>478</v>
      </c>
      <c r="Y104" s="3" t="n">
        <v>392</v>
      </c>
      <c r="Z104" s="3" t="n">
        <v>56</v>
      </c>
      <c r="AA104" s="3" t="n">
        <v>6</v>
      </c>
      <c r="AB104" s="3" t="n">
        <v>1</v>
      </c>
      <c r="AC104" s="3" t="n">
        <v>23</v>
      </c>
      <c r="AD104" s="3" t="n">
        <v>162</v>
      </c>
      <c r="AE104" s="3" t="n">
        <v>48</v>
      </c>
      <c r="AF104" s="3" t="n">
        <v>66</v>
      </c>
      <c r="AG104" s="3" t="n">
        <v>202</v>
      </c>
      <c r="AH104" s="2" t="s">
        <v>1241</v>
      </c>
      <c r="AI104" s="3" t="n">
        <v>478</v>
      </c>
      <c r="AJ104" s="2" t="n">
        <v>162</v>
      </c>
      <c r="AK104" s="2" t="n">
        <f aca="false">COUNTIFS(secondary_acts!$A$2:$A$771,$A104,secondary_acts!$E$2:$E$771,"implementing")</f>
        <v>0</v>
      </c>
      <c r="AL104" s="2" t="n">
        <f aca="false">COUNTIFS(secondary_acts!$A$2:$A$771,$A104,secondary_acts!$E$2:$E$771,"delegated")</f>
        <v>0</v>
      </c>
      <c r="AM104" s="2" t="n">
        <f aca="false">COUNTIFS(secondary_acts!$A$2:$A$771,$A104,secondary_acts!$E$2:$E$771,"other Commission/Council act")</f>
        <v>0</v>
      </c>
      <c r="AN104" s="2" t="n">
        <f aca="false">COUNTIFS(secondary_acts!$A$2:$A$771,$A104,secondary_acts!$E$2:$E$771,"guidance")</f>
        <v>0</v>
      </c>
      <c r="AO104" s="2" t="n">
        <f aca="false">COUNTIF(guidance_web!$A$2:$A$7,$A104)</f>
        <v>0</v>
      </c>
      <c r="AP104" s="2" t="n">
        <f aca="false">COUNTIFS(guidance_agencies!$A$2:$A$81,$A104,guidance_agencies!$D$2:$D$81,"EDPB")</f>
        <v>0</v>
      </c>
      <c r="AQ104" s="2" t="n">
        <f aca="false">COUNTIFS(guidance_agencies!$A$2:$A$81,$A104,guidance_agencies!$D$2:$D$81,"EBA")</f>
        <v>0</v>
      </c>
      <c r="AR104" s="2" t="n">
        <f aca="false">COUNTIFS(guidance_agencies!$A$2:$A$81,$A104,guidance_agencies!$D$2:$D$81,"ESMA")</f>
        <v>0</v>
      </c>
      <c r="AS104" s="3" t="n">
        <f aca="false">SUMIFS(secondary_acts!$S$2:$S$771,secondary_acts!$A$2:$A$771,$A104,secondary_acts!$E$2:$E$771,"implementing")+SUMIFS(secondary_acts!$S$2:$S$771,secondary_acts!$A$2:$A$771,$A104,secondary_acts!$E$2:$E$771,"delegated")</f>
        <v>0</v>
      </c>
      <c r="AT104" s="3"/>
      <c r="AU104" s="2"/>
      <c r="AV104" s="2" t="n">
        <v>0</v>
      </c>
      <c r="AW104" s="2"/>
      <c r="AX104" s="2"/>
      <c r="AY104" s="2" t="n">
        <v>2</v>
      </c>
      <c r="AZ104" s="2" t="s">
        <v>1242</v>
      </c>
      <c r="BA104" s="2" t="s">
        <v>157</v>
      </c>
      <c r="BB104" s="2" t="n">
        <v>29688</v>
      </c>
      <c r="BC104" s="2" t="n">
        <v>406</v>
      </c>
      <c r="BD104" s="2" t="n">
        <v>134</v>
      </c>
      <c r="BE104" s="2" t="n">
        <f aca="false">IF(ISNUMBER(BB104),Q104-BB104,"")</f>
        <v>7131</v>
      </c>
      <c r="BF104" s="4" t="n">
        <f aca="false">IF(AND(ISNUMBER(BB104),BB104&gt;0),(Q104-BB104)/BB104,"")</f>
        <v>0.24019805982215</v>
      </c>
      <c r="BG104" s="2" t="n">
        <f aca="false">IF(ISNUMBER(BC104),X104-BC104,"")</f>
        <v>72</v>
      </c>
      <c r="BH104" s="4" t="n">
        <f aca="false">IF(AND(ISNUMBER(BC104),BC104&gt;0),(X104-BC104)/BC104,"")</f>
        <v>0.177339901477833</v>
      </c>
      <c r="BI104" s="2" t="n">
        <f aca="false">IF(ISNUMBER(BD104),AD104-BD104,"")</f>
        <v>28</v>
      </c>
      <c r="BJ104" s="2" t="s">
        <v>429</v>
      </c>
      <c r="BK104" s="2" t="s">
        <v>1243</v>
      </c>
      <c r="BL104" s="2" t="s">
        <v>1244</v>
      </c>
      <c r="BM104" s="2" t="n">
        <v>3</v>
      </c>
      <c r="BN104" s="2" t="n">
        <v>0</v>
      </c>
      <c r="BO104" s="2" t="n">
        <v>2</v>
      </c>
      <c r="BP104" s="2" t="n">
        <v>0</v>
      </c>
      <c r="BQ104" s="2" t="s">
        <v>1245</v>
      </c>
    </row>
    <row r="105" customFormat="false" ht="15" hidden="false" customHeight="false" outlineLevel="0" collapsed="false">
      <c r="A105" s="2" t="n">
        <v>104</v>
      </c>
      <c r="B105" s="2" t="s">
        <v>1246</v>
      </c>
      <c r="C105" s="2" t="s">
        <v>1247</v>
      </c>
      <c r="D105" s="2" t="s">
        <v>253</v>
      </c>
      <c r="E105" s="2" t="s">
        <v>999</v>
      </c>
      <c r="F105" s="2" t="s">
        <v>1248</v>
      </c>
      <c r="G105" s="2" t="s">
        <v>163</v>
      </c>
      <c r="H105" s="2"/>
      <c r="I105" s="2"/>
      <c r="J105" s="2"/>
      <c r="K105" s="2" t="s">
        <v>1000</v>
      </c>
      <c r="L105" s="2" t="s">
        <v>1000</v>
      </c>
      <c r="M105" s="2" t="s">
        <v>1249</v>
      </c>
      <c r="N105" s="2" t="s">
        <v>1002</v>
      </c>
      <c r="O105" s="2" t="s">
        <v>1250</v>
      </c>
      <c r="P105" s="3" t="n">
        <v>26</v>
      </c>
      <c r="Q105" s="3" t="n">
        <v>5601</v>
      </c>
      <c r="R105" s="3" t="n">
        <v>2616</v>
      </c>
      <c r="S105" s="3" t="n">
        <v>2524</v>
      </c>
      <c r="T105" s="3" t="n">
        <v>2985</v>
      </c>
      <c r="U105" s="3" t="n">
        <v>0</v>
      </c>
      <c r="V105" s="3" t="n">
        <v>5166</v>
      </c>
      <c r="W105" s="3" t="n">
        <v>0</v>
      </c>
      <c r="X105" s="3" t="n">
        <v>56</v>
      </c>
      <c r="Y105" s="3" t="n">
        <v>46</v>
      </c>
      <c r="Z105" s="3" t="n">
        <v>6</v>
      </c>
      <c r="AA105" s="3" t="n">
        <v>0</v>
      </c>
      <c r="AB105" s="3" t="n">
        <v>0</v>
      </c>
      <c r="AC105" s="3" t="n">
        <v>4</v>
      </c>
      <c r="AD105" s="3" t="n">
        <v>9</v>
      </c>
      <c r="AE105" s="3" t="n">
        <v>22</v>
      </c>
      <c r="AF105" s="3" t="n">
        <v>5</v>
      </c>
      <c r="AG105" s="3" t="n">
        <v>20</v>
      </c>
      <c r="AH105" s="2"/>
      <c r="AI105" s="3"/>
      <c r="AJ105" s="2"/>
      <c r="AK105" s="2" t="n">
        <f aca="false">COUNTIFS(secondary_acts!$A$2:$A$771,$A105,secondary_acts!$E$2:$E$771,"implementing")</f>
        <v>0</v>
      </c>
      <c r="AL105" s="2" t="n">
        <f aca="false">COUNTIFS(secondary_acts!$A$2:$A$771,$A105,secondary_acts!$E$2:$E$771,"delegated")</f>
        <v>0</v>
      </c>
      <c r="AM105" s="2" t="n">
        <f aca="false">COUNTIFS(secondary_acts!$A$2:$A$771,$A105,secondary_acts!$E$2:$E$771,"other Commission/Council act")</f>
        <v>0</v>
      </c>
      <c r="AN105" s="2" t="n">
        <f aca="false">COUNTIFS(secondary_acts!$A$2:$A$771,$A105,secondary_acts!$E$2:$E$771,"guidance")</f>
        <v>0</v>
      </c>
      <c r="AO105" s="2" t="n">
        <f aca="false">COUNTIF(guidance_web!$A$2:$A$7,$A105)</f>
        <v>0</v>
      </c>
      <c r="AP105" s="2" t="n">
        <f aca="false">COUNTIFS(guidance_agencies!$A$2:$A$81,$A105,guidance_agencies!$D$2:$D$81,"EDPB")</f>
        <v>0</v>
      </c>
      <c r="AQ105" s="2" t="n">
        <f aca="false">COUNTIFS(guidance_agencies!$A$2:$A$81,$A105,guidance_agencies!$D$2:$D$81,"EBA")</f>
        <v>0</v>
      </c>
      <c r="AR105" s="2" t="n">
        <f aca="false">COUNTIFS(guidance_agencies!$A$2:$A$81,$A105,guidance_agencies!$D$2:$D$81,"ESMA")</f>
        <v>0</v>
      </c>
      <c r="AS105" s="3" t="n">
        <f aca="false">SUMIFS(secondary_acts!$S$2:$S$771,secondary_acts!$A$2:$A$771,$A105,secondary_acts!$E$2:$E$771,"implementing")+SUMIFS(secondary_acts!$S$2:$S$771,secondary_acts!$A$2:$A$771,$A105,secondary_acts!$E$2:$E$771,"delegated")</f>
        <v>0</v>
      </c>
      <c r="AT105" s="3"/>
      <c r="AU105" s="2"/>
      <c r="AV105" s="2"/>
      <c r="AW105" s="2"/>
      <c r="AX105" s="2"/>
      <c r="AY105" s="2"/>
      <c r="AZ105" s="2"/>
      <c r="BA105" s="2" t="s">
        <v>1004</v>
      </c>
      <c r="BB105" s="2"/>
      <c r="BC105" s="2"/>
      <c r="BD105" s="2"/>
      <c r="BE105" s="2" t="str">
        <f aca="false">IF(ISNUMBER(BB105),Q105-BB105,"")</f>
        <v/>
      </c>
      <c r="BF105" s="4" t="str">
        <f aca="false">IF(AND(ISNUMBER(BB105),BB105&gt;0),(Q105-BB105)/BB105,"")</f>
        <v/>
      </c>
      <c r="BG105" s="2" t="str">
        <f aca="false">IF(ISNUMBER(BC105),X105-BC105,"")</f>
        <v/>
      </c>
      <c r="BH105" s="4" t="str">
        <f aca="false">IF(AND(ISNUMBER(BC105),BC105&gt;0),(X105-BC105)/BC105,"")</f>
        <v/>
      </c>
      <c r="BI105" s="2" t="str">
        <f aca="false">IF(ISNUMBER(BD105),AD105-BD105,"")</f>
        <v/>
      </c>
      <c r="BJ105" s="2" t="s">
        <v>429</v>
      </c>
      <c r="BK105" s="2" t="s">
        <v>1251</v>
      </c>
      <c r="BL105" s="2" t="s">
        <v>1252</v>
      </c>
      <c r="BM105" s="2" t="n">
        <v>3</v>
      </c>
      <c r="BN105" s="2" t="n">
        <v>0</v>
      </c>
      <c r="BO105" s="2" t="n">
        <v>2</v>
      </c>
      <c r="BP105" s="2" t="n">
        <v>0</v>
      </c>
      <c r="BQ105" s="2"/>
    </row>
    <row r="106" customFormat="false" ht="15" hidden="false" customHeight="false" outlineLevel="0" collapsed="false">
      <c r="A106" s="2" t="n">
        <v>105</v>
      </c>
      <c r="B106" s="2" t="s">
        <v>1253</v>
      </c>
      <c r="C106" s="2" t="s">
        <v>1254</v>
      </c>
      <c r="D106" s="2" t="s">
        <v>348</v>
      </c>
      <c r="E106" s="2" t="s">
        <v>999</v>
      </c>
      <c r="F106" s="2" t="s">
        <v>1255</v>
      </c>
      <c r="G106" s="2" t="s">
        <v>163</v>
      </c>
      <c r="H106" s="2"/>
      <c r="I106" s="2"/>
      <c r="J106" s="2"/>
      <c r="K106" s="2" t="s">
        <v>1000</v>
      </c>
      <c r="L106" s="2" t="s">
        <v>1000</v>
      </c>
      <c r="M106" s="2" t="s">
        <v>1256</v>
      </c>
      <c r="N106" s="2" t="s">
        <v>1002</v>
      </c>
      <c r="O106" s="2" t="s">
        <v>1257</v>
      </c>
      <c r="P106" s="3" t="n">
        <v>82</v>
      </c>
      <c r="Q106" s="3" t="n">
        <v>20780</v>
      </c>
      <c r="R106" s="3" t="n">
        <v>8856</v>
      </c>
      <c r="S106" s="3" t="n">
        <v>8736</v>
      </c>
      <c r="T106" s="3" t="n">
        <v>10327</v>
      </c>
      <c r="U106" s="3" t="n">
        <v>1597</v>
      </c>
      <c r="V106" s="3" t="n">
        <v>7673</v>
      </c>
      <c r="W106" s="3" t="n">
        <v>0</v>
      </c>
      <c r="X106" s="3" t="n">
        <v>160</v>
      </c>
      <c r="Y106" s="3" t="n">
        <v>140</v>
      </c>
      <c r="Z106" s="3" t="n">
        <v>5</v>
      </c>
      <c r="AA106" s="3" t="n">
        <v>0</v>
      </c>
      <c r="AB106" s="3" t="n">
        <v>0</v>
      </c>
      <c r="AC106" s="3" t="n">
        <v>15</v>
      </c>
      <c r="AD106" s="3" t="n">
        <v>2</v>
      </c>
      <c r="AE106" s="3" t="n">
        <v>107</v>
      </c>
      <c r="AF106" s="3" t="n">
        <v>3</v>
      </c>
      <c r="AG106" s="3" t="n">
        <v>48</v>
      </c>
      <c r="AH106" s="2"/>
      <c r="AI106" s="3"/>
      <c r="AJ106" s="2"/>
      <c r="AK106" s="2" t="n">
        <f aca="false">COUNTIFS(secondary_acts!$A$2:$A$771,$A106,secondary_acts!$E$2:$E$771,"implementing")</f>
        <v>0</v>
      </c>
      <c r="AL106" s="2" t="n">
        <f aca="false">COUNTIFS(secondary_acts!$A$2:$A$771,$A106,secondary_acts!$E$2:$E$771,"delegated")</f>
        <v>0</v>
      </c>
      <c r="AM106" s="2" t="n">
        <f aca="false">COUNTIFS(secondary_acts!$A$2:$A$771,$A106,secondary_acts!$E$2:$E$771,"other Commission/Council act")</f>
        <v>0</v>
      </c>
      <c r="AN106" s="2" t="n">
        <f aca="false">COUNTIFS(secondary_acts!$A$2:$A$771,$A106,secondary_acts!$E$2:$E$771,"guidance")</f>
        <v>0</v>
      </c>
      <c r="AO106" s="2" t="n">
        <f aca="false">COUNTIF(guidance_web!$A$2:$A$7,$A106)</f>
        <v>0</v>
      </c>
      <c r="AP106" s="2" t="n">
        <f aca="false">COUNTIFS(guidance_agencies!$A$2:$A$81,$A106,guidance_agencies!$D$2:$D$81,"EDPB")</f>
        <v>0</v>
      </c>
      <c r="AQ106" s="2" t="n">
        <f aca="false">COUNTIFS(guidance_agencies!$A$2:$A$81,$A106,guidance_agencies!$D$2:$D$81,"EBA")</f>
        <v>0</v>
      </c>
      <c r="AR106" s="2" t="n">
        <f aca="false">COUNTIFS(guidance_agencies!$A$2:$A$81,$A106,guidance_agencies!$D$2:$D$81,"ESMA")</f>
        <v>0</v>
      </c>
      <c r="AS106" s="3" t="n">
        <f aca="false">SUMIFS(secondary_acts!$S$2:$S$771,secondary_acts!$A$2:$A$771,$A106,secondary_acts!$E$2:$E$771,"implementing")+SUMIFS(secondary_acts!$S$2:$S$771,secondary_acts!$A$2:$A$771,$A106,secondary_acts!$E$2:$E$771,"delegated")</f>
        <v>0</v>
      </c>
      <c r="AT106" s="3"/>
      <c r="AU106" s="2"/>
      <c r="AV106" s="2"/>
      <c r="AW106" s="2"/>
      <c r="AX106" s="2"/>
      <c r="AY106" s="2"/>
      <c r="AZ106" s="2"/>
      <c r="BA106" s="2" t="s">
        <v>1004</v>
      </c>
      <c r="BB106" s="2"/>
      <c r="BC106" s="2"/>
      <c r="BD106" s="2"/>
      <c r="BE106" s="2" t="str">
        <f aca="false">IF(ISNUMBER(BB106),Q106-BB106,"")</f>
        <v/>
      </c>
      <c r="BF106" s="4" t="str">
        <f aca="false">IF(AND(ISNUMBER(BB106),BB106&gt;0),(Q106-BB106)/BB106,"")</f>
        <v/>
      </c>
      <c r="BG106" s="2" t="str">
        <f aca="false">IF(ISNUMBER(BC106),X106-BC106,"")</f>
        <v/>
      </c>
      <c r="BH106" s="4" t="str">
        <f aca="false">IF(AND(ISNUMBER(BC106),BC106&gt;0),(X106-BC106)/BC106,"")</f>
        <v/>
      </c>
      <c r="BI106" s="2" t="str">
        <f aca="false">IF(ISNUMBER(BD106),AD106-BD106,"")</f>
        <v/>
      </c>
      <c r="BJ106" s="2" t="s">
        <v>429</v>
      </c>
      <c r="BK106" s="2" t="s">
        <v>1258</v>
      </c>
      <c r="BL106" s="2" t="s">
        <v>1259</v>
      </c>
      <c r="BM106" s="2" t="n">
        <v>2</v>
      </c>
      <c r="BN106" s="2" t="n">
        <v>0</v>
      </c>
      <c r="BO106" s="2" t="n">
        <v>0</v>
      </c>
      <c r="BP106" s="2" t="n">
        <v>0</v>
      </c>
      <c r="BQ106" s="2"/>
    </row>
    <row r="107" customFormat="false" ht="15" hidden="false" customHeight="false" outlineLevel="0" collapsed="false">
      <c r="A107" s="2" t="n">
        <v>106</v>
      </c>
      <c r="B107" s="2" t="s">
        <v>1260</v>
      </c>
      <c r="C107" s="2" t="s">
        <v>1261</v>
      </c>
      <c r="D107" s="2" t="s">
        <v>348</v>
      </c>
      <c r="E107" s="2" t="s">
        <v>999</v>
      </c>
      <c r="F107" s="2" t="s">
        <v>1262</v>
      </c>
      <c r="G107" s="2" t="s">
        <v>163</v>
      </c>
      <c r="H107" s="2"/>
      <c r="I107" s="2"/>
      <c r="J107" s="2"/>
      <c r="K107" s="2" t="s">
        <v>1000</v>
      </c>
      <c r="L107" s="2" t="s">
        <v>1000</v>
      </c>
      <c r="M107" s="2" t="s">
        <v>1263</v>
      </c>
      <c r="N107" s="2" t="s">
        <v>1002</v>
      </c>
      <c r="O107" s="2" t="s">
        <v>1264</v>
      </c>
      <c r="P107" s="3" t="n">
        <v>60</v>
      </c>
      <c r="Q107" s="3" t="n">
        <v>7556</v>
      </c>
      <c r="R107" s="3" t="n">
        <v>3129</v>
      </c>
      <c r="S107" s="3" t="n">
        <v>3010</v>
      </c>
      <c r="T107" s="3" t="n">
        <v>4348</v>
      </c>
      <c r="U107" s="3" t="n">
        <v>79</v>
      </c>
      <c r="V107" s="3" t="n">
        <v>6803</v>
      </c>
      <c r="W107" s="3" t="n">
        <v>6692</v>
      </c>
      <c r="X107" s="3" t="n">
        <v>53</v>
      </c>
      <c r="Y107" s="3" t="n">
        <v>46</v>
      </c>
      <c r="Z107" s="3" t="n">
        <v>2</v>
      </c>
      <c r="AA107" s="3" t="n">
        <v>0</v>
      </c>
      <c r="AB107" s="3" t="n">
        <v>0</v>
      </c>
      <c r="AC107" s="3" t="n">
        <v>5</v>
      </c>
      <c r="AD107" s="3" t="n">
        <v>3</v>
      </c>
      <c r="AE107" s="3" t="n">
        <v>6</v>
      </c>
      <c r="AF107" s="3" t="n">
        <v>29</v>
      </c>
      <c r="AG107" s="3" t="n">
        <v>15</v>
      </c>
      <c r="AH107" s="2"/>
      <c r="AI107" s="3"/>
      <c r="AJ107" s="2"/>
      <c r="AK107" s="2" t="n">
        <f aca="false">COUNTIFS(secondary_acts!$A$2:$A$771,$A107,secondary_acts!$E$2:$E$771,"implementing")</f>
        <v>0</v>
      </c>
      <c r="AL107" s="2" t="n">
        <f aca="false">COUNTIFS(secondary_acts!$A$2:$A$771,$A107,secondary_acts!$E$2:$E$771,"delegated")</f>
        <v>0</v>
      </c>
      <c r="AM107" s="2" t="n">
        <f aca="false">COUNTIFS(secondary_acts!$A$2:$A$771,$A107,secondary_acts!$E$2:$E$771,"other Commission/Council act")</f>
        <v>0</v>
      </c>
      <c r="AN107" s="2" t="n">
        <f aca="false">COUNTIFS(secondary_acts!$A$2:$A$771,$A107,secondary_acts!$E$2:$E$771,"guidance")</f>
        <v>0</v>
      </c>
      <c r="AO107" s="2" t="n">
        <f aca="false">COUNTIF(guidance_web!$A$2:$A$7,$A107)</f>
        <v>0</v>
      </c>
      <c r="AP107" s="2" t="n">
        <f aca="false">COUNTIFS(guidance_agencies!$A$2:$A$81,$A107,guidance_agencies!$D$2:$D$81,"EDPB")</f>
        <v>0</v>
      </c>
      <c r="AQ107" s="2" t="n">
        <f aca="false">COUNTIFS(guidance_agencies!$A$2:$A$81,$A107,guidance_agencies!$D$2:$D$81,"EBA")</f>
        <v>0</v>
      </c>
      <c r="AR107" s="2" t="n">
        <f aca="false">COUNTIFS(guidance_agencies!$A$2:$A$81,$A107,guidance_agencies!$D$2:$D$81,"ESMA")</f>
        <v>0</v>
      </c>
      <c r="AS107" s="3" t="n">
        <f aca="false">SUMIFS(secondary_acts!$S$2:$S$771,secondary_acts!$A$2:$A$771,$A107,secondary_acts!$E$2:$E$771,"implementing")+SUMIFS(secondary_acts!$S$2:$S$771,secondary_acts!$A$2:$A$771,$A107,secondary_acts!$E$2:$E$771,"delegated")</f>
        <v>0</v>
      </c>
      <c r="AT107" s="3"/>
      <c r="AU107" s="2"/>
      <c r="AV107" s="2"/>
      <c r="AW107" s="2"/>
      <c r="AX107" s="2"/>
      <c r="AY107" s="2"/>
      <c r="AZ107" s="2"/>
      <c r="BA107" s="2" t="s">
        <v>1004</v>
      </c>
      <c r="BB107" s="2"/>
      <c r="BC107" s="2"/>
      <c r="BD107" s="2"/>
      <c r="BE107" s="2" t="str">
        <f aca="false">IF(ISNUMBER(BB107),Q107-BB107,"")</f>
        <v/>
      </c>
      <c r="BF107" s="4" t="str">
        <f aca="false">IF(AND(ISNUMBER(BB107),BB107&gt;0),(Q107-BB107)/BB107,"")</f>
        <v/>
      </c>
      <c r="BG107" s="2" t="str">
        <f aca="false">IF(ISNUMBER(BC107),X107-BC107,"")</f>
        <v/>
      </c>
      <c r="BH107" s="4" t="str">
        <f aca="false">IF(AND(ISNUMBER(BC107),BC107&gt;0),(X107-BC107)/BC107,"")</f>
        <v/>
      </c>
      <c r="BI107" s="2" t="str">
        <f aca="false">IF(ISNUMBER(BD107),AD107-BD107,"")</f>
        <v/>
      </c>
      <c r="BJ107" s="2" t="s">
        <v>429</v>
      </c>
      <c r="BK107" s="2" t="s">
        <v>1265</v>
      </c>
      <c r="BL107" s="2" t="s">
        <v>1266</v>
      </c>
      <c r="BM107" s="2" t="n">
        <v>5</v>
      </c>
      <c r="BN107" s="2" t="n">
        <v>1</v>
      </c>
      <c r="BO107" s="2" t="n">
        <v>0</v>
      </c>
      <c r="BP107" s="2" t="n">
        <v>0</v>
      </c>
      <c r="BQ107" s="2"/>
    </row>
    <row r="108" customFormat="false" ht="15" hidden="false" customHeight="false" outlineLevel="0" collapsed="false">
      <c r="A108" s="2" t="n">
        <v>107</v>
      </c>
      <c r="B108" s="2" t="s">
        <v>1267</v>
      </c>
      <c r="C108" s="2" t="s">
        <v>1268</v>
      </c>
      <c r="D108" s="2" t="s">
        <v>634</v>
      </c>
      <c r="E108" s="2" t="s">
        <v>1269</v>
      </c>
      <c r="F108" s="2" t="s">
        <v>1270</v>
      </c>
      <c r="G108" s="2" t="s">
        <v>92</v>
      </c>
      <c r="H108" s="2"/>
      <c r="I108" s="2"/>
      <c r="J108" s="2"/>
      <c r="K108" s="2" t="s">
        <v>1000</v>
      </c>
      <c r="L108" s="2" t="s">
        <v>1000</v>
      </c>
      <c r="M108" s="2" t="s">
        <v>1271</v>
      </c>
      <c r="N108" s="2" t="s">
        <v>1002</v>
      </c>
      <c r="O108" s="2" t="s">
        <v>1272</v>
      </c>
      <c r="P108" s="3" t="n">
        <v>186</v>
      </c>
      <c r="Q108" s="3" t="n">
        <v>58336</v>
      </c>
      <c r="R108" s="3" t="n">
        <v>12071</v>
      </c>
      <c r="S108" s="3" t="n">
        <v>11964</v>
      </c>
      <c r="T108" s="3" t="n">
        <v>32425</v>
      </c>
      <c r="U108" s="3" t="n">
        <v>13840</v>
      </c>
      <c r="V108" s="3" t="n">
        <v>5989</v>
      </c>
      <c r="W108" s="3" t="n">
        <v>9075</v>
      </c>
      <c r="X108" s="3" t="n">
        <v>800</v>
      </c>
      <c r="Y108" s="3" t="n">
        <v>726</v>
      </c>
      <c r="Z108" s="3" t="n">
        <v>17</v>
      </c>
      <c r="AA108" s="3" t="n">
        <v>4</v>
      </c>
      <c r="AB108" s="3" t="n">
        <v>4</v>
      </c>
      <c r="AC108" s="3" t="n">
        <v>49</v>
      </c>
      <c r="AD108" s="3" t="n">
        <v>238</v>
      </c>
      <c r="AE108" s="3" t="n">
        <v>75</v>
      </c>
      <c r="AF108" s="3" t="n">
        <v>241</v>
      </c>
      <c r="AG108" s="3" t="n">
        <v>246</v>
      </c>
      <c r="AH108" s="2"/>
      <c r="AI108" s="3"/>
      <c r="AJ108" s="2"/>
      <c r="AK108" s="2" t="n">
        <f aca="false">COUNTIFS(secondary_acts!$A$2:$A$771,$A108,secondary_acts!$E$2:$E$771,"implementing")</f>
        <v>0</v>
      </c>
      <c r="AL108" s="2" t="n">
        <f aca="false">COUNTIFS(secondary_acts!$A$2:$A$771,$A108,secondary_acts!$E$2:$E$771,"delegated")</f>
        <v>0</v>
      </c>
      <c r="AM108" s="2" t="n">
        <f aca="false">COUNTIFS(secondary_acts!$A$2:$A$771,$A108,secondary_acts!$E$2:$E$771,"other Commission/Council act")</f>
        <v>0</v>
      </c>
      <c r="AN108" s="2" t="n">
        <f aca="false">COUNTIFS(secondary_acts!$A$2:$A$771,$A108,secondary_acts!$E$2:$E$771,"guidance")</f>
        <v>0</v>
      </c>
      <c r="AO108" s="2" t="n">
        <f aca="false">COUNTIF(guidance_web!$A$2:$A$7,$A108)</f>
        <v>0</v>
      </c>
      <c r="AP108" s="2" t="n">
        <f aca="false">COUNTIFS(guidance_agencies!$A$2:$A$81,$A108,guidance_agencies!$D$2:$D$81,"EDPB")</f>
        <v>0</v>
      </c>
      <c r="AQ108" s="2" t="n">
        <f aca="false">COUNTIFS(guidance_agencies!$A$2:$A$81,$A108,guidance_agencies!$D$2:$D$81,"EBA")</f>
        <v>0</v>
      </c>
      <c r="AR108" s="2" t="n">
        <f aca="false">COUNTIFS(guidance_agencies!$A$2:$A$81,$A108,guidance_agencies!$D$2:$D$81,"ESMA")</f>
        <v>0</v>
      </c>
      <c r="AS108" s="3" t="n">
        <f aca="false">SUMIFS(secondary_acts!$S$2:$S$771,secondary_acts!$A$2:$A$771,$A108,secondary_acts!$E$2:$E$771,"implementing")+SUMIFS(secondary_acts!$S$2:$S$771,secondary_acts!$A$2:$A$771,$A108,secondary_acts!$E$2:$E$771,"delegated")</f>
        <v>0</v>
      </c>
      <c r="AT108" s="3"/>
      <c r="AU108" s="2"/>
      <c r="AV108" s="2"/>
      <c r="AW108" s="2"/>
      <c r="AX108" s="2"/>
      <c r="AY108" s="2"/>
      <c r="AZ108" s="2"/>
      <c r="BA108" s="2" t="s">
        <v>1004</v>
      </c>
      <c r="BB108" s="2"/>
      <c r="BC108" s="2"/>
      <c r="BD108" s="2"/>
      <c r="BE108" s="2" t="str">
        <f aca="false">IF(ISNUMBER(BB108),Q108-BB108,"")</f>
        <v/>
      </c>
      <c r="BF108" s="4" t="str">
        <f aca="false">IF(AND(ISNUMBER(BB108),BB108&gt;0),(Q108-BB108)/BB108,"")</f>
        <v/>
      </c>
      <c r="BG108" s="2" t="str">
        <f aca="false">IF(ISNUMBER(BC108),X108-BC108,"")</f>
        <v/>
      </c>
      <c r="BH108" s="4" t="str">
        <f aca="false">IF(AND(ISNUMBER(BC108),BC108&gt;0),(X108-BC108)/BC108,"")</f>
        <v/>
      </c>
      <c r="BI108" s="2" t="str">
        <f aca="false">IF(ISNUMBER(BD108),AD108-BD108,"")</f>
        <v/>
      </c>
      <c r="BJ108" s="2" t="s">
        <v>429</v>
      </c>
      <c r="BK108" s="2" t="s">
        <v>1273</v>
      </c>
      <c r="BL108" s="2" t="s">
        <v>1274</v>
      </c>
      <c r="BM108" s="2" t="n">
        <v>3</v>
      </c>
      <c r="BN108" s="2" t="n">
        <v>0</v>
      </c>
      <c r="BO108" s="2" t="n">
        <v>1</v>
      </c>
      <c r="BP108" s="2" t="n">
        <v>0</v>
      </c>
      <c r="BQ108" s="2"/>
    </row>
    <row r="109" customFormat="false" ht="15" hidden="false" customHeight="false" outlineLevel="0" collapsed="false">
      <c r="A109" s="2" t="n">
        <v>108</v>
      </c>
      <c r="B109" s="2" t="s">
        <v>1275</v>
      </c>
      <c r="C109" s="2" t="s">
        <v>1276</v>
      </c>
      <c r="D109" s="2" t="s">
        <v>296</v>
      </c>
      <c r="E109" s="2" t="s">
        <v>72</v>
      </c>
      <c r="F109" s="2" t="s">
        <v>1277</v>
      </c>
      <c r="G109" s="2" t="s">
        <v>163</v>
      </c>
      <c r="H109" s="2" t="s">
        <v>1278</v>
      </c>
      <c r="I109" s="2" t="s">
        <v>1278</v>
      </c>
      <c r="J109" s="2" t="s">
        <v>1279</v>
      </c>
      <c r="K109" s="2" t="s">
        <v>77</v>
      </c>
      <c r="L109" s="2" t="s">
        <v>77</v>
      </c>
      <c r="M109" s="2" t="s">
        <v>1280</v>
      </c>
      <c r="N109" s="2" t="s">
        <v>79</v>
      </c>
      <c r="O109" s="2" t="s">
        <v>1281</v>
      </c>
      <c r="P109" s="3" t="n">
        <v>22</v>
      </c>
      <c r="Q109" s="3" t="n">
        <v>12297</v>
      </c>
      <c r="R109" s="3" t="n">
        <v>5610</v>
      </c>
      <c r="S109" s="3" t="n">
        <v>5434</v>
      </c>
      <c r="T109" s="3" t="n">
        <v>5609</v>
      </c>
      <c r="U109" s="3" t="n">
        <v>1078</v>
      </c>
      <c r="V109" s="3" t="n">
        <v>0</v>
      </c>
      <c r="W109" s="3" t="n">
        <v>0</v>
      </c>
      <c r="X109" s="3" t="n">
        <v>77</v>
      </c>
      <c r="Y109" s="3" t="n">
        <v>70</v>
      </c>
      <c r="Z109" s="3" t="n">
        <v>6</v>
      </c>
      <c r="AA109" s="3" t="n">
        <v>0</v>
      </c>
      <c r="AB109" s="3" t="n">
        <v>0</v>
      </c>
      <c r="AC109" s="3" t="n">
        <v>1</v>
      </c>
      <c r="AD109" s="3" t="n">
        <v>10</v>
      </c>
      <c r="AE109" s="3" t="n">
        <v>19</v>
      </c>
      <c r="AF109" s="3" t="n">
        <v>30</v>
      </c>
      <c r="AG109" s="3" t="n">
        <v>18</v>
      </c>
      <c r="AH109" s="2" t="s">
        <v>1282</v>
      </c>
      <c r="AI109" s="3" t="n">
        <v>77</v>
      </c>
      <c r="AJ109" s="2" t="n">
        <v>10</v>
      </c>
      <c r="AK109" s="2" t="n">
        <f aca="false">COUNTIFS(secondary_acts!$A$2:$A$771,$A109,secondary_acts!$E$2:$E$771,"implementing")</f>
        <v>189</v>
      </c>
      <c r="AL109" s="2" t="n">
        <f aca="false">COUNTIFS(secondary_acts!$A$2:$A$771,$A109,secondary_acts!$E$2:$E$771,"delegated")</f>
        <v>0</v>
      </c>
      <c r="AM109" s="2" t="n">
        <f aca="false">COUNTIFS(secondary_acts!$A$2:$A$771,$A109,secondary_acts!$E$2:$E$771,"other Commission/Council act")</f>
        <v>0</v>
      </c>
      <c r="AN109" s="2" t="n">
        <f aca="false">COUNTIFS(secondary_acts!$A$2:$A$771,$A109,secondary_acts!$E$2:$E$771,"guidance")</f>
        <v>0</v>
      </c>
      <c r="AO109" s="2" t="n">
        <f aca="false">COUNTIF(guidance_web!$A$2:$A$7,$A109)</f>
        <v>0</v>
      </c>
      <c r="AP109" s="2" t="n">
        <f aca="false">COUNTIFS(guidance_agencies!$A$2:$A$81,$A109,guidance_agencies!$D$2:$D$81,"EDPB")</f>
        <v>0</v>
      </c>
      <c r="AQ109" s="2" t="n">
        <f aca="false">COUNTIFS(guidance_agencies!$A$2:$A$81,$A109,guidance_agencies!$D$2:$D$81,"EBA")</f>
        <v>0</v>
      </c>
      <c r="AR109" s="2" t="n">
        <f aca="false">COUNTIFS(guidance_agencies!$A$2:$A$81,$A109,guidance_agencies!$D$2:$D$81,"ESMA")</f>
        <v>0</v>
      </c>
      <c r="AS109" s="3" t="n">
        <f aca="false">SUMIFS(secondary_acts!$S$2:$S$771,secondary_acts!$A$2:$A$771,$A109,secondary_acts!$E$2:$E$771,"implementing")+SUMIFS(secondary_acts!$S$2:$S$771,secondary_acts!$A$2:$A$771,$A109,secondary_acts!$E$2:$E$771,"delegated")</f>
        <v>78</v>
      </c>
      <c r="AT109" s="3"/>
      <c r="AU109" s="2"/>
      <c r="AV109" s="2" t="n">
        <v>12</v>
      </c>
      <c r="AW109" s="2" t="s">
        <v>1283</v>
      </c>
      <c r="AX109" s="2" t="s">
        <v>868</v>
      </c>
      <c r="AY109" s="2" t="n">
        <v>1</v>
      </c>
      <c r="AZ109" s="2" t="s">
        <v>1284</v>
      </c>
      <c r="BA109" s="2" t="s">
        <v>157</v>
      </c>
      <c r="BB109" s="2" t="n">
        <v>8721</v>
      </c>
      <c r="BC109" s="2" t="n">
        <v>47</v>
      </c>
      <c r="BD109" s="2" t="n">
        <v>1</v>
      </c>
      <c r="BE109" s="2" t="n">
        <f aca="false">IF(ISNUMBER(BB109),Q109-BB109,"")</f>
        <v>3576</v>
      </c>
      <c r="BF109" s="4" t="n">
        <f aca="false">IF(AND(ISNUMBER(BB109),BB109&gt;0),(Q109-BB109)/BB109,"")</f>
        <v>0.410044719642243</v>
      </c>
      <c r="BG109" s="2" t="n">
        <f aca="false">IF(ISNUMBER(BC109),X109-BC109,"")</f>
        <v>30</v>
      </c>
      <c r="BH109" s="4" t="n">
        <f aca="false">IF(AND(ISNUMBER(BC109),BC109&gt;0),(X109-BC109)/BC109,"")</f>
        <v>0.638297872340426</v>
      </c>
      <c r="BI109" s="2" t="n">
        <f aca="false">IF(ISNUMBER(BD109),AD109-BD109,"")</f>
        <v>9</v>
      </c>
      <c r="BJ109" s="2" t="s">
        <v>85</v>
      </c>
      <c r="BK109" s="2" t="s">
        <v>1285</v>
      </c>
      <c r="BL109" s="2" t="s">
        <v>1286</v>
      </c>
      <c r="BM109" s="2" t="n">
        <v>4</v>
      </c>
      <c r="BN109" s="2" t="n">
        <v>4</v>
      </c>
      <c r="BO109" s="2" t="n">
        <v>2</v>
      </c>
      <c r="BP109" s="2" t="n">
        <v>0</v>
      </c>
      <c r="BQ109" s="2"/>
    </row>
    <row r="110" customFormat="false" ht="15" hidden="false" customHeight="false" outlineLevel="0" collapsed="false">
      <c r="A110" s="2" t="n">
        <v>109</v>
      </c>
      <c r="B110" s="2" t="s">
        <v>1287</v>
      </c>
      <c r="C110" s="2" t="s">
        <v>1288</v>
      </c>
      <c r="D110" s="2" t="s">
        <v>71</v>
      </c>
      <c r="E110" s="2" t="s">
        <v>72</v>
      </c>
      <c r="F110" s="2" t="s">
        <v>1289</v>
      </c>
      <c r="G110" s="2" t="s">
        <v>163</v>
      </c>
      <c r="H110" s="2" t="s">
        <v>1290</v>
      </c>
      <c r="I110" s="2" t="s">
        <v>1291</v>
      </c>
      <c r="J110" s="2" t="s">
        <v>1292</v>
      </c>
      <c r="K110" s="2" t="s">
        <v>77</v>
      </c>
      <c r="L110" s="2" t="s">
        <v>77</v>
      </c>
      <c r="M110" s="2" t="s">
        <v>1293</v>
      </c>
      <c r="N110" s="2" t="s">
        <v>79</v>
      </c>
      <c r="O110" s="2" t="s">
        <v>1294</v>
      </c>
      <c r="P110" s="3" t="n">
        <v>28</v>
      </c>
      <c r="Q110" s="3" t="n">
        <v>14216</v>
      </c>
      <c r="R110" s="3" t="n">
        <v>3466</v>
      </c>
      <c r="S110" s="3" t="n">
        <v>3348</v>
      </c>
      <c r="T110" s="3" t="n">
        <v>8270</v>
      </c>
      <c r="U110" s="3" t="n">
        <v>2480</v>
      </c>
      <c r="V110" s="3" t="n">
        <v>0</v>
      </c>
      <c r="W110" s="3" t="n">
        <v>0</v>
      </c>
      <c r="X110" s="3" t="n">
        <v>243</v>
      </c>
      <c r="Y110" s="3" t="n">
        <v>207</v>
      </c>
      <c r="Z110" s="3" t="n">
        <v>15</v>
      </c>
      <c r="AA110" s="3" t="n">
        <v>3</v>
      </c>
      <c r="AB110" s="3" t="n">
        <v>0</v>
      </c>
      <c r="AC110" s="3" t="n">
        <v>18</v>
      </c>
      <c r="AD110" s="3" t="n">
        <v>98</v>
      </c>
      <c r="AE110" s="3" t="n">
        <v>52</v>
      </c>
      <c r="AF110" s="3" t="n">
        <v>20</v>
      </c>
      <c r="AG110" s="3" t="n">
        <v>73</v>
      </c>
      <c r="AH110" s="2" t="s">
        <v>1295</v>
      </c>
      <c r="AI110" s="3" t="n">
        <v>258</v>
      </c>
      <c r="AJ110" s="2" t="n">
        <v>98</v>
      </c>
      <c r="AK110" s="2" t="n">
        <f aca="false">COUNTIFS(secondary_acts!$A$2:$A$771,$A110,secondary_acts!$E$2:$E$771,"implementing")</f>
        <v>0</v>
      </c>
      <c r="AL110" s="2" t="n">
        <f aca="false">COUNTIFS(secondary_acts!$A$2:$A$771,$A110,secondary_acts!$E$2:$E$771,"delegated")</f>
        <v>0</v>
      </c>
      <c r="AM110" s="2" t="n">
        <f aca="false">COUNTIFS(secondary_acts!$A$2:$A$771,$A110,secondary_acts!$E$2:$E$771,"other Commission/Council act")</f>
        <v>0</v>
      </c>
      <c r="AN110" s="2" t="n">
        <f aca="false">COUNTIFS(secondary_acts!$A$2:$A$771,$A110,secondary_acts!$E$2:$E$771,"guidance")</f>
        <v>0</v>
      </c>
      <c r="AO110" s="2" t="n">
        <f aca="false">COUNTIF(guidance_web!$A$2:$A$7,$A110)</f>
        <v>0</v>
      </c>
      <c r="AP110" s="2" t="n">
        <f aca="false">COUNTIFS(guidance_agencies!$A$2:$A$81,$A110,guidance_agencies!$D$2:$D$81,"EDPB")</f>
        <v>0</v>
      </c>
      <c r="AQ110" s="2" t="n">
        <f aca="false">COUNTIFS(guidance_agencies!$A$2:$A$81,$A110,guidance_agencies!$D$2:$D$81,"EBA")</f>
        <v>0</v>
      </c>
      <c r="AR110" s="2" t="n">
        <f aca="false">COUNTIFS(guidance_agencies!$A$2:$A$81,$A110,guidance_agencies!$D$2:$D$81,"ESMA")</f>
        <v>0</v>
      </c>
      <c r="AS110" s="3" t="n">
        <f aca="false">SUMIFS(secondary_acts!$S$2:$S$771,secondary_acts!$A$2:$A$771,$A110,secondary_acts!$E$2:$E$771,"implementing")+SUMIFS(secondary_acts!$S$2:$S$771,secondary_acts!$A$2:$A$771,$A110,secondary_acts!$E$2:$E$771,"delegated")</f>
        <v>0</v>
      </c>
      <c r="AT110" s="3" t="n">
        <v>595</v>
      </c>
      <c r="AU110" s="2" t="n">
        <v>27</v>
      </c>
      <c r="AV110" s="2" t="n">
        <v>2</v>
      </c>
      <c r="AW110" s="2" t="s">
        <v>1296</v>
      </c>
      <c r="AX110" s="2" t="s">
        <v>850</v>
      </c>
      <c r="AY110" s="2" t="n">
        <v>2</v>
      </c>
      <c r="AZ110" s="2" t="s">
        <v>1297</v>
      </c>
      <c r="BA110" s="2" t="s">
        <v>157</v>
      </c>
      <c r="BB110" s="2" t="n">
        <v>17621</v>
      </c>
      <c r="BC110" s="2" t="n">
        <v>303</v>
      </c>
      <c r="BD110" s="2" t="n">
        <v>55</v>
      </c>
      <c r="BE110" s="2" t="n">
        <f aca="false">IF(ISNUMBER(BB110),Q110-BB110,"")</f>
        <v>-3405</v>
      </c>
      <c r="BF110" s="4" t="n">
        <f aca="false">IF(AND(ISNUMBER(BB110),BB110&gt;0),(Q110-BB110)/BB110,"")</f>
        <v>-0.19323534419159</v>
      </c>
      <c r="BG110" s="2" t="n">
        <f aca="false">IF(ISNUMBER(BC110),X110-BC110,"")</f>
        <v>-60</v>
      </c>
      <c r="BH110" s="4" t="n">
        <f aca="false">IF(AND(ISNUMBER(BC110),BC110&gt;0),(X110-BC110)/BC110,"")</f>
        <v>-0.198019801980198</v>
      </c>
      <c r="BI110" s="2" t="n">
        <f aca="false">IF(ISNUMBER(BD110),AD110-BD110,"")</f>
        <v>43</v>
      </c>
      <c r="BJ110" s="2" t="s">
        <v>85</v>
      </c>
      <c r="BK110" s="2" t="s">
        <v>1298</v>
      </c>
      <c r="BL110" s="2" t="s">
        <v>1299</v>
      </c>
      <c r="BM110" s="2" t="n">
        <v>2</v>
      </c>
      <c r="BN110" s="2" t="n">
        <v>2</v>
      </c>
      <c r="BO110" s="2" t="n">
        <v>1</v>
      </c>
      <c r="BP110" s="2" t="n">
        <v>0</v>
      </c>
      <c r="BQ110" s="2"/>
    </row>
    <row r="111" customFormat="false" ht="15" hidden="false" customHeight="false" outlineLevel="0" collapsed="false">
      <c r="A111" s="2" t="n">
        <v>110</v>
      </c>
      <c r="B111" s="2" t="s">
        <v>1300</v>
      </c>
      <c r="C111" s="2" t="s">
        <v>1301</v>
      </c>
      <c r="D111" s="2" t="s">
        <v>296</v>
      </c>
      <c r="E111" s="2" t="s">
        <v>72</v>
      </c>
      <c r="F111" s="2" t="s">
        <v>1302</v>
      </c>
      <c r="G111" s="2" t="s">
        <v>163</v>
      </c>
      <c r="H111" s="2" t="s">
        <v>1303</v>
      </c>
      <c r="I111" s="2" t="s">
        <v>1304</v>
      </c>
      <c r="J111" s="2" t="s">
        <v>1305</v>
      </c>
      <c r="K111" s="2" t="s">
        <v>77</v>
      </c>
      <c r="L111" s="2" t="s">
        <v>77</v>
      </c>
      <c r="M111" s="2" t="s">
        <v>1306</v>
      </c>
      <c r="N111" s="2" t="s">
        <v>79</v>
      </c>
      <c r="O111" s="2" t="s">
        <v>1307</v>
      </c>
      <c r="P111" s="3" t="n">
        <v>45</v>
      </c>
      <c r="Q111" s="3" t="n">
        <v>20009</v>
      </c>
      <c r="R111" s="3" t="n">
        <v>5171</v>
      </c>
      <c r="S111" s="3" t="n">
        <v>5042</v>
      </c>
      <c r="T111" s="3" t="n">
        <v>10906</v>
      </c>
      <c r="U111" s="3" t="n">
        <v>3932</v>
      </c>
      <c r="V111" s="3" t="n">
        <v>0</v>
      </c>
      <c r="W111" s="3" t="n">
        <v>0</v>
      </c>
      <c r="X111" s="3" t="n">
        <v>335</v>
      </c>
      <c r="Y111" s="3" t="n">
        <v>294</v>
      </c>
      <c r="Z111" s="3" t="n">
        <v>14</v>
      </c>
      <c r="AA111" s="3" t="n">
        <v>4</v>
      </c>
      <c r="AB111" s="3" t="n">
        <v>0</v>
      </c>
      <c r="AC111" s="3" t="n">
        <v>23</v>
      </c>
      <c r="AD111" s="3" t="n">
        <v>138</v>
      </c>
      <c r="AE111" s="3" t="n">
        <v>52</v>
      </c>
      <c r="AF111" s="3" t="n">
        <v>44</v>
      </c>
      <c r="AG111" s="3" t="n">
        <v>101</v>
      </c>
      <c r="AH111" s="2" t="s">
        <v>1308</v>
      </c>
      <c r="AI111" s="3" t="n">
        <v>408</v>
      </c>
      <c r="AJ111" s="2" t="n">
        <v>152</v>
      </c>
      <c r="AK111" s="2" t="n">
        <f aca="false">COUNTIFS(secondary_acts!$A$2:$A$771,$A111,secondary_acts!$E$2:$E$771,"implementing")</f>
        <v>2</v>
      </c>
      <c r="AL111" s="2" t="n">
        <f aca="false">COUNTIFS(secondary_acts!$A$2:$A$771,$A111,secondary_acts!$E$2:$E$771,"delegated")</f>
        <v>5</v>
      </c>
      <c r="AM111" s="2" t="n">
        <f aca="false">COUNTIFS(secondary_acts!$A$2:$A$771,$A111,secondary_acts!$E$2:$E$771,"other Commission/Council act")</f>
        <v>0</v>
      </c>
      <c r="AN111" s="2" t="n">
        <f aca="false">COUNTIFS(secondary_acts!$A$2:$A$771,$A111,secondary_acts!$E$2:$E$771,"guidance")</f>
        <v>0</v>
      </c>
      <c r="AO111" s="2" t="n">
        <f aca="false">COUNTIF(guidance_web!$A$2:$A$7,$A111)</f>
        <v>0</v>
      </c>
      <c r="AP111" s="2" t="n">
        <f aca="false">COUNTIFS(guidance_agencies!$A$2:$A$81,$A111,guidance_agencies!$D$2:$D$81,"EDPB")</f>
        <v>0</v>
      </c>
      <c r="AQ111" s="2" t="n">
        <f aca="false">COUNTIFS(guidance_agencies!$A$2:$A$81,$A111,guidance_agencies!$D$2:$D$81,"EBA")</f>
        <v>0</v>
      </c>
      <c r="AR111" s="2" t="n">
        <f aca="false">COUNTIFS(guidance_agencies!$A$2:$A$81,$A111,guidance_agencies!$D$2:$D$81,"ESMA")</f>
        <v>0</v>
      </c>
      <c r="AS111" s="3" t="n">
        <f aca="false">SUMIFS(secondary_acts!$S$2:$S$771,secondary_acts!$A$2:$A$771,$A111,secondary_acts!$E$2:$E$771,"implementing")+SUMIFS(secondary_acts!$S$2:$S$771,secondary_acts!$A$2:$A$771,$A111,secondary_acts!$E$2:$E$771,"delegated")</f>
        <v>6</v>
      </c>
      <c r="AT111" s="3" t="n">
        <v>1512</v>
      </c>
      <c r="AU111" s="2" t="n">
        <v>28</v>
      </c>
      <c r="AV111" s="2" t="n">
        <v>5</v>
      </c>
      <c r="AW111" s="2" t="s">
        <v>1296</v>
      </c>
      <c r="AX111" s="2" t="s">
        <v>142</v>
      </c>
      <c r="AY111" s="2" t="n">
        <v>3</v>
      </c>
      <c r="AZ111" s="2" t="s">
        <v>1309</v>
      </c>
      <c r="BA111" s="2" t="s">
        <v>157</v>
      </c>
      <c r="BB111" s="2" t="n">
        <v>17820</v>
      </c>
      <c r="BC111" s="2" t="n">
        <v>325</v>
      </c>
      <c r="BD111" s="2" t="n">
        <v>107</v>
      </c>
      <c r="BE111" s="2" t="n">
        <f aca="false">IF(ISNUMBER(BB111),Q111-BB111,"")</f>
        <v>2189</v>
      </c>
      <c r="BF111" s="4" t="n">
        <f aca="false">IF(AND(ISNUMBER(BB111),BB111&gt;0),(Q111-BB111)/BB111,"")</f>
        <v>0.12283950617284</v>
      </c>
      <c r="BG111" s="2" t="n">
        <f aca="false">IF(ISNUMBER(BC111),X111-BC111,"")</f>
        <v>10</v>
      </c>
      <c r="BH111" s="4" t="n">
        <f aca="false">IF(AND(ISNUMBER(BC111),BC111&gt;0),(X111-BC111)/BC111,"")</f>
        <v>0.0307692307692308</v>
      </c>
      <c r="BI111" s="2" t="n">
        <f aca="false">IF(ISNUMBER(BD111),AD111-BD111,"")</f>
        <v>31</v>
      </c>
      <c r="BJ111" s="2" t="s">
        <v>85</v>
      </c>
      <c r="BK111" s="2" t="s">
        <v>1310</v>
      </c>
      <c r="BL111" s="2" t="s">
        <v>1311</v>
      </c>
      <c r="BM111" s="2" t="n">
        <v>4</v>
      </c>
      <c r="BN111" s="2" t="n">
        <v>1</v>
      </c>
      <c r="BO111" s="2" t="n">
        <v>2</v>
      </c>
      <c r="BP111" s="2" t="n">
        <v>0</v>
      </c>
      <c r="BQ111" s="2"/>
    </row>
    <row r="112" customFormat="false" ht="15" hidden="false" customHeight="false" outlineLevel="0" collapsed="false">
      <c r="A112" s="2" t="n">
        <v>111</v>
      </c>
      <c r="B112" s="2" t="s">
        <v>1312</v>
      </c>
      <c r="C112" s="2" t="s">
        <v>1313</v>
      </c>
      <c r="D112" s="2" t="s">
        <v>90</v>
      </c>
      <c r="E112" s="2" t="s">
        <v>72</v>
      </c>
      <c r="F112" s="2" t="s">
        <v>1314</v>
      </c>
      <c r="G112" s="2" t="s">
        <v>163</v>
      </c>
      <c r="H112" s="2" t="s">
        <v>1303</v>
      </c>
      <c r="I112" s="2" t="s">
        <v>1315</v>
      </c>
      <c r="J112" s="2" t="s">
        <v>1316</v>
      </c>
      <c r="K112" s="2" t="s">
        <v>77</v>
      </c>
      <c r="L112" s="2" t="s">
        <v>77</v>
      </c>
      <c r="M112" s="2" t="s">
        <v>1317</v>
      </c>
      <c r="N112" s="2" t="s">
        <v>79</v>
      </c>
      <c r="O112" s="2" t="s">
        <v>1318</v>
      </c>
      <c r="P112" s="3" t="n">
        <v>11</v>
      </c>
      <c r="Q112" s="3" t="n">
        <v>6167</v>
      </c>
      <c r="R112" s="3" t="n">
        <v>4218</v>
      </c>
      <c r="S112" s="3" t="n">
        <v>4097</v>
      </c>
      <c r="T112" s="3" t="n">
        <v>1949</v>
      </c>
      <c r="U112" s="3" t="n">
        <v>0</v>
      </c>
      <c r="V112" s="3" t="n">
        <v>0</v>
      </c>
      <c r="W112" s="3" t="n">
        <v>0</v>
      </c>
      <c r="X112" s="3" t="n">
        <v>35</v>
      </c>
      <c r="Y112" s="3" t="n">
        <v>31</v>
      </c>
      <c r="Z112" s="3" t="n">
        <v>0</v>
      </c>
      <c r="AA112" s="3" t="n">
        <v>1</v>
      </c>
      <c r="AB112" s="3" t="n">
        <v>0</v>
      </c>
      <c r="AC112" s="3" t="n">
        <v>3</v>
      </c>
      <c r="AD112" s="3" t="n">
        <v>2</v>
      </c>
      <c r="AE112" s="3" t="n">
        <v>6</v>
      </c>
      <c r="AF112" s="3" t="n">
        <v>19</v>
      </c>
      <c r="AG112" s="3" t="n">
        <v>8</v>
      </c>
      <c r="AH112" s="2" t="s">
        <v>1319</v>
      </c>
      <c r="AI112" s="3" t="n">
        <v>35</v>
      </c>
      <c r="AJ112" s="2" t="n">
        <v>2</v>
      </c>
      <c r="AK112" s="2" t="n">
        <f aca="false">COUNTIFS(secondary_acts!$A$2:$A$771,$A112,secondary_acts!$E$2:$E$771,"implementing")</f>
        <v>1</v>
      </c>
      <c r="AL112" s="2" t="n">
        <f aca="false">COUNTIFS(secondary_acts!$A$2:$A$771,$A112,secondary_acts!$E$2:$E$771,"delegated")</f>
        <v>0</v>
      </c>
      <c r="AM112" s="2" t="n">
        <f aca="false">COUNTIFS(secondary_acts!$A$2:$A$771,$A112,secondary_acts!$E$2:$E$771,"other Commission/Council act")</f>
        <v>0</v>
      </c>
      <c r="AN112" s="2" t="n">
        <f aca="false">COUNTIFS(secondary_acts!$A$2:$A$771,$A112,secondary_acts!$E$2:$E$771,"guidance")</f>
        <v>0</v>
      </c>
      <c r="AO112" s="2" t="n">
        <f aca="false">COUNTIF(guidance_web!$A$2:$A$7,$A112)</f>
        <v>0</v>
      </c>
      <c r="AP112" s="2" t="n">
        <f aca="false">COUNTIFS(guidance_agencies!$A$2:$A$81,$A112,guidance_agencies!$D$2:$D$81,"EDPB")</f>
        <v>0</v>
      </c>
      <c r="AQ112" s="2" t="n">
        <f aca="false">COUNTIFS(guidance_agencies!$A$2:$A$81,$A112,guidance_agencies!$D$2:$D$81,"EBA")</f>
        <v>0</v>
      </c>
      <c r="AR112" s="2" t="n">
        <f aca="false">COUNTIFS(guidance_agencies!$A$2:$A$81,$A112,guidance_agencies!$D$2:$D$81,"ESMA")</f>
        <v>0</v>
      </c>
      <c r="AS112" s="3" t="n">
        <f aca="false">SUMIFS(secondary_acts!$S$2:$S$771,secondary_acts!$A$2:$A$771,$A112,secondary_acts!$E$2:$E$771,"implementing")+SUMIFS(secondary_acts!$S$2:$S$771,secondary_acts!$A$2:$A$771,$A112,secondary_acts!$E$2:$E$771,"delegated")</f>
        <v>0</v>
      </c>
      <c r="AT112" s="3" t="n">
        <v>203</v>
      </c>
      <c r="AU112" s="2" t="n">
        <v>28</v>
      </c>
      <c r="AV112" s="2" t="n">
        <v>0</v>
      </c>
      <c r="AW112" s="2"/>
      <c r="AX112" s="2"/>
      <c r="AY112" s="2" t="n">
        <v>2</v>
      </c>
      <c r="AZ112" s="2" t="s">
        <v>1320</v>
      </c>
      <c r="BA112" s="2" t="s">
        <v>157</v>
      </c>
      <c r="BB112" s="2" t="n">
        <v>2079</v>
      </c>
      <c r="BC112" s="2" t="n">
        <v>12</v>
      </c>
      <c r="BD112" s="2" t="n">
        <v>0</v>
      </c>
      <c r="BE112" s="2" t="n">
        <f aca="false">IF(ISNUMBER(BB112),Q112-BB112,"")</f>
        <v>4088</v>
      </c>
      <c r="BF112" s="4" t="n">
        <f aca="false">IF(AND(ISNUMBER(BB112),BB112&gt;0),(Q112-BB112)/BB112,"")</f>
        <v>1.96632996632997</v>
      </c>
      <c r="BG112" s="2" t="n">
        <f aca="false">IF(ISNUMBER(BC112),X112-BC112,"")</f>
        <v>23</v>
      </c>
      <c r="BH112" s="4" t="n">
        <f aca="false">IF(AND(ISNUMBER(BC112),BC112&gt;0),(X112-BC112)/BC112,"")</f>
        <v>1.91666666666667</v>
      </c>
      <c r="BI112" s="2" t="n">
        <f aca="false">IF(ISNUMBER(BD112),AD112-BD112,"")</f>
        <v>2</v>
      </c>
      <c r="BJ112" s="2" t="s">
        <v>85</v>
      </c>
      <c r="BK112" s="2" t="s">
        <v>1321</v>
      </c>
      <c r="BL112" s="2" t="s">
        <v>1322</v>
      </c>
      <c r="BM112" s="2" t="n">
        <v>3</v>
      </c>
      <c r="BN112" s="2" t="n">
        <v>2</v>
      </c>
      <c r="BO112" s="2" t="n">
        <v>1</v>
      </c>
      <c r="BP112" s="2" t="n">
        <v>0</v>
      </c>
      <c r="BQ112" s="2" t="s">
        <v>118</v>
      </c>
    </row>
    <row r="113" customFormat="false" ht="15" hidden="false" customHeight="false" outlineLevel="0" collapsed="false">
      <c r="A113" s="2" t="n">
        <v>112</v>
      </c>
      <c r="B113" s="2" t="s">
        <v>1323</v>
      </c>
      <c r="C113" s="2" t="s">
        <v>1324</v>
      </c>
      <c r="D113" s="2" t="s">
        <v>106</v>
      </c>
      <c r="E113" s="2" t="s">
        <v>72</v>
      </c>
      <c r="F113" s="2" t="s">
        <v>421</v>
      </c>
      <c r="G113" s="2" t="s">
        <v>163</v>
      </c>
      <c r="H113" s="2" t="s">
        <v>443</v>
      </c>
      <c r="I113" s="2" t="s">
        <v>444</v>
      </c>
      <c r="J113" s="2" t="s">
        <v>445</v>
      </c>
      <c r="K113" s="2" t="s">
        <v>77</v>
      </c>
      <c r="L113" s="2" t="s">
        <v>77</v>
      </c>
      <c r="M113" s="2" t="s">
        <v>1325</v>
      </c>
      <c r="N113" s="2" t="s">
        <v>79</v>
      </c>
      <c r="O113" s="2" t="s">
        <v>1326</v>
      </c>
      <c r="P113" s="3" t="n">
        <v>11</v>
      </c>
      <c r="Q113" s="3" t="n">
        <v>7424</v>
      </c>
      <c r="R113" s="3" t="n">
        <v>5289</v>
      </c>
      <c r="S113" s="3" t="n">
        <v>5163</v>
      </c>
      <c r="T113" s="3" t="n">
        <v>2135</v>
      </c>
      <c r="U113" s="3" t="n">
        <v>0</v>
      </c>
      <c r="V113" s="3" t="n">
        <v>0</v>
      </c>
      <c r="W113" s="3" t="n">
        <v>0</v>
      </c>
      <c r="X113" s="3" t="n">
        <v>27</v>
      </c>
      <c r="Y113" s="3" t="n">
        <v>18</v>
      </c>
      <c r="Z113" s="3" t="n">
        <v>7</v>
      </c>
      <c r="AA113" s="3" t="n">
        <v>1</v>
      </c>
      <c r="AB113" s="3" t="n">
        <v>0</v>
      </c>
      <c r="AC113" s="3" t="n">
        <v>1</v>
      </c>
      <c r="AD113" s="3" t="n">
        <v>13</v>
      </c>
      <c r="AE113" s="3" t="n">
        <v>2</v>
      </c>
      <c r="AF113" s="3" t="n">
        <v>2</v>
      </c>
      <c r="AG113" s="3" t="n">
        <v>10</v>
      </c>
      <c r="AH113" s="2" t="s">
        <v>1327</v>
      </c>
      <c r="AI113" s="3" t="n">
        <v>27</v>
      </c>
      <c r="AJ113" s="2" t="n">
        <v>13</v>
      </c>
      <c r="AK113" s="2" t="n">
        <f aca="false">COUNTIFS(secondary_acts!$A$2:$A$771,$A113,secondary_acts!$E$2:$E$771,"implementing")</f>
        <v>0</v>
      </c>
      <c r="AL113" s="2" t="n">
        <f aca="false">COUNTIFS(secondary_acts!$A$2:$A$771,$A113,secondary_acts!$E$2:$E$771,"delegated")</f>
        <v>0</v>
      </c>
      <c r="AM113" s="2" t="n">
        <f aca="false">COUNTIFS(secondary_acts!$A$2:$A$771,$A113,secondary_acts!$E$2:$E$771,"other Commission/Council act")</f>
        <v>0</v>
      </c>
      <c r="AN113" s="2" t="n">
        <f aca="false">COUNTIFS(secondary_acts!$A$2:$A$771,$A113,secondary_acts!$E$2:$E$771,"guidance")</f>
        <v>0</v>
      </c>
      <c r="AO113" s="2" t="n">
        <f aca="false">COUNTIF(guidance_web!$A$2:$A$7,$A113)</f>
        <v>0</v>
      </c>
      <c r="AP113" s="2" t="n">
        <f aca="false">COUNTIFS(guidance_agencies!$A$2:$A$81,$A113,guidance_agencies!$D$2:$D$81,"EDPB")</f>
        <v>0</v>
      </c>
      <c r="AQ113" s="2" t="n">
        <f aca="false">COUNTIFS(guidance_agencies!$A$2:$A$81,$A113,guidance_agencies!$D$2:$D$81,"EBA")</f>
        <v>0</v>
      </c>
      <c r="AR113" s="2" t="n">
        <f aca="false">COUNTIFS(guidance_agencies!$A$2:$A$81,$A113,guidance_agencies!$D$2:$D$81,"ESMA")</f>
        <v>0</v>
      </c>
      <c r="AS113" s="3" t="n">
        <f aca="false">SUMIFS(secondary_acts!$S$2:$S$771,secondary_acts!$A$2:$A$771,$A113,secondary_acts!$E$2:$E$771,"implementing")+SUMIFS(secondary_acts!$S$2:$S$771,secondary_acts!$A$2:$A$771,$A113,secondary_acts!$E$2:$E$771,"delegated")</f>
        <v>0</v>
      </c>
      <c r="AT113" s="3"/>
      <c r="AU113" s="2"/>
      <c r="AV113" s="2" t="n">
        <v>0</v>
      </c>
      <c r="AW113" s="2"/>
      <c r="AX113" s="2"/>
      <c r="AY113" s="2" t="n">
        <v>2</v>
      </c>
      <c r="AZ113" s="2" t="s">
        <v>1328</v>
      </c>
      <c r="BA113" s="2" t="s">
        <v>157</v>
      </c>
      <c r="BB113" s="2" t="n">
        <v>4070</v>
      </c>
      <c r="BC113" s="2" t="n">
        <v>5</v>
      </c>
      <c r="BD113" s="2" t="n">
        <v>3</v>
      </c>
      <c r="BE113" s="2" t="n">
        <f aca="false">IF(ISNUMBER(BB113),Q113-BB113,"")</f>
        <v>3354</v>
      </c>
      <c r="BF113" s="4" t="n">
        <f aca="false">IF(AND(ISNUMBER(BB113),BB113&gt;0),(Q113-BB113)/BB113,"")</f>
        <v>0.824078624078624</v>
      </c>
      <c r="BG113" s="2" t="n">
        <f aca="false">IF(ISNUMBER(BC113),X113-BC113,"")</f>
        <v>22</v>
      </c>
      <c r="BH113" s="4" t="n">
        <f aca="false">IF(AND(ISNUMBER(BC113),BC113&gt;0),(X113-BC113)/BC113,"")</f>
        <v>4.4</v>
      </c>
      <c r="BI113" s="2" t="n">
        <f aca="false">IF(ISNUMBER(BD113),AD113-BD113,"")</f>
        <v>10</v>
      </c>
      <c r="BJ113" s="2" t="s">
        <v>85</v>
      </c>
      <c r="BK113" s="2" t="s">
        <v>1329</v>
      </c>
      <c r="BL113" s="2" t="s">
        <v>1330</v>
      </c>
      <c r="BM113" s="2" t="n">
        <v>4</v>
      </c>
      <c r="BN113" s="2" t="n">
        <v>4</v>
      </c>
      <c r="BO113" s="2" t="n">
        <v>4</v>
      </c>
      <c r="BP113" s="2" t="n">
        <v>0</v>
      </c>
      <c r="BQ113" s="2"/>
    </row>
    <row r="114" customFormat="false" ht="15" hidden="false" customHeight="false" outlineLevel="0" collapsed="false">
      <c r="A114" s="2" t="n">
        <v>113</v>
      </c>
      <c r="B114" s="2" t="s">
        <v>1331</v>
      </c>
      <c r="C114" s="2" t="s">
        <v>1332</v>
      </c>
      <c r="D114" s="2" t="s">
        <v>71</v>
      </c>
      <c r="E114" s="2" t="s">
        <v>72</v>
      </c>
      <c r="F114" s="2" t="s">
        <v>1333</v>
      </c>
      <c r="G114" s="2" t="s">
        <v>163</v>
      </c>
      <c r="H114" s="2" t="s">
        <v>552</v>
      </c>
      <c r="I114" s="2" t="s">
        <v>1334</v>
      </c>
      <c r="J114" s="2" t="s">
        <v>1335</v>
      </c>
      <c r="K114" s="2" t="s">
        <v>77</v>
      </c>
      <c r="L114" s="2" t="s">
        <v>77</v>
      </c>
      <c r="M114" s="2" t="s">
        <v>1336</v>
      </c>
      <c r="N114" s="2" t="s">
        <v>79</v>
      </c>
      <c r="O114" s="2" t="s">
        <v>1337</v>
      </c>
      <c r="P114" s="3" t="n">
        <v>11</v>
      </c>
      <c r="Q114" s="3" t="n">
        <v>5749</v>
      </c>
      <c r="R114" s="3" t="n">
        <v>2205</v>
      </c>
      <c r="S114" s="3" t="n">
        <v>2067</v>
      </c>
      <c r="T114" s="3" t="n">
        <v>3544</v>
      </c>
      <c r="U114" s="3" t="n">
        <v>0</v>
      </c>
      <c r="V114" s="3" t="n">
        <v>0</v>
      </c>
      <c r="W114" s="3" t="n">
        <v>0</v>
      </c>
      <c r="X114" s="3" t="n">
        <v>54</v>
      </c>
      <c r="Y114" s="3" t="n">
        <v>52</v>
      </c>
      <c r="Z114" s="3" t="n">
        <v>2</v>
      </c>
      <c r="AA114" s="3" t="n">
        <v>0</v>
      </c>
      <c r="AB114" s="3" t="n">
        <v>0</v>
      </c>
      <c r="AC114" s="3" t="n">
        <v>0</v>
      </c>
      <c r="AD114" s="3" t="n">
        <v>15</v>
      </c>
      <c r="AE114" s="3" t="n">
        <v>1</v>
      </c>
      <c r="AF114" s="3" t="n">
        <v>25</v>
      </c>
      <c r="AG114" s="3" t="n">
        <v>13</v>
      </c>
      <c r="AH114" s="2" t="s">
        <v>1338</v>
      </c>
      <c r="AI114" s="3" t="n">
        <v>54</v>
      </c>
      <c r="AJ114" s="2" t="n">
        <v>15</v>
      </c>
      <c r="AK114" s="2" t="n">
        <f aca="false">COUNTIFS(secondary_acts!$A$2:$A$771,$A114,secondary_acts!$E$2:$E$771,"implementing")</f>
        <v>3</v>
      </c>
      <c r="AL114" s="2" t="n">
        <f aca="false">COUNTIFS(secondary_acts!$A$2:$A$771,$A114,secondary_acts!$E$2:$E$771,"delegated")</f>
        <v>1</v>
      </c>
      <c r="AM114" s="2" t="n">
        <f aca="false">COUNTIFS(secondary_acts!$A$2:$A$771,$A114,secondary_acts!$E$2:$E$771,"other Commission/Council act")</f>
        <v>0</v>
      </c>
      <c r="AN114" s="2" t="n">
        <f aca="false">COUNTIFS(secondary_acts!$A$2:$A$771,$A114,secondary_acts!$E$2:$E$771,"guidance")</f>
        <v>0</v>
      </c>
      <c r="AO114" s="2" t="n">
        <f aca="false">COUNTIF(guidance_web!$A$2:$A$7,$A114)</f>
        <v>0</v>
      </c>
      <c r="AP114" s="2" t="n">
        <f aca="false">COUNTIFS(guidance_agencies!$A$2:$A$81,$A114,guidance_agencies!$D$2:$D$81,"EDPB")</f>
        <v>0</v>
      </c>
      <c r="AQ114" s="2" t="n">
        <f aca="false">COUNTIFS(guidance_agencies!$A$2:$A$81,$A114,guidance_agencies!$D$2:$D$81,"EBA")</f>
        <v>0</v>
      </c>
      <c r="AR114" s="2" t="n">
        <f aca="false">COUNTIFS(guidance_agencies!$A$2:$A$81,$A114,guidance_agencies!$D$2:$D$81,"ESMA")</f>
        <v>0</v>
      </c>
      <c r="AS114" s="3" t="n">
        <f aca="false">SUMIFS(secondary_acts!$S$2:$S$771,secondary_acts!$A$2:$A$771,$A114,secondary_acts!$E$2:$E$771,"implementing")+SUMIFS(secondary_acts!$S$2:$S$771,secondary_acts!$A$2:$A$771,$A114,secondary_acts!$E$2:$E$771,"delegated")</f>
        <v>103</v>
      </c>
      <c r="AT114" s="3"/>
      <c r="AU114" s="2"/>
      <c r="AV114" s="2" t="n">
        <v>0</v>
      </c>
      <c r="AW114" s="2"/>
      <c r="AX114" s="2"/>
      <c r="AY114" s="2" t="n">
        <v>1</v>
      </c>
      <c r="AZ114" s="2" t="s">
        <v>1339</v>
      </c>
      <c r="BA114" s="2" t="s">
        <v>157</v>
      </c>
      <c r="BB114" s="2" t="n">
        <v>4147</v>
      </c>
      <c r="BC114" s="2" t="n">
        <v>39</v>
      </c>
      <c r="BD114" s="2" t="n">
        <v>12</v>
      </c>
      <c r="BE114" s="2" t="n">
        <f aca="false">IF(ISNUMBER(BB114),Q114-BB114,"")</f>
        <v>1602</v>
      </c>
      <c r="BF114" s="4" t="n">
        <f aca="false">IF(AND(ISNUMBER(BB114),BB114&gt;0),(Q114-BB114)/BB114,"")</f>
        <v>0.386303351820593</v>
      </c>
      <c r="BG114" s="2" t="n">
        <f aca="false">IF(ISNUMBER(BC114),X114-BC114,"")</f>
        <v>15</v>
      </c>
      <c r="BH114" s="4" t="n">
        <f aca="false">IF(AND(ISNUMBER(BC114),BC114&gt;0),(X114-BC114)/BC114,"")</f>
        <v>0.384615384615385</v>
      </c>
      <c r="BI114" s="2" t="n">
        <f aca="false">IF(ISNUMBER(BD114),AD114-BD114,"")</f>
        <v>3</v>
      </c>
      <c r="BJ114" s="2" t="s">
        <v>85</v>
      </c>
      <c r="BK114" s="2" t="s">
        <v>1340</v>
      </c>
      <c r="BL114" s="2" t="s">
        <v>1341</v>
      </c>
      <c r="BM114" s="2" t="n">
        <v>3</v>
      </c>
      <c r="BN114" s="2" t="n">
        <v>3</v>
      </c>
      <c r="BO114" s="2" t="n">
        <v>3</v>
      </c>
      <c r="BP114" s="2" t="n">
        <v>0</v>
      </c>
      <c r="BQ114" s="2" t="s">
        <v>118</v>
      </c>
    </row>
    <row r="115" customFormat="false" ht="15" hidden="false" customHeight="false" outlineLevel="0" collapsed="false">
      <c r="A115" s="2" t="n">
        <v>114</v>
      </c>
      <c r="B115" s="2" t="s">
        <v>1342</v>
      </c>
      <c r="C115" s="2" t="s">
        <v>1343</v>
      </c>
      <c r="D115" s="2" t="s">
        <v>348</v>
      </c>
      <c r="E115" s="2" t="s">
        <v>72</v>
      </c>
      <c r="F115" s="2" t="s">
        <v>468</v>
      </c>
      <c r="G115" s="2" t="s">
        <v>163</v>
      </c>
      <c r="H115" s="2" t="s">
        <v>422</v>
      </c>
      <c r="I115" s="2" t="s">
        <v>423</v>
      </c>
      <c r="J115" s="2" t="s">
        <v>424</v>
      </c>
      <c r="K115" s="2" t="s">
        <v>77</v>
      </c>
      <c r="L115" s="2" t="s">
        <v>77</v>
      </c>
      <c r="M115" s="2" t="s">
        <v>1344</v>
      </c>
      <c r="N115" s="2" t="s">
        <v>79</v>
      </c>
      <c r="O115" s="2" t="s">
        <v>1345</v>
      </c>
      <c r="P115" s="3" t="n">
        <v>58</v>
      </c>
      <c r="Q115" s="3" t="n">
        <v>34635</v>
      </c>
      <c r="R115" s="3" t="n">
        <v>7541</v>
      </c>
      <c r="S115" s="3" t="n">
        <v>7365</v>
      </c>
      <c r="T115" s="3" t="n">
        <v>27094</v>
      </c>
      <c r="U115" s="3" t="n">
        <v>0</v>
      </c>
      <c r="V115" s="3" t="n">
        <v>0</v>
      </c>
      <c r="W115" s="3" t="n">
        <v>0</v>
      </c>
      <c r="X115" s="3" t="n">
        <v>456</v>
      </c>
      <c r="Y115" s="3" t="n">
        <v>415</v>
      </c>
      <c r="Z115" s="3" t="n">
        <v>15</v>
      </c>
      <c r="AA115" s="3" t="n">
        <v>9</v>
      </c>
      <c r="AB115" s="3" t="n">
        <v>1</v>
      </c>
      <c r="AC115" s="3" t="n">
        <v>16</v>
      </c>
      <c r="AD115" s="3" t="n">
        <v>25</v>
      </c>
      <c r="AE115" s="3" t="n">
        <v>99</v>
      </c>
      <c r="AF115" s="3" t="n">
        <v>196</v>
      </c>
      <c r="AG115" s="3" t="n">
        <v>136</v>
      </c>
      <c r="AH115" s="2" t="s">
        <v>1346</v>
      </c>
      <c r="AI115" s="3" t="n">
        <v>463</v>
      </c>
      <c r="AJ115" s="2" t="n">
        <v>25</v>
      </c>
      <c r="AK115" s="2" t="n">
        <f aca="false">COUNTIFS(secondary_acts!$A$2:$A$771,$A115,secondary_acts!$E$2:$E$771,"implementing")</f>
        <v>6</v>
      </c>
      <c r="AL115" s="2" t="n">
        <f aca="false">COUNTIFS(secondary_acts!$A$2:$A$771,$A115,secondary_acts!$E$2:$E$771,"delegated")</f>
        <v>5</v>
      </c>
      <c r="AM115" s="2" t="n">
        <f aca="false">COUNTIFS(secondary_acts!$A$2:$A$771,$A115,secondary_acts!$E$2:$E$771,"other Commission/Council act")</f>
        <v>0</v>
      </c>
      <c r="AN115" s="2" t="n">
        <f aca="false">COUNTIFS(secondary_acts!$A$2:$A$771,$A115,secondary_acts!$E$2:$E$771,"guidance")</f>
        <v>0</v>
      </c>
      <c r="AO115" s="2" t="n">
        <f aca="false">COUNTIF(guidance_web!$A$2:$A$7,$A115)</f>
        <v>0</v>
      </c>
      <c r="AP115" s="2" t="n">
        <f aca="false">COUNTIFS(guidance_agencies!$A$2:$A$81,$A115,guidance_agencies!$D$2:$D$81,"EDPB")</f>
        <v>0</v>
      </c>
      <c r="AQ115" s="2" t="n">
        <f aca="false">COUNTIFS(guidance_agencies!$A$2:$A$81,$A115,guidance_agencies!$D$2:$D$81,"EBA")</f>
        <v>0</v>
      </c>
      <c r="AR115" s="2" t="n">
        <f aca="false">COUNTIFS(guidance_agencies!$A$2:$A$81,$A115,guidance_agencies!$D$2:$D$81,"ESMA")</f>
        <v>0</v>
      </c>
      <c r="AS115" s="3" t="n">
        <f aca="false">SUMIFS(secondary_acts!$S$2:$S$771,secondary_acts!$A$2:$A$771,$A115,secondary_acts!$E$2:$E$771,"implementing")+SUMIFS(secondary_acts!$S$2:$S$771,secondary_acts!$A$2:$A$771,$A115,secondary_acts!$E$2:$E$771,"delegated")</f>
        <v>175</v>
      </c>
      <c r="AT115" s="3"/>
      <c r="AU115" s="2"/>
      <c r="AV115" s="2" t="n">
        <v>5</v>
      </c>
      <c r="AW115" s="2" t="s">
        <v>647</v>
      </c>
      <c r="AX115" s="2" t="s">
        <v>450</v>
      </c>
      <c r="AY115" s="2" t="n">
        <v>5</v>
      </c>
      <c r="AZ115" s="2" t="s">
        <v>1347</v>
      </c>
      <c r="BA115" s="2" t="s">
        <v>157</v>
      </c>
      <c r="BB115" s="2" t="n">
        <v>23487</v>
      </c>
      <c r="BC115" s="2" t="n">
        <v>291</v>
      </c>
      <c r="BD115" s="2" t="n">
        <v>32</v>
      </c>
      <c r="BE115" s="2" t="n">
        <f aca="false">IF(ISNUMBER(BB115),Q115-BB115,"")</f>
        <v>11148</v>
      </c>
      <c r="BF115" s="4" t="n">
        <f aca="false">IF(AND(ISNUMBER(BB115),BB115&gt;0),(Q115-BB115)/BB115,"")</f>
        <v>0.474645548601354</v>
      </c>
      <c r="BG115" s="2" t="n">
        <f aca="false">IF(ISNUMBER(BC115),X115-BC115,"")</f>
        <v>165</v>
      </c>
      <c r="BH115" s="4" t="n">
        <f aca="false">IF(AND(ISNUMBER(BC115),BC115&gt;0),(X115-BC115)/BC115,"")</f>
        <v>0.567010309278351</v>
      </c>
      <c r="BI115" s="2" t="n">
        <f aca="false">IF(ISNUMBER(BD115),AD115-BD115,"")</f>
        <v>-7</v>
      </c>
      <c r="BJ115" s="2" t="s">
        <v>85</v>
      </c>
      <c r="BK115" s="2" t="s">
        <v>1348</v>
      </c>
      <c r="BL115" s="2" t="s">
        <v>1349</v>
      </c>
      <c r="BM115" s="2" t="n">
        <v>6</v>
      </c>
      <c r="BN115" s="2" t="n">
        <v>2</v>
      </c>
      <c r="BO115" s="2" t="n">
        <v>2</v>
      </c>
      <c r="BP115" s="2" t="n">
        <v>0</v>
      </c>
      <c r="BQ115" s="2"/>
    </row>
    <row r="116" customFormat="false" ht="15" hidden="false" customHeight="false" outlineLevel="0" collapsed="false">
      <c r="A116" s="2" t="n">
        <v>115</v>
      </c>
      <c r="B116" s="2" t="s">
        <v>1350</v>
      </c>
      <c r="C116" s="2" t="s">
        <v>1351</v>
      </c>
      <c r="D116" s="2" t="s">
        <v>188</v>
      </c>
      <c r="E116" s="2" t="s">
        <v>72</v>
      </c>
      <c r="F116" s="2" t="s">
        <v>1352</v>
      </c>
      <c r="G116" s="2" t="s">
        <v>163</v>
      </c>
      <c r="H116" s="2" t="s">
        <v>276</v>
      </c>
      <c r="I116" s="2" t="s">
        <v>390</v>
      </c>
      <c r="J116" s="2" t="s">
        <v>1353</v>
      </c>
      <c r="K116" s="2" t="s">
        <v>77</v>
      </c>
      <c r="L116" s="2" t="s">
        <v>77</v>
      </c>
      <c r="M116" s="2" t="s">
        <v>1354</v>
      </c>
      <c r="N116" s="2" t="s">
        <v>79</v>
      </c>
      <c r="O116" s="2" t="s">
        <v>1355</v>
      </c>
      <c r="P116" s="3" t="n">
        <v>19</v>
      </c>
      <c r="Q116" s="3" t="n">
        <v>11748</v>
      </c>
      <c r="R116" s="3" t="n">
        <v>6262</v>
      </c>
      <c r="S116" s="3" t="n">
        <v>6129</v>
      </c>
      <c r="T116" s="3" t="n">
        <v>5486</v>
      </c>
      <c r="U116" s="3" t="n">
        <v>0</v>
      </c>
      <c r="V116" s="3" t="n">
        <v>0</v>
      </c>
      <c r="W116" s="3" t="n">
        <v>0</v>
      </c>
      <c r="X116" s="3" t="n">
        <v>70</v>
      </c>
      <c r="Y116" s="3" t="n">
        <v>55</v>
      </c>
      <c r="Z116" s="3" t="n">
        <v>2</v>
      </c>
      <c r="AA116" s="3" t="n">
        <v>0</v>
      </c>
      <c r="AB116" s="3" t="n">
        <v>2</v>
      </c>
      <c r="AC116" s="3" t="n">
        <v>11</v>
      </c>
      <c r="AD116" s="3" t="n">
        <v>15</v>
      </c>
      <c r="AE116" s="3" t="n">
        <v>34</v>
      </c>
      <c r="AF116" s="3" t="n">
        <v>10</v>
      </c>
      <c r="AG116" s="3" t="n">
        <v>11</v>
      </c>
      <c r="AH116" s="2"/>
      <c r="AI116" s="3"/>
      <c r="AJ116" s="2"/>
      <c r="AK116" s="2" t="n">
        <f aca="false">COUNTIFS(secondary_acts!$A$2:$A$771,$A116,secondary_acts!$E$2:$E$771,"implementing")</f>
        <v>0</v>
      </c>
      <c r="AL116" s="2" t="n">
        <f aca="false">COUNTIFS(secondary_acts!$A$2:$A$771,$A116,secondary_acts!$E$2:$E$771,"delegated")</f>
        <v>0</v>
      </c>
      <c r="AM116" s="2" t="n">
        <f aca="false">COUNTIFS(secondary_acts!$A$2:$A$771,$A116,secondary_acts!$E$2:$E$771,"other Commission/Council act")</f>
        <v>0</v>
      </c>
      <c r="AN116" s="2" t="n">
        <f aca="false">COUNTIFS(secondary_acts!$A$2:$A$771,$A116,secondary_acts!$E$2:$E$771,"guidance")</f>
        <v>0</v>
      </c>
      <c r="AO116" s="2" t="n">
        <f aca="false">COUNTIF(guidance_web!$A$2:$A$7,$A116)</f>
        <v>0</v>
      </c>
      <c r="AP116" s="2" t="n">
        <f aca="false">COUNTIFS(guidance_agencies!$A$2:$A$81,$A116,guidance_agencies!$D$2:$D$81,"EDPB")</f>
        <v>0</v>
      </c>
      <c r="AQ116" s="2" t="n">
        <f aca="false">COUNTIFS(guidance_agencies!$A$2:$A$81,$A116,guidance_agencies!$D$2:$D$81,"EBA")</f>
        <v>0</v>
      </c>
      <c r="AR116" s="2" t="n">
        <f aca="false">COUNTIFS(guidance_agencies!$A$2:$A$81,$A116,guidance_agencies!$D$2:$D$81,"ESMA")</f>
        <v>0</v>
      </c>
      <c r="AS116" s="3" t="n">
        <f aca="false">SUMIFS(secondary_acts!$S$2:$S$771,secondary_acts!$A$2:$A$771,$A116,secondary_acts!$E$2:$E$771,"implementing")+SUMIFS(secondary_acts!$S$2:$S$771,secondary_acts!$A$2:$A$771,$A116,secondary_acts!$E$2:$E$771,"delegated")</f>
        <v>0</v>
      </c>
      <c r="AT116" s="3"/>
      <c r="AU116" s="2"/>
      <c r="AV116" s="2" t="n">
        <v>0</v>
      </c>
      <c r="AW116" s="2"/>
      <c r="AX116" s="2"/>
      <c r="AY116" s="2" t="n">
        <v>1</v>
      </c>
      <c r="AZ116" s="2" t="s">
        <v>1356</v>
      </c>
      <c r="BA116" s="2" t="s">
        <v>157</v>
      </c>
      <c r="BB116" s="2" t="n">
        <v>9330</v>
      </c>
      <c r="BC116" s="2" t="n">
        <v>66</v>
      </c>
      <c r="BD116" s="2" t="n">
        <v>11</v>
      </c>
      <c r="BE116" s="2" t="n">
        <f aca="false">IF(ISNUMBER(BB116),Q116-BB116,"")</f>
        <v>2418</v>
      </c>
      <c r="BF116" s="4" t="n">
        <f aca="false">IF(AND(ISNUMBER(BB116),BB116&gt;0),(Q116-BB116)/BB116,"")</f>
        <v>0.259163987138264</v>
      </c>
      <c r="BG116" s="2" t="n">
        <f aca="false">IF(ISNUMBER(BC116),X116-BC116,"")</f>
        <v>4</v>
      </c>
      <c r="BH116" s="4" t="n">
        <f aca="false">IF(AND(ISNUMBER(BC116),BC116&gt;0),(X116-BC116)/BC116,"")</f>
        <v>0.0606060606060606</v>
      </c>
      <c r="BI116" s="2" t="n">
        <f aca="false">IF(ISNUMBER(BD116),AD116-BD116,"")</f>
        <v>4</v>
      </c>
      <c r="BJ116" s="2" t="s">
        <v>429</v>
      </c>
      <c r="BK116" s="2" t="s">
        <v>1357</v>
      </c>
      <c r="BL116" s="2" t="s">
        <v>1358</v>
      </c>
      <c r="BM116" s="2" t="n">
        <v>3</v>
      </c>
      <c r="BN116" s="2" t="n">
        <v>0</v>
      </c>
      <c r="BO116" s="2" t="n">
        <v>0</v>
      </c>
      <c r="BP116" s="2" t="n">
        <v>0</v>
      </c>
      <c r="BQ116" s="2"/>
    </row>
    <row r="117" customFormat="false" ht="15" hidden="false" customHeight="false" outlineLevel="0" collapsed="false">
      <c r="A117" s="5"/>
      <c r="B117" s="5" t="s">
        <v>1359</v>
      </c>
      <c r="C117" s="5"/>
      <c r="D117" s="5"/>
      <c r="E117" s="5"/>
      <c r="F117" s="5"/>
      <c r="G117" s="5"/>
      <c r="H117" s="5"/>
      <c r="I117" s="5"/>
      <c r="J117" s="5"/>
      <c r="K117" s="5"/>
      <c r="L117" s="5"/>
      <c r="M117" s="5"/>
      <c r="N117" s="5"/>
      <c r="O117" s="5"/>
      <c r="P117" s="6" t="n">
        <f aca="false">SUM(P2:P116)</f>
        <v>5434</v>
      </c>
      <c r="Q117" s="6" t="n">
        <f aca="false">SUM(Q2:Q116)</f>
        <v>2781203</v>
      </c>
      <c r="R117" s="6" t="n">
        <f aca="false">SUM(R2:R116)</f>
        <v>1050873</v>
      </c>
      <c r="S117" s="6" t="n">
        <f aca="false">SUM(S2:S116)</f>
        <v>1035605</v>
      </c>
      <c r="T117" s="6" t="n">
        <f aca="false">SUM(T2:T116)</f>
        <v>1500627</v>
      </c>
      <c r="U117" s="6" t="n">
        <f aca="false">SUM(U2:U116)</f>
        <v>229703</v>
      </c>
      <c r="V117" s="6" t="n">
        <f aca="false">SUM(V2:V116)</f>
        <v>62630</v>
      </c>
      <c r="W117" s="6" t="n">
        <f aca="false">SUM(W2:W116)</f>
        <v>28904</v>
      </c>
      <c r="X117" s="6" t="n">
        <f aca="false">SUM(X2:X116)</f>
        <v>24705</v>
      </c>
      <c r="Y117" s="6" t="n">
        <f aca="false">SUM(Y2:Y116)</f>
        <v>21159</v>
      </c>
      <c r="Z117" s="6" t="n">
        <f aca="false">SUM(Z2:Z116)</f>
        <v>1597</v>
      </c>
      <c r="AA117" s="6" t="n">
        <f aca="false">SUM(AA2:AA116)</f>
        <v>247</v>
      </c>
      <c r="AB117" s="6" t="n">
        <f aca="false">SUM(AB2:AB116)</f>
        <v>236</v>
      </c>
      <c r="AC117" s="6" t="n">
        <f aca="false">SUM(AC2:AC116)</f>
        <v>1466</v>
      </c>
      <c r="AD117" s="6" t="n">
        <f aca="false">SUM(AD2:AD116)</f>
        <v>5434</v>
      </c>
      <c r="AE117" s="6" t="n">
        <f aca="false">SUM(AE2:AE116)</f>
        <v>5616</v>
      </c>
      <c r="AF117" s="6" t="n">
        <f aca="false">SUM(AF2:AF116)</f>
        <v>6122</v>
      </c>
      <c r="AG117" s="6" t="n">
        <f aca="false">SUM(AG2:AG116)</f>
        <v>7533</v>
      </c>
      <c r="AH117" s="5"/>
      <c r="AI117" s="6" t="n">
        <f aca="false">SUM(AI2:AI116)</f>
        <v>22236</v>
      </c>
      <c r="AJ117" s="5" t="n">
        <f aca="false">SUM(AJ2:AJ116)</f>
        <v>4977</v>
      </c>
      <c r="AK117" s="5" t="n">
        <f aca="false">SUM(AK2:AK116)</f>
        <v>605</v>
      </c>
      <c r="AL117" s="5" t="n">
        <f aca="false">SUM(AL2:AL116)</f>
        <v>85</v>
      </c>
      <c r="AM117" s="5" t="n">
        <f aca="false">SUM(AM2:AM116)</f>
        <v>28</v>
      </c>
      <c r="AN117" s="5" t="n">
        <f aca="false">SUM(AN2:AN116)</f>
        <v>52</v>
      </c>
      <c r="AO117" s="5" t="n">
        <f aca="false">SUM(AO2:AO116)</f>
        <v>6</v>
      </c>
      <c r="AP117" s="5" t="n">
        <f aca="false">SUM(AP2:AP116)</f>
        <v>52</v>
      </c>
      <c r="AQ117" s="5" t="n">
        <f aca="false">SUM(AQ2:AQ116)</f>
        <v>20</v>
      </c>
      <c r="AR117" s="5" t="n">
        <f aca="false">SUM(AR2:AR116)</f>
        <v>8</v>
      </c>
      <c r="AS117" s="6" t="n">
        <f aca="false">SUM(AS2:AS116)</f>
        <v>11229</v>
      </c>
      <c r="AT117" s="6" t="n">
        <f aca="false">SUM(AT2:AT116)</f>
        <v>48158</v>
      </c>
      <c r="AU117" s="5"/>
      <c r="AV117" s="5" t="n">
        <f aca="false">SUM(AV2:AV116)</f>
        <v>172</v>
      </c>
      <c r="AW117" s="5"/>
      <c r="AX117" s="5"/>
      <c r="AY117" s="5" t="n">
        <f aca="false">SUM(AY2:AY116)</f>
        <v>371</v>
      </c>
      <c r="AZ117" s="5"/>
      <c r="BA117" s="5"/>
      <c r="BB117" s="5"/>
      <c r="BC117" s="5"/>
      <c r="BD117" s="5"/>
      <c r="BE117" s="5"/>
      <c r="BF117" s="5"/>
      <c r="BG117" s="5"/>
      <c r="BH117" s="5"/>
      <c r="BI117" s="5"/>
      <c r="BJ117" s="5"/>
      <c r="BK117" s="5"/>
      <c r="BL117" s="5"/>
      <c r="BM117" s="5"/>
      <c r="BN117" s="5"/>
      <c r="BO117" s="5"/>
      <c r="BP117" s="5"/>
      <c r="BQ117" s="5"/>
    </row>
  </sheetData>
  <autoFilter ref="A1:BQ1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7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60"/>
    <col collapsed="false" customWidth="true" hidden="false" outlineLevel="0" max="9" min="9" style="0" width="12"/>
    <col collapsed="false" customWidth="true" hidden="false" outlineLevel="0" max="10" min="10" style="0" width="30"/>
    <col collapsed="false" customWidth="true" hidden="false" outlineLevel="0" max="28" min="11" style="0" width="10"/>
    <col collapsed="false" customWidth="true" hidden="false" outlineLevel="0" max="29" min="29" style="0" width="40"/>
  </cols>
  <sheetData>
    <row r="1" customFormat="false" ht="45" hidden="false" customHeight="true" outlineLevel="0" collapsed="false">
      <c r="A1" s="1" t="s">
        <v>1360</v>
      </c>
      <c r="B1" s="1" t="s">
        <v>1361</v>
      </c>
      <c r="C1" s="1" t="s">
        <v>1362</v>
      </c>
      <c r="D1" s="1" t="s">
        <v>1363</v>
      </c>
      <c r="E1" s="1" t="s">
        <v>1364</v>
      </c>
      <c r="F1" s="1" t="s">
        <v>1365</v>
      </c>
      <c r="G1" s="1" t="s">
        <v>1366</v>
      </c>
      <c r="H1" s="1" t="s">
        <v>1367</v>
      </c>
      <c r="I1" s="1" t="s">
        <v>1368</v>
      </c>
      <c r="J1" s="1" t="s">
        <v>14</v>
      </c>
      <c r="K1" s="1" t="s">
        <v>15</v>
      </c>
      <c r="L1" s="1" t="s">
        <v>16</v>
      </c>
      <c r="M1" s="1" t="s">
        <v>17</v>
      </c>
      <c r="N1" s="1" t="s">
        <v>18</v>
      </c>
      <c r="O1" s="1" t="s">
        <v>19</v>
      </c>
      <c r="P1" s="1" t="s">
        <v>20</v>
      </c>
      <c r="Q1" s="1" t="s">
        <v>21</v>
      </c>
      <c r="R1" s="1" t="s">
        <v>22</v>
      </c>
      <c r="S1" s="1" t="s">
        <v>23</v>
      </c>
      <c r="T1" s="1" t="s">
        <v>24</v>
      </c>
      <c r="U1" s="1" t="s">
        <v>25</v>
      </c>
      <c r="V1" s="1" t="s">
        <v>26</v>
      </c>
      <c r="W1" s="1" t="s">
        <v>27</v>
      </c>
      <c r="X1" s="1" t="s">
        <v>28</v>
      </c>
      <c r="Y1" s="1" t="s">
        <v>29</v>
      </c>
      <c r="Z1" s="1" t="s">
        <v>30</v>
      </c>
      <c r="AA1" s="1" t="s">
        <v>31</v>
      </c>
      <c r="AB1" s="1" t="s">
        <v>32</v>
      </c>
      <c r="AC1" s="1" t="s">
        <v>68</v>
      </c>
    </row>
    <row r="2" customFormat="false" ht="15" hidden="false" customHeight="false" outlineLevel="0" collapsed="false">
      <c r="A2" s="2" t="n">
        <v>2</v>
      </c>
      <c r="B2" s="2" t="s">
        <v>88</v>
      </c>
      <c r="C2" s="2" t="s">
        <v>96</v>
      </c>
      <c r="D2" s="2" t="s">
        <v>1369</v>
      </c>
      <c r="E2" s="2" t="s">
        <v>1370</v>
      </c>
      <c r="F2" s="2" t="s">
        <v>1371</v>
      </c>
      <c r="G2" s="2" t="s">
        <v>1372</v>
      </c>
      <c r="H2" s="2" t="s">
        <v>1373</v>
      </c>
      <c r="I2" s="2" t="s">
        <v>1374</v>
      </c>
      <c r="J2" s="2" t="s">
        <v>1375</v>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72</v>
      </c>
      <c r="Z2" s="2" t="n">
        <v>106</v>
      </c>
      <c r="AA2" s="2" t="n">
        <v>9</v>
      </c>
      <c r="AB2" s="2" t="n">
        <v>120</v>
      </c>
      <c r="AC2" s="2" t="s">
        <v>1376</v>
      </c>
    </row>
    <row r="3" customFormat="false" ht="15" hidden="false" customHeight="false" outlineLevel="0" collapsed="false">
      <c r="A3" s="2" t="n">
        <v>5</v>
      </c>
      <c r="B3" s="2" t="s">
        <v>132</v>
      </c>
      <c r="C3" s="2" t="s">
        <v>138</v>
      </c>
      <c r="D3" s="2" t="s">
        <v>1377</v>
      </c>
      <c r="E3" s="2" t="s">
        <v>1378</v>
      </c>
      <c r="F3" s="2" t="s">
        <v>1379</v>
      </c>
      <c r="G3" s="2" t="s">
        <v>1380</v>
      </c>
      <c r="H3" s="2" t="s">
        <v>1381</v>
      </c>
      <c r="I3" s="2" t="s">
        <v>1374</v>
      </c>
      <c r="J3" s="2" t="s">
        <v>1382</v>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61</v>
      </c>
      <c r="Z3" s="2" t="n">
        <v>10</v>
      </c>
      <c r="AA3" s="2" t="n">
        <v>147</v>
      </c>
      <c r="AB3" s="2" t="n">
        <v>148</v>
      </c>
      <c r="AC3" s="2"/>
    </row>
    <row r="4" customFormat="false" ht="15" hidden="false" customHeight="false" outlineLevel="0" collapsed="false">
      <c r="A4" s="2" t="n">
        <v>5</v>
      </c>
      <c r="B4" s="2" t="s">
        <v>132</v>
      </c>
      <c r="C4" s="2" t="s">
        <v>138</v>
      </c>
      <c r="D4" s="2" t="s">
        <v>1383</v>
      </c>
      <c r="E4" s="2" t="s">
        <v>1378</v>
      </c>
      <c r="F4" s="2" t="s">
        <v>1379</v>
      </c>
      <c r="G4" s="2" t="s">
        <v>1384</v>
      </c>
      <c r="H4" s="2" t="s">
        <v>1385</v>
      </c>
      <c r="I4" s="2" t="s">
        <v>1374</v>
      </c>
      <c r="J4" s="2" t="s">
        <v>1386</v>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3</v>
      </c>
      <c r="Z4" s="2" t="n">
        <v>0</v>
      </c>
      <c r="AA4" s="2" t="n">
        <v>4</v>
      </c>
      <c r="AB4" s="2" t="n">
        <v>12</v>
      </c>
      <c r="AC4" s="2"/>
    </row>
    <row r="5" customFormat="false" ht="15" hidden="false" customHeight="false" outlineLevel="0" collapsed="false">
      <c r="A5" s="2" t="n">
        <v>5</v>
      </c>
      <c r="B5" s="2" t="s">
        <v>132</v>
      </c>
      <c r="C5" s="2" t="s">
        <v>138</v>
      </c>
      <c r="D5" s="2" t="s">
        <v>1387</v>
      </c>
      <c r="E5" s="2" t="s">
        <v>1378</v>
      </c>
      <c r="F5" s="2" t="s">
        <v>1379</v>
      </c>
      <c r="G5" s="2" t="s">
        <v>1388</v>
      </c>
      <c r="H5" s="2" t="s">
        <v>1389</v>
      </c>
      <c r="I5" s="2" t="s">
        <v>1374</v>
      </c>
      <c r="J5" s="2" t="s">
        <v>1390</v>
      </c>
      <c r="K5" s="2" t="n">
        <v>3</v>
      </c>
      <c r="L5" s="2" t="n">
        <v>1518</v>
      </c>
      <c r="M5" s="2" t="n">
        <v>219</v>
      </c>
      <c r="N5" s="2" t="n">
        <v>115</v>
      </c>
      <c r="O5" s="2" t="n">
        <v>1299</v>
      </c>
      <c r="P5" s="2" t="n">
        <v>0</v>
      </c>
      <c r="Q5" s="2" t="n">
        <v>0</v>
      </c>
      <c r="R5" s="2" t="n">
        <v>0</v>
      </c>
      <c r="S5" s="2" t="n">
        <v>11</v>
      </c>
      <c r="T5" s="2" t="n">
        <v>11</v>
      </c>
      <c r="U5" s="2" t="n">
        <v>0</v>
      </c>
      <c r="V5" s="2" t="n">
        <v>0</v>
      </c>
      <c r="W5" s="2" t="n">
        <v>0</v>
      </c>
      <c r="X5" s="2" t="n">
        <v>0</v>
      </c>
      <c r="Y5" s="2" t="n">
        <v>0</v>
      </c>
      <c r="Z5" s="2" t="n">
        <v>0</v>
      </c>
      <c r="AA5" s="2" t="n">
        <v>6</v>
      </c>
      <c r="AB5" s="2" t="n">
        <v>5</v>
      </c>
      <c r="AC5" s="2"/>
    </row>
    <row r="6" customFormat="false" ht="15" hidden="false" customHeight="false" outlineLevel="0" collapsed="false">
      <c r="A6" s="2" t="n">
        <v>5</v>
      </c>
      <c r="B6" s="2" t="s">
        <v>132</v>
      </c>
      <c r="C6" s="2" t="s">
        <v>138</v>
      </c>
      <c r="D6" s="2" t="s">
        <v>1391</v>
      </c>
      <c r="E6" s="2" t="s">
        <v>1378</v>
      </c>
      <c r="F6" s="2" t="s">
        <v>1379</v>
      </c>
      <c r="G6" s="2" t="s">
        <v>1388</v>
      </c>
      <c r="H6" s="2" t="s">
        <v>1392</v>
      </c>
      <c r="I6" s="2" t="s">
        <v>1374</v>
      </c>
      <c r="J6" s="2" t="s">
        <v>1393</v>
      </c>
      <c r="K6" s="2" t="n">
        <v>2</v>
      </c>
      <c r="L6" s="2" t="n">
        <v>965</v>
      </c>
      <c r="M6" s="2" t="n">
        <v>414</v>
      </c>
      <c r="N6" s="2" t="n">
        <v>307</v>
      </c>
      <c r="O6" s="2" t="n">
        <v>551</v>
      </c>
      <c r="P6" s="2" t="n">
        <v>0</v>
      </c>
      <c r="Q6" s="2" t="n">
        <v>0</v>
      </c>
      <c r="R6" s="2" t="n">
        <v>0</v>
      </c>
      <c r="S6" s="2" t="n">
        <v>3</v>
      </c>
      <c r="T6" s="2" t="n">
        <v>3</v>
      </c>
      <c r="U6" s="2" t="n">
        <v>0</v>
      </c>
      <c r="V6" s="2" t="n">
        <v>0</v>
      </c>
      <c r="W6" s="2" t="n">
        <v>0</v>
      </c>
      <c r="X6" s="2" t="n">
        <v>0</v>
      </c>
      <c r="Y6" s="2" t="n">
        <v>0</v>
      </c>
      <c r="Z6" s="2" t="n">
        <v>0</v>
      </c>
      <c r="AA6" s="2" t="n">
        <v>2</v>
      </c>
      <c r="AB6" s="2" t="n">
        <v>1</v>
      </c>
      <c r="AC6" s="2"/>
    </row>
    <row r="7" customFormat="false" ht="15" hidden="false" customHeight="false" outlineLevel="0" collapsed="false">
      <c r="A7" s="2" t="n">
        <v>5</v>
      </c>
      <c r="B7" s="2" t="s">
        <v>132</v>
      </c>
      <c r="C7" s="2" t="s">
        <v>138</v>
      </c>
      <c r="D7" s="2" t="s">
        <v>1394</v>
      </c>
      <c r="E7" s="2" t="s">
        <v>1395</v>
      </c>
      <c r="F7" s="2" t="s">
        <v>1396</v>
      </c>
      <c r="G7" s="2" t="s">
        <v>1397</v>
      </c>
      <c r="H7" s="2" t="s">
        <v>1398</v>
      </c>
      <c r="I7" s="2" t="s">
        <v>1374</v>
      </c>
      <c r="J7" s="2" t="s">
        <v>1399</v>
      </c>
      <c r="K7" s="2" t="n">
        <v>5</v>
      </c>
      <c r="L7" s="2" t="n">
        <v>2494</v>
      </c>
      <c r="M7" s="2" t="n">
        <v>515</v>
      </c>
      <c r="N7" s="2" t="n">
        <v>432</v>
      </c>
      <c r="O7" s="2" t="n">
        <v>1979</v>
      </c>
      <c r="P7" s="2" t="n">
        <v>0</v>
      </c>
      <c r="Q7" s="2" t="n">
        <v>0</v>
      </c>
      <c r="R7" s="2" t="n">
        <v>0</v>
      </c>
      <c r="S7" s="2" t="n">
        <v>20</v>
      </c>
      <c r="T7" s="2" t="n">
        <v>19</v>
      </c>
      <c r="U7" s="2" t="n">
        <v>1</v>
      </c>
      <c r="V7" s="2" t="n">
        <v>0</v>
      </c>
      <c r="W7" s="2" t="n">
        <v>0</v>
      </c>
      <c r="X7" s="2" t="n">
        <v>0</v>
      </c>
      <c r="Y7" s="2" t="n">
        <v>1</v>
      </c>
      <c r="Z7" s="2" t="n">
        <v>1</v>
      </c>
      <c r="AA7" s="2" t="n">
        <v>8</v>
      </c>
      <c r="AB7" s="2" t="n">
        <v>10</v>
      </c>
      <c r="AC7" s="2"/>
    </row>
    <row r="8" customFormat="false" ht="15" hidden="false" customHeight="false" outlineLevel="0" collapsed="false">
      <c r="A8" s="2" t="n">
        <v>5</v>
      </c>
      <c r="B8" s="2" t="s">
        <v>132</v>
      </c>
      <c r="C8" s="2" t="s">
        <v>138</v>
      </c>
      <c r="D8" s="2" t="s">
        <v>1400</v>
      </c>
      <c r="E8" s="2" t="s">
        <v>1401</v>
      </c>
      <c r="F8" s="2" t="s">
        <v>1402</v>
      </c>
      <c r="G8" s="2" t="s">
        <v>1403</v>
      </c>
      <c r="H8" s="2" t="s">
        <v>1404</v>
      </c>
      <c r="I8" s="2" t="s">
        <v>1374</v>
      </c>
      <c r="J8" s="2" t="s">
        <v>1405</v>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6</v>
      </c>
      <c r="Z8" s="2" t="n">
        <v>0</v>
      </c>
      <c r="AA8" s="2" t="n">
        <v>43</v>
      </c>
      <c r="AB8" s="2" t="n">
        <v>14</v>
      </c>
      <c r="AC8" s="2"/>
    </row>
    <row r="9" customFormat="false" ht="15" hidden="false" customHeight="false" outlineLevel="0" collapsed="false">
      <c r="A9" s="2" t="n">
        <v>5</v>
      </c>
      <c r="B9" s="2" t="s">
        <v>132</v>
      </c>
      <c r="C9" s="2" t="s">
        <v>138</v>
      </c>
      <c r="D9" s="2" t="s">
        <v>1406</v>
      </c>
      <c r="E9" s="2" t="s">
        <v>1395</v>
      </c>
      <c r="F9" s="2" t="s">
        <v>1396</v>
      </c>
      <c r="G9" s="2" t="s">
        <v>1403</v>
      </c>
      <c r="H9" s="2" t="s">
        <v>1407</v>
      </c>
      <c r="I9" s="2" t="s">
        <v>1374</v>
      </c>
      <c r="J9" s="2" t="s">
        <v>1408</v>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18</v>
      </c>
      <c r="Z9" s="2" t="n">
        <v>4</v>
      </c>
      <c r="AA9" s="2" t="n">
        <v>7</v>
      </c>
      <c r="AB9" s="2" t="n">
        <v>31</v>
      </c>
      <c r="AC9" s="2"/>
    </row>
    <row r="10" customFormat="false" ht="15" hidden="false" customHeight="false" outlineLevel="0" collapsed="false">
      <c r="A10" s="2" t="n">
        <v>6</v>
      </c>
      <c r="B10" s="2" t="s">
        <v>147</v>
      </c>
      <c r="C10" s="2" t="s">
        <v>153</v>
      </c>
      <c r="D10" s="2" t="s">
        <v>1409</v>
      </c>
      <c r="E10" s="2" t="s">
        <v>1370</v>
      </c>
      <c r="F10" s="2" t="s">
        <v>1410</v>
      </c>
      <c r="G10" s="2" t="s">
        <v>1411</v>
      </c>
      <c r="H10" s="2" t="s">
        <v>1412</v>
      </c>
      <c r="I10" s="2" t="s">
        <v>1374</v>
      </c>
      <c r="J10" s="2" t="s">
        <v>1413</v>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16</v>
      </c>
      <c r="Z10" s="2" t="n">
        <v>3</v>
      </c>
      <c r="AA10" s="2" t="n">
        <v>0</v>
      </c>
      <c r="AB10" s="2" t="n">
        <v>18</v>
      </c>
      <c r="AC10" s="2" t="s">
        <v>1376</v>
      </c>
    </row>
    <row r="11" customFormat="false" ht="15" hidden="false" customHeight="false" outlineLevel="0" collapsed="false">
      <c r="A11" s="2" t="n">
        <v>9</v>
      </c>
      <c r="B11" s="2" t="s">
        <v>186</v>
      </c>
      <c r="C11" s="2" t="s">
        <v>193</v>
      </c>
      <c r="D11" s="2" t="s">
        <v>1414</v>
      </c>
      <c r="E11" s="2" t="s">
        <v>1378</v>
      </c>
      <c r="F11" s="2" t="s">
        <v>1379</v>
      </c>
      <c r="G11" s="2" t="s">
        <v>1415</v>
      </c>
      <c r="H11" s="2" t="s">
        <v>1416</v>
      </c>
      <c r="I11" s="2" t="s">
        <v>1374</v>
      </c>
      <c r="J11" s="2" t="s">
        <v>1417</v>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20</v>
      </c>
      <c r="Z11" s="2" t="n">
        <v>3</v>
      </c>
      <c r="AA11" s="2" t="n">
        <v>4</v>
      </c>
      <c r="AB11" s="2" t="n">
        <v>4</v>
      </c>
      <c r="AC11" s="2"/>
    </row>
    <row r="12" customFormat="false" ht="15" hidden="false" customHeight="false" outlineLevel="0" collapsed="false">
      <c r="A12" s="2" t="n">
        <v>10</v>
      </c>
      <c r="B12" s="2" t="s">
        <v>202</v>
      </c>
      <c r="C12" s="2" t="s">
        <v>207</v>
      </c>
      <c r="D12" s="2" t="s">
        <v>1418</v>
      </c>
      <c r="E12" s="2" t="s">
        <v>1395</v>
      </c>
      <c r="F12" s="2" t="s">
        <v>1419</v>
      </c>
      <c r="G12" s="2" t="s">
        <v>1420</v>
      </c>
      <c r="H12" s="2" t="s">
        <v>1421</v>
      </c>
      <c r="I12" s="2" t="s">
        <v>1374</v>
      </c>
      <c r="J12" s="2" t="s">
        <v>1422</v>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0</v>
      </c>
      <c r="Z12" s="2" t="n">
        <v>0</v>
      </c>
      <c r="AA12" s="2" t="n">
        <v>0</v>
      </c>
      <c r="AB12" s="2" t="n">
        <v>5</v>
      </c>
      <c r="AC12" s="2"/>
    </row>
    <row r="13" customFormat="false" ht="15" hidden="false" customHeight="false" outlineLevel="0" collapsed="false">
      <c r="A13" s="2" t="n">
        <v>10</v>
      </c>
      <c r="B13" s="2" t="s">
        <v>202</v>
      </c>
      <c r="C13" s="2" t="s">
        <v>207</v>
      </c>
      <c r="D13" s="2" t="s">
        <v>1423</v>
      </c>
      <c r="E13" s="2" t="s">
        <v>1395</v>
      </c>
      <c r="F13" s="2" t="s">
        <v>1419</v>
      </c>
      <c r="G13" s="2" t="s">
        <v>1424</v>
      </c>
      <c r="H13" s="2" t="s">
        <v>1425</v>
      </c>
      <c r="I13" s="2" t="s">
        <v>1374</v>
      </c>
      <c r="J13" s="2" t="s">
        <v>1426</v>
      </c>
      <c r="K13" s="2" t="n">
        <v>2</v>
      </c>
      <c r="L13" s="2" t="n">
        <v>1029</v>
      </c>
      <c r="M13" s="2" t="n">
        <v>769</v>
      </c>
      <c r="N13" s="2" t="n">
        <v>650</v>
      </c>
      <c r="O13" s="2" t="n">
        <v>260</v>
      </c>
      <c r="P13" s="2" t="n">
        <v>0</v>
      </c>
      <c r="Q13" s="2" t="n">
        <v>0</v>
      </c>
      <c r="R13" s="2" t="n">
        <v>0</v>
      </c>
      <c r="S13" s="2" t="n">
        <v>1</v>
      </c>
      <c r="T13" s="2" t="n">
        <v>1</v>
      </c>
      <c r="U13" s="2" t="n">
        <v>0</v>
      </c>
      <c r="V13" s="2" t="n">
        <v>0</v>
      </c>
      <c r="W13" s="2" t="n">
        <v>0</v>
      </c>
      <c r="X13" s="2" t="n">
        <v>0</v>
      </c>
      <c r="Y13" s="2" t="n">
        <v>0</v>
      </c>
      <c r="Z13" s="2" t="n">
        <v>1</v>
      </c>
      <c r="AA13" s="2" t="n">
        <v>0</v>
      </c>
      <c r="AB13" s="2" t="n">
        <v>0</v>
      </c>
      <c r="AC13" s="2"/>
    </row>
    <row r="14" customFormat="false" ht="15" hidden="false" customHeight="false" outlineLevel="0" collapsed="false">
      <c r="A14" s="2" t="n">
        <v>10</v>
      </c>
      <c r="B14" s="2" t="s">
        <v>202</v>
      </c>
      <c r="C14" s="2" t="s">
        <v>207</v>
      </c>
      <c r="D14" s="2" t="s">
        <v>1427</v>
      </c>
      <c r="E14" s="2" t="s">
        <v>1395</v>
      </c>
      <c r="F14" s="2" t="s">
        <v>1419</v>
      </c>
      <c r="G14" s="2" t="s">
        <v>1428</v>
      </c>
      <c r="H14" s="2" t="s">
        <v>1429</v>
      </c>
      <c r="I14" s="2" t="s">
        <v>1374</v>
      </c>
      <c r="J14" s="2" t="s">
        <v>1430</v>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7</v>
      </c>
      <c r="AA14" s="2" t="n">
        <v>0</v>
      </c>
      <c r="AB14" s="2" t="n">
        <v>14</v>
      </c>
      <c r="AC14" s="2"/>
    </row>
    <row r="15" customFormat="false" ht="15" hidden="false" customHeight="false" outlineLevel="0" collapsed="false">
      <c r="A15" s="2" t="n">
        <v>10</v>
      </c>
      <c r="B15" s="2" t="s">
        <v>202</v>
      </c>
      <c r="C15" s="2" t="s">
        <v>207</v>
      </c>
      <c r="D15" s="2" t="s">
        <v>1431</v>
      </c>
      <c r="E15" s="2" t="s">
        <v>1395</v>
      </c>
      <c r="F15" s="2" t="s">
        <v>1419</v>
      </c>
      <c r="G15" s="2" t="s">
        <v>1432</v>
      </c>
      <c r="H15" s="2" t="s">
        <v>1433</v>
      </c>
      <c r="I15" s="2" t="s">
        <v>1374</v>
      </c>
      <c r="J15" s="2" t="s">
        <v>1434</v>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0</v>
      </c>
      <c r="Z15" s="2" t="n">
        <v>5</v>
      </c>
      <c r="AA15" s="2" t="n">
        <v>0</v>
      </c>
      <c r="AB15" s="2" t="n">
        <v>5</v>
      </c>
      <c r="AC15" s="2"/>
    </row>
    <row r="16" customFormat="false" ht="15" hidden="false" customHeight="false" outlineLevel="0" collapsed="false">
      <c r="A16" s="2" t="n">
        <v>10</v>
      </c>
      <c r="B16" s="2" t="s">
        <v>202</v>
      </c>
      <c r="C16" s="2" t="s">
        <v>207</v>
      </c>
      <c r="D16" s="2" t="s">
        <v>1435</v>
      </c>
      <c r="E16" s="2" t="s">
        <v>1395</v>
      </c>
      <c r="F16" s="2" t="s">
        <v>1419</v>
      </c>
      <c r="G16" s="2" t="s">
        <v>1436</v>
      </c>
      <c r="H16" s="2" t="s">
        <v>1437</v>
      </c>
      <c r="I16" s="2" t="s">
        <v>1374</v>
      </c>
      <c r="J16" s="2" t="s">
        <v>1438</v>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0</v>
      </c>
      <c r="Z16" s="2" t="n">
        <v>2</v>
      </c>
      <c r="AA16" s="2" t="n">
        <v>1</v>
      </c>
      <c r="AB16" s="2" t="n">
        <v>8</v>
      </c>
      <c r="AC16" s="2"/>
    </row>
    <row r="17" customFormat="false" ht="15" hidden="false" customHeight="false" outlineLevel="0" collapsed="false">
      <c r="A17" s="2" t="n">
        <v>10</v>
      </c>
      <c r="B17" s="2" t="s">
        <v>202</v>
      </c>
      <c r="C17" s="2" t="s">
        <v>207</v>
      </c>
      <c r="D17" s="2" t="s">
        <v>1439</v>
      </c>
      <c r="E17" s="2" t="s">
        <v>1395</v>
      </c>
      <c r="F17" s="2" t="s">
        <v>1419</v>
      </c>
      <c r="G17" s="2" t="s">
        <v>1440</v>
      </c>
      <c r="H17" s="2" t="s">
        <v>1441</v>
      </c>
      <c r="I17" s="2" t="s">
        <v>1374</v>
      </c>
      <c r="J17" s="2" t="s">
        <v>1442</v>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8</v>
      </c>
      <c r="AA17" s="2" t="n">
        <v>0</v>
      </c>
      <c r="AB17" s="2" t="n">
        <v>34</v>
      </c>
      <c r="AC17" s="2"/>
    </row>
    <row r="18" customFormat="false" ht="15" hidden="false" customHeight="false" outlineLevel="0" collapsed="false">
      <c r="A18" s="2" t="n">
        <v>10</v>
      </c>
      <c r="B18" s="2" t="s">
        <v>202</v>
      </c>
      <c r="C18" s="2" t="s">
        <v>207</v>
      </c>
      <c r="D18" s="2" t="s">
        <v>1443</v>
      </c>
      <c r="E18" s="2" t="s">
        <v>1395</v>
      </c>
      <c r="F18" s="2" t="s">
        <v>1419</v>
      </c>
      <c r="G18" s="2" t="s">
        <v>1444</v>
      </c>
      <c r="H18" s="2" t="s">
        <v>1445</v>
      </c>
      <c r="I18" s="2" t="s">
        <v>1374</v>
      </c>
      <c r="J18" s="2" t="s">
        <v>1446</v>
      </c>
      <c r="K18" s="2" t="n">
        <v>8</v>
      </c>
      <c r="L18" s="2" t="n">
        <v>3638</v>
      </c>
      <c r="M18" s="2" t="n">
        <v>1111</v>
      </c>
      <c r="N18" s="2" t="n">
        <v>991</v>
      </c>
      <c r="O18" s="2" t="n">
        <v>320</v>
      </c>
      <c r="P18" s="2" t="n">
        <v>2207</v>
      </c>
      <c r="Q18" s="2" t="n">
        <v>0</v>
      </c>
      <c r="R18" s="2" t="n">
        <v>0</v>
      </c>
      <c r="S18" s="2" t="n">
        <v>13</v>
      </c>
      <c r="T18" s="2" t="n">
        <v>11</v>
      </c>
      <c r="U18" s="2" t="n">
        <v>1</v>
      </c>
      <c r="V18" s="2" t="n">
        <v>0</v>
      </c>
      <c r="W18" s="2" t="n">
        <v>0</v>
      </c>
      <c r="X18" s="2" t="n">
        <v>1</v>
      </c>
      <c r="Y18" s="2" t="n">
        <v>1</v>
      </c>
      <c r="Z18" s="2" t="n">
        <v>5</v>
      </c>
      <c r="AA18" s="2" t="n">
        <v>0</v>
      </c>
      <c r="AB18" s="2" t="n">
        <v>7</v>
      </c>
      <c r="AC18" s="2"/>
    </row>
    <row r="19" customFormat="false" ht="15" hidden="false" customHeight="false" outlineLevel="0" collapsed="false">
      <c r="A19" s="2" t="n">
        <v>10</v>
      </c>
      <c r="B19" s="2" t="s">
        <v>202</v>
      </c>
      <c r="C19" s="2" t="s">
        <v>207</v>
      </c>
      <c r="D19" s="2" t="s">
        <v>1447</v>
      </c>
      <c r="E19" s="2" t="s">
        <v>1395</v>
      </c>
      <c r="F19" s="2" t="s">
        <v>1419</v>
      </c>
      <c r="G19" s="2" t="s">
        <v>1448</v>
      </c>
      <c r="H19" s="2" t="s">
        <v>1449</v>
      </c>
      <c r="I19" s="2" t="s">
        <v>1374</v>
      </c>
      <c r="J19" s="2" t="s">
        <v>1450</v>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7</v>
      </c>
      <c r="AA19" s="2" t="n">
        <v>0</v>
      </c>
      <c r="AB19" s="2" t="n">
        <v>1</v>
      </c>
      <c r="AC19" s="2"/>
    </row>
    <row r="20" customFormat="false" ht="15" hidden="false" customHeight="false" outlineLevel="0" collapsed="false">
      <c r="A20" s="2" t="n">
        <v>10</v>
      </c>
      <c r="B20" s="2" t="s">
        <v>202</v>
      </c>
      <c r="C20" s="2" t="s">
        <v>207</v>
      </c>
      <c r="D20" s="2" t="s">
        <v>1451</v>
      </c>
      <c r="E20" s="2" t="s">
        <v>1395</v>
      </c>
      <c r="F20" s="2" t="s">
        <v>1419</v>
      </c>
      <c r="G20" s="2" t="s">
        <v>1452</v>
      </c>
      <c r="H20" s="2" t="s">
        <v>1453</v>
      </c>
      <c r="I20" s="2" t="s">
        <v>1374</v>
      </c>
      <c r="J20" s="2" t="s">
        <v>1454</v>
      </c>
      <c r="K20" s="2" t="n">
        <v>9</v>
      </c>
      <c r="L20" s="2" t="n">
        <v>3434</v>
      </c>
      <c r="M20" s="2" t="n">
        <v>835</v>
      </c>
      <c r="N20" s="2" t="n">
        <v>723</v>
      </c>
      <c r="O20" s="2" t="n">
        <v>385</v>
      </c>
      <c r="P20" s="2" t="n">
        <v>2214</v>
      </c>
      <c r="Q20" s="2" t="n">
        <v>0</v>
      </c>
      <c r="R20" s="2" t="n">
        <v>0</v>
      </c>
      <c r="S20" s="2" t="n">
        <v>19</v>
      </c>
      <c r="T20" s="2" t="n">
        <v>18</v>
      </c>
      <c r="U20" s="2" t="n">
        <v>0</v>
      </c>
      <c r="V20" s="2" t="n">
        <v>0</v>
      </c>
      <c r="W20" s="2" t="n">
        <v>1</v>
      </c>
      <c r="X20" s="2" t="n">
        <v>0</v>
      </c>
      <c r="Y20" s="2" t="n">
        <v>0</v>
      </c>
      <c r="Z20" s="2" t="n">
        <v>1</v>
      </c>
      <c r="AA20" s="2" t="n">
        <v>0</v>
      </c>
      <c r="AB20" s="2" t="n">
        <v>18</v>
      </c>
      <c r="AC20" s="2"/>
    </row>
    <row r="21" customFormat="false" ht="15" hidden="false" customHeight="false" outlineLevel="0" collapsed="false">
      <c r="A21" s="2" t="n">
        <v>10</v>
      </c>
      <c r="B21" s="2" t="s">
        <v>202</v>
      </c>
      <c r="C21" s="2" t="s">
        <v>207</v>
      </c>
      <c r="D21" s="2" t="s">
        <v>1455</v>
      </c>
      <c r="E21" s="2" t="s">
        <v>1395</v>
      </c>
      <c r="F21" s="2" t="s">
        <v>1419</v>
      </c>
      <c r="G21" s="2" t="s">
        <v>1456</v>
      </c>
      <c r="H21" s="2" t="s">
        <v>1457</v>
      </c>
      <c r="I21" s="2" t="s">
        <v>1374</v>
      </c>
      <c r="J21" s="2" t="s">
        <v>1458</v>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0</v>
      </c>
      <c r="Z21" s="2" t="n">
        <v>7</v>
      </c>
      <c r="AA21" s="2" t="n">
        <v>0</v>
      </c>
      <c r="AB21" s="2" t="n">
        <v>4</v>
      </c>
      <c r="AC21" s="2"/>
    </row>
    <row r="22" customFormat="false" ht="15" hidden="false" customHeight="false" outlineLevel="0" collapsed="false">
      <c r="A22" s="2" t="n">
        <v>10</v>
      </c>
      <c r="B22" s="2" t="s">
        <v>202</v>
      </c>
      <c r="C22" s="2" t="s">
        <v>207</v>
      </c>
      <c r="D22" s="2" t="s">
        <v>1459</v>
      </c>
      <c r="E22" s="2" t="s">
        <v>1395</v>
      </c>
      <c r="F22" s="2" t="s">
        <v>1419</v>
      </c>
      <c r="G22" s="2" t="s">
        <v>1460</v>
      </c>
      <c r="H22" s="2" t="s">
        <v>1461</v>
      </c>
      <c r="I22" s="2" t="s">
        <v>1374</v>
      </c>
      <c r="J22" s="2" t="s">
        <v>1462</v>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row>
    <row r="23" customFormat="false" ht="15" hidden="false" customHeight="false" outlineLevel="0" collapsed="false">
      <c r="A23" s="2" t="n">
        <v>10</v>
      </c>
      <c r="B23" s="2" t="s">
        <v>202</v>
      </c>
      <c r="C23" s="2" t="s">
        <v>207</v>
      </c>
      <c r="D23" s="2" t="s">
        <v>1463</v>
      </c>
      <c r="E23" s="2" t="s">
        <v>1395</v>
      </c>
      <c r="F23" s="2" t="s">
        <v>1419</v>
      </c>
      <c r="G23" s="2" t="s">
        <v>1464</v>
      </c>
      <c r="H23" s="2" t="s">
        <v>1465</v>
      </c>
      <c r="I23" s="2" t="s">
        <v>1374</v>
      </c>
      <c r="J23" s="2" t="s">
        <v>1466</v>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0</v>
      </c>
      <c r="Z23" s="2" t="n">
        <v>5</v>
      </c>
      <c r="AA23" s="2" t="n">
        <v>0</v>
      </c>
      <c r="AB23" s="2" t="n">
        <v>21</v>
      </c>
      <c r="AC23" s="2"/>
    </row>
    <row r="24" customFormat="false" ht="15" hidden="false" customHeight="false" outlineLevel="0" collapsed="false">
      <c r="A24" s="2" t="n">
        <v>10</v>
      </c>
      <c r="B24" s="2" t="s">
        <v>202</v>
      </c>
      <c r="C24" s="2" t="s">
        <v>207</v>
      </c>
      <c r="D24" s="2" t="s">
        <v>1467</v>
      </c>
      <c r="E24" s="2" t="s">
        <v>1395</v>
      </c>
      <c r="F24" s="2" t="s">
        <v>1419</v>
      </c>
      <c r="G24" s="2" t="s">
        <v>1468</v>
      </c>
      <c r="H24" s="2" t="s">
        <v>1469</v>
      </c>
      <c r="I24" s="2" t="s">
        <v>1374</v>
      </c>
      <c r="J24" s="2" t="s">
        <v>1470</v>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0</v>
      </c>
      <c r="Z24" s="2" t="n">
        <v>0</v>
      </c>
      <c r="AA24" s="2" t="n">
        <v>0</v>
      </c>
      <c r="AB24" s="2" t="n">
        <v>7</v>
      </c>
      <c r="AC24" s="2"/>
    </row>
    <row r="25" customFormat="false" ht="15" hidden="false" customHeight="false" outlineLevel="0" collapsed="false">
      <c r="A25" s="2" t="n">
        <v>10</v>
      </c>
      <c r="B25" s="2" t="s">
        <v>202</v>
      </c>
      <c r="C25" s="2" t="s">
        <v>207</v>
      </c>
      <c r="D25" s="2" t="s">
        <v>1471</v>
      </c>
      <c r="E25" s="2" t="s">
        <v>1395</v>
      </c>
      <c r="F25" s="2" t="s">
        <v>1419</v>
      </c>
      <c r="G25" s="2" t="s">
        <v>1472</v>
      </c>
      <c r="H25" s="2" t="s">
        <v>1473</v>
      </c>
      <c r="I25" s="2" t="s">
        <v>1374</v>
      </c>
      <c r="J25" s="2" t="s">
        <v>1474</v>
      </c>
      <c r="K25" s="2" t="n">
        <v>6</v>
      </c>
      <c r="L25" s="2" t="n">
        <v>2304</v>
      </c>
      <c r="M25" s="2" t="n">
        <v>680</v>
      </c>
      <c r="N25" s="2" t="n">
        <v>562</v>
      </c>
      <c r="O25" s="2" t="n">
        <v>643</v>
      </c>
      <c r="P25" s="2" t="n">
        <v>981</v>
      </c>
      <c r="Q25" s="2" t="n">
        <v>0</v>
      </c>
      <c r="R25" s="2" t="n">
        <v>0</v>
      </c>
      <c r="S25" s="2" t="n">
        <v>26</v>
      </c>
      <c r="T25" s="2" t="n">
        <v>20</v>
      </c>
      <c r="U25" s="2" t="n">
        <v>5</v>
      </c>
      <c r="V25" s="2" t="n">
        <v>0</v>
      </c>
      <c r="W25" s="2" t="n">
        <v>0</v>
      </c>
      <c r="X25" s="2" t="n">
        <v>1</v>
      </c>
      <c r="Y25" s="2" t="n">
        <v>2</v>
      </c>
      <c r="Z25" s="2" t="n">
        <v>4</v>
      </c>
      <c r="AA25" s="2" t="n">
        <v>1</v>
      </c>
      <c r="AB25" s="2" t="n">
        <v>19</v>
      </c>
      <c r="AC25" s="2"/>
    </row>
    <row r="26" customFormat="false" ht="15" hidden="false" customHeight="false" outlineLevel="0" collapsed="false">
      <c r="A26" s="2" t="n">
        <v>10</v>
      </c>
      <c r="B26" s="2" t="s">
        <v>202</v>
      </c>
      <c r="C26" s="2" t="s">
        <v>207</v>
      </c>
      <c r="D26" s="2" t="s">
        <v>1475</v>
      </c>
      <c r="E26" s="2" t="s">
        <v>1395</v>
      </c>
      <c r="F26" s="2" t="s">
        <v>1419</v>
      </c>
      <c r="G26" s="2" t="s">
        <v>1476</v>
      </c>
      <c r="H26" s="2" t="s">
        <v>1477</v>
      </c>
      <c r="I26" s="2" t="s">
        <v>1374</v>
      </c>
      <c r="J26" s="2" t="s">
        <v>1478</v>
      </c>
      <c r="K26" s="2" t="n">
        <v>2</v>
      </c>
      <c r="L26" s="2" t="n">
        <v>753</v>
      </c>
      <c r="M26" s="2" t="n">
        <v>328</v>
      </c>
      <c r="N26" s="2" t="n">
        <v>212</v>
      </c>
      <c r="O26" s="2" t="n">
        <v>81</v>
      </c>
      <c r="P26" s="2" t="n">
        <v>344</v>
      </c>
      <c r="Q26" s="2" t="n">
        <v>0</v>
      </c>
      <c r="R26" s="2" t="n">
        <v>0</v>
      </c>
      <c r="S26" s="2" t="n">
        <v>4</v>
      </c>
      <c r="T26" s="2" t="n">
        <v>4</v>
      </c>
      <c r="U26" s="2" t="n">
        <v>0</v>
      </c>
      <c r="V26" s="2" t="n">
        <v>0</v>
      </c>
      <c r="W26" s="2" t="n">
        <v>0</v>
      </c>
      <c r="X26" s="2" t="n">
        <v>0</v>
      </c>
      <c r="Y26" s="2" t="n">
        <v>0</v>
      </c>
      <c r="Z26" s="2" t="n">
        <v>0</v>
      </c>
      <c r="AA26" s="2" t="n">
        <v>0</v>
      </c>
      <c r="AB26" s="2" t="n">
        <v>4</v>
      </c>
      <c r="AC26" s="2"/>
    </row>
    <row r="27" customFormat="false" ht="15" hidden="false" customHeight="false" outlineLevel="0" collapsed="false">
      <c r="A27" s="2" t="n">
        <v>10</v>
      </c>
      <c r="B27" s="2" t="s">
        <v>202</v>
      </c>
      <c r="C27" s="2" t="s">
        <v>207</v>
      </c>
      <c r="D27" s="2" t="s">
        <v>1479</v>
      </c>
      <c r="E27" s="2" t="s">
        <v>1395</v>
      </c>
      <c r="F27" s="2" t="s">
        <v>1419</v>
      </c>
      <c r="G27" s="2" t="s">
        <v>1480</v>
      </c>
      <c r="H27" s="2" t="s">
        <v>1481</v>
      </c>
      <c r="I27" s="2" t="s">
        <v>1374</v>
      </c>
      <c r="J27" s="2" t="s">
        <v>1482</v>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0</v>
      </c>
      <c r="Z27" s="2" t="n">
        <v>7</v>
      </c>
      <c r="AA27" s="2" t="n">
        <v>0</v>
      </c>
      <c r="AB27" s="2" t="n">
        <v>45</v>
      </c>
      <c r="AC27" s="2"/>
    </row>
    <row r="28" customFormat="false" ht="15" hidden="false" customHeight="false" outlineLevel="0" collapsed="false">
      <c r="A28" s="2" t="n">
        <v>10</v>
      </c>
      <c r="B28" s="2" t="s">
        <v>202</v>
      </c>
      <c r="C28" s="2" t="s">
        <v>207</v>
      </c>
      <c r="D28" s="2" t="s">
        <v>1483</v>
      </c>
      <c r="E28" s="2" t="s">
        <v>1395</v>
      </c>
      <c r="F28" s="2" t="s">
        <v>1419</v>
      </c>
      <c r="G28" s="2" t="s">
        <v>1484</v>
      </c>
      <c r="H28" s="2" t="s">
        <v>1485</v>
      </c>
      <c r="I28" s="2" t="s">
        <v>1374</v>
      </c>
      <c r="J28" s="2" t="s">
        <v>1486</v>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1</v>
      </c>
      <c r="AC28" s="2"/>
    </row>
    <row r="29" customFormat="false" ht="15" hidden="false" customHeight="false" outlineLevel="0" collapsed="false">
      <c r="A29" s="2" t="n">
        <v>10</v>
      </c>
      <c r="B29" s="2" t="s">
        <v>202</v>
      </c>
      <c r="C29" s="2" t="s">
        <v>207</v>
      </c>
      <c r="D29" s="2" t="s">
        <v>1487</v>
      </c>
      <c r="E29" s="2" t="s">
        <v>1395</v>
      </c>
      <c r="F29" s="2" t="s">
        <v>1419</v>
      </c>
      <c r="G29" s="2" t="s">
        <v>1488</v>
      </c>
      <c r="H29" s="2" t="s">
        <v>1489</v>
      </c>
      <c r="I29" s="2" t="s">
        <v>1374</v>
      </c>
      <c r="J29" s="2" t="s">
        <v>1490</v>
      </c>
      <c r="K29" s="2" t="n">
        <v>4</v>
      </c>
      <c r="L29" s="2" t="n">
        <v>1613</v>
      </c>
      <c r="M29" s="2" t="n">
        <v>988</v>
      </c>
      <c r="N29" s="2" t="n">
        <v>856</v>
      </c>
      <c r="O29" s="2" t="n">
        <v>149</v>
      </c>
      <c r="P29" s="2" t="n">
        <v>476</v>
      </c>
      <c r="Q29" s="2" t="n">
        <v>0</v>
      </c>
      <c r="R29" s="2" t="n">
        <v>0</v>
      </c>
      <c r="S29" s="2" t="n">
        <v>6</v>
      </c>
      <c r="T29" s="2" t="n">
        <v>2</v>
      </c>
      <c r="U29" s="2" t="n">
        <v>0</v>
      </c>
      <c r="V29" s="2" t="n">
        <v>0</v>
      </c>
      <c r="W29" s="2" t="n">
        <v>4</v>
      </c>
      <c r="X29" s="2" t="n">
        <v>0</v>
      </c>
      <c r="Y29" s="2" t="n">
        <v>0</v>
      </c>
      <c r="Z29" s="2" t="n">
        <v>0</v>
      </c>
      <c r="AA29" s="2" t="n">
        <v>0</v>
      </c>
      <c r="AB29" s="2" t="n">
        <v>6</v>
      </c>
      <c r="AC29" s="2"/>
    </row>
    <row r="30" customFormat="false" ht="15" hidden="false" customHeight="false" outlineLevel="0" collapsed="false">
      <c r="A30" s="2" t="n">
        <v>10</v>
      </c>
      <c r="B30" s="2" t="s">
        <v>202</v>
      </c>
      <c r="C30" s="2" t="s">
        <v>207</v>
      </c>
      <c r="D30" s="2" t="s">
        <v>1491</v>
      </c>
      <c r="E30" s="2" t="s">
        <v>1395</v>
      </c>
      <c r="F30" s="2" t="s">
        <v>1419</v>
      </c>
      <c r="G30" s="2" t="s">
        <v>608</v>
      </c>
      <c r="H30" s="2" t="s">
        <v>1492</v>
      </c>
      <c r="I30" s="2" t="s">
        <v>1374</v>
      </c>
      <c r="J30" s="2" t="s">
        <v>1493</v>
      </c>
      <c r="K30" s="2" t="n">
        <v>7</v>
      </c>
      <c r="L30" s="2" t="n">
        <v>3298</v>
      </c>
      <c r="M30" s="2" t="n">
        <v>1395</v>
      </c>
      <c r="N30" s="2" t="n">
        <v>1257</v>
      </c>
      <c r="O30" s="2" t="n">
        <v>580</v>
      </c>
      <c r="P30" s="2" t="n">
        <v>1323</v>
      </c>
      <c r="Q30" s="2" t="n">
        <v>0</v>
      </c>
      <c r="R30" s="2" t="n">
        <v>0</v>
      </c>
      <c r="S30" s="2" t="n">
        <v>8</v>
      </c>
      <c r="T30" s="2" t="n">
        <v>6</v>
      </c>
      <c r="U30" s="2" t="n">
        <v>0</v>
      </c>
      <c r="V30" s="2" t="n">
        <v>0</v>
      </c>
      <c r="W30" s="2" t="n">
        <v>0</v>
      </c>
      <c r="X30" s="2" t="n">
        <v>2</v>
      </c>
      <c r="Y30" s="2" t="n">
        <v>0</v>
      </c>
      <c r="Z30" s="2" t="n">
        <v>2</v>
      </c>
      <c r="AA30" s="2" t="n">
        <v>0</v>
      </c>
      <c r="AB30" s="2" t="n">
        <v>6</v>
      </c>
      <c r="AC30" s="2"/>
    </row>
    <row r="31" customFormat="false" ht="15" hidden="false" customHeight="false" outlineLevel="0" collapsed="false">
      <c r="A31" s="2" t="n">
        <v>10</v>
      </c>
      <c r="B31" s="2" t="s">
        <v>202</v>
      </c>
      <c r="C31" s="2" t="s">
        <v>207</v>
      </c>
      <c r="D31" s="2" t="s">
        <v>1494</v>
      </c>
      <c r="E31" s="2" t="s">
        <v>1395</v>
      </c>
      <c r="F31" s="2" t="s">
        <v>1419</v>
      </c>
      <c r="G31" s="2" t="s">
        <v>1495</v>
      </c>
      <c r="H31" s="2" t="s">
        <v>1496</v>
      </c>
      <c r="I31" s="2" t="s">
        <v>1374</v>
      </c>
      <c r="J31" s="2" t="s">
        <v>1497</v>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0</v>
      </c>
      <c r="Z31" s="2" t="n">
        <v>6</v>
      </c>
      <c r="AA31" s="2" t="n">
        <v>0</v>
      </c>
      <c r="AB31" s="2" t="n">
        <v>18</v>
      </c>
      <c r="AC31" s="2"/>
    </row>
    <row r="32" customFormat="false" ht="15" hidden="false" customHeight="false" outlineLevel="0" collapsed="false">
      <c r="A32" s="2" t="n">
        <v>10</v>
      </c>
      <c r="B32" s="2" t="s">
        <v>202</v>
      </c>
      <c r="C32" s="2" t="s">
        <v>207</v>
      </c>
      <c r="D32" s="2" t="s">
        <v>1498</v>
      </c>
      <c r="E32" s="2" t="s">
        <v>1395</v>
      </c>
      <c r="F32" s="2" t="s">
        <v>1419</v>
      </c>
      <c r="G32" s="2" t="s">
        <v>1499</v>
      </c>
      <c r="H32" s="2" t="s">
        <v>1500</v>
      </c>
      <c r="I32" s="2" t="s">
        <v>1374</v>
      </c>
      <c r="J32" s="2" t="s">
        <v>1501</v>
      </c>
      <c r="K32" s="2" t="n">
        <v>9</v>
      </c>
      <c r="L32" s="2" t="n">
        <v>3854</v>
      </c>
      <c r="M32" s="2" t="n">
        <v>1167</v>
      </c>
      <c r="N32" s="2" t="n">
        <v>1027</v>
      </c>
      <c r="O32" s="2" t="n">
        <v>125</v>
      </c>
      <c r="P32" s="2" t="n">
        <v>2562</v>
      </c>
      <c r="Q32" s="2" t="n">
        <v>0</v>
      </c>
      <c r="R32" s="2" t="n">
        <v>0</v>
      </c>
      <c r="S32" s="2" t="n">
        <v>11</v>
      </c>
      <c r="T32" s="2" t="n">
        <v>9</v>
      </c>
      <c r="U32" s="2" t="n">
        <v>0</v>
      </c>
      <c r="V32" s="2" t="n">
        <v>0</v>
      </c>
      <c r="W32" s="2" t="n">
        <v>2</v>
      </c>
      <c r="X32" s="2" t="n">
        <v>0</v>
      </c>
      <c r="Y32" s="2" t="n">
        <v>1</v>
      </c>
      <c r="Z32" s="2" t="n">
        <v>2</v>
      </c>
      <c r="AA32" s="2" t="n">
        <v>0</v>
      </c>
      <c r="AB32" s="2" t="n">
        <v>8</v>
      </c>
      <c r="AC32" s="2"/>
    </row>
    <row r="33" customFormat="false" ht="15" hidden="false" customHeight="false" outlineLevel="0" collapsed="false">
      <c r="A33" s="2" t="n">
        <v>10</v>
      </c>
      <c r="B33" s="2" t="s">
        <v>202</v>
      </c>
      <c r="C33" s="2" t="s">
        <v>207</v>
      </c>
      <c r="D33" s="2" t="s">
        <v>1502</v>
      </c>
      <c r="E33" s="2" t="s">
        <v>1395</v>
      </c>
      <c r="F33" s="2" t="s">
        <v>1419</v>
      </c>
      <c r="G33" s="2" t="s">
        <v>1503</v>
      </c>
      <c r="H33" s="2" t="s">
        <v>1504</v>
      </c>
      <c r="I33" s="2" t="s">
        <v>1374</v>
      </c>
      <c r="J33" s="2" t="s">
        <v>1505</v>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0</v>
      </c>
      <c r="Z33" s="2" t="n">
        <v>10</v>
      </c>
      <c r="AA33" s="2" t="n">
        <v>0</v>
      </c>
      <c r="AB33" s="2" t="n">
        <v>7</v>
      </c>
      <c r="AC33" s="2"/>
    </row>
    <row r="34" customFormat="false" ht="15" hidden="false" customHeight="false" outlineLevel="0" collapsed="false">
      <c r="A34" s="2" t="n">
        <v>10</v>
      </c>
      <c r="B34" s="2" t="s">
        <v>202</v>
      </c>
      <c r="C34" s="2" t="s">
        <v>207</v>
      </c>
      <c r="D34" s="2" t="s">
        <v>1506</v>
      </c>
      <c r="E34" s="2" t="s">
        <v>1395</v>
      </c>
      <c r="F34" s="2" t="s">
        <v>1419</v>
      </c>
      <c r="G34" s="2" t="s">
        <v>1503</v>
      </c>
      <c r="H34" s="2" t="s">
        <v>1507</v>
      </c>
      <c r="I34" s="2" t="s">
        <v>1374</v>
      </c>
      <c r="J34" s="2" t="s">
        <v>1508</v>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0</v>
      </c>
      <c r="Z34" s="2" t="n">
        <v>2</v>
      </c>
      <c r="AA34" s="2" t="n">
        <v>0</v>
      </c>
      <c r="AB34" s="2" t="n">
        <v>20</v>
      </c>
      <c r="AC34" s="2"/>
    </row>
    <row r="35" customFormat="false" ht="15" hidden="false" customHeight="false" outlineLevel="0" collapsed="false">
      <c r="A35" s="2" t="n">
        <v>10</v>
      </c>
      <c r="B35" s="2" t="s">
        <v>202</v>
      </c>
      <c r="C35" s="2" t="s">
        <v>207</v>
      </c>
      <c r="D35" s="2" t="s">
        <v>1509</v>
      </c>
      <c r="E35" s="2" t="s">
        <v>1395</v>
      </c>
      <c r="F35" s="2" t="s">
        <v>1419</v>
      </c>
      <c r="G35" s="2" t="s">
        <v>1510</v>
      </c>
      <c r="H35" s="2" t="s">
        <v>1511</v>
      </c>
      <c r="I35" s="2" t="s">
        <v>1374</v>
      </c>
      <c r="J35" s="2" t="s">
        <v>1512</v>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0</v>
      </c>
      <c r="Z35" s="2" t="n">
        <v>6</v>
      </c>
      <c r="AA35" s="2" t="n">
        <v>0</v>
      </c>
      <c r="AB35" s="2" t="n">
        <v>19</v>
      </c>
      <c r="AC35" s="2"/>
    </row>
    <row r="36" customFormat="false" ht="15" hidden="false" customHeight="false" outlineLevel="0" collapsed="false">
      <c r="A36" s="2" t="n">
        <v>10</v>
      </c>
      <c r="B36" s="2" t="s">
        <v>202</v>
      </c>
      <c r="C36" s="2" t="s">
        <v>207</v>
      </c>
      <c r="D36" s="2" t="s">
        <v>1513</v>
      </c>
      <c r="E36" s="2" t="s">
        <v>1395</v>
      </c>
      <c r="F36" s="2" t="s">
        <v>1419</v>
      </c>
      <c r="G36" s="2" t="s">
        <v>1514</v>
      </c>
      <c r="H36" s="2" t="s">
        <v>1515</v>
      </c>
      <c r="I36" s="2" t="s">
        <v>1374</v>
      </c>
      <c r="J36" s="2" t="s">
        <v>1516</v>
      </c>
      <c r="K36" s="2" t="n">
        <v>4</v>
      </c>
      <c r="L36" s="2" t="n">
        <v>1503</v>
      </c>
      <c r="M36" s="2" t="n">
        <v>1059</v>
      </c>
      <c r="N36" s="2" t="n">
        <v>946</v>
      </c>
      <c r="O36" s="2" t="n">
        <v>120</v>
      </c>
      <c r="P36" s="2" t="n">
        <v>324</v>
      </c>
      <c r="Q36" s="2" t="n">
        <v>0</v>
      </c>
      <c r="R36" s="2" t="n">
        <v>0</v>
      </c>
      <c r="S36" s="2" t="n">
        <v>4</v>
      </c>
      <c r="T36" s="2" t="n">
        <v>3</v>
      </c>
      <c r="U36" s="2" t="n">
        <v>1</v>
      </c>
      <c r="V36" s="2" t="n">
        <v>0</v>
      </c>
      <c r="W36" s="2" t="n">
        <v>0</v>
      </c>
      <c r="X36" s="2" t="n">
        <v>0</v>
      </c>
      <c r="Y36" s="2" t="n">
        <v>0</v>
      </c>
      <c r="Z36" s="2" t="n">
        <v>4</v>
      </c>
      <c r="AA36" s="2" t="n">
        <v>0</v>
      </c>
      <c r="AB36" s="2" t="n">
        <v>0</v>
      </c>
      <c r="AC36" s="2"/>
    </row>
    <row r="37" customFormat="false" ht="15" hidden="false" customHeight="false" outlineLevel="0" collapsed="false">
      <c r="A37" s="2" t="n">
        <v>10</v>
      </c>
      <c r="B37" s="2" t="s">
        <v>202</v>
      </c>
      <c r="C37" s="2" t="s">
        <v>207</v>
      </c>
      <c r="D37" s="2" t="s">
        <v>1517</v>
      </c>
      <c r="E37" s="2" t="s">
        <v>1395</v>
      </c>
      <c r="F37" s="2" t="s">
        <v>1419</v>
      </c>
      <c r="G37" s="2" t="s">
        <v>1518</v>
      </c>
      <c r="H37" s="2" t="s">
        <v>1519</v>
      </c>
      <c r="I37" s="2" t="s">
        <v>1374</v>
      </c>
      <c r="J37" s="2" t="s">
        <v>1520</v>
      </c>
      <c r="K37" s="2" t="n">
        <v>7</v>
      </c>
      <c r="L37" s="2" t="n">
        <v>2726</v>
      </c>
      <c r="M37" s="2" t="n">
        <v>897</v>
      </c>
      <c r="N37" s="2" t="n">
        <v>779</v>
      </c>
      <c r="O37" s="2" t="n">
        <v>189</v>
      </c>
      <c r="P37" s="2" t="n">
        <v>1640</v>
      </c>
      <c r="Q37" s="2" t="n">
        <v>0</v>
      </c>
      <c r="R37" s="2" t="n">
        <v>0</v>
      </c>
      <c r="S37" s="2" t="n">
        <v>7</v>
      </c>
      <c r="T37" s="2" t="n">
        <v>7</v>
      </c>
      <c r="U37" s="2" t="n">
        <v>0</v>
      </c>
      <c r="V37" s="2" t="n">
        <v>0</v>
      </c>
      <c r="W37" s="2" t="n">
        <v>0</v>
      </c>
      <c r="X37" s="2" t="n">
        <v>0</v>
      </c>
      <c r="Y37" s="2" t="n">
        <v>0</v>
      </c>
      <c r="Z37" s="2" t="n">
        <v>1</v>
      </c>
      <c r="AA37" s="2" t="n">
        <v>0</v>
      </c>
      <c r="AB37" s="2" t="n">
        <v>6</v>
      </c>
      <c r="AC37" s="2"/>
    </row>
    <row r="38" customFormat="false" ht="15" hidden="false" customHeight="false" outlineLevel="0" collapsed="false">
      <c r="A38" s="2" t="n">
        <v>10</v>
      </c>
      <c r="B38" s="2" t="s">
        <v>202</v>
      </c>
      <c r="C38" s="2" t="s">
        <v>207</v>
      </c>
      <c r="D38" s="2" t="s">
        <v>1521</v>
      </c>
      <c r="E38" s="2" t="s">
        <v>1395</v>
      </c>
      <c r="F38" s="2" t="s">
        <v>1419</v>
      </c>
      <c r="G38" s="2" t="s">
        <v>1522</v>
      </c>
      <c r="H38" s="2" t="s">
        <v>1523</v>
      </c>
      <c r="I38" s="2" t="s">
        <v>1374</v>
      </c>
      <c r="J38" s="2" t="s">
        <v>1524</v>
      </c>
      <c r="K38" s="2" t="n">
        <v>9</v>
      </c>
      <c r="L38" s="2" t="n">
        <v>3674</v>
      </c>
      <c r="M38" s="2" t="n">
        <v>956</v>
      </c>
      <c r="N38" s="2" t="n">
        <v>842</v>
      </c>
      <c r="O38" s="2" t="n">
        <v>163</v>
      </c>
      <c r="P38" s="2" t="n">
        <v>2555</v>
      </c>
      <c r="Q38" s="2" t="n">
        <v>0</v>
      </c>
      <c r="R38" s="2" t="n">
        <v>0</v>
      </c>
      <c r="S38" s="2" t="n">
        <v>9</v>
      </c>
      <c r="T38" s="2" t="n">
        <v>6</v>
      </c>
      <c r="U38" s="2" t="n">
        <v>1</v>
      </c>
      <c r="V38" s="2" t="n">
        <v>0</v>
      </c>
      <c r="W38" s="2" t="n">
        <v>2</v>
      </c>
      <c r="X38" s="2" t="n">
        <v>0</v>
      </c>
      <c r="Y38" s="2" t="n">
        <v>0</v>
      </c>
      <c r="Z38" s="2" t="n">
        <v>3</v>
      </c>
      <c r="AA38" s="2" t="n">
        <v>0</v>
      </c>
      <c r="AB38" s="2" t="n">
        <v>6</v>
      </c>
      <c r="AC38" s="2"/>
    </row>
    <row r="39" customFormat="false" ht="15" hidden="false" customHeight="false" outlineLevel="0" collapsed="false">
      <c r="A39" s="2" t="n">
        <v>10</v>
      </c>
      <c r="B39" s="2" t="s">
        <v>202</v>
      </c>
      <c r="C39" s="2" t="s">
        <v>207</v>
      </c>
      <c r="D39" s="2" t="s">
        <v>1525</v>
      </c>
      <c r="E39" s="2" t="s">
        <v>1395</v>
      </c>
      <c r="F39" s="2" t="s">
        <v>1419</v>
      </c>
      <c r="G39" s="2" t="s">
        <v>1526</v>
      </c>
      <c r="H39" s="2" t="s">
        <v>1527</v>
      </c>
      <c r="I39" s="2" t="s">
        <v>1374</v>
      </c>
      <c r="J39" s="2" t="s">
        <v>1528</v>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0</v>
      </c>
      <c r="Z39" s="2" t="n">
        <v>4</v>
      </c>
      <c r="AA39" s="2" t="n">
        <v>0</v>
      </c>
      <c r="AB39" s="2" t="n">
        <v>9</v>
      </c>
      <c r="AC39" s="2"/>
    </row>
    <row r="40" customFormat="false" ht="15" hidden="false" customHeight="false" outlineLevel="0" collapsed="false">
      <c r="A40" s="2" t="n">
        <v>10</v>
      </c>
      <c r="B40" s="2" t="s">
        <v>202</v>
      </c>
      <c r="C40" s="2" t="s">
        <v>207</v>
      </c>
      <c r="D40" s="2" t="s">
        <v>1529</v>
      </c>
      <c r="E40" s="2" t="s">
        <v>1395</v>
      </c>
      <c r="F40" s="2" t="s">
        <v>1419</v>
      </c>
      <c r="G40" s="2" t="s">
        <v>1530</v>
      </c>
      <c r="H40" s="2" t="s">
        <v>1531</v>
      </c>
      <c r="I40" s="2" t="s">
        <v>1374</v>
      </c>
      <c r="J40" s="2" t="s">
        <v>1532</v>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0</v>
      </c>
      <c r="Z40" s="2" t="n">
        <v>3</v>
      </c>
      <c r="AA40" s="2" t="n">
        <v>1</v>
      </c>
      <c r="AB40" s="2" t="n">
        <v>5</v>
      </c>
      <c r="AC40" s="2"/>
    </row>
    <row r="41" customFormat="false" ht="15" hidden="false" customHeight="false" outlineLevel="0" collapsed="false">
      <c r="A41" s="2" t="n">
        <v>10</v>
      </c>
      <c r="B41" s="2" t="s">
        <v>202</v>
      </c>
      <c r="C41" s="2" t="s">
        <v>207</v>
      </c>
      <c r="D41" s="2" t="s">
        <v>1533</v>
      </c>
      <c r="E41" s="2" t="s">
        <v>1395</v>
      </c>
      <c r="F41" s="2" t="s">
        <v>1419</v>
      </c>
      <c r="G41" s="2" t="s">
        <v>1534</v>
      </c>
      <c r="H41" s="2" t="s">
        <v>1535</v>
      </c>
      <c r="I41" s="2" t="s">
        <v>1374</v>
      </c>
      <c r="J41" s="2" t="s">
        <v>1536</v>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0</v>
      </c>
      <c r="Z41" s="2" t="n">
        <v>5</v>
      </c>
      <c r="AA41" s="2" t="n">
        <v>0</v>
      </c>
      <c r="AB41" s="2" t="n">
        <v>21</v>
      </c>
      <c r="AC41" s="2"/>
    </row>
    <row r="42" customFormat="false" ht="15" hidden="false" customHeight="false" outlineLevel="0" collapsed="false">
      <c r="A42" s="2" t="n">
        <v>10</v>
      </c>
      <c r="B42" s="2" t="s">
        <v>202</v>
      </c>
      <c r="C42" s="2" t="s">
        <v>207</v>
      </c>
      <c r="D42" s="2" t="s">
        <v>1537</v>
      </c>
      <c r="E42" s="2" t="s">
        <v>1395</v>
      </c>
      <c r="F42" s="2" t="s">
        <v>1419</v>
      </c>
      <c r="G42" s="2" t="s">
        <v>1538</v>
      </c>
      <c r="H42" s="2" t="s">
        <v>1539</v>
      </c>
      <c r="I42" s="2" t="s">
        <v>1374</v>
      </c>
      <c r="J42" s="2" t="s">
        <v>1540</v>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0</v>
      </c>
      <c r="Z42" s="2" t="n">
        <v>3</v>
      </c>
      <c r="AA42" s="2" t="n">
        <v>0</v>
      </c>
      <c r="AB42" s="2" t="n">
        <v>19</v>
      </c>
      <c r="AC42" s="2"/>
    </row>
    <row r="43" customFormat="false" ht="15" hidden="false" customHeight="false" outlineLevel="0" collapsed="false">
      <c r="A43" s="2" t="n">
        <v>10</v>
      </c>
      <c r="B43" s="2" t="s">
        <v>202</v>
      </c>
      <c r="C43" s="2" t="s">
        <v>207</v>
      </c>
      <c r="D43" s="2" t="s">
        <v>1541</v>
      </c>
      <c r="E43" s="2" t="s">
        <v>1395</v>
      </c>
      <c r="F43" s="2" t="s">
        <v>1419</v>
      </c>
      <c r="G43" s="2" t="s">
        <v>1538</v>
      </c>
      <c r="H43" s="2" t="s">
        <v>1542</v>
      </c>
      <c r="I43" s="2" t="s">
        <v>1374</v>
      </c>
      <c r="J43" s="2" t="s">
        <v>1543</v>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0</v>
      </c>
      <c r="Z43" s="2" t="n">
        <v>6</v>
      </c>
      <c r="AA43" s="2" t="n">
        <v>0</v>
      </c>
      <c r="AB43" s="2" t="n">
        <v>19</v>
      </c>
      <c r="AC43" s="2"/>
    </row>
    <row r="44" customFormat="false" ht="15" hidden="false" customHeight="false" outlineLevel="0" collapsed="false">
      <c r="A44" s="2" t="n">
        <v>10</v>
      </c>
      <c r="B44" s="2" t="s">
        <v>202</v>
      </c>
      <c r="C44" s="2" t="s">
        <v>207</v>
      </c>
      <c r="D44" s="2" t="s">
        <v>1544</v>
      </c>
      <c r="E44" s="2" t="s">
        <v>1395</v>
      </c>
      <c r="F44" s="2" t="s">
        <v>1419</v>
      </c>
      <c r="G44" s="2" t="s">
        <v>946</v>
      </c>
      <c r="H44" s="2" t="s">
        <v>1545</v>
      </c>
      <c r="I44" s="2" t="s">
        <v>1374</v>
      </c>
      <c r="J44" s="2" t="s">
        <v>1546</v>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0</v>
      </c>
      <c r="Z44" s="2" t="n">
        <v>2</v>
      </c>
      <c r="AA44" s="2" t="n">
        <v>1</v>
      </c>
      <c r="AB44" s="2" t="n">
        <v>18</v>
      </c>
      <c r="AC44" s="2"/>
    </row>
    <row r="45" customFormat="false" ht="15" hidden="false" customHeight="false" outlineLevel="0" collapsed="false">
      <c r="A45" s="2" t="n">
        <v>10</v>
      </c>
      <c r="B45" s="2" t="s">
        <v>202</v>
      </c>
      <c r="C45" s="2" t="s">
        <v>207</v>
      </c>
      <c r="D45" s="2" t="s">
        <v>1547</v>
      </c>
      <c r="E45" s="2" t="s">
        <v>1395</v>
      </c>
      <c r="F45" s="2" t="s">
        <v>1419</v>
      </c>
      <c r="G45" s="2" t="s">
        <v>946</v>
      </c>
      <c r="H45" s="2" t="s">
        <v>1548</v>
      </c>
      <c r="I45" s="2" t="s">
        <v>1374</v>
      </c>
      <c r="J45" s="2" t="s">
        <v>1549</v>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0</v>
      </c>
      <c r="Z45" s="2" t="n">
        <v>5</v>
      </c>
      <c r="AA45" s="2" t="n">
        <v>0</v>
      </c>
      <c r="AB45" s="2" t="n">
        <v>18</v>
      </c>
      <c r="AC45" s="2"/>
    </row>
    <row r="46" customFormat="false" ht="15" hidden="false" customHeight="false" outlineLevel="0" collapsed="false">
      <c r="A46" s="2" t="n">
        <v>10</v>
      </c>
      <c r="B46" s="2" t="s">
        <v>202</v>
      </c>
      <c r="C46" s="2" t="s">
        <v>207</v>
      </c>
      <c r="D46" s="2" t="s">
        <v>1550</v>
      </c>
      <c r="E46" s="2" t="s">
        <v>1395</v>
      </c>
      <c r="F46" s="2" t="s">
        <v>1419</v>
      </c>
      <c r="G46" s="2" t="s">
        <v>1551</v>
      </c>
      <c r="H46" s="2" t="s">
        <v>1552</v>
      </c>
      <c r="I46" s="2" t="s">
        <v>1374</v>
      </c>
      <c r="J46" s="2" t="s">
        <v>1553</v>
      </c>
      <c r="K46" s="2" t="n">
        <v>5</v>
      </c>
      <c r="L46" s="2" t="n">
        <v>2156</v>
      </c>
      <c r="M46" s="2" t="n">
        <v>615</v>
      </c>
      <c r="N46" s="2" t="n">
        <v>485</v>
      </c>
      <c r="O46" s="2" t="n">
        <v>93</v>
      </c>
      <c r="P46" s="2" t="n">
        <v>1448</v>
      </c>
      <c r="Q46" s="2" t="n">
        <v>0</v>
      </c>
      <c r="R46" s="2" t="n">
        <v>0</v>
      </c>
      <c r="S46" s="2" t="n">
        <v>20</v>
      </c>
      <c r="T46" s="2" t="n">
        <v>15</v>
      </c>
      <c r="U46" s="2" t="n">
        <v>3</v>
      </c>
      <c r="V46" s="2" t="n">
        <v>0</v>
      </c>
      <c r="W46" s="2" t="n">
        <v>0</v>
      </c>
      <c r="X46" s="2" t="n">
        <v>2</v>
      </c>
      <c r="Y46" s="2" t="n">
        <v>0</v>
      </c>
      <c r="Z46" s="2" t="n">
        <v>1</v>
      </c>
      <c r="AA46" s="2" t="n">
        <v>1</v>
      </c>
      <c r="AB46" s="2" t="n">
        <v>18</v>
      </c>
      <c r="AC46" s="2"/>
    </row>
    <row r="47" customFormat="false" ht="15" hidden="false" customHeight="false" outlineLevel="0" collapsed="false">
      <c r="A47" s="2" t="n">
        <v>10</v>
      </c>
      <c r="B47" s="2" t="s">
        <v>202</v>
      </c>
      <c r="C47" s="2" t="s">
        <v>207</v>
      </c>
      <c r="D47" s="2" t="s">
        <v>1554</v>
      </c>
      <c r="E47" s="2" t="s">
        <v>1395</v>
      </c>
      <c r="F47" s="2" t="s">
        <v>1419</v>
      </c>
      <c r="G47" s="2" t="s">
        <v>1551</v>
      </c>
      <c r="H47" s="2" t="s">
        <v>1555</v>
      </c>
      <c r="I47" s="2" t="s">
        <v>1374</v>
      </c>
      <c r="J47" s="2" t="s">
        <v>1556</v>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0</v>
      </c>
      <c r="Z47" s="2" t="n">
        <v>1</v>
      </c>
      <c r="AA47" s="2" t="n">
        <v>0</v>
      </c>
      <c r="AB47" s="2" t="n">
        <v>6</v>
      </c>
      <c r="AC47" s="2"/>
    </row>
    <row r="48" customFormat="false" ht="15" hidden="false" customHeight="false" outlineLevel="0" collapsed="false">
      <c r="A48" s="2" t="n">
        <v>10</v>
      </c>
      <c r="B48" s="2" t="s">
        <v>202</v>
      </c>
      <c r="C48" s="2" t="s">
        <v>207</v>
      </c>
      <c r="D48" s="2" t="s">
        <v>1557</v>
      </c>
      <c r="E48" s="2" t="s">
        <v>1395</v>
      </c>
      <c r="F48" s="2" t="s">
        <v>1419</v>
      </c>
      <c r="G48" s="2" t="s">
        <v>1558</v>
      </c>
      <c r="H48" s="2" t="s">
        <v>1559</v>
      </c>
      <c r="I48" s="2" t="s">
        <v>1374</v>
      </c>
      <c r="J48" s="2" t="s">
        <v>1560</v>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3</v>
      </c>
      <c r="Z48" s="2" t="n">
        <v>9</v>
      </c>
      <c r="AA48" s="2" t="n">
        <v>2</v>
      </c>
      <c r="AB48" s="2" t="n">
        <v>28</v>
      </c>
      <c r="AC48" s="2"/>
    </row>
    <row r="49" customFormat="false" ht="15" hidden="false" customHeight="false" outlineLevel="0" collapsed="false">
      <c r="A49" s="2" t="n">
        <v>10</v>
      </c>
      <c r="B49" s="2" t="s">
        <v>202</v>
      </c>
      <c r="C49" s="2" t="s">
        <v>207</v>
      </c>
      <c r="D49" s="2" t="s">
        <v>1561</v>
      </c>
      <c r="E49" s="2" t="s">
        <v>1395</v>
      </c>
      <c r="F49" s="2" t="s">
        <v>1419</v>
      </c>
      <c r="G49" s="2" t="s">
        <v>1562</v>
      </c>
      <c r="H49" s="2" t="s">
        <v>1563</v>
      </c>
      <c r="I49" s="2" t="s">
        <v>1374</v>
      </c>
      <c r="J49" s="2" t="s">
        <v>1564</v>
      </c>
      <c r="K49" s="2" t="n">
        <v>11</v>
      </c>
      <c r="L49" s="2" t="n">
        <v>5682</v>
      </c>
      <c r="M49" s="2" t="n">
        <v>631</v>
      </c>
      <c r="N49" s="2" t="n">
        <v>519</v>
      </c>
      <c r="O49" s="2" t="n">
        <v>227</v>
      </c>
      <c r="P49" s="2" t="n">
        <v>4824</v>
      </c>
      <c r="Q49" s="2" t="n">
        <v>0</v>
      </c>
      <c r="R49" s="2" t="n">
        <v>0</v>
      </c>
      <c r="S49" s="2" t="n">
        <v>23</v>
      </c>
      <c r="T49" s="2" t="n">
        <v>20</v>
      </c>
      <c r="U49" s="2" t="n">
        <v>2</v>
      </c>
      <c r="V49" s="2" t="n">
        <v>0</v>
      </c>
      <c r="W49" s="2" t="n">
        <v>1</v>
      </c>
      <c r="X49" s="2" t="n">
        <v>0</v>
      </c>
      <c r="Y49" s="2" t="n">
        <v>0</v>
      </c>
      <c r="Z49" s="2" t="n">
        <v>1</v>
      </c>
      <c r="AA49" s="2" t="n">
        <v>0</v>
      </c>
      <c r="AB49" s="2" t="n">
        <v>22</v>
      </c>
      <c r="AC49" s="2"/>
    </row>
    <row r="50" customFormat="false" ht="15" hidden="false" customHeight="false" outlineLevel="0" collapsed="false">
      <c r="A50" s="2" t="n">
        <v>10</v>
      </c>
      <c r="B50" s="2" t="s">
        <v>202</v>
      </c>
      <c r="C50" s="2" t="s">
        <v>207</v>
      </c>
      <c r="D50" s="2" t="s">
        <v>1565</v>
      </c>
      <c r="E50" s="2" t="s">
        <v>1395</v>
      </c>
      <c r="F50" s="2" t="s">
        <v>1419</v>
      </c>
      <c r="G50" s="2" t="s">
        <v>1011</v>
      </c>
      <c r="H50" s="2" t="s">
        <v>1566</v>
      </c>
      <c r="I50" s="2" t="s">
        <v>1374</v>
      </c>
      <c r="J50" s="2" t="s">
        <v>1567</v>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0</v>
      </c>
      <c r="Z50" s="2" t="n">
        <v>11</v>
      </c>
      <c r="AA50" s="2" t="n">
        <v>0</v>
      </c>
      <c r="AB50" s="2" t="n">
        <v>5</v>
      </c>
      <c r="AC50" s="2"/>
    </row>
    <row r="51" customFormat="false" ht="15" hidden="false" customHeight="false" outlineLevel="0" collapsed="false">
      <c r="A51" s="2" t="n">
        <v>10</v>
      </c>
      <c r="B51" s="2" t="s">
        <v>202</v>
      </c>
      <c r="C51" s="2" t="s">
        <v>207</v>
      </c>
      <c r="D51" s="2" t="s">
        <v>1568</v>
      </c>
      <c r="E51" s="2" t="s">
        <v>1395</v>
      </c>
      <c r="F51" s="2" t="s">
        <v>1419</v>
      </c>
      <c r="G51" s="2" t="s">
        <v>1569</v>
      </c>
      <c r="H51" s="2" t="s">
        <v>1570</v>
      </c>
      <c r="I51" s="2" t="s">
        <v>1374</v>
      </c>
      <c r="J51" s="2" t="s">
        <v>1571</v>
      </c>
      <c r="K51" s="2" t="n">
        <v>4</v>
      </c>
      <c r="L51" s="2" t="n">
        <v>1253</v>
      </c>
      <c r="M51" s="2" t="n">
        <v>511</v>
      </c>
      <c r="N51" s="2" t="n">
        <v>383</v>
      </c>
      <c r="O51" s="2" t="n">
        <v>86</v>
      </c>
      <c r="P51" s="2" t="n">
        <v>656</v>
      </c>
      <c r="Q51" s="2" t="n">
        <v>0</v>
      </c>
      <c r="R51" s="2" t="n">
        <v>0</v>
      </c>
      <c r="S51" s="2" t="n">
        <v>7</v>
      </c>
      <c r="T51" s="2" t="n">
        <v>6</v>
      </c>
      <c r="U51" s="2" t="n">
        <v>1</v>
      </c>
      <c r="V51" s="2" t="n">
        <v>0</v>
      </c>
      <c r="W51" s="2" t="n">
        <v>0</v>
      </c>
      <c r="X51" s="2" t="n">
        <v>0</v>
      </c>
      <c r="Y51" s="2" t="n">
        <v>0</v>
      </c>
      <c r="Z51" s="2" t="n">
        <v>0</v>
      </c>
      <c r="AA51" s="2" t="n">
        <v>1</v>
      </c>
      <c r="AB51" s="2" t="n">
        <v>6</v>
      </c>
      <c r="AC51" s="2"/>
    </row>
    <row r="52" customFormat="false" ht="15" hidden="false" customHeight="false" outlineLevel="0" collapsed="false">
      <c r="A52" s="2" t="n">
        <v>10</v>
      </c>
      <c r="B52" s="2" t="s">
        <v>202</v>
      </c>
      <c r="C52" s="2" t="s">
        <v>207</v>
      </c>
      <c r="D52" s="2" t="s">
        <v>1572</v>
      </c>
      <c r="E52" s="2" t="s">
        <v>1395</v>
      </c>
      <c r="F52" s="2" t="s">
        <v>1419</v>
      </c>
      <c r="G52" s="2" t="s">
        <v>1573</v>
      </c>
      <c r="H52" s="2" t="s">
        <v>1574</v>
      </c>
      <c r="I52" s="2" t="s">
        <v>1374</v>
      </c>
      <c r="J52" s="2" t="s">
        <v>1575</v>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0</v>
      </c>
      <c r="Z52" s="2" t="n">
        <v>5</v>
      </c>
      <c r="AA52" s="2" t="n">
        <v>0</v>
      </c>
      <c r="AB52" s="2" t="n">
        <v>16</v>
      </c>
      <c r="AC52" s="2"/>
    </row>
    <row r="53" customFormat="false" ht="15" hidden="false" customHeight="false" outlineLevel="0" collapsed="false">
      <c r="A53" s="2" t="n">
        <v>10</v>
      </c>
      <c r="B53" s="2" t="s">
        <v>202</v>
      </c>
      <c r="C53" s="2" t="s">
        <v>207</v>
      </c>
      <c r="D53" s="2" t="s">
        <v>1576</v>
      </c>
      <c r="E53" s="2" t="s">
        <v>1395</v>
      </c>
      <c r="F53" s="2" t="s">
        <v>1419</v>
      </c>
      <c r="G53" s="2" t="s">
        <v>1577</v>
      </c>
      <c r="H53" s="2" t="s">
        <v>1578</v>
      </c>
      <c r="I53" s="2" t="s">
        <v>1374</v>
      </c>
      <c r="J53" s="2" t="s">
        <v>1579</v>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0</v>
      </c>
      <c r="Z53" s="2" t="n">
        <v>0</v>
      </c>
      <c r="AA53" s="2" t="n">
        <v>0</v>
      </c>
      <c r="AB53" s="2" t="n">
        <v>17</v>
      </c>
      <c r="AC53" s="2"/>
    </row>
    <row r="54" customFormat="false" ht="15" hidden="false" customHeight="false" outlineLevel="0" collapsed="false">
      <c r="A54" s="2" t="n">
        <v>10</v>
      </c>
      <c r="B54" s="2" t="s">
        <v>202</v>
      </c>
      <c r="C54" s="2" t="s">
        <v>207</v>
      </c>
      <c r="D54" s="2" t="s">
        <v>1580</v>
      </c>
      <c r="E54" s="2" t="s">
        <v>1395</v>
      </c>
      <c r="F54" s="2" t="s">
        <v>1419</v>
      </c>
      <c r="G54" s="2" t="s">
        <v>1581</v>
      </c>
      <c r="H54" s="2" t="s">
        <v>1582</v>
      </c>
      <c r="I54" s="2" t="s">
        <v>1374</v>
      </c>
      <c r="J54" s="2" t="s">
        <v>1583</v>
      </c>
      <c r="K54" s="2" t="n">
        <v>4</v>
      </c>
      <c r="L54" s="2" t="n">
        <v>1443</v>
      </c>
      <c r="M54" s="2" t="n">
        <v>646</v>
      </c>
      <c r="N54" s="2" t="n">
        <v>511</v>
      </c>
      <c r="O54" s="2" t="n">
        <v>101</v>
      </c>
      <c r="P54" s="2" t="n">
        <v>696</v>
      </c>
      <c r="Q54" s="2" t="n">
        <v>0</v>
      </c>
      <c r="R54" s="2" t="n">
        <v>0</v>
      </c>
      <c r="S54" s="2" t="n">
        <v>7</v>
      </c>
      <c r="T54" s="2" t="n">
        <v>6</v>
      </c>
      <c r="U54" s="2" t="n">
        <v>1</v>
      </c>
      <c r="V54" s="2" t="n">
        <v>0</v>
      </c>
      <c r="W54" s="2" t="n">
        <v>0</v>
      </c>
      <c r="X54" s="2" t="n">
        <v>0</v>
      </c>
      <c r="Y54" s="2" t="n">
        <v>0</v>
      </c>
      <c r="Z54" s="2" t="n">
        <v>2</v>
      </c>
      <c r="AA54" s="2" t="n">
        <v>1</v>
      </c>
      <c r="AB54" s="2" t="n">
        <v>4</v>
      </c>
      <c r="AC54" s="2"/>
    </row>
    <row r="55" customFormat="false" ht="15" hidden="false" customHeight="false" outlineLevel="0" collapsed="false">
      <c r="A55" s="2" t="n">
        <v>10</v>
      </c>
      <c r="B55" s="2" t="s">
        <v>202</v>
      </c>
      <c r="C55" s="2" t="s">
        <v>207</v>
      </c>
      <c r="D55" s="2" t="s">
        <v>1584</v>
      </c>
      <c r="E55" s="2" t="s">
        <v>1395</v>
      </c>
      <c r="F55" s="2" t="s">
        <v>1419</v>
      </c>
      <c r="G55" s="2" t="s">
        <v>1585</v>
      </c>
      <c r="H55" s="2" t="s">
        <v>1586</v>
      </c>
      <c r="I55" s="2" t="s">
        <v>1374</v>
      </c>
      <c r="J55" s="2" t="s">
        <v>1587</v>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0</v>
      </c>
      <c r="Z55" s="2" t="n">
        <v>6</v>
      </c>
      <c r="AA55" s="2" t="n">
        <v>0</v>
      </c>
      <c r="AB55" s="2" t="n">
        <v>7</v>
      </c>
      <c r="AC55" s="2"/>
    </row>
    <row r="56" customFormat="false" ht="15" hidden="false" customHeight="false" outlineLevel="0" collapsed="false">
      <c r="A56" s="2" t="n">
        <v>10</v>
      </c>
      <c r="B56" s="2" t="s">
        <v>202</v>
      </c>
      <c r="C56" s="2" t="s">
        <v>207</v>
      </c>
      <c r="D56" s="2" t="s">
        <v>1588</v>
      </c>
      <c r="E56" s="2" t="s">
        <v>1395</v>
      </c>
      <c r="F56" s="2" t="s">
        <v>1419</v>
      </c>
      <c r="G56" s="2" t="s">
        <v>1589</v>
      </c>
      <c r="H56" s="2" t="s">
        <v>1590</v>
      </c>
      <c r="I56" s="2" t="s">
        <v>1374</v>
      </c>
      <c r="J56" s="2" t="s">
        <v>1591</v>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0</v>
      </c>
      <c r="Z56" s="2" t="n">
        <v>0</v>
      </c>
      <c r="AA56" s="2" t="n">
        <v>0</v>
      </c>
      <c r="AB56" s="2" t="n">
        <v>21</v>
      </c>
      <c r="AC56" s="2"/>
    </row>
    <row r="57" customFormat="false" ht="15" hidden="false" customHeight="false" outlineLevel="0" collapsed="false">
      <c r="A57" s="2" t="n">
        <v>10</v>
      </c>
      <c r="B57" s="2" t="s">
        <v>202</v>
      </c>
      <c r="C57" s="2" t="s">
        <v>207</v>
      </c>
      <c r="D57" s="2" t="s">
        <v>1592</v>
      </c>
      <c r="E57" s="2" t="s">
        <v>1395</v>
      </c>
      <c r="F57" s="2" t="s">
        <v>1419</v>
      </c>
      <c r="G57" s="2" t="s">
        <v>1593</v>
      </c>
      <c r="H57" s="2" t="s">
        <v>1594</v>
      </c>
      <c r="I57" s="2" t="s">
        <v>1374</v>
      </c>
      <c r="J57" s="2" t="s">
        <v>1595</v>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v>
      </c>
      <c r="Z57" s="2" t="n">
        <v>2</v>
      </c>
      <c r="AA57" s="2" t="n">
        <v>0</v>
      </c>
      <c r="AB57" s="2" t="n">
        <v>77</v>
      </c>
      <c r="AC57" s="2"/>
    </row>
    <row r="58" customFormat="false" ht="15" hidden="false" customHeight="false" outlineLevel="0" collapsed="false">
      <c r="A58" s="2" t="n">
        <v>10</v>
      </c>
      <c r="B58" s="2" t="s">
        <v>202</v>
      </c>
      <c r="C58" s="2" t="s">
        <v>207</v>
      </c>
      <c r="D58" s="2" t="s">
        <v>1596</v>
      </c>
      <c r="E58" s="2" t="s">
        <v>1395</v>
      </c>
      <c r="F58" s="2" t="s">
        <v>1419</v>
      </c>
      <c r="G58" s="2" t="s">
        <v>1597</v>
      </c>
      <c r="H58" s="2" t="s">
        <v>1598</v>
      </c>
      <c r="I58" s="2" t="s">
        <v>1374</v>
      </c>
      <c r="J58" s="2" t="s">
        <v>1599</v>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0</v>
      </c>
      <c r="Z58" s="2" t="n">
        <v>0</v>
      </c>
      <c r="AA58" s="2" t="n">
        <v>0</v>
      </c>
      <c r="AB58" s="2" t="n">
        <v>6</v>
      </c>
      <c r="AC58" s="2"/>
    </row>
    <row r="59" customFormat="false" ht="15" hidden="false" customHeight="false" outlineLevel="0" collapsed="false">
      <c r="A59" s="2" t="n">
        <v>11</v>
      </c>
      <c r="B59" s="2" t="s">
        <v>213</v>
      </c>
      <c r="C59" s="2" t="s">
        <v>220</v>
      </c>
      <c r="D59" s="2" t="s">
        <v>1600</v>
      </c>
      <c r="E59" s="2" t="s">
        <v>1370</v>
      </c>
      <c r="F59" s="2" t="s">
        <v>1601</v>
      </c>
      <c r="G59" s="2" t="s">
        <v>1602</v>
      </c>
      <c r="H59" s="2" t="s">
        <v>1603</v>
      </c>
      <c r="I59" s="2" t="s">
        <v>1374</v>
      </c>
      <c r="J59" s="2" t="s">
        <v>1604</v>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7</v>
      </c>
      <c r="Z59" s="2" t="n">
        <v>0</v>
      </c>
      <c r="AA59" s="2" t="n">
        <v>7</v>
      </c>
      <c r="AB59" s="2" t="n">
        <v>14</v>
      </c>
      <c r="AC59" s="2" t="s">
        <v>1376</v>
      </c>
    </row>
    <row r="60" customFormat="false" ht="15" hidden="false" customHeight="false" outlineLevel="0" collapsed="false">
      <c r="A60" s="2" t="n">
        <v>11</v>
      </c>
      <c r="B60" s="2" t="s">
        <v>213</v>
      </c>
      <c r="C60" s="2" t="s">
        <v>220</v>
      </c>
      <c r="D60" s="2" t="s">
        <v>1605</v>
      </c>
      <c r="E60" s="2" t="s">
        <v>1378</v>
      </c>
      <c r="F60" s="2" t="s">
        <v>1379</v>
      </c>
      <c r="G60" s="2" t="s">
        <v>1606</v>
      </c>
      <c r="H60" s="2" t="s">
        <v>1607</v>
      </c>
      <c r="I60" s="2" t="s">
        <v>1374</v>
      </c>
      <c r="J60" s="2" t="s">
        <v>1608</v>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65</v>
      </c>
      <c r="Z60" s="2" t="n">
        <v>2</v>
      </c>
      <c r="AA60" s="2" t="n">
        <v>41</v>
      </c>
      <c r="AB60" s="2" t="n">
        <v>94</v>
      </c>
      <c r="AC60" s="2"/>
    </row>
    <row r="61" customFormat="false" ht="15" hidden="false" customHeight="false" outlineLevel="0" collapsed="false">
      <c r="A61" s="2" t="n">
        <v>11</v>
      </c>
      <c r="B61" s="2" t="s">
        <v>213</v>
      </c>
      <c r="C61" s="2" t="s">
        <v>220</v>
      </c>
      <c r="D61" s="2" t="s">
        <v>1609</v>
      </c>
      <c r="E61" s="2" t="s">
        <v>1370</v>
      </c>
      <c r="F61" s="2" t="s">
        <v>1601</v>
      </c>
      <c r="G61" s="2" t="s">
        <v>1610</v>
      </c>
      <c r="H61" s="2" t="s">
        <v>1611</v>
      </c>
      <c r="I61" s="2" t="s">
        <v>1374</v>
      </c>
      <c r="J61" s="2" t="s">
        <v>1612</v>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11</v>
      </c>
      <c r="Z61" s="2" t="n">
        <v>0</v>
      </c>
      <c r="AA61" s="2" t="n">
        <v>3</v>
      </c>
      <c r="AB61" s="2" t="n">
        <v>11</v>
      </c>
      <c r="AC61" s="2" t="s">
        <v>1376</v>
      </c>
    </row>
    <row r="62" customFormat="false" ht="15" hidden="false" customHeight="false" outlineLevel="0" collapsed="false">
      <c r="A62" s="2" t="n">
        <v>11</v>
      </c>
      <c r="B62" s="2" t="s">
        <v>213</v>
      </c>
      <c r="C62" s="2" t="s">
        <v>220</v>
      </c>
      <c r="D62" s="2" t="s">
        <v>1613</v>
      </c>
      <c r="E62" s="2" t="s">
        <v>1378</v>
      </c>
      <c r="F62" s="2" t="s">
        <v>1379</v>
      </c>
      <c r="G62" s="2" t="s">
        <v>1614</v>
      </c>
      <c r="H62" s="2" t="s">
        <v>1615</v>
      </c>
      <c r="I62" s="2" t="s">
        <v>1374</v>
      </c>
      <c r="J62" s="2" t="s">
        <v>1616</v>
      </c>
      <c r="K62" s="2" t="n">
        <v>10</v>
      </c>
      <c r="L62" s="2" t="n">
        <v>5298</v>
      </c>
      <c r="M62" s="2" t="n">
        <v>464</v>
      </c>
      <c r="N62" s="2" t="n">
        <v>353</v>
      </c>
      <c r="O62" s="2" t="n">
        <v>322</v>
      </c>
      <c r="P62" s="2" t="n">
        <v>4512</v>
      </c>
      <c r="Q62" s="2" t="n">
        <v>0</v>
      </c>
      <c r="R62" s="2" t="n">
        <v>0</v>
      </c>
      <c r="S62" s="2" t="n">
        <v>7</v>
      </c>
      <c r="T62" s="2" t="n">
        <v>5</v>
      </c>
      <c r="U62" s="2" t="n">
        <v>1</v>
      </c>
      <c r="V62" s="2" t="n">
        <v>0</v>
      </c>
      <c r="W62" s="2" t="n">
        <v>1</v>
      </c>
      <c r="X62" s="2" t="n">
        <v>0</v>
      </c>
      <c r="Y62" s="2" t="n">
        <v>0</v>
      </c>
      <c r="Z62" s="2" t="n">
        <v>1</v>
      </c>
      <c r="AA62" s="2" t="n">
        <v>2</v>
      </c>
      <c r="AB62" s="2" t="n">
        <v>4</v>
      </c>
      <c r="AC62" s="2"/>
    </row>
    <row r="63" customFormat="false" ht="15" hidden="false" customHeight="false" outlineLevel="0" collapsed="false">
      <c r="A63" s="2" t="n">
        <v>11</v>
      </c>
      <c r="B63" s="2" t="s">
        <v>213</v>
      </c>
      <c r="C63" s="2" t="s">
        <v>220</v>
      </c>
      <c r="D63" s="2" t="s">
        <v>1617</v>
      </c>
      <c r="E63" s="2" t="s">
        <v>1395</v>
      </c>
      <c r="F63" s="2" t="s">
        <v>1396</v>
      </c>
      <c r="G63" s="2" t="s">
        <v>1618</v>
      </c>
      <c r="H63" s="2" t="s">
        <v>1619</v>
      </c>
      <c r="I63" s="2" t="s">
        <v>1374</v>
      </c>
      <c r="J63" s="2" t="s">
        <v>1620</v>
      </c>
      <c r="K63" s="2" t="n">
        <v>36</v>
      </c>
      <c r="L63" s="2" t="n">
        <v>24277</v>
      </c>
      <c r="M63" s="2" t="n">
        <v>680</v>
      </c>
      <c r="N63" s="2" t="n">
        <v>568</v>
      </c>
      <c r="O63" s="2" t="n">
        <v>1038</v>
      </c>
      <c r="P63" s="2" t="n">
        <v>22559</v>
      </c>
      <c r="Q63" s="2" t="n">
        <v>0</v>
      </c>
      <c r="R63" s="2" t="n">
        <v>0</v>
      </c>
      <c r="S63" s="2" t="n">
        <v>147</v>
      </c>
      <c r="T63" s="2" t="n">
        <v>132</v>
      </c>
      <c r="U63" s="2" t="n">
        <v>6</v>
      </c>
      <c r="V63" s="2" t="n">
        <v>0</v>
      </c>
      <c r="W63" s="2" t="n">
        <v>9</v>
      </c>
      <c r="X63" s="2" t="n">
        <v>0</v>
      </c>
      <c r="Y63" s="2" t="n">
        <v>39</v>
      </c>
      <c r="Z63" s="2" t="n">
        <v>0</v>
      </c>
      <c r="AA63" s="2" t="n">
        <v>23</v>
      </c>
      <c r="AB63" s="2" t="n">
        <v>85</v>
      </c>
      <c r="AC63" s="2"/>
    </row>
    <row r="64" customFormat="false" ht="15" hidden="false" customHeight="false" outlineLevel="0" collapsed="false">
      <c r="A64" s="2" t="n">
        <v>11</v>
      </c>
      <c r="B64" s="2" t="s">
        <v>213</v>
      </c>
      <c r="C64" s="2" t="s">
        <v>220</v>
      </c>
      <c r="D64" s="2" t="s">
        <v>1621</v>
      </c>
      <c r="E64" s="2" t="s">
        <v>1370</v>
      </c>
      <c r="F64" s="2" t="s">
        <v>1410</v>
      </c>
      <c r="G64" s="2" t="s">
        <v>1622</v>
      </c>
      <c r="H64" s="2" t="s">
        <v>1623</v>
      </c>
      <c r="I64" s="2" t="s">
        <v>1374</v>
      </c>
      <c r="J64" s="2" t="s">
        <v>1624</v>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1</v>
      </c>
      <c r="AB64" s="2" t="n">
        <v>2</v>
      </c>
      <c r="AC64" s="2" t="s">
        <v>1376</v>
      </c>
    </row>
    <row r="65" customFormat="false" ht="15" hidden="false" customHeight="false" outlineLevel="0" collapsed="false">
      <c r="A65" s="2" t="n">
        <v>11</v>
      </c>
      <c r="B65" s="2" t="s">
        <v>213</v>
      </c>
      <c r="C65" s="2" t="s">
        <v>220</v>
      </c>
      <c r="D65" s="2" t="s">
        <v>1625</v>
      </c>
      <c r="E65" s="2" t="s">
        <v>1395</v>
      </c>
      <c r="F65" s="2" t="s">
        <v>1396</v>
      </c>
      <c r="G65" s="2" t="s">
        <v>1626</v>
      </c>
      <c r="H65" s="2" t="s">
        <v>1627</v>
      </c>
      <c r="I65" s="2" t="s">
        <v>1374</v>
      </c>
      <c r="J65" s="2" t="s">
        <v>1628</v>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55</v>
      </c>
      <c r="Z65" s="2" t="n">
        <v>1</v>
      </c>
      <c r="AA65" s="2" t="n">
        <v>49</v>
      </c>
      <c r="AB65" s="2" t="n">
        <v>98</v>
      </c>
      <c r="AC65" s="2"/>
    </row>
    <row r="66" customFormat="false" ht="15" hidden="false" customHeight="false" outlineLevel="0" collapsed="false">
      <c r="A66" s="2" t="n">
        <v>11</v>
      </c>
      <c r="B66" s="2" t="s">
        <v>213</v>
      </c>
      <c r="C66" s="2" t="s">
        <v>220</v>
      </c>
      <c r="D66" s="2" t="s">
        <v>1629</v>
      </c>
      <c r="E66" s="2" t="s">
        <v>1395</v>
      </c>
      <c r="F66" s="2" t="s">
        <v>1396</v>
      </c>
      <c r="G66" s="2" t="s">
        <v>1630</v>
      </c>
      <c r="H66" s="2" t="s">
        <v>1631</v>
      </c>
      <c r="I66" s="2" t="s">
        <v>1374</v>
      </c>
      <c r="J66" s="2" t="s">
        <v>1632</v>
      </c>
      <c r="K66" s="2" t="n">
        <v>10</v>
      </c>
      <c r="L66" s="2" t="n">
        <v>4451</v>
      </c>
      <c r="M66" s="2" t="n">
        <v>442</v>
      </c>
      <c r="N66" s="2" t="n">
        <v>314</v>
      </c>
      <c r="O66" s="2" t="n">
        <v>60</v>
      </c>
      <c r="P66" s="2" t="n">
        <v>3949</v>
      </c>
      <c r="Q66" s="2" t="n">
        <v>0</v>
      </c>
      <c r="R66" s="2" t="n">
        <v>0</v>
      </c>
      <c r="S66" s="2" t="n">
        <v>5</v>
      </c>
      <c r="T66" s="2" t="n">
        <v>5</v>
      </c>
      <c r="U66" s="2" t="n">
        <v>0</v>
      </c>
      <c r="V66" s="2" t="n">
        <v>0</v>
      </c>
      <c r="W66" s="2" t="n">
        <v>0</v>
      </c>
      <c r="X66" s="2" t="n">
        <v>0</v>
      </c>
      <c r="Y66" s="2" t="n">
        <v>0</v>
      </c>
      <c r="Z66" s="2" t="n">
        <v>0</v>
      </c>
      <c r="AA66" s="2" t="n">
        <v>0</v>
      </c>
      <c r="AB66" s="2" t="n">
        <v>5</v>
      </c>
      <c r="AC66" s="2"/>
    </row>
    <row r="67" customFormat="false" ht="15" hidden="false" customHeight="false" outlineLevel="0" collapsed="false">
      <c r="A67" s="2" t="n">
        <v>12</v>
      </c>
      <c r="B67" s="2" t="s">
        <v>226</v>
      </c>
      <c r="C67" s="2" t="s">
        <v>232</v>
      </c>
      <c r="D67" s="2" t="s">
        <v>1633</v>
      </c>
      <c r="E67" s="2" t="s">
        <v>1370</v>
      </c>
      <c r="F67" s="2" t="s">
        <v>1601</v>
      </c>
      <c r="G67" s="2" t="s">
        <v>1634</v>
      </c>
      <c r="H67" s="2" t="s">
        <v>1635</v>
      </c>
      <c r="I67" s="2" t="s">
        <v>1374</v>
      </c>
      <c r="J67" s="2" t="s">
        <v>1636</v>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11</v>
      </c>
      <c r="Z67" s="2" t="n">
        <v>15</v>
      </c>
      <c r="AA67" s="2" t="n">
        <v>0</v>
      </c>
      <c r="AB67" s="2" t="n">
        <v>28</v>
      </c>
      <c r="AC67" s="2" t="s">
        <v>1376</v>
      </c>
    </row>
    <row r="68" customFormat="false" ht="15" hidden="false" customHeight="false" outlineLevel="0" collapsed="false">
      <c r="A68" s="2" t="n">
        <v>13</v>
      </c>
      <c r="B68" s="2" t="s">
        <v>238</v>
      </c>
      <c r="C68" s="2" t="s">
        <v>244</v>
      </c>
      <c r="D68" s="2" t="s">
        <v>1637</v>
      </c>
      <c r="E68" s="2" t="s">
        <v>1370</v>
      </c>
      <c r="F68" s="2" t="s">
        <v>1601</v>
      </c>
      <c r="G68" s="2" t="s">
        <v>1638</v>
      </c>
      <c r="H68" s="2" t="s">
        <v>1639</v>
      </c>
      <c r="I68" s="2" t="s">
        <v>1374</v>
      </c>
      <c r="J68" s="2" t="s">
        <v>1640</v>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4</v>
      </c>
      <c r="Z68" s="2" t="n">
        <v>0</v>
      </c>
      <c r="AA68" s="2" t="n">
        <v>0</v>
      </c>
      <c r="AB68" s="2" t="n">
        <v>2</v>
      </c>
      <c r="AC68" s="2" t="s">
        <v>1376</v>
      </c>
    </row>
    <row r="69" customFormat="false" ht="15" hidden="false" customHeight="false" outlineLevel="0" collapsed="false">
      <c r="A69" s="2" t="n">
        <v>13</v>
      </c>
      <c r="B69" s="2" t="s">
        <v>238</v>
      </c>
      <c r="C69" s="2" t="s">
        <v>244</v>
      </c>
      <c r="D69" s="2" t="s">
        <v>1641</v>
      </c>
      <c r="E69" s="2" t="s">
        <v>1370</v>
      </c>
      <c r="F69" s="2" t="s">
        <v>1410</v>
      </c>
      <c r="G69" s="2" t="s">
        <v>1411</v>
      </c>
      <c r="H69" s="2" t="s">
        <v>1642</v>
      </c>
      <c r="I69" s="2" t="s">
        <v>1374</v>
      </c>
      <c r="J69" s="2" t="s">
        <v>1643</v>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141</v>
      </c>
      <c r="Z69" s="2" t="n">
        <v>45</v>
      </c>
      <c r="AA69" s="2" t="n">
        <v>4</v>
      </c>
      <c r="AB69" s="2" t="n">
        <v>138</v>
      </c>
      <c r="AC69" s="2" t="s">
        <v>1376</v>
      </c>
    </row>
    <row r="70" customFormat="false" ht="15" hidden="false" customHeight="false" outlineLevel="0" collapsed="false">
      <c r="A70" s="2" t="n">
        <v>14</v>
      </c>
      <c r="B70" s="2" t="s">
        <v>251</v>
      </c>
      <c r="C70" s="2" t="s">
        <v>258</v>
      </c>
      <c r="D70" s="2" t="s">
        <v>1644</v>
      </c>
      <c r="E70" s="2" t="s">
        <v>1395</v>
      </c>
      <c r="F70" s="2" t="s">
        <v>1419</v>
      </c>
      <c r="G70" s="2" t="s">
        <v>1645</v>
      </c>
      <c r="H70" s="2" t="s">
        <v>1646</v>
      </c>
      <c r="I70" s="2" t="s">
        <v>1647</v>
      </c>
      <c r="J70" s="2" t="s">
        <v>1648</v>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1</v>
      </c>
      <c r="Z70" s="2" t="n">
        <v>0</v>
      </c>
      <c r="AA70" s="2" t="n">
        <v>0</v>
      </c>
      <c r="AB70" s="2" t="n">
        <v>1</v>
      </c>
      <c r="AC70" s="2"/>
    </row>
    <row r="71" customFormat="false" ht="15" hidden="false" customHeight="false" outlineLevel="0" collapsed="false">
      <c r="A71" s="2" t="n">
        <v>14</v>
      </c>
      <c r="B71" s="2" t="s">
        <v>251</v>
      </c>
      <c r="C71" s="2" t="s">
        <v>258</v>
      </c>
      <c r="D71" s="2" t="s">
        <v>1649</v>
      </c>
      <c r="E71" s="2" t="s">
        <v>1395</v>
      </c>
      <c r="F71" s="2" t="s">
        <v>1419</v>
      </c>
      <c r="G71" s="2" t="s">
        <v>1645</v>
      </c>
      <c r="H71" s="2" t="s">
        <v>1650</v>
      </c>
      <c r="I71" s="2" t="s">
        <v>1647</v>
      </c>
      <c r="J71" s="2" t="s">
        <v>1651</v>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1</v>
      </c>
      <c r="Z71" s="2" t="n">
        <v>0</v>
      </c>
      <c r="AA71" s="2" t="n">
        <v>0</v>
      </c>
      <c r="AB71" s="2" t="n">
        <v>1</v>
      </c>
      <c r="AC71" s="2"/>
    </row>
    <row r="72" customFormat="false" ht="15" hidden="false" customHeight="false" outlineLevel="0" collapsed="false">
      <c r="A72" s="2" t="n">
        <v>14</v>
      </c>
      <c r="B72" s="2" t="s">
        <v>251</v>
      </c>
      <c r="C72" s="2" t="s">
        <v>258</v>
      </c>
      <c r="D72" s="2" t="s">
        <v>1652</v>
      </c>
      <c r="E72" s="2" t="s">
        <v>1395</v>
      </c>
      <c r="F72" s="2" t="s">
        <v>1419</v>
      </c>
      <c r="G72" s="2" t="s">
        <v>1645</v>
      </c>
      <c r="H72" s="2" t="s">
        <v>1653</v>
      </c>
      <c r="I72" s="2" t="s">
        <v>1647</v>
      </c>
      <c r="J72" s="2" t="s">
        <v>1654</v>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row>
    <row r="73" customFormat="false" ht="15" hidden="false" customHeight="false" outlineLevel="0" collapsed="false">
      <c r="A73" s="2" t="n">
        <v>14</v>
      </c>
      <c r="B73" s="2" t="s">
        <v>251</v>
      </c>
      <c r="C73" s="2" t="s">
        <v>258</v>
      </c>
      <c r="D73" s="2" t="s">
        <v>1655</v>
      </c>
      <c r="E73" s="2" t="s">
        <v>1395</v>
      </c>
      <c r="F73" s="2" t="s">
        <v>1419</v>
      </c>
      <c r="G73" s="2" t="s">
        <v>1656</v>
      </c>
      <c r="H73" s="2" t="s">
        <v>1657</v>
      </c>
      <c r="I73" s="2" t="s">
        <v>1647</v>
      </c>
      <c r="J73" s="2" t="s">
        <v>1658</v>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2</v>
      </c>
      <c r="Z73" s="2" t="n">
        <v>0</v>
      </c>
      <c r="AA73" s="2" t="n">
        <v>0</v>
      </c>
      <c r="AB73" s="2" t="n">
        <v>2</v>
      </c>
      <c r="AC73" s="2"/>
    </row>
    <row r="74" customFormat="false" ht="15" hidden="false" customHeight="false" outlineLevel="0" collapsed="false">
      <c r="A74" s="2" t="n">
        <v>14</v>
      </c>
      <c r="B74" s="2" t="s">
        <v>251</v>
      </c>
      <c r="C74" s="2" t="s">
        <v>258</v>
      </c>
      <c r="D74" s="2" t="s">
        <v>1659</v>
      </c>
      <c r="E74" s="2" t="s">
        <v>1395</v>
      </c>
      <c r="F74" s="2" t="s">
        <v>1419</v>
      </c>
      <c r="G74" s="2" t="s">
        <v>1660</v>
      </c>
      <c r="H74" s="2" t="s">
        <v>1661</v>
      </c>
      <c r="I74" s="2" t="s">
        <v>1647</v>
      </c>
      <c r="J74" s="2" t="s">
        <v>1662</v>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row>
    <row r="75" customFormat="false" ht="15" hidden="false" customHeight="false" outlineLevel="0" collapsed="false">
      <c r="A75" s="2" t="n">
        <v>14</v>
      </c>
      <c r="B75" s="2" t="s">
        <v>251</v>
      </c>
      <c r="C75" s="2" t="s">
        <v>258</v>
      </c>
      <c r="D75" s="2" t="s">
        <v>1663</v>
      </c>
      <c r="E75" s="2" t="s">
        <v>1395</v>
      </c>
      <c r="F75" s="2" t="s">
        <v>1419</v>
      </c>
      <c r="G75" s="2" t="s">
        <v>1664</v>
      </c>
      <c r="H75" s="2" t="s">
        <v>1665</v>
      </c>
      <c r="I75" s="2" t="s">
        <v>1647</v>
      </c>
      <c r="J75" s="2" t="s">
        <v>1666</v>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0</v>
      </c>
      <c r="AB75" s="2" t="n">
        <v>1</v>
      </c>
      <c r="AC75" s="2"/>
    </row>
    <row r="76" customFormat="false" ht="15" hidden="false" customHeight="false" outlineLevel="0" collapsed="false">
      <c r="A76" s="2" t="n">
        <v>14</v>
      </c>
      <c r="B76" s="2" t="s">
        <v>251</v>
      </c>
      <c r="C76" s="2" t="s">
        <v>258</v>
      </c>
      <c r="D76" s="2" t="s">
        <v>1667</v>
      </c>
      <c r="E76" s="2" t="s">
        <v>1395</v>
      </c>
      <c r="F76" s="2" t="s">
        <v>1419</v>
      </c>
      <c r="G76" s="2" t="s">
        <v>1668</v>
      </c>
      <c r="H76" s="2" t="s">
        <v>1669</v>
      </c>
      <c r="I76" s="2" t="s">
        <v>1647</v>
      </c>
      <c r="J76" s="2" t="s">
        <v>1670</v>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0</v>
      </c>
      <c r="AB76" s="2" t="n">
        <v>1</v>
      </c>
      <c r="AC76" s="2"/>
    </row>
    <row r="77" customFormat="false" ht="15" hidden="false" customHeight="false" outlineLevel="0" collapsed="false">
      <c r="A77" s="2" t="n">
        <v>14</v>
      </c>
      <c r="B77" s="2" t="s">
        <v>251</v>
      </c>
      <c r="C77" s="2" t="s">
        <v>258</v>
      </c>
      <c r="D77" s="2" t="s">
        <v>1671</v>
      </c>
      <c r="E77" s="2" t="s">
        <v>1395</v>
      </c>
      <c r="F77" s="2" t="s">
        <v>1419</v>
      </c>
      <c r="G77" s="2" t="s">
        <v>1672</v>
      </c>
      <c r="H77" s="2" t="s">
        <v>1673</v>
      </c>
      <c r="I77" s="2" t="s">
        <v>1647</v>
      </c>
      <c r="J77" s="2" t="s">
        <v>1674</v>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row>
    <row r="78" customFormat="false" ht="15" hidden="false" customHeight="false" outlineLevel="0" collapsed="false">
      <c r="A78" s="2" t="n">
        <v>14</v>
      </c>
      <c r="B78" s="2" t="s">
        <v>251</v>
      </c>
      <c r="C78" s="2" t="s">
        <v>258</v>
      </c>
      <c r="D78" s="2" t="s">
        <v>1675</v>
      </c>
      <c r="E78" s="2" t="s">
        <v>1395</v>
      </c>
      <c r="F78" s="2" t="s">
        <v>1419</v>
      </c>
      <c r="G78" s="2" t="s">
        <v>1672</v>
      </c>
      <c r="H78" s="2" t="s">
        <v>1676</v>
      </c>
      <c r="I78" s="2" t="s">
        <v>1647</v>
      </c>
      <c r="J78" s="2" t="s">
        <v>1677</v>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row>
    <row r="79" customFormat="false" ht="15" hidden="false" customHeight="false" outlineLevel="0" collapsed="false">
      <c r="A79" s="2" t="n">
        <v>14</v>
      </c>
      <c r="B79" s="2" t="s">
        <v>251</v>
      </c>
      <c r="C79" s="2" t="s">
        <v>258</v>
      </c>
      <c r="D79" s="2" t="s">
        <v>1678</v>
      </c>
      <c r="E79" s="2" t="s">
        <v>1395</v>
      </c>
      <c r="F79" s="2" t="s">
        <v>1419</v>
      </c>
      <c r="G79" s="2" t="s">
        <v>1672</v>
      </c>
      <c r="H79" s="2" t="s">
        <v>1679</v>
      </c>
      <c r="I79" s="2" t="s">
        <v>1647</v>
      </c>
      <c r="J79" s="2" t="s">
        <v>1680</v>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row>
    <row r="80" customFormat="false" ht="15" hidden="false" customHeight="false" outlineLevel="0" collapsed="false">
      <c r="A80" s="2" t="n">
        <v>14</v>
      </c>
      <c r="B80" s="2" t="s">
        <v>251</v>
      </c>
      <c r="C80" s="2" t="s">
        <v>258</v>
      </c>
      <c r="D80" s="2" t="s">
        <v>1681</v>
      </c>
      <c r="E80" s="2" t="s">
        <v>1395</v>
      </c>
      <c r="F80" s="2" t="s">
        <v>1419</v>
      </c>
      <c r="G80" s="2" t="s">
        <v>1672</v>
      </c>
      <c r="H80" s="2" t="s">
        <v>1682</v>
      </c>
      <c r="I80" s="2" t="s">
        <v>1647</v>
      </c>
      <c r="J80" s="2" t="s">
        <v>1683</v>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row>
    <row r="81" customFormat="false" ht="15" hidden="false" customHeight="false" outlineLevel="0" collapsed="false">
      <c r="A81" s="2" t="n">
        <v>14</v>
      </c>
      <c r="B81" s="2" t="s">
        <v>251</v>
      </c>
      <c r="C81" s="2" t="s">
        <v>258</v>
      </c>
      <c r="D81" s="2" t="s">
        <v>1684</v>
      </c>
      <c r="E81" s="2" t="s">
        <v>1395</v>
      </c>
      <c r="F81" s="2" t="s">
        <v>1419</v>
      </c>
      <c r="G81" s="2" t="s">
        <v>1672</v>
      </c>
      <c r="H81" s="2" t="s">
        <v>1685</v>
      </c>
      <c r="I81" s="2" t="s">
        <v>1647</v>
      </c>
      <c r="J81" s="2" t="s">
        <v>1686</v>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row>
    <row r="82" customFormat="false" ht="15" hidden="false" customHeight="false" outlineLevel="0" collapsed="false">
      <c r="A82" s="2" t="n">
        <v>14</v>
      </c>
      <c r="B82" s="2" t="s">
        <v>251</v>
      </c>
      <c r="C82" s="2" t="s">
        <v>258</v>
      </c>
      <c r="D82" s="2" t="s">
        <v>1687</v>
      </c>
      <c r="E82" s="2" t="s">
        <v>1395</v>
      </c>
      <c r="F82" s="2" t="s">
        <v>1419</v>
      </c>
      <c r="G82" s="2" t="s">
        <v>1672</v>
      </c>
      <c r="H82" s="2" t="s">
        <v>1688</v>
      </c>
      <c r="I82" s="2" t="s">
        <v>1647</v>
      </c>
      <c r="J82" s="2" t="s">
        <v>1689</v>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row>
    <row r="83" customFormat="false" ht="15" hidden="false" customHeight="false" outlineLevel="0" collapsed="false">
      <c r="A83" s="2" t="n">
        <v>14</v>
      </c>
      <c r="B83" s="2" t="s">
        <v>251</v>
      </c>
      <c r="C83" s="2" t="s">
        <v>258</v>
      </c>
      <c r="D83" s="2" t="s">
        <v>1690</v>
      </c>
      <c r="E83" s="2" t="s">
        <v>1395</v>
      </c>
      <c r="F83" s="2" t="s">
        <v>1419</v>
      </c>
      <c r="G83" s="2" t="s">
        <v>1691</v>
      </c>
      <c r="H83" s="2" t="s">
        <v>1692</v>
      </c>
      <c r="I83" s="2" t="s">
        <v>1647</v>
      </c>
      <c r="J83" s="2" t="s">
        <v>1693</v>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row>
    <row r="84" customFormat="false" ht="15" hidden="false" customHeight="false" outlineLevel="0" collapsed="false">
      <c r="A84" s="2" t="n">
        <v>14</v>
      </c>
      <c r="B84" s="2" t="s">
        <v>251</v>
      </c>
      <c r="C84" s="2" t="s">
        <v>258</v>
      </c>
      <c r="D84" s="2" t="s">
        <v>1694</v>
      </c>
      <c r="E84" s="2" t="s">
        <v>1395</v>
      </c>
      <c r="F84" s="2" t="s">
        <v>1419</v>
      </c>
      <c r="G84" s="2" t="s">
        <v>1695</v>
      </c>
      <c r="H84" s="2" t="s">
        <v>1696</v>
      </c>
      <c r="I84" s="2" t="s">
        <v>1647</v>
      </c>
      <c r="J84" s="2" t="s">
        <v>1697</v>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row>
    <row r="85" customFormat="false" ht="15" hidden="false" customHeight="false" outlineLevel="0" collapsed="false">
      <c r="A85" s="2" t="n">
        <v>14</v>
      </c>
      <c r="B85" s="2" t="s">
        <v>251</v>
      </c>
      <c r="C85" s="2" t="s">
        <v>258</v>
      </c>
      <c r="D85" s="2" t="s">
        <v>1698</v>
      </c>
      <c r="E85" s="2" t="s">
        <v>1395</v>
      </c>
      <c r="F85" s="2" t="s">
        <v>1419</v>
      </c>
      <c r="G85" s="2" t="s">
        <v>1699</v>
      </c>
      <c r="H85" s="2" t="s">
        <v>1700</v>
      </c>
      <c r="I85" s="2" t="s">
        <v>1647</v>
      </c>
      <c r="J85" s="2" t="s">
        <v>1701</v>
      </c>
      <c r="K85" s="2" t="n">
        <v>2</v>
      </c>
      <c r="L85" s="2" t="n">
        <v>732</v>
      </c>
      <c r="M85" s="2" t="n">
        <v>567</v>
      </c>
      <c r="N85" s="2" t="n">
        <v>456</v>
      </c>
      <c r="O85" s="2" t="n">
        <v>165</v>
      </c>
      <c r="P85" s="2" t="n">
        <v>0</v>
      </c>
      <c r="Q85" s="2" t="n">
        <v>0</v>
      </c>
      <c r="R85" s="2" t="n">
        <v>0</v>
      </c>
      <c r="S85" s="2" t="n">
        <v>2</v>
      </c>
      <c r="T85" s="2" t="n">
        <v>2</v>
      </c>
      <c r="U85" s="2" t="n">
        <v>0</v>
      </c>
      <c r="V85" s="2" t="n">
        <v>0</v>
      </c>
      <c r="W85" s="2" t="n">
        <v>0</v>
      </c>
      <c r="X85" s="2" t="n">
        <v>0</v>
      </c>
      <c r="Y85" s="2" t="n">
        <v>1</v>
      </c>
      <c r="Z85" s="2" t="n">
        <v>0</v>
      </c>
      <c r="AA85" s="2" t="n">
        <v>0</v>
      </c>
      <c r="AB85" s="2" t="n">
        <v>1</v>
      </c>
      <c r="AC85" s="2"/>
    </row>
    <row r="86" customFormat="false" ht="15" hidden="false" customHeight="false" outlineLevel="0" collapsed="false">
      <c r="A86" s="2" t="n">
        <v>14</v>
      </c>
      <c r="B86" s="2" t="s">
        <v>251</v>
      </c>
      <c r="C86" s="2" t="s">
        <v>258</v>
      </c>
      <c r="D86" s="2" t="s">
        <v>1702</v>
      </c>
      <c r="E86" s="2" t="s">
        <v>1395</v>
      </c>
      <c r="F86" s="2" t="s">
        <v>1419</v>
      </c>
      <c r="G86" s="2" t="s">
        <v>1703</v>
      </c>
      <c r="H86" s="2" t="s">
        <v>1704</v>
      </c>
      <c r="I86" s="2" t="s">
        <v>1647</v>
      </c>
      <c r="J86" s="2" t="s">
        <v>1705</v>
      </c>
      <c r="K86" s="2" t="n">
        <v>2</v>
      </c>
      <c r="L86" s="2" t="n">
        <v>756</v>
      </c>
      <c r="M86" s="2" t="n">
        <v>598</v>
      </c>
      <c r="N86" s="2" t="n">
        <v>483</v>
      </c>
      <c r="O86" s="2" t="n">
        <v>158</v>
      </c>
      <c r="P86" s="2" t="n">
        <v>0</v>
      </c>
      <c r="Q86" s="2" t="n">
        <v>0</v>
      </c>
      <c r="R86" s="2" t="n">
        <v>0</v>
      </c>
      <c r="S86" s="2" t="n">
        <v>2</v>
      </c>
      <c r="T86" s="2" t="n">
        <v>2</v>
      </c>
      <c r="U86" s="2" t="n">
        <v>0</v>
      </c>
      <c r="V86" s="2" t="n">
        <v>0</v>
      </c>
      <c r="W86" s="2" t="n">
        <v>0</v>
      </c>
      <c r="X86" s="2" t="n">
        <v>0</v>
      </c>
      <c r="Y86" s="2" t="n">
        <v>1</v>
      </c>
      <c r="Z86" s="2" t="n">
        <v>0</v>
      </c>
      <c r="AA86" s="2" t="n">
        <v>0</v>
      </c>
      <c r="AB86" s="2" t="n">
        <v>1</v>
      </c>
      <c r="AC86" s="2"/>
    </row>
    <row r="87" customFormat="false" ht="15" hidden="false" customHeight="false" outlineLevel="0" collapsed="false">
      <c r="A87" s="2" t="n">
        <v>14</v>
      </c>
      <c r="B87" s="2" t="s">
        <v>251</v>
      </c>
      <c r="C87" s="2" t="s">
        <v>258</v>
      </c>
      <c r="D87" s="2" t="s">
        <v>1706</v>
      </c>
      <c r="E87" s="2" t="s">
        <v>1395</v>
      </c>
      <c r="F87" s="2" t="s">
        <v>1396</v>
      </c>
      <c r="G87" s="2" t="s">
        <v>1707</v>
      </c>
      <c r="H87" s="2" t="s">
        <v>1708</v>
      </c>
      <c r="I87" s="2" t="s">
        <v>1374</v>
      </c>
      <c r="J87" s="2" t="s">
        <v>1709</v>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35</v>
      </c>
      <c r="Z87" s="2" t="n">
        <v>11</v>
      </c>
      <c r="AA87" s="2" t="n">
        <v>1</v>
      </c>
      <c r="AB87" s="2" t="n">
        <v>62</v>
      </c>
      <c r="AC87" s="2"/>
    </row>
    <row r="88" customFormat="false" ht="15" hidden="false" customHeight="false" outlineLevel="0" collapsed="false">
      <c r="A88" s="2" t="n">
        <v>14</v>
      </c>
      <c r="B88" s="2" t="s">
        <v>251</v>
      </c>
      <c r="C88" s="2" t="s">
        <v>258</v>
      </c>
      <c r="D88" s="2" t="s">
        <v>1710</v>
      </c>
      <c r="E88" s="2" t="s">
        <v>1395</v>
      </c>
      <c r="F88" s="2" t="s">
        <v>1419</v>
      </c>
      <c r="G88" s="2" t="s">
        <v>1711</v>
      </c>
      <c r="H88" s="2" t="s">
        <v>1712</v>
      </c>
      <c r="I88" s="2" t="s">
        <v>1647</v>
      </c>
      <c r="J88" s="2" t="s">
        <v>1713</v>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row>
    <row r="89" customFormat="false" ht="15" hidden="false" customHeight="false" outlineLevel="0" collapsed="false">
      <c r="A89" s="2" t="n">
        <v>14</v>
      </c>
      <c r="B89" s="2" t="s">
        <v>251</v>
      </c>
      <c r="C89" s="2" t="s">
        <v>258</v>
      </c>
      <c r="D89" s="2" t="s">
        <v>1714</v>
      </c>
      <c r="E89" s="2" t="s">
        <v>1395</v>
      </c>
      <c r="F89" s="2" t="s">
        <v>1419</v>
      </c>
      <c r="G89" s="2" t="s">
        <v>1715</v>
      </c>
      <c r="H89" s="2" t="s">
        <v>1716</v>
      </c>
      <c r="I89" s="2" t="s">
        <v>1647</v>
      </c>
      <c r="J89" s="2" t="s">
        <v>1717</v>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0</v>
      </c>
      <c r="AA89" s="2" t="n">
        <v>0</v>
      </c>
      <c r="AB89" s="2" t="n">
        <v>1</v>
      </c>
      <c r="AC89" s="2"/>
    </row>
    <row r="90" customFormat="false" ht="15" hidden="false" customHeight="false" outlineLevel="0" collapsed="false">
      <c r="A90" s="2" t="n">
        <v>14</v>
      </c>
      <c r="B90" s="2" t="s">
        <v>251</v>
      </c>
      <c r="C90" s="2" t="s">
        <v>258</v>
      </c>
      <c r="D90" s="2" t="s">
        <v>1718</v>
      </c>
      <c r="E90" s="2" t="s">
        <v>1395</v>
      </c>
      <c r="F90" s="2" t="s">
        <v>1419</v>
      </c>
      <c r="G90" s="2" t="s">
        <v>1719</v>
      </c>
      <c r="H90" s="2" t="s">
        <v>1720</v>
      </c>
      <c r="I90" s="2" t="s">
        <v>1647</v>
      </c>
      <c r="J90" s="2" t="s">
        <v>1721</v>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row>
    <row r="91" customFormat="false" ht="15" hidden="false" customHeight="false" outlineLevel="0" collapsed="false">
      <c r="A91" s="2" t="n">
        <v>14</v>
      </c>
      <c r="B91" s="2" t="s">
        <v>251</v>
      </c>
      <c r="C91" s="2" t="s">
        <v>258</v>
      </c>
      <c r="D91" s="2" t="s">
        <v>1722</v>
      </c>
      <c r="E91" s="2" t="s">
        <v>1395</v>
      </c>
      <c r="F91" s="2" t="s">
        <v>1419</v>
      </c>
      <c r="G91" s="2" t="s">
        <v>1723</v>
      </c>
      <c r="H91" s="2" t="s">
        <v>1724</v>
      </c>
      <c r="I91" s="2" t="s">
        <v>1647</v>
      </c>
      <c r="J91" s="2" t="s">
        <v>1725</v>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row>
    <row r="92" customFormat="false" ht="15" hidden="false" customHeight="false" outlineLevel="0" collapsed="false">
      <c r="A92" s="2" t="n">
        <v>14</v>
      </c>
      <c r="B92" s="2" t="s">
        <v>251</v>
      </c>
      <c r="C92" s="2" t="s">
        <v>258</v>
      </c>
      <c r="D92" s="2" t="s">
        <v>1726</v>
      </c>
      <c r="E92" s="2" t="s">
        <v>1395</v>
      </c>
      <c r="F92" s="2" t="s">
        <v>1419</v>
      </c>
      <c r="G92" s="2" t="s">
        <v>1727</v>
      </c>
      <c r="H92" s="2" t="s">
        <v>1728</v>
      </c>
      <c r="I92" s="2" t="s">
        <v>1647</v>
      </c>
      <c r="J92" s="2" t="s">
        <v>1729</v>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0</v>
      </c>
      <c r="AA92" s="2" t="n">
        <v>0</v>
      </c>
      <c r="AB92" s="2" t="n">
        <v>2</v>
      </c>
      <c r="AC92" s="2"/>
    </row>
    <row r="93" customFormat="false" ht="15" hidden="false" customHeight="false" outlineLevel="0" collapsed="false">
      <c r="A93" s="2" t="n">
        <v>14</v>
      </c>
      <c r="B93" s="2" t="s">
        <v>251</v>
      </c>
      <c r="C93" s="2" t="s">
        <v>258</v>
      </c>
      <c r="D93" s="2" t="s">
        <v>1730</v>
      </c>
      <c r="E93" s="2" t="s">
        <v>1395</v>
      </c>
      <c r="F93" s="2" t="s">
        <v>1419</v>
      </c>
      <c r="G93" s="2" t="s">
        <v>1731</v>
      </c>
      <c r="H93" s="2" t="s">
        <v>1732</v>
      </c>
      <c r="I93" s="2" t="s">
        <v>1647</v>
      </c>
      <c r="J93" s="2" t="s">
        <v>1733</v>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0</v>
      </c>
      <c r="Z93" s="2" t="n">
        <v>0</v>
      </c>
      <c r="AA93" s="2" t="n">
        <v>0</v>
      </c>
      <c r="AB93" s="2" t="n">
        <v>2</v>
      </c>
      <c r="AC93" s="2"/>
    </row>
    <row r="94" customFormat="false" ht="15" hidden="false" customHeight="false" outlineLevel="0" collapsed="false">
      <c r="A94" s="2" t="n">
        <v>14</v>
      </c>
      <c r="B94" s="2" t="s">
        <v>251</v>
      </c>
      <c r="C94" s="2" t="s">
        <v>258</v>
      </c>
      <c r="D94" s="2" t="s">
        <v>1734</v>
      </c>
      <c r="E94" s="2" t="s">
        <v>1395</v>
      </c>
      <c r="F94" s="2" t="s">
        <v>1419</v>
      </c>
      <c r="G94" s="2" t="s">
        <v>1735</v>
      </c>
      <c r="H94" s="2" t="s">
        <v>1736</v>
      </c>
      <c r="I94" s="2" t="s">
        <v>1647</v>
      </c>
      <c r="J94" s="2" t="s">
        <v>1737</v>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0</v>
      </c>
      <c r="AA94" s="2" t="n">
        <v>0</v>
      </c>
      <c r="AB94" s="2" t="n">
        <v>1</v>
      </c>
      <c r="AC94" s="2"/>
    </row>
    <row r="95" customFormat="false" ht="15" hidden="false" customHeight="false" outlineLevel="0" collapsed="false">
      <c r="A95" s="2" t="n">
        <v>14</v>
      </c>
      <c r="B95" s="2" t="s">
        <v>251</v>
      </c>
      <c r="C95" s="2" t="s">
        <v>258</v>
      </c>
      <c r="D95" s="2" t="s">
        <v>1738</v>
      </c>
      <c r="E95" s="2" t="s">
        <v>1378</v>
      </c>
      <c r="F95" s="2" t="s">
        <v>1379</v>
      </c>
      <c r="G95" s="2" t="s">
        <v>1739</v>
      </c>
      <c r="H95" s="2" t="s">
        <v>1740</v>
      </c>
      <c r="I95" s="2" t="s">
        <v>1374</v>
      </c>
      <c r="J95" s="2" t="s">
        <v>1741</v>
      </c>
      <c r="K95" s="2" t="n">
        <v>7</v>
      </c>
      <c r="L95" s="2" t="n">
        <v>4301</v>
      </c>
      <c r="M95" s="2" t="n">
        <v>1294</v>
      </c>
      <c r="N95" s="2" t="n">
        <v>1190</v>
      </c>
      <c r="O95" s="2" t="n">
        <v>3007</v>
      </c>
      <c r="P95" s="2" t="n">
        <v>0</v>
      </c>
      <c r="Q95" s="2" t="n">
        <v>0</v>
      </c>
      <c r="R95" s="2" t="n">
        <v>0</v>
      </c>
      <c r="S95" s="2" t="n">
        <v>53</v>
      </c>
      <c r="T95" s="2" t="n">
        <v>52</v>
      </c>
      <c r="U95" s="2" t="n">
        <v>1</v>
      </c>
      <c r="V95" s="2" t="n">
        <v>0</v>
      </c>
      <c r="W95" s="2" t="n">
        <v>0</v>
      </c>
      <c r="X95" s="2" t="n">
        <v>0</v>
      </c>
      <c r="Y95" s="2" t="n">
        <v>16</v>
      </c>
      <c r="Z95" s="2" t="n">
        <v>24</v>
      </c>
      <c r="AA95" s="2" t="n">
        <v>0</v>
      </c>
      <c r="AB95" s="2" t="n">
        <v>13</v>
      </c>
      <c r="AC95" s="2"/>
    </row>
    <row r="96" customFormat="false" ht="15" hidden="false" customHeight="false" outlineLevel="0" collapsed="false">
      <c r="A96" s="2" t="n">
        <v>14</v>
      </c>
      <c r="B96" s="2" t="s">
        <v>251</v>
      </c>
      <c r="C96" s="2" t="s">
        <v>258</v>
      </c>
      <c r="D96" s="2" t="s">
        <v>1742</v>
      </c>
      <c r="E96" s="2" t="s">
        <v>1395</v>
      </c>
      <c r="F96" s="2" t="s">
        <v>1419</v>
      </c>
      <c r="G96" s="2" t="s">
        <v>1743</v>
      </c>
      <c r="H96" s="2" t="s">
        <v>1744</v>
      </c>
      <c r="I96" s="2" t="s">
        <v>1647</v>
      </c>
      <c r="J96" s="2" t="s">
        <v>1745</v>
      </c>
      <c r="K96" s="2" t="n">
        <v>1</v>
      </c>
      <c r="L96" s="2" t="n">
        <v>585</v>
      </c>
      <c r="M96" s="2" t="n">
        <v>482</v>
      </c>
      <c r="N96" s="2" t="n">
        <v>362</v>
      </c>
      <c r="O96" s="2" t="n">
        <v>103</v>
      </c>
      <c r="P96" s="2" t="n">
        <v>0</v>
      </c>
      <c r="Q96" s="2" t="n">
        <v>0</v>
      </c>
      <c r="R96" s="2" t="n">
        <v>0</v>
      </c>
      <c r="S96" s="2" t="n">
        <v>2</v>
      </c>
      <c r="T96" s="2" t="n">
        <v>2</v>
      </c>
      <c r="U96" s="2" t="n">
        <v>0</v>
      </c>
      <c r="V96" s="2" t="n">
        <v>0</v>
      </c>
      <c r="W96" s="2" t="n">
        <v>0</v>
      </c>
      <c r="X96" s="2" t="n">
        <v>0</v>
      </c>
      <c r="Y96" s="2" t="n">
        <v>0</v>
      </c>
      <c r="Z96" s="2" t="n">
        <v>0</v>
      </c>
      <c r="AA96" s="2" t="n">
        <v>1</v>
      </c>
      <c r="AB96" s="2" t="n">
        <v>1</v>
      </c>
      <c r="AC96" s="2"/>
    </row>
    <row r="97" customFormat="false" ht="15" hidden="false" customHeight="false" outlineLevel="0" collapsed="false">
      <c r="A97" s="2" t="n">
        <v>14</v>
      </c>
      <c r="B97" s="2" t="s">
        <v>251</v>
      </c>
      <c r="C97" s="2" t="s">
        <v>258</v>
      </c>
      <c r="D97" s="2" t="s">
        <v>1746</v>
      </c>
      <c r="E97" s="2" t="s">
        <v>1395</v>
      </c>
      <c r="F97" s="2" t="s">
        <v>1419</v>
      </c>
      <c r="G97" s="2" t="s">
        <v>1743</v>
      </c>
      <c r="H97" s="2" t="s">
        <v>1747</v>
      </c>
      <c r="I97" s="2" t="s">
        <v>1647</v>
      </c>
      <c r="J97" s="2" t="s">
        <v>1748</v>
      </c>
      <c r="K97" s="2" t="n">
        <v>2</v>
      </c>
      <c r="L97" s="2" t="n">
        <v>1235</v>
      </c>
      <c r="M97" s="2" t="n">
        <v>845</v>
      </c>
      <c r="N97" s="2" t="n">
        <v>726</v>
      </c>
      <c r="O97" s="2" t="n">
        <v>390</v>
      </c>
      <c r="P97" s="2" t="n">
        <v>0</v>
      </c>
      <c r="Q97" s="2" t="n">
        <v>0</v>
      </c>
      <c r="R97" s="2" t="n">
        <v>0</v>
      </c>
      <c r="S97" s="2" t="n">
        <v>6</v>
      </c>
      <c r="T97" s="2" t="n">
        <v>6</v>
      </c>
      <c r="U97" s="2" t="n">
        <v>0</v>
      </c>
      <c r="V97" s="2" t="n">
        <v>0</v>
      </c>
      <c r="W97" s="2" t="n">
        <v>0</v>
      </c>
      <c r="X97" s="2" t="n">
        <v>0</v>
      </c>
      <c r="Y97" s="2" t="n">
        <v>0</v>
      </c>
      <c r="Z97" s="2" t="n">
        <v>2</v>
      </c>
      <c r="AA97" s="2" t="n">
        <v>0</v>
      </c>
      <c r="AB97" s="2" t="n">
        <v>4</v>
      </c>
      <c r="AC97" s="2"/>
    </row>
    <row r="98" customFormat="false" ht="15" hidden="false" customHeight="false" outlineLevel="0" collapsed="false">
      <c r="A98" s="2" t="n">
        <v>14</v>
      </c>
      <c r="B98" s="2" t="s">
        <v>251</v>
      </c>
      <c r="C98" s="2" t="s">
        <v>258</v>
      </c>
      <c r="D98" s="2" t="s">
        <v>1749</v>
      </c>
      <c r="E98" s="2" t="s">
        <v>1395</v>
      </c>
      <c r="F98" s="2" t="s">
        <v>1419</v>
      </c>
      <c r="G98" s="2" t="s">
        <v>1279</v>
      </c>
      <c r="H98" s="2" t="s">
        <v>1750</v>
      </c>
      <c r="I98" s="2" t="s">
        <v>1647</v>
      </c>
      <c r="J98" s="2" t="s">
        <v>1751</v>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row>
    <row r="99" customFormat="false" ht="15" hidden="false" customHeight="false" outlineLevel="0" collapsed="false">
      <c r="A99" s="2" t="n">
        <v>14</v>
      </c>
      <c r="B99" s="2" t="s">
        <v>251</v>
      </c>
      <c r="C99" s="2" t="s">
        <v>258</v>
      </c>
      <c r="D99" s="2" t="s">
        <v>1752</v>
      </c>
      <c r="E99" s="2" t="s">
        <v>1395</v>
      </c>
      <c r="F99" s="2" t="s">
        <v>1419</v>
      </c>
      <c r="G99" s="2" t="s">
        <v>1753</v>
      </c>
      <c r="H99" s="2" t="s">
        <v>1754</v>
      </c>
      <c r="I99" s="2" t="s">
        <v>1647</v>
      </c>
      <c r="J99" s="2" t="s">
        <v>1755</v>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row>
    <row r="100" customFormat="false" ht="15" hidden="false" customHeight="false" outlineLevel="0" collapsed="false">
      <c r="A100" s="2" t="n">
        <v>14</v>
      </c>
      <c r="B100" s="2" t="s">
        <v>251</v>
      </c>
      <c r="C100" s="2" t="s">
        <v>258</v>
      </c>
      <c r="D100" s="2" t="s">
        <v>1756</v>
      </c>
      <c r="E100" s="2" t="s">
        <v>1395</v>
      </c>
      <c r="F100" s="2" t="s">
        <v>1419</v>
      </c>
      <c r="G100" s="2" t="s">
        <v>1757</v>
      </c>
      <c r="H100" s="2" t="s">
        <v>1758</v>
      </c>
      <c r="I100" s="2" t="s">
        <v>1647</v>
      </c>
      <c r="J100" s="2" t="s">
        <v>1759</v>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row>
    <row r="101" customFormat="false" ht="15" hidden="false" customHeight="false" outlineLevel="0" collapsed="false">
      <c r="A101" s="2" t="n">
        <v>14</v>
      </c>
      <c r="B101" s="2" t="s">
        <v>251</v>
      </c>
      <c r="C101" s="2" t="s">
        <v>258</v>
      </c>
      <c r="D101" s="2" t="s">
        <v>1760</v>
      </c>
      <c r="E101" s="2" t="s">
        <v>1395</v>
      </c>
      <c r="F101" s="2" t="s">
        <v>1419</v>
      </c>
      <c r="G101" s="2" t="s">
        <v>1757</v>
      </c>
      <c r="H101" s="2" t="s">
        <v>1761</v>
      </c>
      <c r="I101" s="2" t="s">
        <v>1647</v>
      </c>
      <c r="J101" s="2" t="s">
        <v>1762</v>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row>
    <row r="102" customFormat="false" ht="15" hidden="false" customHeight="false" outlineLevel="0" collapsed="false">
      <c r="A102" s="2" t="n">
        <v>14</v>
      </c>
      <c r="B102" s="2" t="s">
        <v>251</v>
      </c>
      <c r="C102" s="2" t="s">
        <v>258</v>
      </c>
      <c r="D102" s="2" t="s">
        <v>1763</v>
      </c>
      <c r="E102" s="2" t="s">
        <v>1395</v>
      </c>
      <c r="F102" s="2" t="s">
        <v>1419</v>
      </c>
      <c r="G102" s="2" t="s">
        <v>1757</v>
      </c>
      <c r="H102" s="2" t="s">
        <v>1764</v>
      </c>
      <c r="I102" s="2" t="s">
        <v>1647</v>
      </c>
      <c r="J102" s="2" t="s">
        <v>1765</v>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row>
    <row r="103" customFormat="false" ht="15" hidden="false" customHeight="false" outlineLevel="0" collapsed="false">
      <c r="A103" s="2" t="n">
        <v>14</v>
      </c>
      <c r="B103" s="2" t="s">
        <v>251</v>
      </c>
      <c r="C103" s="2" t="s">
        <v>258</v>
      </c>
      <c r="D103" s="2" t="s">
        <v>1766</v>
      </c>
      <c r="E103" s="2" t="s">
        <v>1395</v>
      </c>
      <c r="F103" s="2" t="s">
        <v>1419</v>
      </c>
      <c r="G103" s="2" t="s">
        <v>1757</v>
      </c>
      <c r="H103" s="2" t="s">
        <v>1767</v>
      </c>
      <c r="I103" s="2" t="s">
        <v>1647</v>
      </c>
      <c r="J103" s="2" t="s">
        <v>1768</v>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row>
    <row r="104" customFormat="false" ht="15" hidden="false" customHeight="false" outlineLevel="0" collapsed="false">
      <c r="A104" s="2" t="n">
        <v>14</v>
      </c>
      <c r="B104" s="2" t="s">
        <v>251</v>
      </c>
      <c r="C104" s="2" t="s">
        <v>258</v>
      </c>
      <c r="D104" s="2" t="s">
        <v>1769</v>
      </c>
      <c r="E104" s="2" t="s">
        <v>1395</v>
      </c>
      <c r="F104" s="2" t="s">
        <v>1419</v>
      </c>
      <c r="G104" s="2" t="s">
        <v>1770</v>
      </c>
      <c r="H104" s="2" t="s">
        <v>1771</v>
      </c>
      <c r="I104" s="2" t="s">
        <v>1647</v>
      </c>
      <c r="J104" s="2" t="s">
        <v>1772</v>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row>
    <row r="105" customFormat="false" ht="15" hidden="false" customHeight="false" outlineLevel="0" collapsed="false">
      <c r="A105" s="2" t="n">
        <v>14</v>
      </c>
      <c r="B105" s="2" t="s">
        <v>251</v>
      </c>
      <c r="C105" s="2" t="s">
        <v>258</v>
      </c>
      <c r="D105" s="2" t="s">
        <v>1773</v>
      </c>
      <c r="E105" s="2" t="s">
        <v>1395</v>
      </c>
      <c r="F105" s="2" t="s">
        <v>1419</v>
      </c>
      <c r="G105" s="2" t="s">
        <v>1774</v>
      </c>
      <c r="H105" s="2" t="s">
        <v>1775</v>
      </c>
      <c r="I105" s="2" t="s">
        <v>1647</v>
      </c>
      <c r="J105" s="2" t="s">
        <v>1776</v>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0</v>
      </c>
      <c r="AA105" s="2" t="n">
        <v>0</v>
      </c>
      <c r="AB105" s="2" t="n">
        <v>3</v>
      </c>
      <c r="AC105" s="2"/>
    </row>
    <row r="106" customFormat="false" ht="15" hidden="false" customHeight="false" outlineLevel="0" collapsed="false">
      <c r="A106" s="2" t="n">
        <v>14</v>
      </c>
      <c r="B106" s="2" t="s">
        <v>251</v>
      </c>
      <c r="C106" s="2" t="s">
        <v>258</v>
      </c>
      <c r="D106" s="2" t="s">
        <v>1777</v>
      </c>
      <c r="E106" s="2" t="s">
        <v>1395</v>
      </c>
      <c r="F106" s="2" t="s">
        <v>1419</v>
      </c>
      <c r="G106" s="2" t="s">
        <v>1778</v>
      </c>
      <c r="H106" s="2" t="s">
        <v>1779</v>
      </c>
      <c r="I106" s="2" t="s">
        <v>1647</v>
      </c>
      <c r="J106" s="2" t="s">
        <v>1780</v>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0</v>
      </c>
      <c r="AA106" s="2" t="n">
        <v>1</v>
      </c>
      <c r="AB106" s="2" t="n">
        <v>4</v>
      </c>
      <c r="AC106" s="2"/>
    </row>
    <row r="107" customFormat="false" ht="15" hidden="false" customHeight="false" outlineLevel="0" collapsed="false">
      <c r="A107" s="2" t="n">
        <v>14</v>
      </c>
      <c r="B107" s="2" t="s">
        <v>251</v>
      </c>
      <c r="C107" s="2" t="s">
        <v>258</v>
      </c>
      <c r="D107" s="2" t="s">
        <v>1781</v>
      </c>
      <c r="E107" s="2" t="s">
        <v>1395</v>
      </c>
      <c r="F107" s="2" t="s">
        <v>1396</v>
      </c>
      <c r="G107" s="2" t="s">
        <v>1782</v>
      </c>
      <c r="H107" s="2" t="s">
        <v>1783</v>
      </c>
      <c r="I107" s="2" t="s">
        <v>1374</v>
      </c>
      <c r="J107" s="2" t="s">
        <v>1784</v>
      </c>
      <c r="K107" s="2" t="n">
        <v>9</v>
      </c>
      <c r="L107" s="2" t="n">
        <v>4944</v>
      </c>
      <c r="M107" s="2" t="n">
        <v>1319</v>
      </c>
      <c r="N107" s="2" t="n">
        <v>1226</v>
      </c>
      <c r="O107" s="2" t="n">
        <v>3625</v>
      </c>
      <c r="P107" s="2" t="n">
        <v>0</v>
      </c>
      <c r="Q107" s="2" t="n">
        <v>0</v>
      </c>
      <c r="R107" s="2" t="n">
        <v>0</v>
      </c>
      <c r="S107" s="2" t="n">
        <v>5</v>
      </c>
      <c r="T107" s="2" t="n">
        <v>3</v>
      </c>
      <c r="U107" s="2" t="n">
        <v>2</v>
      </c>
      <c r="V107" s="2" t="n">
        <v>0</v>
      </c>
      <c r="W107" s="2" t="n">
        <v>0</v>
      </c>
      <c r="X107" s="2" t="n">
        <v>0</v>
      </c>
      <c r="Y107" s="2" t="n">
        <v>0</v>
      </c>
      <c r="Z107" s="2" t="n">
        <v>1</v>
      </c>
      <c r="AA107" s="2" t="n">
        <v>0</v>
      </c>
      <c r="AB107" s="2" t="n">
        <v>4</v>
      </c>
      <c r="AC107" s="2"/>
    </row>
    <row r="108" customFormat="false" ht="15" hidden="false" customHeight="false" outlineLevel="0" collapsed="false">
      <c r="A108" s="2" t="n">
        <v>14</v>
      </c>
      <c r="B108" s="2" t="s">
        <v>251</v>
      </c>
      <c r="C108" s="2" t="s">
        <v>258</v>
      </c>
      <c r="D108" s="2" t="s">
        <v>1785</v>
      </c>
      <c r="E108" s="2" t="s">
        <v>1395</v>
      </c>
      <c r="F108" s="2" t="s">
        <v>1419</v>
      </c>
      <c r="G108" s="2" t="s">
        <v>1786</v>
      </c>
      <c r="H108" s="2" t="s">
        <v>1787</v>
      </c>
      <c r="I108" s="2" t="s">
        <v>1647</v>
      </c>
      <c r="J108" s="2" t="s">
        <v>1788</v>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0</v>
      </c>
      <c r="AA108" s="2" t="n">
        <v>1</v>
      </c>
      <c r="AB108" s="2" t="n">
        <v>1</v>
      </c>
      <c r="AC108" s="2"/>
    </row>
    <row r="109" customFormat="false" ht="15" hidden="false" customHeight="false" outlineLevel="0" collapsed="false">
      <c r="A109" s="2" t="n">
        <v>14</v>
      </c>
      <c r="B109" s="2" t="s">
        <v>251</v>
      </c>
      <c r="C109" s="2" t="s">
        <v>258</v>
      </c>
      <c r="D109" s="2" t="s">
        <v>1789</v>
      </c>
      <c r="E109" s="2" t="s">
        <v>1395</v>
      </c>
      <c r="F109" s="2" t="s">
        <v>1419</v>
      </c>
      <c r="G109" s="2" t="s">
        <v>1786</v>
      </c>
      <c r="H109" s="2" t="s">
        <v>1790</v>
      </c>
      <c r="I109" s="2" t="s">
        <v>1647</v>
      </c>
      <c r="J109" s="2" t="s">
        <v>1791</v>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row>
    <row r="110" customFormat="false" ht="15" hidden="false" customHeight="false" outlineLevel="0" collapsed="false">
      <c r="A110" s="2" t="n">
        <v>14</v>
      </c>
      <c r="B110" s="2" t="s">
        <v>251</v>
      </c>
      <c r="C110" s="2" t="s">
        <v>258</v>
      </c>
      <c r="D110" s="2" t="s">
        <v>1792</v>
      </c>
      <c r="E110" s="2" t="s">
        <v>1395</v>
      </c>
      <c r="F110" s="2" t="s">
        <v>1419</v>
      </c>
      <c r="G110" s="2" t="s">
        <v>1786</v>
      </c>
      <c r="H110" s="2" t="s">
        <v>1793</v>
      </c>
      <c r="I110" s="2" t="s">
        <v>1647</v>
      </c>
      <c r="J110" s="2" t="s">
        <v>1794</v>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row>
    <row r="111" customFormat="false" ht="15" hidden="false" customHeight="false" outlineLevel="0" collapsed="false">
      <c r="A111" s="2" t="n">
        <v>14</v>
      </c>
      <c r="B111" s="2" t="s">
        <v>251</v>
      </c>
      <c r="C111" s="2" t="s">
        <v>258</v>
      </c>
      <c r="D111" s="2" t="s">
        <v>1795</v>
      </c>
      <c r="E111" s="2" t="s">
        <v>1395</v>
      </c>
      <c r="F111" s="2" t="s">
        <v>1419</v>
      </c>
      <c r="G111" s="2" t="s">
        <v>1786</v>
      </c>
      <c r="H111" s="2" t="s">
        <v>1796</v>
      </c>
      <c r="I111" s="2" t="s">
        <v>1647</v>
      </c>
      <c r="J111" s="2" t="s">
        <v>1797</v>
      </c>
      <c r="K111" s="2" t="n">
        <v>2</v>
      </c>
      <c r="L111" s="2" t="n">
        <v>717</v>
      </c>
      <c r="M111" s="2" t="n">
        <v>550</v>
      </c>
      <c r="N111" s="2" t="n">
        <v>439</v>
      </c>
      <c r="O111" s="2" t="n">
        <v>167</v>
      </c>
      <c r="P111" s="2" t="n">
        <v>0</v>
      </c>
      <c r="Q111" s="2" t="n">
        <v>0</v>
      </c>
      <c r="R111" s="2" t="n">
        <v>0</v>
      </c>
      <c r="S111" s="2" t="n">
        <v>2</v>
      </c>
      <c r="T111" s="2" t="n">
        <v>2</v>
      </c>
      <c r="U111" s="2" t="n">
        <v>0</v>
      </c>
      <c r="V111" s="2" t="n">
        <v>0</v>
      </c>
      <c r="W111" s="2" t="n">
        <v>0</v>
      </c>
      <c r="X111" s="2" t="n">
        <v>0</v>
      </c>
      <c r="Y111" s="2" t="n">
        <v>1</v>
      </c>
      <c r="Z111" s="2" t="n">
        <v>0</v>
      </c>
      <c r="AA111" s="2" t="n">
        <v>0</v>
      </c>
      <c r="AB111" s="2" t="n">
        <v>1</v>
      </c>
      <c r="AC111" s="2"/>
    </row>
    <row r="112" customFormat="false" ht="15" hidden="false" customHeight="false" outlineLevel="0" collapsed="false">
      <c r="A112" s="2" t="n">
        <v>14</v>
      </c>
      <c r="B112" s="2" t="s">
        <v>251</v>
      </c>
      <c r="C112" s="2" t="s">
        <v>258</v>
      </c>
      <c r="D112" s="2" t="s">
        <v>1798</v>
      </c>
      <c r="E112" s="2" t="s">
        <v>1395</v>
      </c>
      <c r="F112" s="2" t="s">
        <v>1419</v>
      </c>
      <c r="G112" s="2" t="s">
        <v>1786</v>
      </c>
      <c r="H112" s="2" t="s">
        <v>1799</v>
      </c>
      <c r="I112" s="2" t="s">
        <v>1647</v>
      </c>
      <c r="J112" s="2" t="s">
        <v>1800</v>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row>
    <row r="113" customFormat="false" ht="15" hidden="false" customHeight="false" outlineLevel="0" collapsed="false">
      <c r="A113" s="2" t="n">
        <v>14</v>
      </c>
      <c r="B113" s="2" t="s">
        <v>251</v>
      </c>
      <c r="C113" s="2" t="s">
        <v>258</v>
      </c>
      <c r="D113" s="2" t="s">
        <v>1801</v>
      </c>
      <c r="E113" s="2" t="s">
        <v>1395</v>
      </c>
      <c r="F113" s="2" t="s">
        <v>1419</v>
      </c>
      <c r="G113" s="2" t="s">
        <v>1786</v>
      </c>
      <c r="H113" s="2" t="s">
        <v>1802</v>
      </c>
      <c r="I113" s="2" t="s">
        <v>1647</v>
      </c>
      <c r="J113" s="2" t="s">
        <v>1803</v>
      </c>
      <c r="K113" s="2" t="n">
        <v>2</v>
      </c>
      <c r="L113" s="2" t="n">
        <v>743</v>
      </c>
      <c r="M113" s="2" t="n">
        <v>597</v>
      </c>
      <c r="N113" s="2" t="n">
        <v>482</v>
      </c>
      <c r="O113" s="2" t="n">
        <v>146</v>
      </c>
      <c r="P113" s="2" t="n">
        <v>0</v>
      </c>
      <c r="Q113" s="2" t="n">
        <v>0</v>
      </c>
      <c r="R113" s="2" t="n">
        <v>0</v>
      </c>
      <c r="S113" s="2" t="n">
        <v>1</v>
      </c>
      <c r="T113" s="2" t="n">
        <v>1</v>
      </c>
      <c r="U113" s="2" t="n">
        <v>0</v>
      </c>
      <c r="V113" s="2" t="n">
        <v>0</v>
      </c>
      <c r="W113" s="2" t="n">
        <v>0</v>
      </c>
      <c r="X113" s="2" t="n">
        <v>0</v>
      </c>
      <c r="Y113" s="2" t="n">
        <v>0</v>
      </c>
      <c r="Z113" s="2" t="n">
        <v>0</v>
      </c>
      <c r="AA113" s="2" t="n">
        <v>0</v>
      </c>
      <c r="AB113" s="2" t="n">
        <v>1</v>
      </c>
      <c r="AC113" s="2"/>
    </row>
    <row r="114" customFormat="false" ht="15" hidden="false" customHeight="false" outlineLevel="0" collapsed="false">
      <c r="A114" s="2" t="n">
        <v>14</v>
      </c>
      <c r="B114" s="2" t="s">
        <v>251</v>
      </c>
      <c r="C114" s="2" t="s">
        <v>258</v>
      </c>
      <c r="D114" s="2" t="s">
        <v>1804</v>
      </c>
      <c r="E114" s="2" t="s">
        <v>1395</v>
      </c>
      <c r="F114" s="2" t="s">
        <v>1419</v>
      </c>
      <c r="G114" s="2" t="s">
        <v>1440</v>
      </c>
      <c r="H114" s="2" t="s">
        <v>1805</v>
      </c>
      <c r="I114" s="2" t="s">
        <v>1647</v>
      </c>
      <c r="J114" s="2" t="s">
        <v>1806</v>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0</v>
      </c>
      <c r="AA114" s="2" t="n">
        <v>0</v>
      </c>
      <c r="AB114" s="2" t="n">
        <v>1</v>
      </c>
      <c r="AC114" s="2"/>
    </row>
    <row r="115" customFormat="false" ht="15" hidden="false" customHeight="false" outlineLevel="0" collapsed="false">
      <c r="A115" s="2" t="n">
        <v>14</v>
      </c>
      <c r="B115" s="2" t="s">
        <v>251</v>
      </c>
      <c r="C115" s="2" t="s">
        <v>258</v>
      </c>
      <c r="D115" s="2" t="s">
        <v>1807</v>
      </c>
      <c r="E115" s="2" t="s">
        <v>1395</v>
      </c>
      <c r="F115" s="2" t="s">
        <v>1419</v>
      </c>
      <c r="G115" s="2" t="s">
        <v>1808</v>
      </c>
      <c r="H115" s="2" t="s">
        <v>1809</v>
      </c>
      <c r="I115" s="2" t="s">
        <v>1647</v>
      </c>
      <c r="J115" s="2" t="s">
        <v>1810</v>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0</v>
      </c>
      <c r="AA115" s="2" t="n">
        <v>0</v>
      </c>
      <c r="AB115" s="2" t="n">
        <v>2</v>
      </c>
      <c r="AC115" s="2"/>
    </row>
    <row r="116" customFormat="false" ht="15" hidden="false" customHeight="false" outlineLevel="0" collapsed="false">
      <c r="A116" s="2" t="n">
        <v>14</v>
      </c>
      <c r="B116" s="2" t="s">
        <v>251</v>
      </c>
      <c r="C116" s="2" t="s">
        <v>258</v>
      </c>
      <c r="D116" s="2" t="s">
        <v>1811</v>
      </c>
      <c r="E116" s="2" t="s">
        <v>1395</v>
      </c>
      <c r="F116" s="2" t="s">
        <v>1396</v>
      </c>
      <c r="G116" s="2" t="s">
        <v>1812</v>
      </c>
      <c r="H116" s="2" t="s">
        <v>1813</v>
      </c>
      <c r="I116" s="2" t="s">
        <v>1374</v>
      </c>
      <c r="J116" s="2" t="s">
        <v>1814</v>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0</v>
      </c>
      <c r="AB116" s="2" t="n">
        <v>1</v>
      </c>
      <c r="AC116" s="2"/>
    </row>
    <row r="117" customFormat="false" ht="15" hidden="false" customHeight="false" outlineLevel="0" collapsed="false">
      <c r="A117" s="2" t="n">
        <v>14</v>
      </c>
      <c r="B117" s="2" t="s">
        <v>251</v>
      </c>
      <c r="C117" s="2" t="s">
        <v>258</v>
      </c>
      <c r="D117" s="2" t="s">
        <v>1815</v>
      </c>
      <c r="E117" s="2" t="s">
        <v>1395</v>
      </c>
      <c r="F117" s="2" t="s">
        <v>1419</v>
      </c>
      <c r="G117" s="2" t="s">
        <v>1816</v>
      </c>
      <c r="H117" s="2" t="s">
        <v>1817</v>
      </c>
      <c r="I117" s="2" t="s">
        <v>1647</v>
      </c>
      <c r="J117" s="2" t="s">
        <v>1818</v>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row>
    <row r="118" customFormat="false" ht="15" hidden="false" customHeight="false" outlineLevel="0" collapsed="false">
      <c r="A118" s="2" t="n">
        <v>14</v>
      </c>
      <c r="B118" s="2" t="s">
        <v>251</v>
      </c>
      <c r="C118" s="2" t="s">
        <v>258</v>
      </c>
      <c r="D118" s="2" t="s">
        <v>1819</v>
      </c>
      <c r="E118" s="2" t="s">
        <v>1395</v>
      </c>
      <c r="F118" s="2" t="s">
        <v>1419</v>
      </c>
      <c r="G118" s="2" t="s">
        <v>1816</v>
      </c>
      <c r="H118" s="2" t="s">
        <v>1820</v>
      </c>
      <c r="I118" s="2" t="s">
        <v>1647</v>
      </c>
      <c r="J118" s="2" t="s">
        <v>1821</v>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row>
    <row r="119" customFormat="false" ht="15" hidden="false" customHeight="false" outlineLevel="0" collapsed="false">
      <c r="A119" s="2" t="n">
        <v>14</v>
      </c>
      <c r="B119" s="2" t="s">
        <v>251</v>
      </c>
      <c r="C119" s="2" t="s">
        <v>258</v>
      </c>
      <c r="D119" s="2" t="s">
        <v>1822</v>
      </c>
      <c r="E119" s="2" t="s">
        <v>1395</v>
      </c>
      <c r="F119" s="2" t="s">
        <v>1419</v>
      </c>
      <c r="G119" s="2" t="s">
        <v>1816</v>
      </c>
      <c r="H119" s="2" t="s">
        <v>1823</v>
      </c>
      <c r="I119" s="2" t="s">
        <v>1647</v>
      </c>
      <c r="J119" s="2" t="s">
        <v>1824</v>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0</v>
      </c>
      <c r="AA119" s="2" t="n">
        <v>0</v>
      </c>
      <c r="AB119" s="2" t="n">
        <v>3</v>
      </c>
      <c r="AC119" s="2"/>
    </row>
    <row r="120" customFormat="false" ht="15" hidden="false" customHeight="false" outlineLevel="0" collapsed="false">
      <c r="A120" s="2" t="n">
        <v>14</v>
      </c>
      <c r="B120" s="2" t="s">
        <v>251</v>
      </c>
      <c r="C120" s="2" t="s">
        <v>258</v>
      </c>
      <c r="D120" s="2" t="s">
        <v>1825</v>
      </c>
      <c r="E120" s="2" t="s">
        <v>1395</v>
      </c>
      <c r="F120" s="2" t="s">
        <v>1419</v>
      </c>
      <c r="G120" s="2" t="s">
        <v>1826</v>
      </c>
      <c r="H120" s="2" t="s">
        <v>1827</v>
      </c>
      <c r="I120" s="2" t="s">
        <v>1647</v>
      </c>
      <c r="J120" s="2" t="s">
        <v>1828</v>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row>
    <row r="121" customFormat="false" ht="15" hidden="false" customHeight="false" outlineLevel="0" collapsed="false">
      <c r="A121" s="2" t="n">
        <v>14</v>
      </c>
      <c r="B121" s="2" t="s">
        <v>251</v>
      </c>
      <c r="C121" s="2" t="s">
        <v>258</v>
      </c>
      <c r="D121" s="2" t="s">
        <v>1829</v>
      </c>
      <c r="E121" s="2" t="s">
        <v>1395</v>
      </c>
      <c r="F121" s="2" t="s">
        <v>1419</v>
      </c>
      <c r="G121" s="2" t="s">
        <v>1830</v>
      </c>
      <c r="H121" s="2" t="s">
        <v>1831</v>
      </c>
      <c r="I121" s="2" t="s">
        <v>1647</v>
      </c>
      <c r="J121" s="2" t="s">
        <v>1832</v>
      </c>
      <c r="K121" s="2" t="n">
        <v>2</v>
      </c>
      <c r="L121" s="2" t="n">
        <v>720</v>
      </c>
      <c r="M121" s="2" t="n">
        <v>622</v>
      </c>
      <c r="N121" s="2" t="n">
        <v>506</v>
      </c>
      <c r="O121" s="2" t="n">
        <v>98</v>
      </c>
      <c r="P121" s="2" t="n">
        <v>0</v>
      </c>
      <c r="Q121" s="2" t="n">
        <v>0</v>
      </c>
      <c r="R121" s="2" t="n">
        <v>0</v>
      </c>
      <c r="S121" s="2" t="n">
        <v>2</v>
      </c>
      <c r="T121" s="2" t="n">
        <v>2</v>
      </c>
      <c r="U121" s="2" t="n">
        <v>0</v>
      </c>
      <c r="V121" s="2" t="n">
        <v>0</v>
      </c>
      <c r="W121" s="2" t="n">
        <v>0</v>
      </c>
      <c r="X121" s="2" t="n">
        <v>0</v>
      </c>
      <c r="Y121" s="2" t="n">
        <v>0</v>
      </c>
      <c r="Z121" s="2" t="n">
        <v>0</v>
      </c>
      <c r="AA121" s="2" t="n">
        <v>0</v>
      </c>
      <c r="AB121" s="2" t="n">
        <v>2</v>
      </c>
      <c r="AC121" s="2"/>
    </row>
    <row r="122" customFormat="false" ht="15" hidden="false" customHeight="false" outlineLevel="0" collapsed="false">
      <c r="A122" s="2" t="n">
        <v>14</v>
      </c>
      <c r="B122" s="2" t="s">
        <v>251</v>
      </c>
      <c r="C122" s="2" t="s">
        <v>258</v>
      </c>
      <c r="D122" s="2" t="s">
        <v>1833</v>
      </c>
      <c r="E122" s="2" t="s">
        <v>1395</v>
      </c>
      <c r="F122" s="2" t="s">
        <v>1419</v>
      </c>
      <c r="G122" s="2" t="s">
        <v>1834</v>
      </c>
      <c r="H122" s="2" t="s">
        <v>1835</v>
      </c>
      <c r="I122" s="2" t="s">
        <v>1647</v>
      </c>
      <c r="J122" s="2" t="s">
        <v>1836</v>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0</v>
      </c>
      <c r="Z122" s="2" t="n">
        <v>0</v>
      </c>
      <c r="AA122" s="2" t="n">
        <v>0</v>
      </c>
      <c r="AB122" s="2" t="n">
        <v>3</v>
      </c>
      <c r="AC122" s="2"/>
    </row>
    <row r="123" customFormat="false" ht="15" hidden="false" customHeight="false" outlineLevel="0" collapsed="false">
      <c r="A123" s="2" t="n">
        <v>14</v>
      </c>
      <c r="B123" s="2" t="s">
        <v>251</v>
      </c>
      <c r="C123" s="2" t="s">
        <v>258</v>
      </c>
      <c r="D123" s="2" t="s">
        <v>1837</v>
      </c>
      <c r="E123" s="2" t="s">
        <v>1395</v>
      </c>
      <c r="F123" s="2" t="s">
        <v>1419</v>
      </c>
      <c r="G123" s="2" t="s">
        <v>1838</v>
      </c>
      <c r="H123" s="2" t="s">
        <v>1839</v>
      </c>
      <c r="I123" s="2" t="s">
        <v>1647</v>
      </c>
      <c r="J123" s="2" t="s">
        <v>1840</v>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row>
    <row r="124" customFormat="false" ht="15" hidden="false" customHeight="false" outlineLevel="0" collapsed="false">
      <c r="A124" s="2" t="n">
        <v>14</v>
      </c>
      <c r="B124" s="2" t="s">
        <v>251</v>
      </c>
      <c r="C124" s="2" t="s">
        <v>258</v>
      </c>
      <c r="D124" s="2" t="s">
        <v>1841</v>
      </c>
      <c r="E124" s="2" t="s">
        <v>1395</v>
      </c>
      <c r="F124" s="2" t="s">
        <v>1419</v>
      </c>
      <c r="G124" s="2" t="s">
        <v>1838</v>
      </c>
      <c r="H124" s="2" t="s">
        <v>1842</v>
      </c>
      <c r="I124" s="2" t="s">
        <v>1647</v>
      </c>
      <c r="J124" s="2" t="s">
        <v>1843</v>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2</v>
      </c>
      <c r="AA124" s="2" t="n">
        <v>0</v>
      </c>
      <c r="AB124" s="2" t="n">
        <v>2</v>
      </c>
      <c r="AC124" s="2"/>
    </row>
    <row r="125" customFormat="false" ht="15" hidden="false" customHeight="false" outlineLevel="0" collapsed="false">
      <c r="A125" s="2" t="n">
        <v>14</v>
      </c>
      <c r="B125" s="2" t="s">
        <v>251</v>
      </c>
      <c r="C125" s="2" t="s">
        <v>258</v>
      </c>
      <c r="D125" s="2" t="s">
        <v>1844</v>
      </c>
      <c r="E125" s="2" t="s">
        <v>1395</v>
      </c>
      <c r="F125" s="2" t="s">
        <v>1419</v>
      </c>
      <c r="G125" s="2" t="s">
        <v>1845</v>
      </c>
      <c r="H125" s="2" t="s">
        <v>1846</v>
      </c>
      <c r="I125" s="2" t="s">
        <v>1647</v>
      </c>
      <c r="J125" s="2" t="s">
        <v>1847</v>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row>
    <row r="126" customFormat="false" ht="15" hidden="false" customHeight="false" outlineLevel="0" collapsed="false">
      <c r="A126" s="2" t="n">
        <v>14</v>
      </c>
      <c r="B126" s="2" t="s">
        <v>251</v>
      </c>
      <c r="C126" s="2" t="s">
        <v>258</v>
      </c>
      <c r="D126" s="2" t="s">
        <v>1848</v>
      </c>
      <c r="E126" s="2" t="s">
        <v>1395</v>
      </c>
      <c r="F126" s="2" t="s">
        <v>1419</v>
      </c>
      <c r="G126" s="2" t="s">
        <v>1849</v>
      </c>
      <c r="H126" s="2" t="s">
        <v>1850</v>
      </c>
      <c r="I126" s="2" t="s">
        <v>1647</v>
      </c>
      <c r="J126" s="2" t="s">
        <v>1851</v>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0</v>
      </c>
      <c r="AA126" s="2" t="n">
        <v>1</v>
      </c>
      <c r="AB126" s="2" t="n">
        <v>4</v>
      </c>
      <c r="AC126" s="2"/>
    </row>
    <row r="127" customFormat="false" ht="15" hidden="false" customHeight="false" outlineLevel="0" collapsed="false">
      <c r="A127" s="2" t="n">
        <v>14</v>
      </c>
      <c r="B127" s="2" t="s">
        <v>251</v>
      </c>
      <c r="C127" s="2" t="s">
        <v>258</v>
      </c>
      <c r="D127" s="2" t="s">
        <v>1852</v>
      </c>
      <c r="E127" s="2" t="s">
        <v>1395</v>
      </c>
      <c r="F127" s="2" t="s">
        <v>1419</v>
      </c>
      <c r="G127" s="2" t="s">
        <v>1853</v>
      </c>
      <c r="H127" s="2" t="s">
        <v>1854</v>
      </c>
      <c r="I127" s="2" t="s">
        <v>1647</v>
      </c>
      <c r="J127" s="2" t="s">
        <v>1855</v>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row>
    <row r="128" customFormat="false" ht="15" hidden="false" customHeight="false" outlineLevel="0" collapsed="false">
      <c r="A128" s="2" t="n">
        <v>14</v>
      </c>
      <c r="B128" s="2" t="s">
        <v>251</v>
      </c>
      <c r="C128" s="2" t="s">
        <v>258</v>
      </c>
      <c r="D128" s="2" t="s">
        <v>1856</v>
      </c>
      <c r="E128" s="2" t="s">
        <v>1395</v>
      </c>
      <c r="F128" s="2" t="s">
        <v>1419</v>
      </c>
      <c r="G128" s="2" t="s">
        <v>1853</v>
      </c>
      <c r="H128" s="2" t="s">
        <v>1857</v>
      </c>
      <c r="I128" s="2" t="s">
        <v>1647</v>
      </c>
      <c r="J128" s="2" t="s">
        <v>1858</v>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row>
    <row r="129" customFormat="false" ht="15" hidden="false" customHeight="false" outlineLevel="0" collapsed="false">
      <c r="A129" s="2" t="n">
        <v>14</v>
      </c>
      <c r="B129" s="2" t="s">
        <v>251</v>
      </c>
      <c r="C129" s="2" t="s">
        <v>258</v>
      </c>
      <c r="D129" s="2" t="s">
        <v>1859</v>
      </c>
      <c r="E129" s="2" t="s">
        <v>1395</v>
      </c>
      <c r="F129" s="2" t="s">
        <v>1419</v>
      </c>
      <c r="G129" s="2" t="s">
        <v>1853</v>
      </c>
      <c r="H129" s="2" t="s">
        <v>1860</v>
      </c>
      <c r="I129" s="2" t="s">
        <v>1647</v>
      </c>
      <c r="J129" s="2" t="s">
        <v>1861</v>
      </c>
      <c r="K129" s="2" t="n">
        <v>2</v>
      </c>
      <c r="L129" s="2" t="n">
        <v>516</v>
      </c>
      <c r="M129" s="2" t="n">
        <v>443</v>
      </c>
      <c r="N129" s="2" t="n">
        <v>323</v>
      </c>
      <c r="O129" s="2" t="n">
        <v>73</v>
      </c>
      <c r="P129" s="2" t="n">
        <v>0</v>
      </c>
      <c r="Q129" s="2" t="n">
        <v>0</v>
      </c>
      <c r="R129" s="2" t="n">
        <v>0</v>
      </c>
      <c r="S129" s="2" t="n">
        <v>2</v>
      </c>
      <c r="T129" s="2" t="n">
        <v>2</v>
      </c>
      <c r="U129" s="2" t="n">
        <v>0</v>
      </c>
      <c r="V129" s="2" t="n">
        <v>0</v>
      </c>
      <c r="W129" s="2" t="n">
        <v>0</v>
      </c>
      <c r="X129" s="2" t="n">
        <v>0</v>
      </c>
      <c r="Y129" s="2" t="n">
        <v>0</v>
      </c>
      <c r="Z129" s="2" t="n">
        <v>0</v>
      </c>
      <c r="AA129" s="2" t="n">
        <v>1</v>
      </c>
      <c r="AB129" s="2" t="n">
        <v>1</v>
      </c>
      <c r="AC129" s="2"/>
    </row>
    <row r="130" customFormat="false" ht="15" hidden="false" customHeight="false" outlineLevel="0" collapsed="false">
      <c r="A130" s="2" t="n">
        <v>14</v>
      </c>
      <c r="B130" s="2" t="s">
        <v>251</v>
      </c>
      <c r="C130" s="2" t="s">
        <v>258</v>
      </c>
      <c r="D130" s="2" t="s">
        <v>1862</v>
      </c>
      <c r="E130" s="2" t="s">
        <v>1395</v>
      </c>
      <c r="F130" s="2" t="s">
        <v>1419</v>
      </c>
      <c r="G130" s="2" t="s">
        <v>1853</v>
      </c>
      <c r="H130" s="2" t="s">
        <v>1863</v>
      </c>
      <c r="I130" s="2" t="s">
        <v>1647</v>
      </c>
      <c r="J130" s="2" t="s">
        <v>1864</v>
      </c>
      <c r="K130" s="2" t="n">
        <v>2</v>
      </c>
      <c r="L130" s="2" t="n">
        <v>494</v>
      </c>
      <c r="M130" s="2" t="n">
        <v>420</v>
      </c>
      <c r="N130" s="2" t="n">
        <v>300</v>
      </c>
      <c r="O130" s="2" t="n">
        <v>74</v>
      </c>
      <c r="P130" s="2" t="n">
        <v>0</v>
      </c>
      <c r="Q130" s="2" t="n">
        <v>0</v>
      </c>
      <c r="R130" s="2" t="n">
        <v>0</v>
      </c>
      <c r="S130" s="2" t="n">
        <v>2</v>
      </c>
      <c r="T130" s="2" t="n">
        <v>2</v>
      </c>
      <c r="U130" s="2" t="n">
        <v>0</v>
      </c>
      <c r="V130" s="2" t="n">
        <v>0</v>
      </c>
      <c r="W130" s="2" t="n">
        <v>0</v>
      </c>
      <c r="X130" s="2" t="n">
        <v>0</v>
      </c>
      <c r="Y130" s="2" t="n">
        <v>0</v>
      </c>
      <c r="Z130" s="2" t="n">
        <v>0</v>
      </c>
      <c r="AA130" s="2" t="n">
        <v>1</v>
      </c>
      <c r="AB130" s="2" t="n">
        <v>1</v>
      </c>
      <c r="AC130" s="2"/>
    </row>
    <row r="131" customFormat="false" ht="15" hidden="false" customHeight="false" outlineLevel="0" collapsed="false">
      <c r="A131" s="2" t="n">
        <v>14</v>
      </c>
      <c r="B131" s="2" t="s">
        <v>251</v>
      </c>
      <c r="C131" s="2" t="s">
        <v>258</v>
      </c>
      <c r="D131" s="2" t="s">
        <v>1865</v>
      </c>
      <c r="E131" s="2" t="s">
        <v>1395</v>
      </c>
      <c r="F131" s="2" t="s">
        <v>1419</v>
      </c>
      <c r="G131" s="2" t="s">
        <v>1853</v>
      </c>
      <c r="H131" s="2" t="s">
        <v>1866</v>
      </c>
      <c r="I131" s="2" t="s">
        <v>1647</v>
      </c>
      <c r="J131" s="2" t="s">
        <v>1867</v>
      </c>
      <c r="K131" s="2" t="n">
        <v>3</v>
      </c>
      <c r="L131" s="2" t="n">
        <v>1012</v>
      </c>
      <c r="M131" s="2" t="n">
        <v>674</v>
      </c>
      <c r="N131" s="2" t="n">
        <v>548</v>
      </c>
      <c r="O131" s="2" t="n">
        <v>338</v>
      </c>
      <c r="P131" s="2" t="n">
        <v>0</v>
      </c>
      <c r="Q131" s="2" t="n">
        <v>0</v>
      </c>
      <c r="R131" s="2" t="n">
        <v>0</v>
      </c>
      <c r="S131" s="2" t="n">
        <v>4</v>
      </c>
      <c r="T131" s="2" t="n">
        <v>4</v>
      </c>
      <c r="U131" s="2" t="n">
        <v>0</v>
      </c>
      <c r="V131" s="2" t="n">
        <v>0</v>
      </c>
      <c r="W131" s="2" t="n">
        <v>0</v>
      </c>
      <c r="X131" s="2" t="n">
        <v>0</v>
      </c>
      <c r="Y131" s="2" t="n">
        <v>0</v>
      </c>
      <c r="Z131" s="2" t="n">
        <v>0</v>
      </c>
      <c r="AA131" s="2" t="n">
        <v>0</v>
      </c>
      <c r="AB131" s="2" t="n">
        <v>4</v>
      </c>
      <c r="AC131" s="2"/>
    </row>
    <row r="132" customFormat="false" ht="15" hidden="false" customHeight="false" outlineLevel="0" collapsed="false">
      <c r="A132" s="2" t="n">
        <v>14</v>
      </c>
      <c r="B132" s="2" t="s">
        <v>251</v>
      </c>
      <c r="C132" s="2" t="s">
        <v>258</v>
      </c>
      <c r="D132" s="2" t="s">
        <v>1868</v>
      </c>
      <c r="E132" s="2" t="s">
        <v>1395</v>
      </c>
      <c r="F132" s="2" t="s">
        <v>1419</v>
      </c>
      <c r="G132" s="2" t="s">
        <v>1853</v>
      </c>
      <c r="H132" s="2" t="s">
        <v>1869</v>
      </c>
      <c r="I132" s="2" t="s">
        <v>1647</v>
      </c>
      <c r="J132" s="2" t="s">
        <v>1870</v>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0</v>
      </c>
      <c r="AA132" s="2" t="n">
        <v>0</v>
      </c>
      <c r="AB132" s="2" t="n">
        <v>4</v>
      </c>
      <c r="AC132" s="2"/>
    </row>
    <row r="133" customFormat="false" ht="15" hidden="false" customHeight="false" outlineLevel="0" collapsed="false">
      <c r="A133" s="2" t="n">
        <v>14</v>
      </c>
      <c r="B133" s="2" t="s">
        <v>251</v>
      </c>
      <c r="C133" s="2" t="s">
        <v>258</v>
      </c>
      <c r="D133" s="2" t="s">
        <v>1871</v>
      </c>
      <c r="E133" s="2" t="s">
        <v>1395</v>
      </c>
      <c r="F133" s="2" t="s">
        <v>1419</v>
      </c>
      <c r="G133" s="2" t="s">
        <v>1872</v>
      </c>
      <c r="H133" s="2" t="s">
        <v>1873</v>
      </c>
      <c r="I133" s="2" t="s">
        <v>1647</v>
      </c>
      <c r="J133" s="2" t="s">
        <v>1874</v>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row>
    <row r="134" customFormat="false" ht="15" hidden="false" customHeight="false" outlineLevel="0" collapsed="false">
      <c r="A134" s="2" t="n">
        <v>14</v>
      </c>
      <c r="B134" s="2" t="s">
        <v>251</v>
      </c>
      <c r="C134" s="2" t="s">
        <v>258</v>
      </c>
      <c r="D134" s="2" t="s">
        <v>1875</v>
      </c>
      <c r="E134" s="2" t="s">
        <v>1395</v>
      </c>
      <c r="F134" s="2" t="s">
        <v>1419</v>
      </c>
      <c r="G134" s="2" t="s">
        <v>1876</v>
      </c>
      <c r="H134" s="2" t="s">
        <v>1877</v>
      </c>
      <c r="I134" s="2" t="s">
        <v>1647</v>
      </c>
      <c r="J134" s="2" t="s">
        <v>1878</v>
      </c>
      <c r="K134" s="2" t="n">
        <v>2</v>
      </c>
      <c r="L134" s="2" t="n">
        <v>714</v>
      </c>
      <c r="M134" s="2" t="n">
        <v>614</v>
      </c>
      <c r="N134" s="2" t="n">
        <v>503</v>
      </c>
      <c r="O134" s="2" t="n">
        <v>100</v>
      </c>
      <c r="P134" s="2" t="n">
        <v>0</v>
      </c>
      <c r="Q134" s="2" t="n">
        <v>0</v>
      </c>
      <c r="R134" s="2" t="n">
        <v>0</v>
      </c>
      <c r="S134" s="2" t="n">
        <v>2</v>
      </c>
      <c r="T134" s="2" t="n">
        <v>2</v>
      </c>
      <c r="U134" s="2" t="n">
        <v>0</v>
      </c>
      <c r="V134" s="2" t="n">
        <v>0</v>
      </c>
      <c r="W134" s="2" t="n">
        <v>0</v>
      </c>
      <c r="X134" s="2" t="n">
        <v>0</v>
      </c>
      <c r="Y134" s="2" t="n">
        <v>0</v>
      </c>
      <c r="Z134" s="2" t="n">
        <v>0</v>
      </c>
      <c r="AA134" s="2" t="n">
        <v>0</v>
      </c>
      <c r="AB134" s="2" t="n">
        <v>2</v>
      </c>
      <c r="AC134" s="2"/>
    </row>
    <row r="135" customFormat="false" ht="15" hidden="false" customHeight="false" outlineLevel="0" collapsed="false">
      <c r="A135" s="2" t="n">
        <v>14</v>
      </c>
      <c r="B135" s="2" t="s">
        <v>251</v>
      </c>
      <c r="C135" s="2" t="s">
        <v>258</v>
      </c>
      <c r="D135" s="2" t="s">
        <v>1879</v>
      </c>
      <c r="E135" s="2" t="s">
        <v>1395</v>
      </c>
      <c r="F135" s="2" t="s">
        <v>1419</v>
      </c>
      <c r="G135" s="2" t="s">
        <v>1880</v>
      </c>
      <c r="H135" s="2" t="s">
        <v>1881</v>
      </c>
      <c r="I135" s="2" t="s">
        <v>1647</v>
      </c>
      <c r="J135" s="2" t="s">
        <v>1882</v>
      </c>
      <c r="K135" s="2" t="n">
        <v>2</v>
      </c>
      <c r="L135" s="2" t="n">
        <v>569</v>
      </c>
      <c r="M135" s="2" t="n">
        <v>456</v>
      </c>
      <c r="N135" s="2" t="n">
        <v>346</v>
      </c>
      <c r="O135" s="2" t="n">
        <v>113</v>
      </c>
      <c r="P135" s="2" t="n">
        <v>0</v>
      </c>
      <c r="Q135" s="2" t="n">
        <v>0</v>
      </c>
      <c r="R135" s="2" t="n">
        <v>0</v>
      </c>
      <c r="S135" s="2" t="n">
        <v>2</v>
      </c>
      <c r="T135" s="2" t="n">
        <v>2</v>
      </c>
      <c r="U135" s="2" t="n">
        <v>0</v>
      </c>
      <c r="V135" s="2" t="n">
        <v>0</v>
      </c>
      <c r="W135" s="2" t="n">
        <v>0</v>
      </c>
      <c r="X135" s="2" t="n">
        <v>0</v>
      </c>
      <c r="Y135" s="2" t="n">
        <v>1</v>
      </c>
      <c r="Z135" s="2" t="n">
        <v>0</v>
      </c>
      <c r="AA135" s="2" t="n">
        <v>0</v>
      </c>
      <c r="AB135" s="2" t="n">
        <v>1</v>
      </c>
      <c r="AC135" s="2"/>
    </row>
    <row r="136" customFormat="false" ht="15" hidden="false" customHeight="false" outlineLevel="0" collapsed="false">
      <c r="A136" s="2" t="n">
        <v>14</v>
      </c>
      <c r="B136" s="2" t="s">
        <v>251</v>
      </c>
      <c r="C136" s="2" t="s">
        <v>258</v>
      </c>
      <c r="D136" s="2" t="s">
        <v>1883</v>
      </c>
      <c r="E136" s="2" t="s">
        <v>1395</v>
      </c>
      <c r="F136" s="2" t="s">
        <v>1419</v>
      </c>
      <c r="G136" s="2" t="s">
        <v>1880</v>
      </c>
      <c r="H136" s="2" t="s">
        <v>1884</v>
      </c>
      <c r="I136" s="2" t="s">
        <v>1647</v>
      </c>
      <c r="J136" s="2" t="s">
        <v>1885</v>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row>
    <row r="137" customFormat="false" ht="15" hidden="false" customHeight="false" outlineLevel="0" collapsed="false">
      <c r="A137" s="2" t="n">
        <v>14</v>
      </c>
      <c r="B137" s="2" t="s">
        <v>251</v>
      </c>
      <c r="C137" s="2" t="s">
        <v>258</v>
      </c>
      <c r="D137" s="2" t="s">
        <v>1886</v>
      </c>
      <c r="E137" s="2" t="s">
        <v>1395</v>
      </c>
      <c r="F137" s="2" t="s">
        <v>1419</v>
      </c>
      <c r="G137" s="2" t="s">
        <v>1887</v>
      </c>
      <c r="H137" s="2" t="s">
        <v>1888</v>
      </c>
      <c r="I137" s="2" t="s">
        <v>1647</v>
      </c>
      <c r="J137" s="2" t="s">
        <v>1889</v>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row>
    <row r="138" customFormat="false" ht="15" hidden="false" customHeight="false" outlineLevel="0" collapsed="false">
      <c r="A138" s="2" t="n">
        <v>14</v>
      </c>
      <c r="B138" s="2" t="s">
        <v>251</v>
      </c>
      <c r="C138" s="2" t="s">
        <v>258</v>
      </c>
      <c r="D138" s="2" t="s">
        <v>1890</v>
      </c>
      <c r="E138" s="2" t="s">
        <v>1395</v>
      </c>
      <c r="F138" s="2" t="s">
        <v>1419</v>
      </c>
      <c r="G138" s="2" t="s">
        <v>1891</v>
      </c>
      <c r="H138" s="2" t="s">
        <v>1892</v>
      </c>
      <c r="I138" s="2" t="s">
        <v>1647</v>
      </c>
      <c r="J138" s="2" t="s">
        <v>1893</v>
      </c>
      <c r="K138" s="2" t="n">
        <v>2</v>
      </c>
      <c r="L138" s="2" t="n">
        <v>652</v>
      </c>
      <c r="M138" s="2" t="n">
        <v>548</v>
      </c>
      <c r="N138" s="2" t="n">
        <v>434</v>
      </c>
      <c r="O138" s="2" t="n">
        <v>104</v>
      </c>
      <c r="P138" s="2" t="n">
        <v>0</v>
      </c>
      <c r="Q138" s="2" t="n">
        <v>0</v>
      </c>
      <c r="R138" s="2" t="n">
        <v>0</v>
      </c>
      <c r="S138" s="2" t="n">
        <v>1</v>
      </c>
      <c r="T138" s="2" t="n">
        <v>1</v>
      </c>
      <c r="U138" s="2" t="n">
        <v>0</v>
      </c>
      <c r="V138" s="2" t="n">
        <v>0</v>
      </c>
      <c r="W138" s="2" t="n">
        <v>0</v>
      </c>
      <c r="X138" s="2" t="n">
        <v>0</v>
      </c>
      <c r="Y138" s="2" t="n">
        <v>0</v>
      </c>
      <c r="Z138" s="2" t="n">
        <v>0</v>
      </c>
      <c r="AA138" s="2" t="n">
        <v>0</v>
      </c>
      <c r="AB138" s="2" t="n">
        <v>1</v>
      </c>
      <c r="AC138" s="2"/>
    </row>
    <row r="139" customFormat="false" ht="15" hidden="false" customHeight="false" outlineLevel="0" collapsed="false">
      <c r="A139" s="2" t="n">
        <v>14</v>
      </c>
      <c r="B139" s="2" t="s">
        <v>251</v>
      </c>
      <c r="C139" s="2" t="s">
        <v>258</v>
      </c>
      <c r="D139" s="2" t="s">
        <v>1894</v>
      </c>
      <c r="E139" s="2" t="s">
        <v>1395</v>
      </c>
      <c r="F139" s="2" t="s">
        <v>1419</v>
      </c>
      <c r="G139" s="2" t="s">
        <v>1895</v>
      </c>
      <c r="H139" s="2" t="s">
        <v>1896</v>
      </c>
      <c r="I139" s="2" t="s">
        <v>1647</v>
      </c>
      <c r="J139" s="2" t="s">
        <v>1897</v>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row>
    <row r="140" customFormat="false" ht="15" hidden="false" customHeight="false" outlineLevel="0" collapsed="false">
      <c r="A140" s="2" t="n">
        <v>14</v>
      </c>
      <c r="B140" s="2" t="s">
        <v>251</v>
      </c>
      <c r="C140" s="2" t="s">
        <v>258</v>
      </c>
      <c r="D140" s="2" t="s">
        <v>1898</v>
      </c>
      <c r="E140" s="2" t="s">
        <v>1395</v>
      </c>
      <c r="F140" s="2" t="s">
        <v>1419</v>
      </c>
      <c r="G140" s="2" t="s">
        <v>1895</v>
      </c>
      <c r="H140" s="2" t="s">
        <v>1899</v>
      </c>
      <c r="I140" s="2" t="s">
        <v>1647</v>
      </c>
      <c r="J140" s="2" t="s">
        <v>1900</v>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row>
    <row r="141" customFormat="false" ht="15" hidden="false" customHeight="false" outlineLevel="0" collapsed="false">
      <c r="A141" s="2" t="n">
        <v>14</v>
      </c>
      <c r="B141" s="2" t="s">
        <v>251</v>
      </c>
      <c r="C141" s="2" t="s">
        <v>258</v>
      </c>
      <c r="D141" s="2" t="s">
        <v>1901</v>
      </c>
      <c r="E141" s="2" t="s">
        <v>1395</v>
      </c>
      <c r="F141" s="2" t="s">
        <v>1419</v>
      </c>
      <c r="G141" s="2" t="s">
        <v>1902</v>
      </c>
      <c r="H141" s="2" t="s">
        <v>1903</v>
      </c>
      <c r="I141" s="2" t="s">
        <v>1647</v>
      </c>
      <c r="J141" s="2" t="s">
        <v>1904</v>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row>
    <row r="142" customFormat="false" ht="15" hidden="false" customHeight="false" outlineLevel="0" collapsed="false">
      <c r="A142" s="2" t="n">
        <v>14</v>
      </c>
      <c r="B142" s="2" t="s">
        <v>251</v>
      </c>
      <c r="C142" s="2" t="s">
        <v>258</v>
      </c>
      <c r="D142" s="2" t="s">
        <v>1905</v>
      </c>
      <c r="E142" s="2" t="s">
        <v>1395</v>
      </c>
      <c r="F142" s="2" t="s">
        <v>1419</v>
      </c>
      <c r="G142" s="2" t="s">
        <v>1906</v>
      </c>
      <c r="H142" s="2" t="s">
        <v>1907</v>
      </c>
      <c r="I142" s="2" t="s">
        <v>1647</v>
      </c>
      <c r="J142" s="2" t="s">
        <v>1908</v>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0</v>
      </c>
      <c r="AA142" s="2" t="n">
        <v>0</v>
      </c>
      <c r="AB142" s="2" t="n">
        <v>2</v>
      </c>
      <c r="AC142" s="2"/>
    </row>
    <row r="143" customFormat="false" ht="15" hidden="false" customHeight="false" outlineLevel="0" collapsed="false">
      <c r="A143" s="2" t="n">
        <v>14</v>
      </c>
      <c r="B143" s="2" t="s">
        <v>251</v>
      </c>
      <c r="C143" s="2" t="s">
        <v>258</v>
      </c>
      <c r="D143" s="2" t="s">
        <v>1909</v>
      </c>
      <c r="E143" s="2" t="s">
        <v>1395</v>
      </c>
      <c r="F143" s="2" t="s">
        <v>1419</v>
      </c>
      <c r="G143" s="2" t="s">
        <v>1910</v>
      </c>
      <c r="H143" s="2" t="s">
        <v>1911</v>
      </c>
      <c r="I143" s="2" t="s">
        <v>1647</v>
      </c>
      <c r="J143" s="2" t="s">
        <v>1912</v>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row>
    <row r="144" customFormat="false" ht="15" hidden="false" customHeight="false" outlineLevel="0" collapsed="false">
      <c r="A144" s="2" t="n">
        <v>14</v>
      </c>
      <c r="B144" s="2" t="s">
        <v>251</v>
      </c>
      <c r="C144" s="2" t="s">
        <v>258</v>
      </c>
      <c r="D144" s="2" t="s">
        <v>1913</v>
      </c>
      <c r="E144" s="2" t="s">
        <v>1395</v>
      </c>
      <c r="F144" s="2" t="s">
        <v>1419</v>
      </c>
      <c r="G144" s="2" t="s">
        <v>1910</v>
      </c>
      <c r="H144" s="2" t="s">
        <v>1914</v>
      </c>
      <c r="I144" s="2" t="s">
        <v>1647</v>
      </c>
      <c r="J144" s="2" t="s">
        <v>1915</v>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4</v>
      </c>
      <c r="Z144" s="2" t="n">
        <v>0</v>
      </c>
      <c r="AA144" s="2" t="n">
        <v>0</v>
      </c>
      <c r="AB144" s="2" t="n">
        <v>4</v>
      </c>
      <c r="AC144" s="2"/>
    </row>
    <row r="145" customFormat="false" ht="15" hidden="false" customHeight="false" outlineLevel="0" collapsed="false">
      <c r="A145" s="2" t="n">
        <v>14</v>
      </c>
      <c r="B145" s="2" t="s">
        <v>251</v>
      </c>
      <c r="C145" s="2" t="s">
        <v>258</v>
      </c>
      <c r="D145" s="2" t="s">
        <v>1916</v>
      </c>
      <c r="E145" s="2" t="s">
        <v>1395</v>
      </c>
      <c r="F145" s="2" t="s">
        <v>1419</v>
      </c>
      <c r="G145" s="2" t="s">
        <v>1917</v>
      </c>
      <c r="H145" s="2" t="s">
        <v>1918</v>
      </c>
      <c r="I145" s="2" t="s">
        <v>1647</v>
      </c>
      <c r="J145" s="2" t="s">
        <v>1919</v>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row>
    <row r="146" customFormat="false" ht="15" hidden="false" customHeight="false" outlineLevel="0" collapsed="false">
      <c r="A146" s="2" t="n">
        <v>14</v>
      </c>
      <c r="B146" s="2" t="s">
        <v>251</v>
      </c>
      <c r="C146" s="2" t="s">
        <v>258</v>
      </c>
      <c r="D146" s="2" t="s">
        <v>1920</v>
      </c>
      <c r="E146" s="2" t="s">
        <v>1395</v>
      </c>
      <c r="F146" s="2" t="s">
        <v>1419</v>
      </c>
      <c r="G146" s="2" t="s">
        <v>1917</v>
      </c>
      <c r="H146" s="2" t="s">
        <v>1921</v>
      </c>
      <c r="I146" s="2" t="s">
        <v>1647</v>
      </c>
      <c r="J146" s="2" t="s">
        <v>1922</v>
      </c>
      <c r="K146" s="2" t="n">
        <v>2</v>
      </c>
      <c r="L146" s="2" t="n">
        <v>694</v>
      </c>
      <c r="M146" s="2" t="n">
        <v>586</v>
      </c>
      <c r="N146" s="2" t="n">
        <v>468</v>
      </c>
      <c r="O146" s="2" t="n">
        <v>108</v>
      </c>
      <c r="P146" s="2" t="n">
        <v>0</v>
      </c>
      <c r="Q146" s="2" t="n">
        <v>0</v>
      </c>
      <c r="R146" s="2" t="n">
        <v>0</v>
      </c>
      <c r="S146" s="2" t="n">
        <v>1</v>
      </c>
      <c r="T146" s="2" t="n">
        <v>1</v>
      </c>
      <c r="U146" s="2" t="n">
        <v>0</v>
      </c>
      <c r="V146" s="2" t="n">
        <v>0</v>
      </c>
      <c r="W146" s="2" t="n">
        <v>0</v>
      </c>
      <c r="X146" s="2" t="n">
        <v>0</v>
      </c>
      <c r="Y146" s="2" t="n">
        <v>0</v>
      </c>
      <c r="Z146" s="2" t="n">
        <v>0</v>
      </c>
      <c r="AA146" s="2" t="n">
        <v>0</v>
      </c>
      <c r="AB146" s="2" t="n">
        <v>1</v>
      </c>
      <c r="AC146" s="2"/>
    </row>
    <row r="147" customFormat="false" ht="15" hidden="false" customHeight="false" outlineLevel="0" collapsed="false">
      <c r="A147" s="2" t="n">
        <v>14</v>
      </c>
      <c r="B147" s="2" t="s">
        <v>251</v>
      </c>
      <c r="C147" s="2" t="s">
        <v>258</v>
      </c>
      <c r="D147" s="2" t="s">
        <v>1923</v>
      </c>
      <c r="E147" s="2" t="s">
        <v>1395</v>
      </c>
      <c r="F147" s="2" t="s">
        <v>1419</v>
      </c>
      <c r="G147" s="2" t="s">
        <v>1917</v>
      </c>
      <c r="H147" s="2" t="s">
        <v>1924</v>
      </c>
      <c r="I147" s="2" t="s">
        <v>1647</v>
      </c>
      <c r="J147" s="2" t="s">
        <v>1925</v>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row>
    <row r="148" customFormat="false" ht="15" hidden="false" customHeight="false" outlineLevel="0" collapsed="false">
      <c r="A148" s="2" t="n">
        <v>14</v>
      </c>
      <c r="B148" s="2" t="s">
        <v>251</v>
      </c>
      <c r="C148" s="2" t="s">
        <v>258</v>
      </c>
      <c r="D148" s="2" t="s">
        <v>1926</v>
      </c>
      <c r="E148" s="2" t="s">
        <v>1395</v>
      </c>
      <c r="F148" s="2" t="s">
        <v>1419</v>
      </c>
      <c r="G148" s="2" t="s">
        <v>1917</v>
      </c>
      <c r="H148" s="2" t="s">
        <v>1927</v>
      </c>
      <c r="I148" s="2" t="s">
        <v>1647</v>
      </c>
      <c r="J148" s="2" t="s">
        <v>1928</v>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row>
    <row r="149" customFormat="false" ht="15" hidden="false" customHeight="false" outlineLevel="0" collapsed="false">
      <c r="A149" s="2" t="n">
        <v>14</v>
      </c>
      <c r="B149" s="2" t="s">
        <v>251</v>
      </c>
      <c r="C149" s="2" t="s">
        <v>258</v>
      </c>
      <c r="D149" s="2" t="s">
        <v>1929</v>
      </c>
      <c r="E149" s="2" t="s">
        <v>1395</v>
      </c>
      <c r="F149" s="2" t="s">
        <v>1419</v>
      </c>
      <c r="G149" s="2" t="s">
        <v>1930</v>
      </c>
      <c r="H149" s="2" t="s">
        <v>1931</v>
      </c>
      <c r="I149" s="2" t="s">
        <v>1647</v>
      </c>
      <c r="J149" s="2" t="s">
        <v>1932</v>
      </c>
      <c r="K149" s="2" t="n">
        <v>2</v>
      </c>
      <c r="L149" s="2" t="n">
        <v>773</v>
      </c>
      <c r="M149" s="2" t="n">
        <v>634</v>
      </c>
      <c r="N149" s="2" t="n">
        <v>524</v>
      </c>
      <c r="O149" s="2" t="n">
        <v>139</v>
      </c>
      <c r="P149" s="2" t="n">
        <v>0</v>
      </c>
      <c r="Q149" s="2" t="n">
        <v>0</v>
      </c>
      <c r="R149" s="2" t="n">
        <v>0</v>
      </c>
      <c r="S149" s="2" t="n">
        <v>2</v>
      </c>
      <c r="T149" s="2" t="n">
        <v>2</v>
      </c>
      <c r="U149" s="2" t="n">
        <v>0</v>
      </c>
      <c r="V149" s="2" t="n">
        <v>0</v>
      </c>
      <c r="W149" s="2" t="n">
        <v>0</v>
      </c>
      <c r="X149" s="2" t="n">
        <v>0</v>
      </c>
      <c r="Y149" s="2" t="n">
        <v>0</v>
      </c>
      <c r="Z149" s="2" t="n">
        <v>0</v>
      </c>
      <c r="AA149" s="2" t="n">
        <v>0</v>
      </c>
      <c r="AB149" s="2" t="n">
        <v>2</v>
      </c>
      <c r="AC149" s="2"/>
    </row>
    <row r="150" customFormat="false" ht="15" hidden="false" customHeight="false" outlineLevel="0" collapsed="false">
      <c r="A150" s="2" t="n">
        <v>14</v>
      </c>
      <c r="B150" s="2" t="s">
        <v>251</v>
      </c>
      <c r="C150" s="2" t="s">
        <v>258</v>
      </c>
      <c r="D150" s="2" t="s">
        <v>1933</v>
      </c>
      <c r="E150" s="2" t="s">
        <v>1395</v>
      </c>
      <c r="F150" s="2" t="s">
        <v>1419</v>
      </c>
      <c r="G150" s="2" t="s">
        <v>1930</v>
      </c>
      <c r="H150" s="2" t="s">
        <v>1934</v>
      </c>
      <c r="I150" s="2" t="s">
        <v>1647</v>
      </c>
      <c r="J150" s="2" t="s">
        <v>1935</v>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row>
    <row r="151" customFormat="false" ht="15" hidden="false" customHeight="false" outlineLevel="0" collapsed="false">
      <c r="A151" s="2" t="n">
        <v>14</v>
      </c>
      <c r="B151" s="2" t="s">
        <v>251</v>
      </c>
      <c r="C151" s="2" t="s">
        <v>258</v>
      </c>
      <c r="D151" s="2" t="s">
        <v>1936</v>
      </c>
      <c r="E151" s="2" t="s">
        <v>1395</v>
      </c>
      <c r="F151" s="2" t="s">
        <v>1396</v>
      </c>
      <c r="G151" s="2" t="s">
        <v>1937</v>
      </c>
      <c r="H151" s="2" t="s">
        <v>1938</v>
      </c>
      <c r="I151" s="2" t="s">
        <v>1374</v>
      </c>
      <c r="J151" s="2" t="s">
        <v>1939</v>
      </c>
      <c r="K151" s="2" t="n">
        <v>2</v>
      </c>
      <c r="L151" s="2" t="n">
        <v>814</v>
      </c>
      <c r="M151" s="2" t="n">
        <v>313</v>
      </c>
      <c r="N151" s="2" t="n">
        <v>212</v>
      </c>
      <c r="O151" s="2" t="n">
        <v>501</v>
      </c>
      <c r="P151" s="2" t="n">
        <v>0</v>
      </c>
      <c r="Q151" s="2" t="n">
        <v>0</v>
      </c>
      <c r="R151" s="2" t="n">
        <v>0</v>
      </c>
      <c r="S151" s="2" t="n">
        <v>1</v>
      </c>
      <c r="T151" s="2" t="n">
        <v>1</v>
      </c>
      <c r="U151" s="2" t="n">
        <v>0</v>
      </c>
      <c r="V151" s="2" t="n">
        <v>0</v>
      </c>
      <c r="W151" s="2" t="n">
        <v>0</v>
      </c>
      <c r="X151" s="2" t="n">
        <v>0</v>
      </c>
      <c r="Y151" s="2" t="n">
        <v>0</v>
      </c>
      <c r="Z151" s="2" t="n">
        <v>0</v>
      </c>
      <c r="AA151" s="2" t="n">
        <v>0</v>
      </c>
      <c r="AB151" s="2" t="n">
        <v>1</v>
      </c>
      <c r="AC151" s="2"/>
    </row>
    <row r="152" customFormat="false" ht="15" hidden="false" customHeight="false" outlineLevel="0" collapsed="false">
      <c r="A152" s="2" t="n">
        <v>14</v>
      </c>
      <c r="B152" s="2" t="s">
        <v>251</v>
      </c>
      <c r="C152" s="2" t="s">
        <v>258</v>
      </c>
      <c r="D152" s="2" t="s">
        <v>1940</v>
      </c>
      <c r="E152" s="2" t="s">
        <v>1395</v>
      </c>
      <c r="F152" s="2" t="s">
        <v>1419</v>
      </c>
      <c r="G152" s="2" t="s">
        <v>1941</v>
      </c>
      <c r="H152" s="2" t="s">
        <v>1942</v>
      </c>
      <c r="I152" s="2" t="s">
        <v>1647</v>
      </c>
      <c r="J152" s="2" t="s">
        <v>1943</v>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row>
    <row r="153" customFormat="false" ht="15" hidden="false" customHeight="false" outlineLevel="0" collapsed="false">
      <c r="A153" s="2" t="n">
        <v>14</v>
      </c>
      <c r="B153" s="2" t="s">
        <v>251</v>
      </c>
      <c r="C153" s="2" t="s">
        <v>258</v>
      </c>
      <c r="D153" s="2" t="s">
        <v>1944</v>
      </c>
      <c r="E153" s="2" t="s">
        <v>1395</v>
      </c>
      <c r="F153" s="2" t="s">
        <v>1419</v>
      </c>
      <c r="G153" s="2" t="s">
        <v>1945</v>
      </c>
      <c r="H153" s="2" t="s">
        <v>1946</v>
      </c>
      <c r="I153" s="2" t="s">
        <v>1647</v>
      </c>
      <c r="J153" s="2" t="s">
        <v>1947</v>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row>
    <row r="154" customFormat="false" ht="15" hidden="false" customHeight="false" outlineLevel="0" collapsed="false">
      <c r="A154" s="2" t="n">
        <v>14</v>
      </c>
      <c r="B154" s="2" t="s">
        <v>251</v>
      </c>
      <c r="C154" s="2" t="s">
        <v>258</v>
      </c>
      <c r="D154" s="2" t="s">
        <v>1948</v>
      </c>
      <c r="E154" s="2" t="s">
        <v>1395</v>
      </c>
      <c r="F154" s="2" t="s">
        <v>1419</v>
      </c>
      <c r="G154" s="2" t="s">
        <v>1949</v>
      </c>
      <c r="H154" s="2" t="s">
        <v>1950</v>
      </c>
      <c r="I154" s="2" t="s">
        <v>1647</v>
      </c>
      <c r="J154" s="2" t="s">
        <v>1951</v>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row>
    <row r="155" customFormat="false" ht="15" hidden="false" customHeight="false" outlineLevel="0" collapsed="false">
      <c r="A155" s="2" t="n">
        <v>14</v>
      </c>
      <c r="B155" s="2" t="s">
        <v>251</v>
      </c>
      <c r="C155" s="2" t="s">
        <v>258</v>
      </c>
      <c r="D155" s="2" t="s">
        <v>1952</v>
      </c>
      <c r="E155" s="2" t="s">
        <v>1395</v>
      </c>
      <c r="F155" s="2" t="s">
        <v>1419</v>
      </c>
      <c r="G155" s="2" t="s">
        <v>1953</v>
      </c>
      <c r="H155" s="2" t="s">
        <v>1954</v>
      </c>
      <c r="I155" s="2" t="s">
        <v>1647</v>
      </c>
      <c r="J155" s="2" t="s">
        <v>1955</v>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0</v>
      </c>
      <c r="Z155" s="2" t="n">
        <v>0</v>
      </c>
      <c r="AA155" s="2" t="n">
        <v>1</v>
      </c>
      <c r="AB155" s="2" t="n">
        <v>2</v>
      </c>
      <c r="AC155" s="2"/>
    </row>
    <row r="156" customFormat="false" ht="15" hidden="false" customHeight="false" outlineLevel="0" collapsed="false">
      <c r="A156" s="2" t="n">
        <v>14</v>
      </c>
      <c r="B156" s="2" t="s">
        <v>251</v>
      </c>
      <c r="C156" s="2" t="s">
        <v>258</v>
      </c>
      <c r="D156" s="2" t="s">
        <v>1956</v>
      </c>
      <c r="E156" s="2" t="s">
        <v>1395</v>
      </c>
      <c r="F156" s="2" t="s">
        <v>1419</v>
      </c>
      <c r="G156" s="2" t="s">
        <v>1953</v>
      </c>
      <c r="H156" s="2" t="s">
        <v>1957</v>
      </c>
      <c r="I156" s="2" t="s">
        <v>1647</v>
      </c>
      <c r="J156" s="2" t="s">
        <v>1958</v>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row>
    <row r="157" customFormat="false" ht="15" hidden="false" customHeight="false" outlineLevel="0" collapsed="false">
      <c r="A157" s="2" t="n">
        <v>14</v>
      </c>
      <c r="B157" s="2" t="s">
        <v>251</v>
      </c>
      <c r="C157" s="2" t="s">
        <v>258</v>
      </c>
      <c r="D157" s="2" t="s">
        <v>1959</v>
      </c>
      <c r="E157" s="2" t="s">
        <v>1395</v>
      </c>
      <c r="F157" s="2" t="s">
        <v>1419</v>
      </c>
      <c r="G157" s="2" t="s">
        <v>1960</v>
      </c>
      <c r="H157" s="2" t="s">
        <v>1961</v>
      </c>
      <c r="I157" s="2" t="s">
        <v>1647</v>
      </c>
      <c r="J157" s="2" t="s">
        <v>1962</v>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0</v>
      </c>
      <c r="AA157" s="2" t="n">
        <v>0</v>
      </c>
      <c r="AB157" s="2" t="n">
        <v>3</v>
      </c>
      <c r="AC157" s="2"/>
    </row>
    <row r="158" customFormat="false" ht="15" hidden="false" customHeight="false" outlineLevel="0" collapsed="false">
      <c r="A158" s="2" t="n">
        <v>14</v>
      </c>
      <c r="B158" s="2" t="s">
        <v>251</v>
      </c>
      <c r="C158" s="2" t="s">
        <v>258</v>
      </c>
      <c r="D158" s="2" t="s">
        <v>1963</v>
      </c>
      <c r="E158" s="2" t="s">
        <v>1395</v>
      </c>
      <c r="F158" s="2" t="s">
        <v>1419</v>
      </c>
      <c r="G158" s="2" t="s">
        <v>1964</v>
      </c>
      <c r="H158" s="2" t="s">
        <v>1965</v>
      </c>
      <c r="I158" s="2" t="s">
        <v>1647</v>
      </c>
      <c r="J158" s="2" t="s">
        <v>1966</v>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row>
    <row r="159" customFormat="false" ht="15" hidden="false" customHeight="false" outlineLevel="0" collapsed="false">
      <c r="A159" s="2" t="n">
        <v>14</v>
      </c>
      <c r="B159" s="2" t="s">
        <v>251</v>
      </c>
      <c r="C159" s="2" t="s">
        <v>258</v>
      </c>
      <c r="D159" s="2" t="s">
        <v>1967</v>
      </c>
      <c r="E159" s="2" t="s">
        <v>1395</v>
      </c>
      <c r="F159" s="2" t="s">
        <v>1419</v>
      </c>
      <c r="G159" s="2" t="s">
        <v>1968</v>
      </c>
      <c r="H159" s="2" t="s">
        <v>1969</v>
      </c>
      <c r="I159" s="2" t="s">
        <v>1647</v>
      </c>
      <c r="J159" s="2" t="s">
        <v>1970</v>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row>
    <row r="160" customFormat="false" ht="15" hidden="false" customHeight="false" outlineLevel="0" collapsed="false">
      <c r="A160" s="2" t="n">
        <v>14</v>
      </c>
      <c r="B160" s="2" t="s">
        <v>251</v>
      </c>
      <c r="C160" s="2" t="s">
        <v>258</v>
      </c>
      <c r="D160" s="2" t="s">
        <v>1971</v>
      </c>
      <c r="E160" s="2" t="s">
        <v>1395</v>
      </c>
      <c r="F160" s="2" t="s">
        <v>1419</v>
      </c>
      <c r="G160" s="2" t="s">
        <v>521</v>
      </c>
      <c r="H160" s="2" t="s">
        <v>1972</v>
      </c>
      <c r="I160" s="2" t="s">
        <v>1647</v>
      </c>
      <c r="J160" s="2" t="s">
        <v>1973</v>
      </c>
      <c r="K160" s="2" t="n">
        <v>2</v>
      </c>
      <c r="L160" s="2" t="n">
        <v>830</v>
      </c>
      <c r="M160" s="2" t="n">
        <v>636</v>
      </c>
      <c r="N160" s="2" t="n">
        <v>518</v>
      </c>
      <c r="O160" s="2" t="n">
        <v>194</v>
      </c>
      <c r="P160" s="2" t="n">
        <v>0</v>
      </c>
      <c r="Q160" s="2" t="n">
        <v>0</v>
      </c>
      <c r="R160" s="2" t="n">
        <v>0</v>
      </c>
      <c r="S160" s="2" t="n">
        <v>2</v>
      </c>
      <c r="T160" s="2" t="n">
        <v>2</v>
      </c>
      <c r="U160" s="2" t="n">
        <v>0</v>
      </c>
      <c r="V160" s="2" t="n">
        <v>0</v>
      </c>
      <c r="W160" s="2" t="n">
        <v>0</v>
      </c>
      <c r="X160" s="2" t="n">
        <v>0</v>
      </c>
      <c r="Y160" s="2" t="n">
        <v>0</v>
      </c>
      <c r="Z160" s="2" t="n">
        <v>0</v>
      </c>
      <c r="AA160" s="2" t="n">
        <v>0</v>
      </c>
      <c r="AB160" s="2" t="n">
        <v>2</v>
      </c>
      <c r="AC160" s="2"/>
    </row>
    <row r="161" customFormat="false" ht="15" hidden="false" customHeight="false" outlineLevel="0" collapsed="false">
      <c r="A161" s="2" t="n">
        <v>14</v>
      </c>
      <c r="B161" s="2" t="s">
        <v>251</v>
      </c>
      <c r="C161" s="2" t="s">
        <v>258</v>
      </c>
      <c r="D161" s="2" t="s">
        <v>1974</v>
      </c>
      <c r="E161" s="2" t="s">
        <v>1395</v>
      </c>
      <c r="F161" s="2" t="s">
        <v>1419</v>
      </c>
      <c r="G161" s="2" t="s">
        <v>521</v>
      </c>
      <c r="H161" s="2" t="s">
        <v>1975</v>
      </c>
      <c r="I161" s="2" t="s">
        <v>1647</v>
      </c>
      <c r="J161" s="2" t="s">
        <v>1976</v>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row>
    <row r="162" customFormat="false" ht="15" hidden="false" customHeight="false" outlineLevel="0" collapsed="false">
      <c r="A162" s="2" t="n">
        <v>14</v>
      </c>
      <c r="B162" s="2" t="s">
        <v>251</v>
      </c>
      <c r="C162" s="2" t="s">
        <v>258</v>
      </c>
      <c r="D162" s="2" t="s">
        <v>1977</v>
      </c>
      <c r="E162" s="2" t="s">
        <v>1395</v>
      </c>
      <c r="F162" s="2" t="s">
        <v>1419</v>
      </c>
      <c r="G162" s="2" t="s">
        <v>521</v>
      </c>
      <c r="H162" s="2" t="s">
        <v>1978</v>
      </c>
      <c r="I162" s="2" t="s">
        <v>1647</v>
      </c>
      <c r="J162" s="2" t="s">
        <v>1979</v>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row>
    <row r="163" customFormat="false" ht="15" hidden="false" customHeight="false" outlineLevel="0" collapsed="false">
      <c r="A163" s="2" t="n">
        <v>14</v>
      </c>
      <c r="B163" s="2" t="s">
        <v>251</v>
      </c>
      <c r="C163" s="2" t="s">
        <v>258</v>
      </c>
      <c r="D163" s="2" t="s">
        <v>1980</v>
      </c>
      <c r="E163" s="2" t="s">
        <v>1395</v>
      </c>
      <c r="F163" s="2" t="s">
        <v>1419</v>
      </c>
      <c r="G163" s="2" t="s">
        <v>521</v>
      </c>
      <c r="H163" s="2" t="s">
        <v>1981</v>
      </c>
      <c r="I163" s="2" t="s">
        <v>1647</v>
      </c>
      <c r="J163" s="2" t="s">
        <v>1982</v>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0</v>
      </c>
      <c r="AA163" s="2" t="n">
        <v>1</v>
      </c>
      <c r="AB163" s="2" t="n">
        <v>2</v>
      </c>
      <c r="AC163" s="2"/>
    </row>
    <row r="164" customFormat="false" ht="15" hidden="false" customHeight="false" outlineLevel="0" collapsed="false">
      <c r="A164" s="2" t="n">
        <v>14</v>
      </c>
      <c r="B164" s="2" t="s">
        <v>251</v>
      </c>
      <c r="C164" s="2" t="s">
        <v>258</v>
      </c>
      <c r="D164" s="2" t="s">
        <v>1983</v>
      </c>
      <c r="E164" s="2" t="s">
        <v>1395</v>
      </c>
      <c r="F164" s="2" t="s">
        <v>1419</v>
      </c>
      <c r="G164" s="2" t="s">
        <v>1984</v>
      </c>
      <c r="H164" s="2" t="s">
        <v>1985</v>
      </c>
      <c r="I164" s="2" t="s">
        <v>1647</v>
      </c>
      <c r="J164" s="2" t="s">
        <v>1986</v>
      </c>
      <c r="K164" s="2" t="n">
        <v>2</v>
      </c>
      <c r="L164" s="2" t="n">
        <v>621</v>
      </c>
      <c r="M164" s="2" t="n">
        <v>527</v>
      </c>
      <c r="N164" s="2" t="n">
        <v>416</v>
      </c>
      <c r="O164" s="2" t="n">
        <v>94</v>
      </c>
      <c r="P164" s="2" t="n">
        <v>0</v>
      </c>
      <c r="Q164" s="2" t="n">
        <v>0</v>
      </c>
      <c r="R164" s="2" t="n">
        <v>0</v>
      </c>
      <c r="S164" s="2" t="n">
        <v>1</v>
      </c>
      <c r="T164" s="2" t="n">
        <v>0</v>
      </c>
      <c r="U164" s="2" t="n">
        <v>0</v>
      </c>
      <c r="V164" s="2" t="n">
        <v>0</v>
      </c>
      <c r="W164" s="2" t="n">
        <v>1</v>
      </c>
      <c r="X164" s="2" t="n">
        <v>0</v>
      </c>
      <c r="Y164" s="2" t="n">
        <v>0</v>
      </c>
      <c r="Z164" s="2" t="n">
        <v>1</v>
      </c>
      <c r="AA164" s="2" t="n">
        <v>0</v>
      </c>
      <c r="AB164" s="2" t="n">
        <v>0</v>
      </c>
      <c r="AC164" s="2"/>
    </row>
    <row r="165" customFormat="false" ht="15" hidden="false" customHeight="false" outlineLevel="0" collapsed="false">
      <c r="A165" s="2" t="n">
        <v>14</v>
      </c>
      <c r="B165" s="2" t="s">
        <v>251</v>
      </c>
      <c r="C165" s="2" t="s">
        <v>258</v>
      </c>
      <c r="D165" s="2" t="s">
        <v>1987</v>
      </c>
      <c r="E165" s="2" t="s">
        <v>1395</v>
      </c>
      <c r="F165" s="2" t="s">
        <v>1419</v>
      </c>
      <c r="G165" s="2" t="s">
        <v>1988</v>
      </c>
      <c r="H165" s="2" t="s">
        <v>1989</v>
      </c>
      <c r="I165" s="2" t="s">
        <v>1647</v>
      </c>
      <c r="J165" s="2" t="s">
        <v>1990</v>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row>
    <row r="166" customFormat="false" ht="15" hidden="false" customHeight="false" outlineLevel="0" collapsed="false">
      <c r="A166" s="2" t="n">
        <v>14</v>
      </c>
      <c r="B166" s="2" t="s">
        <v>251</v>
      </c>
      <c r="C166" s="2" t="s">
        <v>258</v>
      </c>
      <c r="D166" s="2" t="s">
        <v>1991</v>
      </c>
      <c r="E166" s="2" t="s">
        <v>1395</v>
      </c>
      <c r="F166" s="2" t="s">
        <v>1419</v>
      </c>
      <c r="G166" s="2" t="s">
        <v>1988</v>
      </c>
      <c r="H166" s="2" t="s">
        <v>1992</v>
      </c>
      <c r="I166" s="2" t="s">
        <v>1647</v>
      </c>
      <c r="J166" s="2" t="s">
        <v>1993</v>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0</v>
      </c>
      <c r="AA166" s="2" t="n">
        <v>0</v>
      </c>
      <c r="AB166" s="2" t="n">
        <v>3</v>
      </c>
      <c r="AC166" s="2"/>
    </row>
    <row r="167" customFormat="false" ht="15" hidden="false" customHeight="false" outlineLevel="0" collapsed="false">
      <c r="A167" s="2" t="n">
        <v>14</v>
      </c>
      <c r="B167" s="2" t="s">
        <v>251</v>
      </c>
      <c r="C167" s="2" t="s">
        <v>258</v>
      </c>
      <c r="D167" s="2" t="s">
        <v>1994</v>
      </c>
      <c r="E167" s="2" t="s">
        <v>1395</v>
      </c>
      <c r="F167" s="2" t="s">
        <v>1419</v>
      </c>
      <c r="G167" s="2" t="s">
        <v>1988</v>
      </c>
      <c r="H167" s="2" t="s">
        <v>1995</v>
      </c>
      <c r="I167" s="2" t="s">
        <v>1647</v>
      </c>
      <c r="J167" s="2" t="s">
        <v>1996</v>
      </c>
      <c r="K167" s="2" t="n">
        <v>2</v>
      </c>
      <c r="L167" s="2" t="n">
        <v>744</v>
      </c>
      <c r="M167" s="2" t="n">
        <v>633</v>
      </c>
      <c r="N167" s="2" t="n">
        <v>524</v>
      </c>
      <c r="O167" s="2" t="n">
        <v>111</v>
      </c>
      <c r="P167" s="2" t="n">
        <v>0</v>
      </c>
      <c r="Q167" s="2" t="n">
        <v>0</v>
      </c>
      <c r="R167" s="2" t="n">
        <v>0</v>
      </c>
      <c r="S167" s="2" t="n">
        <v>1</v>
      </c>
      <c r="T167" s="2" t="n">
        <v>0</v>
      </c>
      <c r="U167" s="2" t="n">
        <v>0</v>
      </c>
      <c r="V167" s="2" t="n">
        <v>0</v>
      </c>
      <c r="W167" s="2" t="n">
        <v>1</v>
      </c>
      <c r="X167" s="2" t="n">
        <v>0</v>
      </c>
      <c r="Y167" s="2" t="n">
        <v>0</v>
      </c>
      <c r="Z167" s="2" t="n">
        <v>1</v>
      </c>
      <c r="AA167" s="2" t="n">
        <v>0</v>
      </c>
      <c r="AB167" s="2" t="n">
        <v>0</v>
      </c>
      <c r="AC167" s="2"/>
    </row>
    <row r="168" customFormat="false" ht="15" hidden="false" customHeight="false" outlineLevel="0" collapsed="false">
      <c r="A168" s="2" t="n">
        <v>14</v>
      </c>
      <c r="B168" s="2" t="s">
        <v>251</v>
      </c>
      <c r="C168" s="2" t="s">
        <v>258</v>
      </c>
      <c r="D168" s="2" t="s">
        <v>1997</v>
      </c>
      <c r="E168" s="2" t="s">
        <v>1395</v>
      </c>
      <c r="F168" s="2" t="s">
        <v>1419</v>
      </c>
      <c r="G168" s="2" t="s">
        <v>1988</v>
      </c>
      <c r="H168" s="2" t="s">
        <v>1998</v>
      </c>
      <c r="I168" s="2" t="s">
        <v>1647</v>
      </c>
      <c r="J168" s="2" t="s">
        <v>1999</v>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row>
    <row r="169" customFormat="false" ht="15" hidden="false" customHeight="false" outlineLevel="0" collapsed="false">
      <c r="A169" s="2" t="n">
        <v>14</v>
      </c>
      <c r="B169" s="2" t="s">
        <v>251</v>
      </c>
      <c r="C169" s="2" t="s">
        <v>258</v>
      </c>
      <c r="D169" s="2" t="s">
        <v>2000</v>
      </c>
      <c r="E169" s="2" t="s">
        <v>1395</v>
      </c>
      <c r="F169" s="2" t="s">
        <v>1419</v>
      </c>
      <c r="G169" s="2" t="s">
        <v>1988</v>
      </c>
      <c r="H169" s="2" t="s">
        <v>2001</v>
      </c>
      <c r="I169" s="2" t="s">
        <v>1647</v>
      </c>
      <c r="J169" s="2" t="s">
        <v>2002</v>
      </c>
      <c r="K169" s="2" t="n">
        <v>2</v>
      </c>
      <c r="L169" s="2" t="n">
        <v>641</v>
      </c>
      <c r="M169" s="2" t="n">
        <v>532</v>
      </c>
      <c r="N169" s="2" t="n">
        <v>415</v>
      </c>
      <c r="O169" s="2" t="n">
        <v>109</v>
      </c>
      <c r="P169" s="2" t="n">
        <v>0</v>
      </c>
      <c r="Q169" s="2" t="n">
        <v>0</v>
      </c>
      <c r="R169" s="2" t="n">
        <v>0</v>
      </c>
      <c r="S169" s="2" t="n">
        <v>2</v>
      </c>
      <c r="T169" s="2" t="n">
        <v>2</v>
      </c>
      <c r="U169" s="2" t="n">
        <v>0</v>
      </c>
      <c r="V169" s="2" t="n">
        <v>0</v>
      </c>
      <c r="W169" s="2" t="n">
        <v>0</v>
      </c>
      <c r="X169" s="2" t="n">
        <v>0</v>
      </c>
      <c r="Y169" s="2" t="n">
        <v>0</v>
      </c>
      <c r="Z169" s="2" t="n">
        <v>0</v>
      </c>
      <c r="AA169" s="2" t="n">
        <v>1</v>
      </c>
      <c r="AB169" s="2" t="n">
        <v>1</v>
      </c>
      <c r="AC169" s="2"/>
    </row>
    <row r="170" customFormat="false" ht="15" hidden="false" customHeight="false" outlineLevel="0" collapsed="false">
      <c r="A170" s="2" t="n">
        <v>14</v>
      </c>
      <c r="B170" s="2" t="s">
        <v>251</v>
      </c>
      <c r="C170" s="2" t="s">
        <v>258</v>
      </c>
      <c r="D170" s="2" t="s">
        <v>2003</v>
      </c>
      <c r="E170" s="2" t="s">
        <v>1395</v>
      </c>
      <c r="F170" s="2" t="s">
        <v>1396</v>
      </c>
      <c r="G170" s="2" t="s">
        <v>1988</v>
      </c>
      <c r="H170" s="2" t="s">
        <v>2004</v>
      </c>
      <c r="I170" s="2" t="s">
        <v>1374</v>
      </c>
      <c r="J170" s="2" t="s">
        <v>2005</v>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row>
    <row r="171" customFormat="false" ht="15" hidden="false" customHeight="false" outlineLevel="0" collapsed="false">
      <c r="A171" s="2" t="n">
        <v>14</v>
      </c>
      <c r="B171" s="2" t="s">
        <v>251</v>
      </c>
      <c r="C171" s="2" t="s">
        <v>258</v>
      </c>
      <c r="D171" s="2" t="s">
        <v>2006</v>
      </c>
      <c r="E171" s="2" t="s">
        <v>1395</v>
      </c>
      <c r="F171" s="2" t="s">
        <v>1419</v>
      </c>
      <c r="G171" s="2" t="s">
        <v>389</v>
      </c>
      <c r="H171" s="2" t="s">
        <v>2007</v>
      </c>
      <c r="I171" s="2" t="s">
        <v>1647</v>
      </c>
      <c r="J171" s="2" t="s">
        <v>2008</v>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0</v>
      </c>
      <c r="AA171" s="2" t="n">
        <v>1</v>
      </c>
      <c r="AB171" s="2" t="n">
        <v>3</v>
      </c>
      <c r="AC171" s="2"/>
    </row>
    <row r="172" customFormat="false" ht="15" hidden="false" customHeight="false" outlineLevel="0" collapsed="false">
      <c r="A172" s="2" t="n">
        <v>14</v>
      </c>
      <c r="B172" s="2" t="s">
        <v>251</v>
      </c>
      <c r="C172" s="2" t="s">
        <v>258</v>
      </c>
      <c r="D172" s="2" t="s">
        <v>2009</v>
      </c>
      <c r="E172" s="2" t="s">
        <v>1395</v>
      </c>
      <c r="F172" s="2" t="s">
        <v>1419</v>
      </c>
      <c r="G172" s="2" t="s">
        <v>389</v>
      </c>
      <c r="H172" s="2" t="s">
        <v>2010</v>
      </c>
      <c r="I172" s="2" t="s">
        <v>1647</v>
      </c>
      <c r="J172" s="2" t="s">
        <v>2011</v>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row>
    <row r="173" customFormat="false" ht="15" hidden="false" customHeight="false" outlineLevel="0" collapsed="false">
      <c r="A173" s="2" t="n">
        <v>14</v>
      </c>
      <c r="B173" s="2" t="s">
        <v>251</v>
      </c>
      <c r="C173" s="2" t="s">
        <v>258</v>
      </c>
      <c r="D173" s="2" t="s">
        <v>2012</v>
      </c>
      <c r="E173" s="2" t="s">
        <v>1395</v>
      </c>
      <c r="F173" s="2" t="s">
        <v>1419</v>
      </c>
      <c r="G173" s="2" t="s">
        <v>481</v>
      </c>
      <c r="H173" s="2" t="s">
        <v>2013</v>
      </c>
      <c r="I173" s="2" t="s">
        <v>1647</v>
      </c>
      <c r="J173" s="2" t="s">
        <v>2014</v>
      </c>
      <c r="K173" s="2" t="n">
        <v>2</v>
      </c>
      <c r="L173" s="2" t="n">
        <v>789</v>
      </c>
      <c r="M173" s="2" t="n">
        <v>674</v>
      </c>
      <c r="N173" s="2" t="n">
        <v>564</v>
      </c>
      <c r="O173" s="2" t="n">
        <v>115</v>
      </c>
      <c r="P173" s="2" t="n">
        <v>0</v>
      </c>
      <c r="Q173" s="2" t="n">
        <v>0</v>
      </c>
      <c r="R173" s="2" t="n">
        <v>0</v>
      </c>
      <c r="S173" s="2" t="n">
        <v>2</v>
      </c>
      <c r="T173" s="2" t="n">
        <v>2</v>
      </c>
      <c r="U173" s="2" t="n">
        <v>0</v>
      </c>
      <c r="V173" s="2" t="n">
        <v>0</v>
      </c>
      <c r="W173" s="2" t="n">
        <v>0</v>
      </c>
      <c r="X173" s="2" t="n">
        <v>0</v>
      </c>
      <c r="Y173" s="2" t="n">
        <v>0</v>
      </c>
      <c r="Z173" s="2" t="n">
        <v>0</v>
      </c>
      <c r="AA173" s="2" t="n">
        <v>0</v>
      </c>
      <c r="AB173" s="2" t="n">
        <v>2</v>
      </c>
      <c r="AC173" s="2"/>
    </row>
    <row r="174" customFormat="false" ht="15" hidden="false" customHeight="false" outlineLevel="0" collapsed="false">
      <c r="A174" s="2" t="n">
        <v>14</v>
      </c>
      <c r="B174" s="2" t="s">
        <v>251</v>
      </c>
      <c r="C174" s="2" t="s">
        <v>258</v>
      </c>
      <c r="D174" s="2" t="s">
        <v>2015</v>
      </c>
      <c r="E174" s="2" t="s">
        <v>1395</v>
      </c>
      <c r="F174" s="2" t="s">
        <v>1419</v>
      </c>
      <c r="G174" s="2" t="s">
        <v>481</v>
      </c>
      <c r="H174" s="2" t="s">
        <v>2016</v>
      </c>
      <c r="I174" s="2" t="s">
        <v>1647</v>
      </c>
      <c r="J174" s="2" t="s">
        <v>2017</v>
      </c>
      <c r="K174" s="2" t="n">
        <v>2</v>
      </c>
      <c r="L174" s="2" t="n">
        <v>581</v>
      </c>
      <c r="M174" s="2" t="n">
        <v>469</v>
      </c>
      <c r="N174" s="2" t="n">
        <v>358</v>
      </c>
      <c r="O174" s="2" t="n">
        <v>112</v>
      </c>
      <c r="P174" s="2" t="n">
        <v>0</v>
      </c>
      <c r="Q174" s="2" t="n">
        <v>0</v>
      </c>
      <c r="R174" s="2" t="n">
        <v>0</v>
      </c>
      <c r="S174" s="2" t="n">
        <v>1</v>
      </c>
      <c r="T174" s="2" t="n">
        <v>0</v>
      </c>
      <c r="U174" s="2" t="n">
        <v>0</v>
      </c>
      <c r="V174" s="2" t="n">
        <v>0</v>
      </c>
      <c r="W174" s="2" t="n">
        <v>1</v>
      </c>
      <c r="X174" s="2" t="n">
        <v>0</v>
      </c>
      <c r="Y174" s="2" t="n">
        <v>0</v>
      </c>
      <c r="Z174" s="2" t="n">
        <v>1</v>
      </c>
      <c r="AA174" s="2" t="n">
        <v>0</v>
      </c>
      <c r="AB174" s="2" t="n">
        <v>0</v>
      </c>
      <c r="AC174" s="2"/>
    </row>
    <row r="175" customFormat="false" ht="15" hidden="false" customHeight="false" outlineLevel="0" collapsed="false">
      <c r="A175" s="2" t="n">
        <v>14</v>
      </c>
      <c r="B175" s="2" t="s">
        <v>251</v>
      </c>
      <c r="C175" s="2" t="s">
        <v>258</v>
      </c>
      <c r="D175" s="2" t="s">
        <v>2018</v>
      </c>
      <c r="E175" s="2" t="s">
        <v>1395</v>
      </c>
      <c r="F175" s="2" t="s">
        <v>1419</v>
      </c>
      <c r="G175" s="2" t="s">
        <v>2019</v>
      </c>
      <c r="H175" s="2" t="s">
        <v>2020</v>
      </c>
      <c r="I175" s="2" t="s">
        <v>1647</v>
      </c>
      <c r="J175" s="2" t="s">
        <v>2021</v>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row>
    <row r="176" customFormat="false" ht="15" hidden="false" customHeight="false" outlineLevel="0" collapsed="false">
      <c r="A176" s="2" t="n">
        <v>14</v>
      </c>
      <c r="B176" s="2" t="s">
        <v>251</v>
      </c>
      <c r="C176" s="2" t="s">
        <v>258</v>
      </c>
      <c r="D176" s="2" t="s">
        <v>2022</v>
      </c>
      <c r="E176" s="2" t="s">
        <v>1395</v>
      </c>
      <c r="F176" s="2" t="s">
        <v>1419</v>
      </c>
      <c r="G176" s="2" t="s">
        <v>2019</v>
      </c>
      <c r="H176" s="2" t="s">
        <v>2023</v>
      </c>
      <c r="I176" s="2" t="s">
        <v>1647</v>
      </c>
      <c r="J176" s="2" t="s">
        <v>2024</v>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0</v>
      </c>
      <c r="AA176" s="2" t="n">
        <v>0</v>
      </c>
      <c r="AB176" s="2" t="n">
        <v>3</v>
      </c>
      <c r="AC176" s="2"/>
    </row>
    <row r="177" customFormat="false" ht="15" hidden="false" customHeight="false" outlineLevel="0" collapsed="false">
      <c r="A177" s="2" t="n">
        <v>14</v>
      </c>
      <c r="B177" s="2" t="s">
        <v>251</v>
      </c>
      <c r="C177" s="2" t="s">
        <v>258</v>
      </c>
      <c r="D177" s="2" t="s">
        <v>2025</v>
      </c>
      <c r="E177" s="2" t="s">
        <v>1395</v>
      </c>
      <c r="F177" s="2" t="s">
        <v>1419</v>
      </c>
      <c r="G177" s="2" t="s">
        <v>2026</v>
      </c>
      <c r="H177" s="2" t="s">
        <v>2027</v>
      </c>
      <c r="I177" s="2" t="s">
        <v>1647</v>
      </c>
      <c r="J177" s="2" t="s">
        <v>2028</v>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row>
    <row r="178" customFormat="false" ht="15" hidden="false" customHeight="false" outlineLevel="0" collapsed="false">
      <c r="A178" s="2" t="n">
        <v>14</v>
      </c>
      <c r="B178" s="2" t="s">
        <v>251</v>
      </c>
      <c r="C178" s="2" t="s">
        <v>258</v>
      </c>
      <c r="D178" s="2" t="s">
        <v>2029</v>
      </c>
      <c r="E178" s="2" t="s">
        <v>1395</v>
      </c>
      <c r="F178" s="2" t="s">
        <v>1419</v>
      </c>
      <c r="G178" s="2" t="s">
        <v>2026</v>
      </c>
      <c r="H178" s="2" t="s">
        <v>2030</v>
      </c>
      <c r="I178" s="2" t="s">
        <v>1647</v>
      </c>
      <c r="J178" s="2" t="s">
        <v>2031</v>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row>
    <row r="179" customFormat="false" ht="15" hidden="false" customHeight="false" outlineLevel="0" collapsed="false">
      <c r="A179" s="2" t="n">
        <v>14</v>
      </c>
      <c r="B179" s="2" t="s">
        <v>251</v>
      </c>
      <c r="C179" s="2" t="s">
        <v>258</v>
      </c>
      <c r="D179" s="2" t="s">
        <v>2032</v>
      </c>
      <c r="E179" s="2" t="s">
        <v>1395</v>
      </c>
      <c r="F179" s="2" t="s">
        <v>1419</v>
      </c>
      <c r="G179" s="2" t="s">
        <v>2026</v>
      </c>
      <c r="H179" s="2" t="s">
        <v>2033</v>
      </c>
      <c r="I179" s="2" t="s">
        <v>1647</v>
      </c>
      <c r="J179" s="2" t="s">
        <v>2034</v>
      </c>
      <c r="K179" s="2" t="n">
        <v>2</v>
      </c>
      <c r="L179" s="2" t="n">
        <v>736</v>
      </c>
      <c r="M179" s="2" t="n">
        <v>636</v>
      </c>
      <c r="N179" s="2" t="n">
        <v>520</v>
      </c>
      <c r="O179" s="2" t="n">
        <v>100</v>
      </c>
      <c r="P179" s="2" t="n">
        <v>0</v>
      </c>
      <c r="Q179" s="2" t="n">
        <v>0</v>
      </c>
      <c r="R179" s="2" t="n">
        <v>0</v>
      </c>
      <c r="S179" s="2" t="n">
        <v>2</v>
      </c>
      <c r="T179" s="2" t="n">
        <v>2</v>
      </c>
      <c r="U179" s="2" t="n">
        <v>0</v>
      </c>
      <c r="V179" s="2" t="n">
        <v>0</v>
      </c>
      <c r="W179" s="2" t="n">
        <v>0</v>
      </c>
      <c r="X179" s="2" t="n">
        <v>0</v>
      </c>
      <c r="Y179" s="2" t="n">
        <v>0</v>
      </c>
      <c r="Z179" s="2" t="n">
        <v>0</v>
      </c>
      <c r="AA179" s="2" t="n">
        <v>0</v>
      </c>
      <c r="AB179" s="2" t="n">
        <v>2</v>
      </c>
      <c r="AC179" s="2"/>
    </row>
    <row r="180" customFormat="false" ht="15" hidden="false" customHeight="false" outlineLevel="0" collapsed="false">
      <c r="A180" s="2" t="n">
        <v>14</v>
      </c>
      <c r="B180" s="2" t="s">
        <v>251</v>
      </c>
      <c r="C180" s="2" t="s">
        <v>258</v>
      </c>
      <c r="D180" s="2" t="s">
        <v>2035</v>
      </c>
      <c r="E180" s="2" t="s">
        <v>1395</v>
      </c>
      <c r="F180" s="2" t="s">
        <v>1419</v>
      </c>
      <c r="G180" s="2" t="s">
        <v>2036</v>
      </c>
      <c r="H180" s="2" t="s">
        <v>2037</v>
      </c>
      <c r="I180" s="2" t="s">
        <v>1647</v>
      </c>
      <c r="J180" s="2" t="s">
        <v>2038</v>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row>
    <row r="181" customFormat="false" ht="15" hidden="false" customHeight="false" outlineLevel="0" collapsed="false">
      <c r="A181" s="2" t="n">
        <v>14</v>
      </c>
      <c r="B181" s="2" t="s">
        <v>251</v>
      </c>
      <c r="C181" s="2" t="s">
        <v>258</v>
      </c>
      <c r="D181" s="2" t="s">
        <v>2039</v>
      </c>
      <c r="E181" s="2" t="s">
        <v>1395</v>
      </c>
      <c r="F181" s="2" t="s">
        <v>1396</v>
      </c>
      <c r="G181" s="2" t="s">
        <v>2040</v>
      </c>
      <c r="H181" s="2" t="s">
        <v>2041</v>
      </c>
      <c r="I181" s="2" t="s">
        <v>1374</v>
      </c>
      <c r="J181" s="2" t="s">
        <v>2042</v>
      </c>
      <c r="K181" s="2" t="n">
        <v>14</v>
      </c>
      <c r="L181" s="2" t="n">
        <v>7623</v>
      </c>
      <c r="M181" s="2" t="n">
        <v>1350</v>
      </c>
      <c r="N181" s="2" t="n">
        <v>1232</v>
      </c>
      <c r="O181" s="2" t="n">
        <v>6273</v>
      </c>
      <c r="P181" s="2" t="n">
        <v>0</v>
      </c>
      <c r="Q181" s="2" t="n">
        <v>0</v>
      </c>
      <c r="R181" s="2" t="n">
        <v>0</v>
      </c>
      <c r="S181" s="2" t="n">
        <v>75</v>
      </c>
      <c r="T181" s="2" t="n">
        <v>73</v>
      </c>
      <c r="U181" s="2" t="n">
        <v>2</v>
      </c>
      <c r="V181" s="2" t="n">
        <v>0</v>
      </c>
      <c r="W181" s="2" t="n">
        <v>0</v>
      </c>
      <c r="X181" s="2" t="n">
        <v>0</v>
      </c>
      <c r="Y181" s="2" t="n">
        <v>26</v>
      </c>
      <c r="Z181" s="2" t="n">
        <v>29</v>
      </c>
      <c r="AA181" s="2" t="n">
        <v>3</v>
      </c>
      <c r="AB181" s="2" t="n">
        <v>17</v>
      </c>
      <c r="AC181" s="2"/>
    </row>
    <row r="182" customFormat="false" ht="15" hidden="false" customHeight="false" outlineLevel="0" collapsed="false">
      <c r="A182" s="2" t="n">
        <v>14</v>
      </c>
      <c r="B182" s="2" t="s">
        <v>251</v>
      </c>
      <c r="C182" s="2" t="s">
        <v>258</v>
      </c>
      <c r="D182" s="2" t="s">
        <v>2043</v>
      </c>
      <c r="E182" s="2" t="s">
        <v>1395</v>
      </c>
      <c r="F182" s="2" t="s">
        <v>1419</v>
      </c>
      <c r="G182" s="2" t="s">
        <v>2044</v>
      </c>
      <c r="H182" s="2" t="s">
        <v>2045</v>
      </c>
      <c r="I182" s="2" t="s">
        <v>1647</v>
      </c>
      <c r="J182" s="2" t="s">
        <v>2046</v>
      </c>
      <c r="K182" s="2" t="n">
        <v>2</v>
      </c>
      <c r="L182" s="2" t="n">
        <v>814</v>
      </c>
      <c r="M182" s="2" t="n">
        <v>694</v>
      </c>
      <c r="N182" s="2" t="n">
        <v>579</v>
      </c>
      <c r="O182" s="2" t="n">
        <v>120</v>
      </c>
      <c r="P182" s="2" t="n">
        <v>0</v>
      </c>
      <c r="Q182" s="2" t="n">
        <v>0</v>
      </c>
      <c r="R182" s="2" t="n">
        <v>0</v>
      </c>
      <c r="S182" s="2" t="n">
        <v>2</v>
      </c>
      <c r="T182" s="2" t="n">
        <v>2</v>
      </c>
      <c r="U182" s="2" t="n">
        <v>0</v>
      </c>
      <c r="V182" s="2" t="n">
        <v>0</v>
      </c>
      <c r="W182" s="2" t="n">
        <v>0</v>
      </c>
      <c r="X182" s="2" t="n">
        <v>0</v>
      </c>
      <c r="Y182" s="2" t="n">
        <v>0</v>
      </c>
      <c r="Z182" s="2" t="n">
        <v>0</v>
      </c>
      <c r="AA182" s="2" t="n">
        <v>0</v>
      </c>
      <c r="AB182" s="2" t="n">
        <v>2</v>
      </c>
      <c r="AC182" s="2"/>
    </row>
    <row r="183" customFormat="false" ht="15" hidden="false" customHeight="false" outlineLevel="0" collapsed="false">
      <c r="A183" s="2" t="n">
        <v>14</v>
      </c>
      <c r="B183" s="2" t="s">
        <v>251</v>
      </c>
      <c r="C183" s="2" t="s">
        <v>258</v>
      </c>
      <c r="D183" s="2" t="s">
        <v>2047</v>
      </c>
      <c r="E183" s="2" t="s">
        <v>1395</v>
      </c>
      <c r="F183" s="2" t="s">
        <v>1419</v>
      </c>
      <c r="G183" s="2" t="s">
        <v>2048</v>
      </c>
      <c r="H183" s="2" t="s">
        <v>2049</v>
      </c>
      <c r="I183" s="2" t="s">
        <v>1647</v>
      </c>
      <c r="J183" s="2" t="s">
        <v>2050</v>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row>
    <row r="184" customFormat="false" ht="15" hidden="false" customHeight="false" outlineLevel="0" collapsed="false">
      <c r="A184" s="2" t="n">
        <v>14</v>
      </c>
      <c r="B184" s="2" t="s">
        <v>251</v>
      </c>
      <c r="C184" s="2" t="s">
        <v>258</v>
      </c>
      <c r="D184" s="2" t="s">
        <v>2051</v>
      </c>
      <c r="E184" s="2" t="s">
        <v>1395</v>
      </c>
      <c r="F184" s="2" t="s">
        <v>1419</v>
      </c>
      <c r="G184" s="2" t="s">
        <v>2052</v>
      </c>
      <c r="H184" s="2" t="s">
        <v>2053</v>
      </c>
      <c r="I184" s="2" t="s">
        <v>1647</v>
      </c>
      <c r="J184" s="2" t="s">
        <v>2054</v>
      </c>
      <c r="K184" s="2" t="n">
        <v>2</v>
      </c>
      <c r="L184" s="2" t="n">
        <v>947</v>
      </c>
      <c r="M184" s="2" t="n">
        <v>802</v>
      </c>
      <c r="N184" s="2" t="n">
        <v>694</v>
      </c>
      <c r="O184" s="2" t="n">
        <v>145</v>
      </c>
      <c r="P184" s="2" t="n">
        <v>0</v>
      </c>
      <c r="Q184" s="2" t="n">
        <v>0</v>
      </c>
      <c r="R184" s="2" t="n">
        <v>0</v>
      </c>
      <c r="S184" s="2" t="n">
        <v>1</v>
      </c>
      <c r="T184" s="2" t="n">
        <v>0</v>
      </c>
      <c r="U184" s="2" t="n">
        <v>0</v>
      </c>
      <c r="V184" s="2" t="n">
        <v>0</v>
      </c>
      <c r="W184" s="2" t="n">
        <v>1</v>
      </c>
      <c r="X184" s="2" t="n">
        <v>0</v>
      </c>
      <c r="Y184" s="2" t="n">
        <v>0</v>
      </c>
      <c r="Z184" s="2" t="n">
        <v>1</v>
      </c>
      <c r="AA184" s="2" t="n">
        <v>0</v>
      </c>
      <c r="AB184" s="2" t="n">
        <v>0</v>
      </c>
      <c r="AC184" s="2"/>
    </row>
    <row r="185" customFormat="false" ht="15" hidden="false" customHeight="false" outlineLevel="0" collapsed="false">
      <c r="A185" s="2" t="n">
        <v>14</v>
      </c>
      <c r="B185" s="2" t="s">
        <v>251</v>
      </c>
      <c r="C185" s="2" t="s">
        <v>258</v>
      </c>
      <c r="D185" s="2" t="s">
        <v>2055</v>
      </c>
      <c r="E185" s="2" t="s">
        <v>1395</v>
      </c>
      <c r="F185" s="2" t="s">
        <v>1419</v>
      </c>
      <c r="G185" s="2" t="s">
        <v>2052</v>
      </c>
      <c r="H185" s="2" t="s">
        <v>2056</v>
      </c>
      <c r="I185" s="2" t="s">
        <v>1647</v>
      </c>
      <c r="J185" s="2" t="s">
        <v>2057</v>
      </c>
      <c r="K185" s="2" t="n">
        <v>3</v>
      </c>
      <c r="L185" s="2" t="n">
        <v>1220</v>
      </c>
      <c r="M185" s="2" t="n">
        <v>1038</v>
      </c>
      <c r="N185" s="2" t="n">
        <v>923</v>
      </c>
      <c r="O185" s="2" t="n">
        <v>182</v>
      </c>
      <c r="P185" s="2" t="n">
        <v>0</v>
      </c>
      <c r="Q185" s="2" t="n">
        <v>0</v>
      </c>
      <c r="R185" s="2" t="n">
        <v>0</v>
      </c>
      <c r="S185" s="2" t="n">
        <v>2</v>
      </c>
      <c r="T185" s="2" t="n">
        <v>2</v>
      </c>
      <c r="U185" s="2" t="n">
        <v>0</v>
      </c>
      <c r="V185" s="2" t="n">
        <v>0</v>
      </c>
      <c r="W185" s="2" t="n">
        <v>0</v>
      </c>
      <c r="X185" s="2" t="n">
        <v>0</v>
      </c>
      <c r="Y185" s="2" t="n">
        <v>0</v>
      </c>
      <c r="Z185" s="2" t="n">
        <v>0</v>
      </c>
      <c r="AA185" s="2" t="n">
        <v>0</v>
      </c>
      <c r="AB185" s="2" t="n">
        <v>2</v>
      </c>
      <c r="AC185" s="2"/>
    </row>
    <row r="186" customFormat="false" ht="15" hidden="false" customHeight="false" outlineLevel="0" collapsed="false">
      <c r="A186" s="2" t="n">
        <v>14</v>
      </c>
      <c r="B186" s="2" t="s">
        <v>251</v>
      </c>
      <c r="C186" s="2" t="s">
        <v>258</v>
      </c>
      <c r="D186" s="2" t="s">
        <v>2058</v>
      </c>
      <c r="E186" s="2" t="s">
        <v>1395</v>
      </c>
      <c r="F186" s="2" t="s">
        <v>1419</v>
      </c>
      <c r="G186" s="2" t="s">
        <v>2059</v>
      </c>
      <c r="H186" s="2" t="s">
        <v>2060</v>
      </c>
      <c r="I186" s="2" t="s">
        <v>1647</v>
      </c>
      <c r="J186" s="2" t="s">
        <v>2061</v>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row>
    <row r="187" customFormat="false" ht="15" hidden="false" customHeight="false" outlineLevel="0" collapsed="false">
      <c r="A187" s="2" t="n">
        <v>14</v>
      </c>
      <c r="B187" s="2" t="s">
        <v>251</v>
      </c>
      <c r="C187" s="2" t="s">
        <v>258</v>
      </c>
      <c r="D187" s="2" t="s">
        <v>2062</v>
      </c>
      <c r="E187" s="2" t="s">
        <v>1395</v>
      </c>
      <c r="F187" s="2" t="s">
        <v>1419</v>
      </c>
      <c r="G187" s="2" t="s">
        <v>2063</v>
      </c>
      <c r="H187" s="2" t="s">
        <v>2064</v>
      </c>
      <c r="I187" s="2" t="s">
        <v>1647</v>
      </c>
      <c r="J187" s="2" t="s">
        <v>2065</v>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row>
    <row r="188" customFormat="false" ht="15" hidden="false" customHeight="false" outlineLevel="0" collapsed="false">
      <c r="A188" s="2" t="n">
        <v>14</v>
      </c>
      <c r="B188" s="2" t="s">
        <v>251</v>
      </c>
      <c r="C188" s="2" t="s">
        <v>258</v>
      </c>
      <c r="D188" s="2" t="s">
        <v>2066</v>
      </c>
      <c r="E188" s="2" t="s">
        <v>1395</v>
      </c>
      <c r="F188" s="2" t="s">
        <v>1396</v>
      </c>
      <c r="G188" s="2" t="s">
        <v>2067</v>
      </c>
      <c r="H188" s="2" t="s">
        <v>2068</v>
      </c>
      <c r="I188" s="2" t="s">
        <v>1374</v>
      </c>
      <c r="J188" s="2" t="s">
        <v>2069</v>
      </c>
      <c r="K188" s="2" t="n">
        <v>2</v>
      </c>
      <c r="L188" s="2" t="n">
        <v>760</v>
      </c>
      <c r="M188" s="2" t="n">
        <v>537</v>
      </c>
      <c r="N188" s="2" t="n">
        <v>442</v>
      </c>
      <c r="O188" s="2" t="n">
        <v>223</v>
      </c>
      <c r="P188" s="2" t="n">
        <v>0</v>
      </c>
      <c r="Q188" s="2" t="n">
        <v>0</v>
      </c>
      <c r="R188" s="2" t="n">
        <v>0</v>
      </c>
      <c r="S188" s="2" t="n">
        <v>3</v>
      </c>
      <c r="T188" s="2" t="n">
        <v>3</v>
      </c>
      <c r="U188" s="2" t="n">
        <v>0</v>
      </c>
      <c r="V188" s="2" t="n">
        <v>0</v>
      </c>
      <c r="W188" s="2" t="n">
        <v>0</v>
      </c>
      <c r="X188" s="2" t="n">
        <v>0</v>
      </c>
      <c r="Y188" s="2" t="n">
        <v>0</v>
      </c>
      <c r="Z188" s="2" t="n">
        <v>1</v>
      </c>
      <c r="AA188" s="2" t="n">
        <v>0</v>
      </c>
      <c r="AB188" s="2" t="n">
        <v>2</v>
      </c>
      <c r="AC188" s="2"/>
    </row>
    <row r="189" customFormat="false" ht="15" hidden="false" customHeight="false" outlineLevel="0" collapsed="false">
      <c r="A189" s="2" t="n">
        <v>14</v>
      </c>
      <c r="B189" s="2" t="s">
        <v>251</v>
      </c>
      <c r="C189" s="2" t="s">
        <v>258</v>
      </c>
      <c r="D189" s="2" t="s">
        <v>2070</v>
      </c>
      <c r="E189" s="2" t="s">
        <v>1395</v>
      </c>
      <c r="F189" s="2" t="s">
        <v>1419</v>
      </c>
      <c r="G189" s="2" t="s">
        <v>2071</v>
      </c>
      <c r="H189" s="2" t="s">
        <v>2072</v>
      </c>
      <c r="I189" s="2" t="s">
        <v>1647</v>
      </c>
      <c r="J189" s="2" t="s">
        <v>2073</v>
      </c>
      <c r="K189" s="2" t="n">
        <v>2</v>
      </c>
      <c r="L189" s="2" t="n">
        <v>835</v>
      </c>
      <c r="M189" s="2" t="n">
        <v>755</v>
      </c>
      <c r="N189" s="2" t="n">
        <v>647</v>
      </c>
      <c r="O189" s="2" t="n">
        <v>80</v>
      </c>
      <c r="P189" s="2" t="n">
        <v>0</v>
      </c>
      <c r="Q189" s="2" t="n">
        <v>0</v>
      </c>
      <c r="R189" s="2" t="n">
        <v>0</v>
      </c>
      <c r="S189" s="2" t="n">
        <v>2</v>
      </c>
      <c r="T189" s="2" t="n">
        <v>2</v>
      </c>
      <c r="U189" s="2" t="n">
        <v>0</v>
      </c>
      <c r="V189" s="2" t="n">
        <v>0</v>
      </c>
      <c r="W189" s="2" t="n">
        <v>0</v>
      </c>
      <c r="X189" s="2" t="n">
        <v>0</v>
      </c>
      <c r="Y189" s="2" t="n">
        <v>0</v>
      </c>
      <c r="Z189" s="2" t="n">
        <v>0</v>
      </c>
      <c r="AA189" s="2" t="n">
        <v>1</v>
      </c>
      <c r="AB189" s="2" t="n">
        <v>1</v>
      </c>
      <c r="AC189" s="2"/>
    </row>
    <row r="190" customFormat="false" ht="15" hidden="false" customHeight="false" outlineLevel="0" collapsed="false">
      <c r="A190" s="2" t="n">
        <v>14</v>
      </c>
      <c r="B190" s="2" t="s">
        <v>251</v>
      </c>
      <c r="C190" s="2" t="s">
        <v>258</v>
      </c>
      <c r="D190" s="2" t="s">
        <v>2074</v>
      </c>
      <c r="E190" s="2" t="s">
        <v>1395</v>
      </c>
      <c r="F190" s="2" t="s">
        <v>1419</v>
      </c>
      <c r="G190" s="2" t="s">
        <v>2075</v>
      </c>
      <c r="H190" s="2" t="s">
        <v>2076</v>
      </c>
      <c r="I190" s="2" t="s">
        <v>1647</v>
      </c>
      <c r="J190" s="2" t="s">
        <v>2077</v>
      </c>
      <c r="K190" s="2" t="n">
        <v>3</v>
      </c>
      <c r="L190" s="2" t="n">
        <v>1396</v>
      </c>
      <c r="M190" s="2" t="n">
        <v>1248</v>
      </c>
      <c r="N190" s="2" t="n">
        <v>1136</v>
      </c>
      <c r="O190" s="2" t="n">
        <v>148</v>
      </c>
      <c r="P190" s="2" t="n">
        <v>0</v>
      </c>
      <c r="Q190" s="2" t="n">
        <v>0</v>
      </c>
      <c r="R190" s="2" t="n">
        <v>0</v>
      </c>
      <c r="S190" s="2" t="n">
        <v>2</v>
      </c>
      <c r="T190" s="2" t="n">
        <v>2</v>
      </c>
      <c r="U190" s="2" t="n">
        <v>0</v>
      </c>
      <c r="V190" s="2" t="n">
        <v>0</v>
      </c>
      <c r="W190" s="2" t="n">
        <v>0</v>
      </c>
      <c r="X190" s="2" t="n">
        <v>0</v>
      </c>
      <c r="Y190" s="2" t="n">
        <v>0</v>
      </c>
      <c r="Z190" s="2" t="n">
        <v>0</v>
      </c>
      <c r="AA190" s="2" t="n">
        <v>0</v>
      </c>
      <c r="AB190" s="2" t="n">
        <v>2</v>
      </c>
      <c r="AC190" s="2"/>
    </row>
    <row r="191" customFormat="false" ht="15" hidden="false" customHeight="false" outlineLevel="0" collapsed="false">
      <c r="A191" s="2" t="n">
        <v>14</v>
      </c>
      <c r="B191" s="2" t="s">
        <v>251</v>
      </c>
      <c r="C191" s="2" t="s">
        <v>258</v>
      </c>
      <c r="D191" s="2" t="s">
        <v>2078</v>
      </c>
      <c r="E191" s="2" t="s">
        <v>1395</v>
      </c>
      <c r="F191" s="2" t="s">
        <v>1419</v>
      </c>
      <c r="G191" s="2" t="s">
        <v>2079</v>
      </c>
      <c r="H191" s="2" t="s">
        <v>2080</v>
      </c>
      <c r="I191" s="2" t="s">
        <v>1647</v>
      </c>
      <c r="J191" s="2" t="s">
        <v>2081</v>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row>
    <row r="192" customFormat="false" ht="15" hidden="false" customHeight="false" outlineLevel="0" collapsed="false">
      <c r="A192" s="2" t="n">
        <v>14</v>
      </c>
      <c r="B192" s="2" t="s">
        <v>251</v>
      </c>
      <c r="C192" s="2" t="s">
        <v>258</v>
      </c>
      <c r="D192" s="2" t="s">
        <v>2082</v>
      </c>
      <c r="E192" s="2" t="s">
        <v>1395</v>
      </c>
      <c r="F192" s="2" t="s">
        <v>1419</v>
      </c>
      <c r="G192" s="2" t="s">
        <v>2079</v>
      </c>
      <c r="H192" s="2" t="s">
        <v>2083</v>
      </c>
      <c r="I192" s="2" t="s">
        <v>1647</v>
      </c>
      <c r="J192" s="2" t="s">
        <v>2084</v>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row>
    <row r="193" customFormat="false" ht="15" hidden="false" customHeight="false" outlineLevel="0" collapsed="false">
      <c r="A193" s="2" t="n">
        <v>14</v>
      </c>
      <c r="B193" s="2" t="s">
        <v>251</v>
      </c>
      <c r="C193" s="2" t="s">
        <v>258</v>
      </c>
      <c r="D193" s="2" t="s">
        <v>2085</v>
      </c>
      <c r="E193" s="2" t="s">
        <v>1395</v>
      </c>
      <c r="F193" s="2" t="s">
        <v>1419</v>
      </c>
      <c r="G193" s="2" t="s">
        <v>2079</v>
      </c>
      <c r="H193" s="2" t="s">
        <v>2086</v>
      </c>
      <c r="I193" s="2" t="s">
        <v>1647</v>
      </c>
      <c r="J193" s="2" t="s">
        <v>2087</v>
      </c>
      <c r="K193" s="2" t="n">
        <v>2</v>
      </c>
      <c r="L193" s="2" t="n">
        <v>906</v>
      </c>
      <c r="M193" s="2" t="n">
        <v>774</v>
      </c>
      <c r="N193" s="2" t="n">
        <v>664</v>
      </c>
      <c r="O193" s="2" t="n">
        <v>132</v>
      </c>
      <c r="P193" s="2" t="n">
        <v>0</v>
      </c>
      <c r="Q193" s="2" t="n">
        <v>0</v>
      </c>
      <c r="R193" s="2" t="n">
        <v>0</v>
      </c>
      <c r="S193" s="2" t="n">
        <v>2</v>
      </c>
      <c r="T193" s="2" t="n">
        <v>2</v>
      </c>
      <c r="U193" s="2" t="n">
        <v>0</v>
      </c>
      <c r="V193" s="2" t="n">
        <v>0</v>
      </c>
      <c r="W193" s="2" t="n">
        <v>0</v>
      </c>
      <c r="X193" s="2" t="n">
        <v>0</v>
      </c>
      <c r="Y193" s="2" t="n">
        <v>0</v>
      </c>
      <c r="Z193" s="2" t="n">
        <v>0</v>
      </c>
      <c r="AA193" s="2" t="n">
        <v>0</v>
      </c>
      <c r="AB193" s="2" t="n">
        <v>2</v>
      </c>
      <c r="AC193" s="2"/>
    </row>
    <row r="194" customFormat="false" ht="15" hidden="false" customHeight="false" outlineLevel="0" collapsed="false">
      <c r="A194" s="2" t="n">
        <v>14</v>
      </c>
      <c r="B194" s="2" t="s">
        <v>251</v>
      </c>
      <c r="C194" s="2" t="s">
        <v>258</v>
      </c>
      <c r="D194" s="2" t="s">
        <v>2088</v>
      </c>
      <c r="E194" s="2" t="s">
        <v>1395</v>
      </c>
      <c r="F194" s="2" t="s">
        <v>1419</v>
      </c>
      <c r="G194" s="2" t="s">
        <v>2089</v>
      </c>
      <c r="H194" s="2" t="s">
        <v>2090</v>
      </c>
      <c r="I194" s="2" t="s">
        <v>1647</v>
      </c>
      <c r="J194" s="2" t="s">
        <v>2091</v>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row>
    <row r="195" customFormat="false" ht="15" hidden="false" customHeight="false" outlineLevel="0" collapsed="false">
      <c r="A195" s="2" t="n">
        <v>14</v>
      </c>
      <c r="B195" s="2" t="s">
        <v>251</v>
      </c>
      <c r="C195" s="2" t="s">
        <v>258</v>
      </c>
      <c r="D195" s="2" t="s">
        <v>2092</v>
      </c>
      <c r="E195" s="2" t="s">
        <v>1395</v>
      </c>
      <c r="F195" s="2" t="s">
        <v>1419</v>
      </c>
      <c r="G195" s="2" t="s">
        <v>2093</v>
      </c>
      <c r="H195" s="2" t="s">
        <v>2094</v>
      </c>
      <c r="I195" s="2" t="s">
        <v>1647</v>
      </c>
      <c r="J195" s="2" t="s">
        <v>2095</v>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row>
    <row r="196" customFormat="false" ht="15" hidden="false" customHeight="false" outlineLevel="0" collapsed="false">
      <c r="A196" s="2" t="n">
        <v>14</v>
      </c>
      <c r="B196" s="2" t="s">
        <v>251</v>
      </c>
      <c r="C196" s="2" t="s">
        <v>258</v>
      </c>
      <c r="D196" s="2" t="s">
        <v>2096</v>
      </c>
      <c r="E196" s="2" t="s">
        <v>1395</v>
      </c>
      <c r="F196" s="2" t="s">
        <v>1419</v>
      </c>
      <c r="G196" s="2" t="s">
        <v>2093</v>
      </c>
      <c r="H196" s="2" t="s">
        <v>2097</v>
      </c>
      <c r="I196" s="2" t="s">
        <v>1647</v>
      </c>
      <c r="J196" s="2" t="s">
        <v>2098</v>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row>
    <row r="197" customFormat="false" ht="15" hidden="false" customHeight="false" outlineLevel="0" collapsed="false">
      <c r="A197" s="2" t="n">
        <v>14</v>
      </c>
      <c r="B197" s="2" t="s">
        <v>251</v>
      </c>
      <c r="C197" s="2" t="s">
        <v>258</v>
      </c>
      <c r="D197" s="2" t="s">
        <v>2099</v>
      </c>
      <c r="E197" s="2" t="s">
        <v>1395</v>
      </c>
      <c r="F197" s="2" t="s">
        <v>1419</v>
      </c>
      <c r="G197" s="2" t="s">
        <v>2100</v>
      </c>
      <c r="H197" s="2" t="s">
        <v>2101</v>
      </c>
      <c r="I197" s="2" t="s">
        <v>1647</v>
      </c>
      <c r="J197" s="2" t="s">
        <v>2102</v>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0</v>
      </c>
      <c r="AA197" s="2" t="n">
        <v>0</v>
      </c>
      <c r="AB197" s="2" t="n">
        <v>2</v>
      </c>
      <c r="AC197" s="2"/>
    </row>
    <row r="198" customFormat="false" ht="15" hidden="false" customHeight="false" outlineLevel="0" collapsed="false">
      <c r="A198" s="2" t="n">
        <v>14</v>
      </c>
      <c r="B198" s="2" t="s">
        <v>251</v>
      </c>
      <c r="C198" s="2" t="s">
        <v>258</v>
      </c>
      <c r="D198" s="2" t="s">
        <v>2103</v>
      </c>
      <c r="E198" s="2" t="s">
        <v>1395</v>
      </c>
      <c r="F198" s="2" t="s">
        <v>1419</v>
      </c>
      <c r="G198" s="2" t="s">
        <v>2104</v>
      </c>
      <c r="H198" s="2" t="s">
        <v>2105</v>
      </c>
      <c r="I198" s="2" t="s">
        <v>1647</v>
      </c>
      <c r="J198" s="2" t="s">
        <v>2106</v>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row>
    <row r="199" customFormat="false" ht="15" hidden="false" customHeight="false" outlineLevel="0" collapsed="false">
      <c r="A199" s="2" t="n">
        <v>14</v>
      </c>
      <c r="B199" s="2" t="s">
        <v>251</v>
      </c>
      <c r="C199" s="2" t="s">
        <v>258</v>
      </c>
      <c r="D199" s="2" t="s">
        <v>2107</v>
      </c>
      <c r="E199" s="2" t="s">
        <v>1395</v>
      </c>
      <c r="F199" s="2" t="s">
        <v>1419</v>
      </c>
      <c r="G199" s="2" t="s">
        <v>2108</v>
      </c>
      <c r="H199" s="2" t="s">
        <v>2109</v>
      </c>
      <c r="I199" s="2" t="s">
        <v>1647</v>
      </c>
      <c r="J199" s="2" t="s">
        <v>2110</v>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row>
    <row r="200" customFormat="false" ht="15" hidden="false" customHeight="false" outlineLevel="0" collapsed="false">
      <c r="A200" s="2" t="n">
        <v>14</v>
      </c>
      <c r="B200" s="2" t="s">
        <v>251</v>
      </c>
      <c r="C200" s="2" t="s">
        <v>258</v>
      </c>
      <c r="D200" s="2" t="s">
        <v>2111</v>
      </c>
      <c r="E200" s="2" t="s">
        <v>1395</v>
      </c>
      <c r="F200" s="2" t="s">
        <v>1419</v>
      </c>
      <c r="G200" s="2" t="s">
        <v>2112</v>
      </c>
      <c r="H200" s="2" t="s">
        <v>2113</v>
      </c>
      <c r="I200" s="2" t="s">
        <v>1647</v>
      </c>
      <c r="J200" s="2" t="s">
        <v>2114</v>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0</v>
      </c>
      <c r="AA200" s="2" t="n">
        <v>0</v>
      </c>
      <c r="AB200" s="2" t="n">
        <v>3</v>
      </c>
      <c r="AC200" s="2"/>
    </row>
    <row r="201" customFormat="false" ht="15" hidden="false" customHeight="false" outlineLevel="0" collapsed="false">
      <c r="A201" s="2" t="n">
        <v>14</v>
      </c>
      <c r="B201" s="2" t="s">
        <v>251</v>
      </c>
      <c r="C201" s="2" t="s">
        <v>258</v>
      </c>
      <c r="D201" s="2" t="s">
        <v>2115</v>
      </c>
      <c r="E201" s="2" t="s">
        <v>1395</v>
      </c>
      <c r="F201" s="2" t="s">
        <v>1419</v>
      </c>
      <c r="G201" s="2" t="s">
        <v>2116</v>
      </c>
      <c r="H201" s="2" t="s">
        <v>2117</v>
      </c>
      <c r="I201" s="2" t="s">
        <v>1647</v>
      </c>
      <c r="J201" s="2" t="s">
        <v>2118</v>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row>
    <row r="202" customFormat="false" ht="15" hidden="false" customHeight="false" outlineLevel="0" collapsed="false">
      <c r="A202" s="2" t="n">
        <v>14</v>
      </c>
      <c r="B202" s="2" t="s">
        <v>251</v>
      </c>
      <c r="C202" s="2" t="s">
        <v>258</v>
      </c>
      <c r="D202" s="2" t="s">
        <v>2119</v>
      </c>
      <c r="E202" s="2" t="s">
        <v>1395</v>
      </c>
      <c r="F202" s="2" t="s">
        <v>1419</v>
      </c>
      <c r="G202" s="2" t="s">
        <v>2120</v>
      </c>
      <c r="H202" s="2" t="s">
        <v>2121</v>
      </c>
      <c r="I202" s="2" t="s">
        <v>1374</v>
      </c>
      <c r="J202" s="2" t="s">
        <v>2122</v>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row>
    <row r="203" customFormat="false" ht="15" hidden="false" customHeight="false" outlineLevel="0" collapsed="false">
      <c r="A203" s="2" t="n">
        <v>14</v>
      </c>
      <c r="B203" s="2" t="s">
        <v>251</v>
      </c>
      <c r="C203" s="2" t="s">
        <v>258</v>
      </c>
      <c r="D203" s="2" t="s">
        <v>2123</v>
      </c>
      <c r="E203" s="2" t="s">
        <v>1395</v>
      </c>
      <c r="F203" s="2" t="s">
        <v>1419</v>
      </c>
      <c r="G203" s="2" t="s">
        <v>2124</v>
      </c>
      <c r="H203" s="2" t="s">
        <v>2125</v>
      </c>
      <c r="I203" s="2" t="s">
        <v>1647</v>
      </c>
      <c r="J203" s="2" t="s">
        <v>2126</v>
      </c>
      <c r="K203" s="2" t="n">
        <v>2</v>
      </c>
      <c r="L203" s="2" t="n">
        <v>677</v>
      </c>
      <c r="M203" s="2" t="n">
        <v>585</v>
      </c>
      <c r="N203" s="2" t="n">
        <v>466</v>
      </c>
      <c r="O203" s="2" t="n">
        <v>92</v>
      </c>
      <c r="P203" s="2" t="n">
        <v>0</v>
      </c>
      <c r="Q203" s="2" t="n">
        <v>0</v>
      </c>
      <c r="R203" s="2" t="n">
        <v>0</v>
      </c>
      <c r="S203" s="2" t="n">
        <v>2</v>
      </c>
      <c r="T203" s="2" t="n">
        <v>2</v>
      </c>
      <c r="U203" s="2" t="n">
        <v>0</v>
      </c>
      <c r="V203" s="2" t="n">
        <v>0</v>
      </c>
      <c r="W203" s="2" t="n">
        <v>0</v>
      </c>
      <c r="X203" s="2" t="n">
        <v>0</v>
      </c>
      <c r="Y203" s="2" t="n">
        <v>0</v>
      </c>
      <c r="Z203" s="2" t="n">
        <v>0</v>
      </c>
      <c r="AA203" s="2" t="n">
        <v>1</v>
      </c>
      <c r="AB203" s="2" t="n">
        <v>1</v>
      </c>
      <c r="AC203" s="2"/>
    </row>
    <row r="204" customFormat="false" ht="15" hidden="false" customHeight="false" outlineLevel="0" collapsed="false">
      <c r="A204" s="2" t="n">
        <v>14</v>
      </c>
      <c r="B204" s="2" t="s">
        <v>251</v>
      </c>
      <c r="C204" s="2" t="s">
        <v>258</v>
      </c>
      <c r="D204" s="2" t="s">
        <v>2127</v>
      </c>
      <c r="E204" s="2" t="s">
        <v>1395</v>
      </c>
      <c r="F204" s="2" t="s">
        <v>1419</v>
      </c>
      <c r="G204" s="2" t="s">
        <v>2124</v>
      </c>
      <c r="H204" s="2" t="s">
        <v>2128</v>
      </c>
      <c r="I204" s="2" t="s">
        <v>1647</v>
      </c>
      <c r="J204" s="2" t="s">
        <v>2129</v>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row>
    <row r="205" customFormat="false" ht="15" hidden="false" customHeight="false" outlineLevel="0" collapsed="false">
      <c r="A205" s="2" t="n">
        <v>14</v>
      </c>
      <c r="B205" s="2" t="s">
        <v>251</v>
      </c>
      <c r="C205" s="2" t="s">
        <v>258</v>
      </c>
      <c r="D205" s="2" t="s">
        <v>2130</v>
      </c>
      <c r="E205" s="2" t="s">
        <v>1395</v>
      </c>
      <c r="F205" s="2" t="s">
        <v>1419</v>
      </c>
      <c r="G205" s="2" t="s">
        <v>2124</v>
      </c>
      <c r="H205" s="2" t="s">
        <v>2131</v>
      </c>
      <c r="I205" s="2" t="s">
        <v>1647</v>
      </c>
      <c r="J205" s="2" t="s">
        <v>2132</v>
      </c>
      <c r="K205" s="2" t="n">
        <v>3</v>
      </c>
      <c r="L205" s="2" t="n">
        <v>908</v>
      </c>
      <c r="M205" s="2" t="n">
        <v>749</v>
      </c>
      <c r="N205" s="2" t="n">
        <v>635</v>
      </c>
      <c r="O205" s="2" t="n">
        <v>159</v>
      </c>
      <c r="P205" s="2" t="n">
        <v>0</v>
      </c>
      <c r="Q205" s="2" t="n">
        <v>0</v>
      </c>
      <c r="R205" s="2" t="n">
        <v>0</v>
      </c>
      <c r="S205" s="2" t="n">
        <v>2</v>
      </c>
      <c r="T205" s="2" t="n">
        <v>2</v>
      </c>
      <c r="U205" s="2" t="n">
        <v>0</v>
      </c>
      <c r="V205" s="2" t="n">
        <v>0</v>
      </c>
      <c r="W205" s="2" t="n">
        <v>0</v>
      </c>
      <c r="X205" s="2" t="n">
        <v>0</v>
      </c>
      <c r="Y205" s="2" t="n">
        <v>0</v>
      </c>
      <c r="Z205" s="2" t="n">
        <v>0</v>
      </c>
      <c r="AA205" s="2" t="n">
        <v>0</v>
      </c>
      <c r="AB205" s="2" t="n">
        <v>2</v>
      </c>
      <c r="AC205" s="2"/>
    </row>
    <row r="206" customFormat="false" ht="15" hidden="false" customHeight="false" outlineLevel="0" collapsed="false">
      <c r="A206" s="2" t="n">
        <v>14</v>
      </c>
      <c r="B206" s="2" t="s">
        <v>251</v>
      </c>
      <c r="C206" s="2" t="s">
        <v>258</v>
      </c>
      <c r="D206" s="2" t="s">
        <v>2133</v>
      </c>
      <c r="E206" s="2" t="s">
        <v>1395</v>
      </c>
      <c r="F206" s="2" t="s">
        <v>1419</v>
      </c>
      <c r="G206" s="2" t="s">
        <v>2124</v>
      </c>
      <c r="H206" s="2" t="s">
        <v>2134</v>
      </c>
      <c r="I206" s="2" t="s">
        <v>1647</v>
      </c>
      <c r="J206" s="2" t="s">
        <v>2135</v>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0</v>
      </c>
      <c r="AA206" s="2" t="n">
        <v>1</v>
      </c>
      <c r="AB206" s="2" t="n">
        <v>1</v>
      </c>
      <c r="AC206" s="2"/>
    </row>
    <row r="207" customFormat="false" ht="15" hidden="false" customHeight="false" outlineLevel="0" collapsed="false">
      <c r="A207" s="2" t="n">
        <v>14</v>
      </c>
      <c r="B207" s="2" t="s">
        <v>251</v>
      </c>
      <c r="C207" s="2" t="s">
        <v>258</v>
      </c>
      <c r="D207" s="2" t="s">
        <v>2136</v>
      </c>
      <c r="E207" s="2" t="s">
        <v>1395</v>
      </c>
      <c r="F207" s="2" t="s">
        <v>1419</v>
      </c>
      <c r="G207" s="2" t="s">
        <v>2124</v>
      </c>
      <c r="H207" s="2" t="s">
        <v>2137</v>
      </c>
      <c r="I207" s="2" t="s">
        <v>1647</v>
      </c>
      <c r="J207" s="2" t="s">
        <v>2138</v>
      </c>
      <c r="K207" s="2" t="n">
        <v>2</v>
      </c>
      <c r="L207" s="2" t="n">
        <v>861</v>
      </c>
      <c r="M207" s="2" t="n">
        <v>623</v>
      </c>
      <c r="N207" s="2" t="n">
        <v>509</v>
      </c>
      <c r="O207" s="2" t="n">
        <v>238</v>
      </c>
      <c r="P207" s="2" t="n">
        <v>0</v>
      </c>
      <c r="Q207" s="2" t="n">
        <v>0</v>
      </c>
      <c r="R207" s="2" t="n">
        <v>0</v>
      </c>
      <c r="S207" s="2" t="n">
        <v>2</v>
      </c>
      <c r="T207" s="2" t="n">
        <v>2</v>
      </c>
      <c r="U207" s="2" t="n">
        <v>0</v>
      </c>
      <c r="V207" s="2" t="n">
        <v>0</v>
      </c>
      <c r="W207" s="2" t="n">
        <v>0</v>
      </c>
      <c r="X207" s="2" t="n">
        <v>0</v>
      </c>
      <c r="Y207" s="2" t="n">
        <v>0</v>
      </c>
      <c r="Z207" s="2" t="n">
        <v>0</v>
      </c>
      <c r="AA207" s="2" t="n">
        <v>0</v>
      </c>
      <c r="AB207" s="2" t="n">
        <v>2</v>
      </c>
      <c r="AC207" s="2"/>
    </row>
    <row r="208" customFormat="false" ht="15" hidden="false" customHeight="false" outlineLevel="0" collapsed="false">
      <c r="A208" s="2" t="n">
        <v>14</v>
      </c>
      <c r="B208" s="2" t="s">
        <v>251</v>
      </c>
      <c r="C208" s="2" t="s">
        <v>258</v>
      </c>
      <c r="D208" s="2" t="s">
        <v>2139</v>
      </c>
      <c r="E208" s="2" t="s">
        <v>1395</v>
      </c>
      <c r="F208" s="2" t="s">
        <v>1419</v>
      </c>
      <c r="G208" s="2" t="s">
        <v>2124</v>
      </c>
      <c r="H208" s="2" t="s">
        <v>2140</v>
      </c>
      <c r="I208" s="2" t="s">
        <v>1647</v>
      </c>
      <c r="J208" s="2" t="s">
        <v>2141</v>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row>
    <row r="209" customFormat="false" ht="15" hidden="false" customHeight="false" outlineLevel="0" collapsed="false">
      <c r="A209" s="2" t="n">
        <v>14</v>
      </c>
      <c r="B209" s="2" t="s">
        <v>251</v>
      </c>
      <c r="C209" s="2" t="s">
        <v>258</v>
      </c>
      <c r="D209" s="2" t="s">
        <v>2142</v>
      </c>
      <c r="E209" s="2" t="s">
        <v>1395</v>
      </c>
      <c r="F209" s="2" t="s">
        <v>1419</v>
      </c>
      <c r="G209" s="2" t="s">
        <v>2143</v>
      </c>
      <c r="H209" s="2" t="s">
        <v>2144</v>
      </c>
      <c r="I209" s="2" t="s">
        <v>1647</v>
      </c>
      <c r="J209" s="2" t="s">
        <v>2145</v>
      </c>
      <c r="K209" s="2" t="n">
        <v>2</v>
      </c>
      <c r="L209" s="2" t="n">
        <v>774</v>
      </c>
      <c r="M209" s="2" t="n">
        <v>666</v>
      </c>
      <c r="N209" s="2" t="n">
        <v>547</v>
      </c>
      <c r="O209" s="2" t="n">
        <v>108</v>
      </c>
      <c r="P209" s="2" t="n">
        <v>0</v>
      </c>
      <c r="Q209" s="2" t="n">
        <v>0</v>
      </c>
      <c r="R209" s="2" t="n">
        <v>0</v>
      </c>
      <c r="S209" s="2" t="n">
        <v>2</v>
      </c>
      <c r="T209" s="2" t="n">
        <v>2</v>
      </c>
      <c r="U209" s="2" t="n">
        <v>0</v>
      </c>
      <c r="V209" s="2" t="n">
        <v>0</v>
      </c>
      <c r="W209" s="2" t="n">
        <v>0</v>
      </c>
      <c r="X209" s="2" t="n">
        <v>0</v>
      </c>
      <c r="Y209" s="2" t="n">
        <v>0</v>
      </c>
      <c r="Z209" s="2" t="n">
        <v>0</v>
      </c>
      <c r="AA209" s="2" t="n">
        <v>1</v>
      </c>
      <c r="AB209" s="2" t="n">
        <v>1</v>
      </c>
      <c r="AC209" s="2"/>
    </row>
    <row r="210" customFormat="false" ht="15" hidden="false" customHeight="false" outlineLevel="0" collapsed="false">
      <c r="A210" s="2" t="n">
        <v>14</v>
      </c>
      <c r="B210" s="2" t="s">
        <v>251</v>
      </c>
      <c r="C210" s="2" t="s">
        <v>258</v>
      </c>
      <c r="D210" s="2" t="s">
        <v>2146</v>
      </c>
      <c r="E210" s="2" t="s">
        <v>1395</v>
      </c>
      <c r="F210" s="2" t="s">
        <v>1419</v>
      </c>
      <c r="G210" s="2" t="s">
        <v>2147</v>
      </c>
      <c r="H210" s="2" t="s">
        <v>2148</v>
      </c>
      <c r="I210" s="2" t="s">
        <v>1647</v>
      </c>
      <c r="J210" s="2" t="s">
        <v>2149</v>
      </c>
      <c r="K210" s="2" t="n">
        <v>2</v>
      </c>
      <c r="L210" s="2" t="n">
        <v>870</v>
      </c>
      <c r="M210" s="2" t="n">
        <v>682</v>
      </c>
      <c r="N210" s="2" t="n">
        <v>565</v>
      </c>
      <c r="O210" s="2" t="n">
        <v>188</v>
      </c>
      <c r="P210" s="2" t="n">
        <v>0</v>
      </c>
      <c r="Q210" s="2" t="n">
        <v>0</v>
      </c>
      <c r="R210" s="2" t="n">
        <v>0</v>
      </c>
      <c r="S210" s="2" t="n">
        <v>2</v>
      </c>
      <c r="T210" s="2" t="n">
        <v>2</v>
      </c>
      <c r="U210" s="2" t="n">
        <v>0</v>
      </c>
      <c r="V210" s="2" t="n">
        <v>0</v>
      </c>
      <c r="W210" s="2" t="n">
        <v>0</v>
      </c>
      <c r="X210" s="2" t="n">
        <v>0</v>
      </c>
      <c r="Y210" s="2" t="n">
        <v>0</v>
      </c>
      <c r="Z210" s="2" t="n">
        <v>0</v>
      </c>
      <c r="AA210" s="2" t="n">
        <v>1</v>
      </c>
      <c r="AB210" s="2" t="n">
        <v>1</v>
      </c>
      <c r="AC210" s="2"/>
    </row>
    <row r="211" customFormat="false" ht="15" hidden="false" customHeight="false" outlineLevel="0" collapsed="false">
      <c r="A211" s="2" t="n">
        <v>14</v>
      </c>
      <c r="B211" s="2" t="s">
        <v>251</v>
      </c>
      <c r="C211" s="2" t="s">
        <v>258</v>
      </c>
      <c r="D211" s="2" t="s">
        <v>2150</v>
      </c>
      <c r="E211" s="2" t="s">
        <v>1395</v>
      </c>
      <c r="F211" s="2" t="s">
        <v>1419</v>
      </c>
      <c r="G211" s="2" t="s">
        <v>2147</v>
      </c>
      <c r="H211" s="2" t="s">
        <v>2151</v>
      </c>
      <c r="I211" s="2" t="s">
        <v>1647</v>
      </c>
      <c r="J211" s="2" t="s">
        <v>2152</v>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0</v>
      </c>
      <c r="AA211" s="2" t="n">
        <v>1</v>
      </c>
      <c r="AB211" s="2" t="n">
        <v>2</v>
      </c>
      <c r="AC211" s="2"/>
    </row>
    <row r="212" customFormat="false" ht="15" hidden="false" customHeight="false" outlineLevel="0" collapsed="false">
      <c r="A212" s="2" t="n">
        <v>14</v>
      </c>
      <c r="B212" s="2" t="s">
        <v>251</v>
      </c>
      <c r="C212" s="2" t="s">
        <v>258</v>
      </c>
      <c r="D212" s="2" t="s">
        <v>2153</v>
      </c>
      <c r="E212" s="2" t="s">
        <v>1395</v>
      </c>
      <c r="F212" s="2" t="s">
        <v>1419</v>
      </c>
      <c r="G212" s="2" t="s">
        <v>2154</v>
      </c>
      <c r="H212" s="2" t="s">
        <v>2155</v>
      </c>
      <c r="I212" s="2" t="s">
        <v>1647</v>
      </c>
      <c r="J212" s="2" t="s">
        <v>2156</v>
      </c>
      <c r="K212" s="2" t="n">
        <v>3</v>
      </c>
      <c r="L212" s="2" t="n">
        <v>1061</v>
      </c>
      <c r="M212" s="2" t="n">
        <v>799</v>
      </c>
      <c r="N212" s="2" t="n">
        <v>687</v>
      </c>
      <c r="O212" s="2" t="n">
        <v>262</v>
      </c>
      <c r="P212" s="2" t="n">
        <v>0</v>
      </c>
      <c r="Q212" s="2" t="n">
        <v>0</v>
      </c>
      <c r="R212" s="2" t="n">
        <v>0</v>
      </c>
      <c r="S212" s="2" t="n">
        <v>4</v>
      </c>
      <c r="T212" s="2" t="n">
        <v>3</v>
      </c>
      <c r="U212" s="2" t="n">
        <v>1</v>
      </c>
      <c r="V212" s="2" t="n">
        <v>0</v>
      </c>
      <c r="W212" s="2" t="n">
        <v>0</v>
      </c>
      <c r="X212" s="2" t="n">
        <v>0</v>
      </c>
      <c r="Y212" s="2" t="n">
        <v>2</v>
      </c>
      <c r="Z212" s="2" t="n">
        <v>0</v>
      </c>
      <c r="AA212" s="2" t="n">
        <v>0</v>
      </c>
      <c r="AB212" s="2" t="n">
        <v>2</v>
      </c>
      <c r="AC212" s="2"/>
    </row>
    <row r="213" customFormat="false" ht="15" hidden="false" customHeight="false" outlineLevel="0" collapsed="false">
      <c r="A213" s="2" t="n">
        <v>14</v>
      </c>
      <c r="B213" s="2" t="s">
        <v>251</v>
      </c>
      <c r="C213" s="2" t="s">
        <v>258</v>
      </c>
      <c r="D213" s="2" t="s">
        <v>2157</v>
      </c>
      <c r="E213" s="2" t="s">
        <v>1395</v>
      </c>
      <c r="F213" s="2" t="s">
        <v>1419</v>
      </c>
      <c r="G213" s="2" t="s">
        <v>2158</v>
      </c>
      <c r="H213" s="2" t="s">
        <v>2159</v>
      </c>
      <c r="I213" s="2" t="s">
        <v>1647</v>
      </c>
      <c r="J213" s="2" t="s">
        <v>2160</v>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row>
    <row r="214" customFormat="false" ht="15" hidden="false" customHeight="false" outlineLevel="0" collapsed="false">
      <c r="A214" s="2" t="n">
        <v>14</v>
      </c>
      <c r="B214" s="2" t="s">
        <v>251</v>
      </c>
      <c r="C214" s="2" t="s">
        <v>258</v>
      </c>
      <c r="D214" s="2" t="s">
        <v>2161</v>
      </c>
      <c r="E214" s="2" t="s">
        <v>1395</v>
      </c>
      <c r="F214" s="2" t="s">
        <v>1419</v>
      </c>
      <c r="G214" s="2" t="s">
        <v>2158</v>
      </c>
      <c r="H214" s="2" t="s">
        <v>2162</v>
      </c>
      <c r="I214" s="2" t="s">
        <v>1647</v>
      </c>
      <c r="J214" s="2" t="s">
        <v>2163</v>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row>
    <row r="215" customFormat="false" ht="15" hidden="false" customHeight="false" outlineLevel="0" collapsed="false">
      <c r="A215" s="2" t="n">
        <v>14</v>
      </c>
      <c r="B215" s="2" t="s">
        <v>251</v>
      </c>
      <c r="C215" s="2" t="s">
        <v>258</v>
      </c>
      <c r="D215" s="2" t="s">
        <v>2164</v>
      </c>
      <c r="E215" s="2" t="s">
        <v>1395</v>
      </c>
      <c r="F215" s="2" t="s">
        <v>1419</v>
      </c>
      <c r="G215" s="2" t="s">
        <v>2158</v>
      </c>
      <c r="H215" s="2" t="s">
        <v>2165</v>
      </c>
      <c r="I215" s="2" t="s">
        <v>1647</v>
      </c>
      <c r="J215" s="2" t="s">
        <v>2166</v>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row>
    <row r="216" customFormat="false" ht="15" hidden="false" customHeight="false" outlineLevel="0" collapsed="false">
      <c r="A216" s="2" t="n">
        <v>14</v>
      </c>
      <c r="B216" s="2" t="s">
        <v>251</v>
      </c>
      <c r="C216" s="2" t="s">
        <v>258</v>
      </c>
      <c r="D216" s="2" t="s">
        <v>2167</v>
      </c>
      <c r="E216" s="2" t="s">
        <v>1395</v>
      </c>
      <c r="F216" s="2" t="s">
        <v>1419</v>
      </c>
      <c r="G216" s="2" t="s">
        <v>2168</v>
      </c>
      <c r="H216" s="2" t="s">
        <v>2169</v>
      </c>
      <c r="I216" s="2" t="s">
        <v>1647</v>
      </c>
      <c r="J216" s="2" t="s">
        <v>2170</v>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0</v>
      </c>
      <c r="AA216" s="2" t="n">
        <v>0</v>
      </c>
      <c r="AB216" s="2" t="n">
        <v>3</v>
      </c>
      <c r="AC216" s="2"/>
    </row>
    <row r="217" customFormat="false" ht="15" hidden="false" customHeight="false" outlineLevel="0" collapsed="false">
      <c r="A217" s="2" t="n">
        <v>14</v>
      </c>
      <c r="B217" s="2" t="s">
        <v>251</v>
      </c>
      <c r="C217" s="2" t="s">
        <v>258</v>
      </c>
      <c r="D217" s="2" t="s">
        <v>2171</v>
      </c>
      <c r="E217" s="2" t="s">
        <v>1395</v>
      </c>
      <c r="F217" s="2" t="s">
        <v>1396</v>
      </c>
      <c r="G217" s="2" t="s">
        <v>2172</v>
      </c>
      <c r="H217" s="2" t="s">
        <v>2173</v>
      </c>
      <c r="I217" s="2" t="s">
        <v>1374</v>
      </c>
      <c r="J217" s="2" t="s">
        <v>2174</v>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4</v>
      </c>
      <c r="Z217" s="2" t="n">
        <v>6</v>
      </c>
      <c r="AA217" s="2" t="n">
        <v>0</v>
      </c>
      <c r="AB217" s="2" t="n">
        <v>14</v>
      </c>
      <c r="AC217" s="2"/>
    </row>
    <row r="218" customFormat="false" ht="15" hidden="false" customHeight="false" outlineLevel="0" collapsed="false">
      <c r="A218" s="2" t="n">
        <v>14</v>
      </c>
      <c r="B218" s="2" t="s">
        <v>251</v>
      </c>
      <c r="C218" s="2" t="s">
        <v>258</v>
      </c>
      <c r="D218" s="2" t="s">
        <v>2175</v>
      </c>
      <c r="E218" s="2" t="s">
        <v>1395</v>
      </c>
      <c r="F218" s="2" t="s">
        <v>1419</v>
      </c>
      <c r="G218" s="2" t="s">
        <v>2176</v>
      </c>
      <c r="H218" s="2" t="s">
        <v>2177</v>
      </c>
      <c r="I218" s="2" t="s">
        <v>1647</v>
      </c>
      <c r="J218" s="2" t="s">
        <v>2178</v>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row>
    <row r="219" customFormat="false" ht="15" hidden="false" customHeight="false" outlineLevel="0" collapsed="false">
      <c r="A219" s="2" t="n">
        <v>14</v>
      </c>
      <c r="B219" s="2" t="s">
        <v>251</v>
      </c>
      <c r="C219" s="2" t="s">
        <v>258</v>
      </c>
      <c r="D219" s="2" t="s">
        <v>2179</v>
      </c>
      <c r="E219" s="2" t="s">
        <v>1395</v>
      </c>
      <c r="F219" s="2" t="s">
        <v>1419</v>
      </c>
      <c r="G219" s="2" t="s">
        <v>2180</v>
      </c>
      <c r="H219" s="2" t="s">
        <v>2181</v>
      </c>
      <c r="I219" s="2" t="s">
        <v>1647</v>
      </c>
      <c r="J219" s="2" t="s">
        <v>2182</v>
      </c>
      <c r="K219" s="2" t="n">
        <v>9</v>
      </c>
      <c r="L219" s="2" t="n">
        <v>3626</v>
      </c>
      <c r="M219" s="2" t="n">
        <v>919</v>
      </c>
      <c r="N219" s="2" t="n">
        <v>804</v>
      </c>
      <c r="O219" s="2" t="n">
        <v>128</v>
      </c>
      <c r="P219" s="2" t="n">
        <v>2579</v>
      </c>
      <c r="Q219" s="2" t="n">
        <v>0</v>
      </c>
      <c r="R219" s="2" t="n">
        <v>0</v>
      </c>
      <c r="S219" s="2" t="n">
        <v>1</v>
      </c>
      <c r="T219" s="2" t="n">
        <v>1</v>
      </c>
      <c r="U219" s="2" t="n">
        <v>0</v>
      </c>
      <c r="V219" s="2" t="n">
        <v>0</v>
      </c>
      <c r="W219" s="2" t="n">
        <v>0</v>
      </c>
      <c r="X219" s="2" t="n">
        <v>0</v>
      </c>
      <c r="Y219" s="2" t="n">
        <v>0</v>
      </c>
      <c r="Z219" s="2" t="n">
        <v>0</v>
      </c>
      <c r="AA219" s="2" t="n">
        <v>0</v>
      </c>
      <c r="AB219" s="2" t="n">
        <v>1</v>
      </c>
      <c r="AC219" s="2"/>
    </row>
    <row r="220" customFormat="false" ht="15" hidden="false" customHeight="false" outlineLevel="0" collapsed="false">
      <c r="A220" s="2" t="n">
        <v>14</v>
      </c>
      <c r="B220" s="2" t="s">
        <v>251</v>
      </c>
      <c r="C220" s="2" t="s">
        <v>258</v>
      </c>
      <c r="D220" s="2" t="s">
        <v>2183</v>
      </c>
      <c r="E220" s="2" t="s">
        <v>1395</v>
      </c>
      <c r="F220" s="2" t="s">
        <v>1419</v>
      </c>
      <c r="G220" s="2" t="s">
        <v>2184</v>
      </c>
      <c r="H220" s="2" t="s">
        <v>2185</v>
      </c>
      <c r="I220" s="2" t="s">
        <v>1647</v>
      </c>
      <c r="J220" s="2" t="s">
        <v>2186</v>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row>
    <row r="221" customFormat="false" ht="15" hidden="false" customHeight="false" outlineLevel="0" collapsed="false">
      <c r="A221" s="2" t="n">
        <v>14</v>
      </c>
      <c r="B221" s="2" t="s">
        <v>251</v>
      </c>
      <c r="C221" s="2" t="s">
        <v>258</v>
      </c>
      <c r="D221" s="2" t="s">
        <v>2187</v>
      </c>
      <c r="E221" s="2" t="s">
        <v>1395</v>
      </c>
      <c r="F221" s="2" t="s">
        <v>1419</v>
      </c>
      <c r="G221" s="2" t="s">
        <v>2188</v>
      </c>
      <c r="H221" s="2" t="s">
        <v>2189</v>
      </c>
      <c r="I221" s="2" t="s">
        <v>1647</v>
      </c>
      <c r="J221" s="2" t="s">
        <v>2190</v>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0</v>
      </c>
      <c r="AA221" s="2" t="n">
        <v>0</v>
      </c>
      <c r="AB221" s="2" t="n">
        <v>4</v>
      </c>
      <c r="AC221" s="2"/>
    </row>
    <row r="222" customFormat="false" ht="15" hidden="false" customHeight="false" outlineLevel="0" collapsed="false">
      <c r="A222" s="2" t="n">
        <v>14</v>
      </c>
      <c r="B222" s="2" t="s">
        <v>251</v>
      </c>
      <c r="C222" s="2" t="s">
        <v>258</v>
      </c>
      <c r="D222" s="2" t="s">
        <v>2191</v>
      </c>
      <c r="E222" s="2" t="s">
        <v>1395</v>
      </c>
      <c r="F222" s="2" t="s">
        <v>1419</v>
      </c>
      <c r="G222" s="2" t="s">
        <v>2192</v>
      </c>
      <c r="H222" s="2" t="s">
        <v>2193</v>
      </c>
      <c r="I222" s="2" t="s">
        <v>1647</v>
      </c>
      <c r="J222" s="2" t="s">
        <v>2194</v>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row>
    <row r="223" customFormat="false" ht="15" hidden="false" customHeight="false" outlineLevel="0" collapsed="false">
      <c r="A223" s="2" t="n">
        <v>14</v>
      </c>
      <c r="B223" s="2" t="s">
        <v>251</v>
      </c>
      <c r="C223" s="2" t="s">
        <v>258</v>
      </c>
      <c r="D223" s="2" t="s">
        <v>2195</v>
      </c>
      <c r="E223" s="2" t="s">
        <v>1395</v>
      </c>
      <c r="F223" s="2" t="s">
        <v>1419</v>
      </c>
      <c r="G223" s="2" t="s">
        <v>2196</v>
      </c>
      <c r="H223" s="2" t="s">
        <v>2197</v>
      </c>
      <c r="I223" s="2" t="s">
        <v>1647</v>
      </c>
      <c r="J223" s="2" t="s">
        <v>2198</v>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row>
    <row r="224" customFormat="false" ht="15" hidden="false" customHeight="false" outlineLevel="0" collapsed="false">
      <c r="A224" s="2" t="n">
        <v>14</v>
      </c>
      <c r="B224" s="2" t="s">
        <v>251</v>
      </c>
      <c r="C224" s="2" t="s">
        <v>258</v>
      </c>
      <c r="D224" s="2" t="s">
        <v>2199</v>
      </c>
      <c r="E224" s="2" t="s">
        <v>1395</v>
      </c>
      <c r="F224" s="2" t="s">
        <v>1419</v>
      </c>
      <c r="G224" s="2" t="s">
        <v>2200</v>
      </c>
      <c r="H224" s="2" t="s">
        <v>2201</v>
      </c>
      <c r="I224" s="2" t="s">
        <v>1647</v>
      </c>
      <c r="J224" s="2" t="s">
        <v>2202</v>
      </c>
      <c r="K224" s="2" t="n">
        <v>2</v>
      </c>
      <c r="L224" s="2" t="n">
        <v>784</v>
      </c>
      <c r="M224" s="2" t="n">
        <v>684</v>
      </c>
      <c r="N224" s="2" t="n">
        <v>566</v>
      </c>
      <c r="O224" s="2" t="n">
        <v>100</v>
      </c>
      <c r="P224" s="2" t="n">
        <v>0</v>
      </c>
      <c r="Q224" s="2" t="n">
        <v>0</v>
      </c>
      <c r="R224" s="2" t="n">
        <v>0</v>
      </c>
      <c r="S224" s="2" t="n">
        <v>2</v>
      </c>
      <c r="T224" s="2" t="n">
        <v>2</v>
      </c>
      <c r="U224" s="2" t="n">
        <v>0</v>
      </c>
      <c r="V224" s="2" t="n">
        <v>0</v>
      </c>
      <c r="W224" s="2" t="n">
        <v>0</v>
      </c>
      <c r="X224" s="2" t="n">
        <v>0</v>
      </c>
      <c r="Y224" s="2" t="n">
        <v>0</v>
      </c>
      <c r="Z224" s="2" t="n">
        <v>0</v>
      </c>
      <c r="AA224" s="2" t="n">
        <v>0</v>
      </c>
      <c r="AB224" s="2" t="n">
        <v>2</v>
      </c>
      <c r="AC224" s="2"/>
    </row>
    <row r="225" customFormat="false" ht="15" hidden="false" customHeight="false" outlineLevel="0" collapsed="false">
      <c r="A225" s="2" t="n">
        <v>14</v>
      </c>
      <c r="B225" s="2" t="s">
        <v>251</v>
      </c>
      <c r="C225" s="2" t="s">
        <v>258</v>
      </c>
      <c r="D225" s="2" t="s">
        <v>2203</v>
      </c>
      <c r="E225" s="2" t="s">
        <v>1395</v>
      </c>
      <c r="F225" s="2" t="s">
        <v>1419</v>
      </c>
      <c r="G225" s="2" t="s">
        <v>2200</v>
      </c>
      <c r="H225" s="2" t="s">
        <v>2204</v>
      </c>
      <c r="I225" s="2" t="s">
        <v>1647</v>
      </c>
      <c r="J225" s="2" t="s">
        <v>2205</v>
      </c>
      <c r="K225" s="2" t="n">
        <v>2</v>
      </c>
      <c r="L225" s="2" t="n">
        <v>829</v>
      </c>
      <c r="M225" s="2" t="n">
        <v>717</v>
      </c>
      <c r="N225" s="2" t="n">
        <v>604</v>
      </c>
      <c r="O225" s="2" t="n">
        <v>112</v>
      </c>
      <c r="P225" s="2" t="n">
        <v>0</v>
      </c>
      <c r="Q225" s="2" t="n">
        <v>0</v>
      </c>
      <c r="R225" s="2" t="n">
        <v>0</v>
      </c>
      <c r="S225" s="2" t="n">
        <v>2</v>
      </c>
      <c r="T225" s="2" t="n">
        <v>2</v>
      </c>
      <c r="U225" s="2" t="n">
        <v>0</v>
      </c>
      <c r="V225" s="2" t="n">
        <v>0</v>
      </c>
      <c r="W225" s="2" t="n">
        <v>0</v>
      </c>
      <c r="X225" s="2" t="n">
        <v>0</v>
      </c>
      <c r="Y225" s="2" t="n">
        <v>0</v>
      </c>
      <c r="Z225" s="2" t="n">
        <v>0</v>
      </c>
      <c r="AA225" s="2" t="n">
        <v>0</v>
      </c>
      <c r="AB225" s="2" t="n">
        <v>2</v>
      </c>
      <c r="AC225" s="2"/>
    </row>
    <row r="226" customFormat="false" ht="15" hidden="false" customHeight="false" outlineLevel="0" collapsed="false">
      <c r="A226" s="2" t="n">
        <v>14</v>
      </c>
      <c r="B226" s="2" t="s">
        <v>251</v>
      </c>
      <c r="C226" s="2" t="s">
        <v>258</v>
      </c>
      <c r="D226" s="2" t="s">
        <v>2206</v>
      </c>
      <c r="E226" s="2" t="s">
        <v>1395</v>
      </c>
      <c r="F226" s="2" t="s">
        <v>1419</v>
      </c>
      <c r="G226" s="2" t="s">
        <v>904</v>
      </c>
      <c r="H226" s="2" t="s">
        <v>2207</v>
      </c>
      <c r="I226" s="2" t="s">
        <v>1647</v>
      </c>
      <c r="J226" s="2" t="s">
        <v>2208</v>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row>
    <row r="227" customFormat="false" ht="15" hidden="false" customHeight="false" outlineLevel="0" collapsed="false">
      <c r="A227" s="2" t="n">
        <v>14</v>
      </c>
      <c r="B227" s="2" t="s">
        <v>251</v>
      </c>
      <c r="C227" s="2" t="s">
        <v>258</v>
      </c>
      <c r="D227" s="2" t="s">
        <v>2209</v>
      </c>
      <c r="E227" s="2" t="s">
        <v>1395</v>
      </c>
      <c r="F227" s="2" t="s">
        <v>1419</v>
      </c>
      <c r="G227" s="2" t="s">
        <v>2210</v>
      </c>
      <c r="H227" s="2" t="s">
        <v>2211</v>
      </c>
      <c r="I227" s="2" t="s">
        <v>1647</v>
      </c>
      <c r="J227" s="2" t="s">
        <v>2212</v>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row>
    <row r="228" customFormat="false" ht="15" hidden="false" customHeight="false" outlineLevel="0" collapsed="false">
      <c r="A228" s="2" t="n">
        <v>14</v>
      </c>
      <c r="B228" s="2" t="s">
        <v>251</v>
      </c>
      <c r="C228" s="2" t="s">
        <v>258</v>
      </c>
      <c r="D228" s="2" t="s">
        <v>2213</v>
      </c>
      <c r="E228" s="2" t="s">
        <v>1395</v>
      </c>
      <c r="F228" s="2" t="s">
        <v>1419</v>
      </c>
      <c r="G228" s="2" t="s">
        <v>2214</v>
      </c>
      <c r="H228" s="2" t="s">
        <v>2215</v>
      </c>
      <c r="I228" s="2" t="s">
        <v>1647</v>
      </c>
      <c r="J228" s="2" t="s">
        <v>2216</v>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row>
    <row r="229" customFormat="false" ht="15" hidden="false" customHeight="false" outlineLevel="0" collapsed="false">
      <c r="A229" s="2" t="n">
        <v>14</v>
      </c>
      <c r="B229" s="2" t="s">
        <v>251</v>
      </c>
      <c r="C229" s="2" t="s">
        <v>258</v>
      </c>
      <c r="D229" s="2" t="s">
        <v>2217</v>
      </c>
      <c r="E229" s="2" t="s">
        <v>1395</v>
      </c>
      <c r="F229" s="2" t="s">
        <v>1419</v>
      </c>
      <c r="G229" s="2" t="s">
        <v>2218</v>
      </c>
      <c r="H229" s="2" t="s">
        <v>2219</v>
      </c>
      <c r="I229" s="2" t="s">
        <v>1647</v>
      </c>
      <c r="J229" s="2" t="s">
        <v>2220</v>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row>
    <row r="230" customFormat="false" ht="15" hidden="false" customHeight="false" outlineLevel="0" collapsed="false">
      <c r="A230" s="2" t="n">
        <v>14</v>
      </c>
      <c r="B230" s="2" t="s">
        <v>251</v>
      </c>
      <c r="C230" s="2" t="s">
        <v>258</v>
      </c>
      <c r="D230" s="2" t="s">
        <v>2221</v>
      </c>
      <c r="E230" s="2" t="s">
        <v>1395</v>
      </c>
      <c r="F230" s="2" t="s">
        <v>1419</v>
      </c>
      <c r="G230" s="2" t="s">
        <v>816</v>
      </c>
      <c r="H230" s="2" t="s">
        <v>2222</v>
      </c>
      <c r="I230" s="2" t="s">
        <v>1647</v>
      </c>
      <c r="J230" s="2" t="s">
        <v>2223</v>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1</v>
      </c>
      <c r="AA230" s="2" t="n">
        <v>0</v>
      </c>
      <c r="AB230" s="2" t="n">
        <v>3</v>
      </c>
      <c r="AC230" s="2"/>
    </row>
    <row r="231" customFormat="false" ht="15" hidden="false" customHeight="false" outlineLevel="0" collapsed="false">
      <c r="A231" s="2" t="n">
        <v>14</v>
      </c>
      <c r="B231" s="2" t="s">
        <v>251</v>
      </c>
      <c r="C231" s="2" t="s">
        <v>258</v>
      </c>
      <c r="D231" s="2" t="s">
        <v>2224</v>
      </c>
      <c r="E231" s="2" t="s">
        <v>1395</v>
      </c>
      <c r="F231" s="2" t="s">
        <v>1419</v>
      </c>
      <c r="G231" s="2" t="s">
        <v>816</v>
      </c>
      <c r="H231" s="2" t="s">
        <v>2225</v>
      </c>
      <c r="I231" s="2" t="s">
        <v>1647</v>
      </c>
      <c r="J231" s="2" t="s">
        <v>2226</v>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row>
    <row r="232" customFormat="false" ht="15" hidden="false" customHeight="false" outlineLevel="0" collapsed="false">
      <c r="A232" s="2" t="n">
        <v>14</v>
      </c>
      <c r="B232" s="2" t="s">
        <v>251</v>
      </c>
      <c r="C232" s="2" t="s">
        <v>258</v>
      </c>
      <c r="D232" s="2" t="s">
        <v>2227</v>
      </c>
      <c r="E232" s="2" t="s">
        <v>1395</v>
      </c>
      <c r="F232" s="2" t="s">
        <v>1419</v>
      </c>
      <c r="G232" s="2" t="s">
        <v>816</v>
      </c>
      <c r="H232" s="2" t="s">
        <v>2228</v>
      </c>
      <c r="I232" s="2" t="s">
        <v>1647</v>
      </c>
      <c r="J232" s="2" t="s">
        <v>2229</v>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1</v>
      </c>
      <c r="AA232" s="2" t="n">
        <v>0</v>
      </c>
      <c r="AB232" s="2" t="n">
        <v>3</v>
      </c>
      <c r="AC232" s="2"/>
    </row>
    <row r="233" customFormat="false" ht="15" hidden="false" customHeight="false" outlineLevel="0" collapsed="false">
      <c r="A233" s="2" t="n">
        <v>14</v>
      </c>
      <c r="B233" s="2" t="s">
        <v>251</v>
      </c>
      <c r="C233" s="2" t="s">
        <v>258</v>
      </c>
      <c r="D233" s="2" t="s">
        <v>2230</v>
      </c>
      <c r="E233" s="2" t="s">
        <v>1395</v>
      </c>
      <c r="F233" s="2" t="s">
        <v>1419</v>
      </c>
      <c r="G233" s="2" t="s">
        <v>2231</v>
      </c>
      <c r="H233" s="2" t="s">
        <v>2232</v>
      </c>
      <c r="I233" s="2" t="s">
        <v>1647</v>
      </c>
      <c r="J233" s="2" t="s">
        <v>2233</v>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0</v>
      </c>
      <c r="AA233" s="2" t="n">
        <v>1</v>
      </c>
      <c r="AB233" s="2" t="n">
        <v>1</v>
      </c>
      <c r="AC233" s="2"/>
    </row>
    <row r="234" customFormat="false" ht="15" hidden="false" customHeight="false" outlineLevel="0" collapsed="false">
      <c r="A234" s="2" t="n">
        <v>14</v>
      </c>
      <c r="B234" s="2" t="s">
        <v>251</v>
      </c>
      <c r="C234" s="2" t="s">
        <v>258</v>
      </c>
      <c r="D234" s="2" t="s">
        <v>2234</v>
      </c>
      <c r="E234" s="2" t="s">
        <v>1395</v>
      </c>
      <c r="F234" s="2" t="s">
        <v>1419</v>
      </c>
      <c r="G234" s="2" t="s">
        <v>2235</v>
      </c>
      <c r="H234" s="2" t="s">
        <v>2236</v>
      </c>
      <c r="I234" s="2" t="s">
        <v>1647</v>
      </c>
      <c r="J234" s="2" t="s">
        <v>2237</v>
      </c>
      <c r="K234" s="2" t="n">
        <v>2</v>
      </c>
      <c r="L234" s="2" t="n">
        <v>844</v>
      </c>
      <c r="M234" s="2" t="n">
        <v>669</v>
      </c>
      <c r="N234" s="2" t="n">
        <v>542</v>
      </c>
      <c r="O234" s="2" t="n">
        <v>175</v>
      </c>
      <c r="P234" s="2" t="n">
        <v>0</v>
      </c>
      <c r="Q234" s="2" t="n">
        <v>0</v>
      </c>
      <c r="R234" s="2" t="n">
        <v>0</v>
      </c>
      <c r="S234" s="2" t="n">
        <v>3</v>
      </c>
      <c r="T234" s="2" t="n">
        <v>3</v>
      </c>
      <c r="U234" s="2" t="n">
        <v>0</v>
      </c>
      <c r="V234" s="2" t="n">
        <v>0</v>
      </c>
      <c r="W234" s="2" t="n">
        <v>0</v>
      </c>
      <c r="X234" s="2" t="n">
        <v>0</v>
      </c>
      <c r="Y234" s="2" t="n">
        <v>0</v>
      </c>
      <c r="Z234" s="2" t="n">
        <v>0</v>
      </c>
      <c r="AA234" s="2" t="n">
        <v>1</v>
      </c>
      <c r="AB234" s="2" t="n">
        <v>2</v>
      </c>
      <c r="AC234" s="2"/>
    </row>
    <row r="235" customFormat="false" ht="15" hidden="false" customHeight="false" outlineLevel="0" collapsed="false">
      <c r="A235" s="2" t="n">
        <v>14</v>
      </c>
      <c r="B235" s="2" t="s">
        <v>251</v>
      </c>
      <c r="C235" s="2" t="s">
        <v>258</v>
      </c>
      <c r="D235" s="2" t="s">
        <v>2238</v>
      </c>
      <c r="E235" s="2" t="s">
        <v>1395</v>
      </c>
      <c r="F235" s="2" t="s">
        <v>1419</v>
      </c>
      <c r="G235" s="2" t="s">
        <v>980</v>
      </c>
      <c r="H235" s="2" t="s">
        <v>2239</v>
      </c>
      <c r="I235" s="2" t="s">
        <v>1647</v>
      </c>
      <c r="J235" s="2" t="s">
        <v>2240</v>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0</v>
      </c>
      <c r="AA235" s="2" t="n">
        <v>1</v>
      </c>
      <c r="AB235" s="2" t="n">
        <v>2</v>
      </c>
      <c r="AC235" s="2"/>
    </row>
    <row r="236" customFormat="false" ht="15" hidden="false" customHeight="false" outlineLevel="0" collapsed="false">
      <c r="A236" s="2" t="n">
        <v>14</v>
      </c>
      <c r="B236" s="2" t="s">
        <v>251</v>
      </c>
      <c r="C236" s="2" t="s">
        <v>258</v>
      </c>
      <c r="D236" s="2" t="s">
        <v>2241</v>
      </c>
      <c r="E236" s="2" t="s">
        <v>1395</v>
      </c>
      <c r="F236" s="2" t="s">
        <v>1419</v>
      </c>
      <c r="G236" s="2" t="s">
        <v>1262</v>
      </c>
      <c r="H236" s="2" t="s">
        <v>2242</v>
      </c>
      <c r="I236" s="2" t="s">
        <v>1647</v>
      </c>
      <c r="J236" s="2" t="s">
        <v>2243</v>
      </c>
      <c r="K236" s="2" t="n">
        <v>2</v>
      </c>
      <c r="L236" s="2" t="n">
        <v>647</v>
      </c>
      <c r="M236" s="2" t="n">
        <v>537</v>
      </c>
      <c r="N236" s="2" t="n">
        <v>424</v>
      </c>
      <c r="O236" s="2" t="n">
        <v>110</v>
      </c>
      <c r="P236" s="2" t="n">
        <v>0</v>
      </c>
      <c r="Q236" s="2" t="n">
        <v>0</v>
      </c>
      <c r="R236" s="2" t="n">
        <v>0</v>
      </c>
      <c r="S236" s="2" t="n">
        <v>2</v>
      </c>
      <c r="T236" s="2" t="n">
        <v>2</v>
      </c>
      <c r="U236" s="2" t="n">
        <v>0</v>
      </c>
      <c r="V236" s="2" t="n">
        <v>0</v>
      </c>
      <c r="W236" s="2" t="n">
        <v>0</v>
      </c>
      <c r="X236" s="2" t="n">
        <v>0</v>
      </c>
      <c r="Y236" s="2" t="n">
        <v>0</v>
      </c>
      <c r="Z236" s="2" t="n">
        <v>0</v>
      </c>
      <c r="AA236" s="2" t="n">
        <v>1</v>
      </c>
      <c r="AB236" s="2" t="n">
        <v>1</v>
      </c>
      <c r="AC236" s="2"/>
    </row>
    <row r="237" customFormat="false" ht="15" hidden="false" customHeight="false" outlineLevel="0" collapsed="false">
      <c r="A237" s="2" t="n">
        <v>14</v>
      </c>
      <c r="B237" s="2" t="s">
        <v>251</v>
      </c>
      <c r="C237" s="2" t="s">
        <v>258</v>
      </c>
      <c r="D237" s="2" t="s">
        <v>2244</v>
      </c>
      <c r="E237" s="2" t="s">
        <v>1395</v>
      </c>
      <c r="F237" s="2" t="s">
        <v>1419</v>
      </c>
      <c r="G237" s="2" t="s">
        <v>2245</v>
      </c>
      <c r="H237" s="2" t="s">
        <v>2246</v>
      </c>
      <c r="I237" s="2" t="s">
        <v>1647</v>
      </c>
      <c r="J237" s="2" t="s">
        <v>2247</v>
      </c>
      <c r="K237" s="2" t="n">
        <v>2</v>
      </c>
      <c r="L237" s="2" t="n">
        <v>761</v>
      </c>
      <c r="M237" s="2" t="n">
        <v>666</v>
      </c>
      <c r="N237" s="2" t="n">
        <v>546</v>
      </c>
      <c r="O237" s="2" t="n">
        <v>95</v>
      </c>
      <c r="P237" s="2" t="n">
        <v>0</v>
      </c>
      <c r="Q237" s="2" t="n">
        <v>0</v>
      </c>
      <c r="R237" s="2" t="n">
        <v>0</v>
      </c>
      <c r="S237" s="2" t="n">
        <v>2</v>
      </c>
      <c r="T237" s="2" t="n">
        <v>2</v>
      </c>
      <c r="U237" s="2" t="n">
        <v>0</v>
      </c>
      <c r="V237" s="2" t="n">
        <v>0</v>
      </c>
      <c r="W237" s="2" t="n">
        <v>0</v>
      </c>
      <c r="X237" s="2" t="n">
        <v>0</v>
      </c>
      <c r="Y237" s="2" t="n">
        <v>0</v>
      </c>
      <c r="Z237" s="2" t="n">
        <v>0</v>
      </c>
      <c r="AA237" s="2" t="n">
        <v>1</v>
      </c>
      <c r="AB237" s="2" t="n">
        <v>1</v>
      </c>
      <c r="AC237" s="2"/>
    </row>
    <row r="238" customFormat="false" ht="15" hidden="false" customHeight="false" outlineLevel="0" collapsed="false">
      <c r="A238" s="2" t="n">
        <v>14</v>
      </c>
      <c r="B238" s="2" t="s">
        <v>251</v>
      </c>
      <c r="C238" s="2" t="s">
        <v>258</v>
      </c>
      <c r="D238" s="2" t="s">
        <v>2248</v>
      </c>
      <c r="E238" s="2" t="s">
        <v>1395</v>
      </c>
      <c r="F238" s="2" t="s">
        <v>1419</v>
      </c>
      <c r="G238" s="2" t="s">
        <v>2245</v>
      </c>
      <c r="H238" s="2" t="s">
        <v>2249</v>
      </c>
      <c r="I238" s="2" t="s">
        <v>1647</v>
      </c>
      <c r="J238" s="2" t="s">
        <v>2250</v>
      </c>
      <c r="K238" s="2" t="n">
        <v>2</v>
      </c>
      <c r="L238" s="2" t="n">
        <v>804</v>
      </c>
      <c r="M238" s="2" t="n">
        <v>685</v>
      </c>
      <c r="N238" s="2" t="n">
        <v>568</v>
      </c>
      <c r="O238" s="2" t="n">
        <v>119</v>
      </c>
      <c r="P238" s="2" t="n">
        <v>0</v>
      </c>
      <c r="Q238" s="2" t="n">
        <v>0</v>
      </c>
      <c r="R238" s="2" t="n">
        <v>0</v>
      </c>
      <c r="S238" s="2" t="n">
        <v>2</v>
      </c>
      <c r="T238" s="2" t="n">
        <v>2</v>
      </c>
      <c r="U238" s="2" t="n">
        <v>0</v>
      </c>
      <c r="V238" s="2" t="n">
        <v>0</v>
      </c>
      <c r="W238" s="2" t="n">
        <v>0</v>
      </c>
      <c r="X238" s="2" t="n">
        <v>0</v>
      </c>
      <c r="Y238" s="2" t="n">
        <v>0</v>
      </c>
      <c r="Z238" s="2" t="n">
        <v>0</v>
      </c>
      <c r="AA238" s="2" t="n">
        <v>0</v>
      </c>
      <c r="AB238" s="2" t="n">
        <v>2</v>
      </c>
      <c r="AC238" s="2"/>
    </row>
    <row r="239" customFormat="false" ht="15" hidden="false" customHeight="false" outlineLevel="0" collapsed="false">
      <c r="A239" s="2" t="n">
        <v>14</v>
      </c>
      <c r="B239" s="2" t="s">
        <v>251</v>
      </c>
      <c r="C239" s="2" t="s">
        <v>258</v>
      </c>
      <c r="D239" s="2" t="s">
        <v>2251</v>
      </c>
      <c r="E239" s="2" t="s">
        <v>1395</v>
      </c>
      <c r="F239" s="2" t="s">
        <v>1419</v>
      </c>
      <c r="G239" s="2" t="s">
        <v>1063</v>
      </c>
      <c r="H239" s="2" t="s">
        <v>2252</v>
      </c>
      <c r="I239" s="2" t="s">
        <v>1647</v>
      </c>
      <c r="J239" s="2" t="s">
        <v>2253</v>
      </c>
      <c r="K239" s="2" t="n">
        <v>2</v>
      </c>
      <c r="L239" s="2" t="n">
        <v>864</v>
      </c>
      <c r="M239" s="2" t="n">
        <v>745</v>
      </c>
      <c r="N239" s="2" t="n">
        <v>628</v>
      </c>
      <c r="O239" s="2" t="n">
        <v>119</v>
      </c>
      <c r="P239" s="2" t="n">
        <v>0</v>
      </c>
      <c r="Q239" s="2" t="n">
        <v>0</v>
      </c>
      <c r="R239" s="2" t="n">
        <v>0</v>
      </c>
      <c r="S239" s="2" t="n">
        <v>2</v>
      </c>
      <c r="T239" s="2" t="n">
        <v>2</v>
      </c>
      <c r="U239" s="2" t="n">
        <v>0</v>
      </c>
      <c r="V239" s="2" t="n">
        <v>0</v>
      </c>
      <c r="W239" s="2" t="n">
        <v>0</v>
      </c>
      <c r="X239" s="2" t="n">
        <v>0</v>
      </c>
      <c r="Y239" s="2" t="n">
        <v>0</v>
      </c>
      <c r="Z239" s="2" t="n">
        <v>0</v>
      </c>
      <c r="AA239" s="2" t="n">
        <v>0</v>
      </c>
      <c r="AB239" s="2" t="n">
        <v>2</v>
      </c>
      <c r="AC239" s="2"/>
    </row>
    <row r="240" customFormat="false" ht="15" hidden="false" customHeight="false" outlineLevel="0" collapsed="false">
      <c r="A240" s="2" t="n">
        <v>14</v>
      </c>
      <c r="B240" s="2" t="s">
        <v>251</v>
      </c>
      <c r="C240" s="2" t="s">
        <v>258</v>
      </c>
      <c r="D240" s="2" t="s">
        <v>2254</v>
      </c>
      <c r="E240" s="2" t="s">
        <v>1395</v>
      </c>
      <c r="F240" s="2" t="s">
        <v>1419</v>
      </c>
      <c r="G240" s="2" t="s">
        <v>1041</v>
      </c>
      <c r="H240" s="2" t="s">
        <v>2255</v>
      </c>
      <c r="I240" s="2" t="s">
        <v>1647</v>
      </c>
      <c r="J240" s="2" t="s">
        <v>2256</v>
      </c>
      <c r="K240" s="2" t="n">
        <v>2</v>
      </c>
      <c r="L240" s="2" t="n">
        <v>865</v>
      </c>
      <c r="M240" s="2" t="n">
        <v>642</v>
      </c>
      <c r="N240" s="2" t="n">
        <v>527</v>
      </c>
      <c r="O240" s="2" t="n">
        <v>223</v>
      </c>
      <c r="P240" s="2" t="n">
        <v>0</v>
      </c>
      <c r="Q240" s="2" t="n">
        <v>0</v>
      </c>
      <c r="R240" s="2" t="n">
        <v>0</v>
      </c>
      <c r="S240" s="2" t="n">
        <v>4</v>
      </c>
      <c r="T240" s="2" t="n">
        <v>4</v>
      </c>
      <c r="U240" s="2" t="n">
        <v>0</v>
      </c>
      <c r="V240" s="2" t="n">
        <v>0</v>
      </c>
      <c r="W240" s="2" t="n">
        <v>0</v>
      </c>
      <c r="X240" s="2" t="n">
        <v>0</v>
      </c>
      <c r="Y240" s="2" t="n">
        <v>0</v>
      </c>
      <c r="Z240" s="2" t="n">
        <v>0</v>
      </c>
      <c r="AA240" s="2" t="n">
        <v>1</v>
      </c>
      <c r="AB240" s="2" t="n">
        <v>3</v>
      </c>
      <c r="AC240" s="2"/>
    </row>
    <row r="241" customFormat="false" ht="15" hidden="false" customHeight="false" outlineLevel="0" collapsed="false">
      <c r="A241" s="2" t="n">
        <v>14</v>
      </c>
      <c r="B241" s="2" t="s">
        <v>251</v>
      </c>
      <c r="C241" s="2" t="s">
        <v>258</v>
      </c>
      <c r="D241" s="2" t="s">
        <v>2257</v>
      </c>
      <c r="E241" s="2" t="s">
        <v>1395</v>
      </c>
      <c r="F241" s="2" t="s">
        <v>1419</v>
      </c>
      <c r="G241" s="2" t="s">
        <v>1041</v>
      </c>
      <c r="H241" s="2" t="s">
        <v>2258</v>
      </c>
      <c r="I241" s="2" t="s">
        <v>1647</v>
      </c>
      <c r="J241" s="2" t="s">
        <v>2259</v>
      </c>
      <c r="K241" s="2" t="n">
        <v>2</v>
      </c>
      <c r="L241" s="2" t="n">
        <v>815</v>
      </c>
      <c r="M241" s="2" t="n">
        <v>725</v>
      </c>
      <c r="N241" s="2" t="n">
        <v>605</v>
      </c>
      <c r="O241" s="2" t="n">
        <v>90</v>
      </c>
      <c r="P241" s="2" t="n">
        <v>0</v>
      </c>
      <c r="Q241" s="2" t="n">
        <v>0</v>
      </c>
      <c r="R241" s="2" t="n">
        <v>0</v>
      </c>
      <c r="S241" s="2" t="n">
        <v>2</v>
      </c>
      <c r="T241" s="2" t="n">
        <v>2</v>
      </c>
      <c r="U241" s="2" t="n">
        <v>0</v>
      </c>
      <c r="V241" s="2" t="n">
        <v>0</v>
      </c>
      <c r="W241" s="2" t="n">
        <v>0</v>
      </c>
      <c r="X241" s="2" t="n">
        <v>0</v>
      </c>
      <c r="Y241" s="2" t="n">
        <v>0</v>
      </c>
      <c r="Z241" s="2" t="n">
        <v>0</v>
      </c>
      <c r="AA241" s="2" t="n">
        <v>1</v>
      </c>
      <c r="AB241" s="2" t="n">
        <v>1</v>
      </c>
      <c r="AC241" s="2"/>
    </row>
    <row r="242" customFormat="false" ht="15" hidden="false" customHeight="false" outlineLevel="0" collapsed="false">
      <c r="A242" s="2" t="n">
        <v>14</v>
      </c>
      <c r="B242" s="2" t="s">
        <v>251</v>
      </c>
      <c r="C242" s="2" t="s">
        <v>258</v>
      </c>
      <c r="D242" s="2" t="s">
        <v>2260</v>
      </c>
      <c r="E242" s="2" t="s">
        <v>1395</v>
      </c>
      <c r="F242" s="2" t="s">
        <v>1419</v>
      </c>
      <c r="G242" s="2" t="s">
        <v>1041</v>
      </c>
      <c r="H242" s="2" t="s">
        <v>2261</v>
      </c>
      <c r="I242" s="2" t="s">
        <v>1647</v>
      </c>
      <c r="J242" s="2" t="s">
        <v>2262</v>
      </c>
      <c r="K242" s="2" t="n">
        <v>2</v>
      </c>
      <c r="L242" s="2" t="n">
        <v>823</v>
      </c>
      <c r="M242" s="2" t="n">
        <v>730</v>
      </c>
      <c r="N242" s="2" t="n">
        <v>610</v>
      </c>
      <c r="O242" s="2" t="n">
        <v>93</v>
      </c>
      <c r="P242" s="2" t="n">
        <v>0</v>
      </c>
      <c r="Q242" s="2" t="n">
        <v>0</v>
      </c>
      <c r="R242" s="2" t="n">
        <v>0</v>
      </c>
      <c r="S242" s="2" t="n">
        <v>2</v>
      </c>
      <c r="T242" s="2" t="n">
        <v>2</v>
      </c>
      <c r="U242" s="2" t="n">
        <v>0</v>
      </c>
      <c r="V242" s="2" t="n">
        <v>0</v>
      </c>
      <c r="W242" s="2" t="n">
        <v>0</v>
      </c>
      <c r="X242" s="2" t="n">
        <v>0</v>
      </c>
      <c r="Y242" s="2" t="n">
        <v>0</v>
      </c>
      <c r="Z242" s="2" t="n">
        <v>0</v>
      </c>
      <c r="AA242" s="2" t="n">
        <v>1</v>
      </c>
      <c r="AB242" s="2" t="n">
        <v>1</v>
      </c>
      <c r="AC242" s="2"/>
    </row>
    <row r="243" customFormat="false" ht="15" hidden="false" customHeight="false" outlineLevel="0" collapsed="false">
      <c r="A243" s="2" t="n">
        <v>14</v>
      </c>
      <c r="B243" s="2" t="s">
        <v>251</v>
      </c>
      <c r="C243" s="2" t="s">
        <v>258</v>
      </c>
      <c r="D243" s="2" t="s">
        <v>2263</v>
      </c>
      <c r="E243" s="2" t="s">
        <v>1395</v>
      </c>
      <c r="F243" s="2" t="s">
        <v>1419</v>
      </c>
      <c r="G243" s="2" t="s">
        <v>2264</v>
      </c>
      <c r="H243" s="2" t="s">
        <v>2265</v>
      </c>
      <c r="I243" s="2" t="s">
        <v>1647</v>
      </c>
      <c r="J243" s="2" t="s">
        <v>2266</v>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row>
    <row r="244" customFormat="false" ht="15" hidden="false" customHeight="false" outlineLevel="0" collapsed="false">
      <c r="A244" s="2" t="n">
        <v>14</v>
      </c>
      <c r="B244" s="2" t="s">
        <v>251</v>
      </c>
      <c r="C244" s="2" t="s">
        <v>258</v>
      </c>
      <c r="D244" s="2" t="s">
        <v>2267</v>
      </c>
      <c r="E244" s="2" t="s">
        <v>1395</v>
      </c>
      <c r="F244" s="2" t="s">
        <v>1419</v>
      </c>
      <c r="G244" s="2" t="s">
        <v>2264</v>
      </c>
      <c r="H244" s="2" t="s">
        <v>2268</v>
      </c>
      <c r="I244" s="2" t="s">
        <v>1647</v>
      </c>
      <c r="J244" s="2" t="s">
        <v>2269</v>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row>
    <row r="245" customFormat="false" ht="15" hidden="false" customHeight="false" outlineLevel="0" collapsed="false">
      <c r="A245" s="2" t="n">
        <v>14</v>
      </c>
      <c r="B245" s="2" t="s">
        <v>251</v>
      </c>
      <c r="C245" s="2" t="s">
        <v>258</v>
      </c>
      <c r="D245" s="2" t="s">
        <v>2270</v>
      </c>
      <c r="E245" s="2" t="s">
        <v>1395</v>
      </c>
      <c r="F245" s="2" t="s">
        <v>1419</v>
      </c>
      <c r="G245" s="2" t="s">
        <v>2271</v>
      </c>
      <c r="H245" s="2" t="s">
        <v>2272</v>
      </c>
      <c r="I245" s="2" t="s">
        <v>1647</v>
      </c>
      <c r="J245" s="2" t="s">
        <v>2273</v>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row>
    <row r="246" customFormat="false" ht="15" hidden="false" customHeight="false" outlineLevel="0" collapsed="false">
      <c r="A246" s="2" t="n">
        <v>14</v>
      </c>
      <c r="B246" s="2" t="s">
        <v>251</v>
      </c>
      <c r="C246" s="2" t="s">
        <v>258</v>
      </c>
      <c r="D246" s="2" t="s">
        <v>2274</v>
      </c>
      <c r="E246" s="2" t="s">
        <v>1395</v>
      </c>
      <c r="F246" s="2" t="s">
        <v>1396</v>
      </c>
      <c r="G246" s="2" t="s">
        <v>2271</v>
      </c>
      <c r="H246" s="2" t="s">
        <v>2275</v>
      </c>
      <c r="I246" s="2" t="s">
        <v>1374</v>
      </c>
      <c r="J246" s="2" t="s">
        <v>2276</v>
      </c>
      <c r="K246" s="2" t="n">
        <v>7</v>
      </c>
      <c r="L246" s="2" t="n">
        <v>1307</v>
      </c>
      <c r="M246" s="2" t="n">
        <v>304</v>
      </c>
      <c r="N246" s="2" t="n">
        <v>210</v>
      </c>
      <c r="O246" s="2" t="n">
        <v>246</v>
      </c>
      <c r="P246" s="2" t="n">
        <v>757</v>
      </c>
      <c r="Q246" s="2" t="n">
        <v>0</v>
      </c>
      <c r="R246" s="2" t="n">
        <v>0</v>
      </c>
      <c r="S246" s="2" t="n">
        <v>13</v>
      </c>
      <c r="T246" s="2" t="n">
        <v>12</v>
      </c>
      <c r="U246" s="2" t="n">
        <v>0</v>
      </c>
      <c r="V246" s="2" t="n">
        <v>0</v>
      </c>
      <c r="W246" s="2" t="n">
        <v>1</v>
      </c>
      <c r="X246" s="2" t="n">
        <v>0</v>
      </c>
      <c r="Y246" s="2" t="n">
        <v>2</v>
      </c>
      <c r="Z246" s="2" t="n">
        <v>3</v>
      </c>
      <c r="AA246" s="2" t="n">
        <v>0</v>
      </c>
      <c r="AB246" s="2" t="n">
        <v>8</v>
      </c>
      <c r="AC246" s="2"/>
    </row>
    <row r="247" customFormat="false" ht="15" hidden="false" customHeight="false" outlineLevel="0" collapsed="false">
      <c r="A247" s="2" t="n">
        <v>14</v>
      </c>
      <c r="B247" s="2" t="s">
        <v>251</v>
      </c>
      <c r="C247" s="2" t="s">
        <v>258</v>
      </c>
      <c r="D247" s="2" t="s">
        <v>2277</v>
      </c>
      <c r="E247" s="2" t="s">
        <v>1395</v>
      </c>
      <c r="F247" s="2" t="s">
        <v>1419</v>
      </c>
      <c r="G247" s="2" t="s">
        <v>1022</v>
      </c>
      <c r="H247" s="2" t="s">
        <v>2278</v>
      </c>
      <c r="I247" s="2" t="s">
        <v>1647</v>
      </c>
      <c r="J247" s="2" t="s">
        <v>2279</v>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0</v>
      </c>
      <c r="AA247" s="2" t="n">
        <v>1</v>
      </c>
      <c r="AB247" s="2" t="n">
        <v>3</v>
      </c>
      <c r="AC247" s="2"/>
    </row>
    <row r="248" customFormat="false" ht="15" hidden="false" customHeight="false" outlineLevel="0" collapsed="false">
      <c r="A248" s="2" t="n">
        <v>14</v>
      </c>
      <c r="B248" s="2" t="s">
        <v>251</v>
      </c>
      <c r="C248" s="2" t="s">
        <v>258</v>
      </c>
      <c r="D248" s="2" t="s">
        <v>2280</v>
      </c>
      <c r="E248" s="2" t="s">
        <v>1395</v>
      </c>
      <c r="F248" s="2" t="s">
        <v>1396</v>
      </c>
      <c r="G248" s="2" t="s">
        <v>1113</v>
      </c>
      <c r="H248" s="2" t="s">
        <v>2281</v>
      </c>
      <c r="I248" s="2" t="s">
        <v>1374</v>
      </c>
      <c r="J248" s="2" t="s">
        <v>2282</v>
      </c>
      <c r="K248" s="2" t="n">
        <v>12</v>
      </c>
      <c r="L248" s="2" t="n">
        <v>6206</v>
      </c>
      <c r="M248" s="2" t="n">
        <v>915</v>
      </c>
      <c r="N248" s="2" t="n">
        <v>822</v>
      </c>
      <c r="O248" s="2" t="n">
        <v>5291</v>
      </c>
      <c r="P248" s="2" t="n">
        <v>0</v>
      </c>
      <c r="Q248" s="2" t="n">
        <v>0</v>
      </c>
      <c r="R248" s="2" t="n">
        <v>0</v>
      </c>
      <c r="S248" s="2" t="n">
        <v>29</v>
      </c>
      <c r="T248" s="2" t="n">
        <v>29</v>
      </c>
      <c r="U248" s="2" t="n">
        <v>0</v>
      </c>
      <c r="V248" s="2" t="n">
        <v>0</v>
      </c>
      <c r="W248" s="2" t="n">
        <v>0</v>
      </c>
      <c r="X248" s="2" t="n">
        <v>0</v>
      </c>
      <c r="Y248" s="2" t="n">
        <v>10</v>
      </c>
      <c r="Z248" s="2" t="n">
        <v>9</v>
      </c>
      <c r="AA248" s="2" t="n">
        <v>0</v>
      </c>
      <c r="AB248" s="2" t="n">
        <v>10</v>
      </c>
      <c r="AC248" s="2"/>
    </row>
    <row r="249" customFormat="false" ht="15" hidden="false" customHeight="false" outlineLevel="0" collapsed="false">
      <c r="A249" s="2" t="n">
        <v>14</v>
      </c>
      <c r="B249" s="2" t="s">
        <v>251</v>
      </c>
      <c r="C249" s="2" t="s">
        <v>258</v>
      </c>
      <c r="D249" s="2" t="s">
        <v>2283</v>
      </c>
      <c r="E249" s="2" t="s">
        <v>1395</v>
      </c>
      <c r="F249" s="2" t="s">
        <v>1419</v>
      </c>
      <c r="G249" s="2" t="s">
        <v>2284</v>
      </c>
      <c r="H249" s="2" t="s">
        <v>2285</v>
      </c>
      <c r="I249" s="2" t="s">
        <v>1647</v>
      </c>
      <c r="J249" s="2" t="s">
        <v>2286</v>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0</v>
      </c>
      <c r="AA249" s="2" t="n">
        <v>1</v>
      </c>
      <c r="AB249" s="2" t="n">
        <v>1</v>
      </c>
      <c r="AC249" s="2"/>
    </row>
    <row r="250" customFormat="false" ht="15" hidden="false" customHeight="false" outlineLevel="0" collapsed="false">
      <c r="A250" s="2" t="n">
        <v>14</v>
      </c>
      <c r="B250" s="2" t="s">
        <v>251</v>
      </c>
      <c r="C250" s="2" t="s">
        <v>258</v>
      </c>
      <c r="D250" s="2" t="s">
        <v>2287</v>
      </c>
      <c r="E250" s="2" t="s">
        <v>1395</v>
      </c>
      <c r="F250" s="2" t="s">
        <v>1419</v>
      </c>
      <c r="G250" s="2" t="s">
        <v>329</v>
      </c>
      <c r="H250" s="2" t="s">
        <v>2288</v>
      </c>
      <c r="I250" s="2" t="s">
        <v>1647</v>
      </c>
      <c r="J250" s="2" t="s">
        <v>2289</v>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0</v>
      </c>
      <c r="AA250" s="2" t="n">
        <v>0</v>
      </c>
      <c r="AB250" s="2" t="n">
        <v>2</v>
      </c>
      <c r="AC250" s="2"/>
    </row>
    <row r="251" customFormat="false" ht="15" hidden="false" customHeight="false" outlineLevel="0" collapsed="false">
      <c r="A251" s="2" t="n">
        <v>14</v>
      </c>
      <c r="B251" s="2" t="s">
        <v>251</v>
      </c>
      <c r="C251" s="2" t="s">
        <v>258</v>
      </c>
      <c r="D251" s="2" t="s">
        <v>2290</v>
      </c>
      <c r="E251" s="2" t="s">
        <v>1395</v>
      </c>
      <c r="F251" s="2" t="s">
        <v>1419</v>
      </c>
      <c r="G251" s="2" t="s">
        <v>2291</v>
      </c>
      <c r="H251" s="2" t="s">
        <v>2292</v>
      </c>
      <c r="I251" s="2" t="s">
        <v>1647</v>
      </c>
      <c r="J251" s="2" t="s">
        <v>2293</v>
      </c>
      <c r="K251" s="2" t="n">
        <v>2</v>
      </c>
      <c r="L251" s="2" t="n">
        <v>800</v>
      </c>
      <c r="M251" s="2" t="n">
        <v>700</v>
      </c>
      <c r="N251" s="2" t="n">
        <v>581</v>
      </c>
      <c r="O251" s="2" t="n">
        <v>100</v>
      </c>
      <c r="P251" s="2" t="n">
        <v>0</v>
      </c>
      <c r="Q251" s="2" t="n">
        <v>0</v>
      </c>
      <c r="R251" s="2" t="n">
        <v>0</v>
      </c>
      <c r="S251" s="2" t="n">
        <v>2</v>
      </c>
      <c r="T251" s="2" t="n">
        <v>2</v>
      </c>
      <c r="U251" s="2" t="n">
        <v>0</v>
      </c>
      <c r="V251" s="2" t="n">
        <v>0</v>
      </c>
      <c r="W251" s="2" t="n">
        <v>0</v>
      </c>
      <c r="X251" s="2" t="n">
        <v>0</v>
      </c>
      <c r="Y251" s="2" t="n">
        <v>0</v>
      </c>
      <c r="Z251" s="2" t="n">
        <v>0</v>
      </c>
      <c r="AA251" s="2" t="n">
        <v>0</v>
      </c>
      <c r="AB251" s="2" t="n">
        <v>2</v>
      </c>
      <c r="AC251" s="2"/>
    </row>
    <row r="252" customFormat="false" ht="15" hidden="false" customHeight="false" outlineLevel="0" collapsed="false">
      <c r="A252" s="2" t="n">
        <v>14</v>
      </c>
      <c r="B252" s="2" t="s">
        <v>251</v>
      </c>
      <c r="C252" s="2" t="s">
        <v>258</v>
      </c>
      <c r="D252" s="2" t="s">
        <v>2294</v>
      </c>
      <c r="E252" s="2" t="s">
        <v>1395</v>
      </c>
      <c r="F252" s="2" t="s">
        <v>1419</v>
      </c>
      <c r="G252" s="2" t="s">
        <v>2295</v>
      </c>
      <c r="H252" s="2" t="s">
        <v>2296</v>
      </c>
      <c r="I252" s="2" t="s">
        <v>1647</v>
      </c>
      <c r="J252" s="2" t="s">
        <v>2297</v>
      </c>
      <c r="K252" s="2" t="n">
        <v>2</v>
      </c>
      <c r="L252" s="2" t="n">
        <v>890</v>
      </c>
      <c r="M252" s="2" t="n">
        <v>778</v>
      </c>
      <c r="N252" s="2" t="n">
        <v>664</v>
      </c>
      <c r="O252" s="2" t="n">
        <v>112</v>
      </c>
      <c r="P252" s="2" t="n">
        <v>0</v>
      </c>
      <c r="Q252" s="2" t="n">
        <v>0</v>
      </c>
      <c r="R252" s="2" t="n">
        <v>0</v>
      </c>
      <c r="S252" s="2" t="n">
        <v>2</v>
      </c>
      <c r="T252" s="2" t="n">
        <v>2</v>
      </c>
      <c r="U252" s="2" t="n">
        <v>0</v>
      </c>
      <c r="V252" s="2" t="n">
        <v>0</v>
      </c>
      <c r="W252" s="2" t="n">
        <v>0</v>
      </c>
      <c r="X252" s="2" t="n">
        <v>0</v>
      </c>
      <c r="Y252" s="2" t="n">
        <v>0</v>
      </c>
      <c r="Z252" s="2" t="n">
        <v>0</v>
      </c>
      <c r="AA252" s="2" t="n">
        <v>0</v>
      </c>
      <c r="AB252" s="2" t="n">
        <v>2</v>
      </c>
      <c r="AC252" s="2"/>
    </row>
    <row r="253" customFormat="false" ht="15" hidden="false" customHeight="false" outlineLevel="0" collapsed="false">
      <c r="A253" s="2" t="n">
        <v>14</v>
      </c>
      <c r="B253" s="2" t="s">
        <v>251</v>
      </c>
      <c r="C253" s="2" t="s">
        <v>258</v>
      </c>
      <c r="D253" s="2" t="s">
        <v>2298</v>
      </c>
      <c r="E253" s="2" t="s">
        <v>1395</v>
      </c>
      <c r="F253" s="2" t="s">
        <v>1419</v>
      </c>
      <c r="G253" s="2" t="s">
        <v>2299</v>
      </c>
      <c r="H253" s="2" t="s">
        <v>2300</v>
      </c>
      <c r="I253" s="2" t="s">
        <v>1647</v>
      </c>
      <c r="J253" s="2" t="s">
        <v>2301</v>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row>
    <row r="254" customFormat="false" ht="15" hidden="false" customHeight="false" outlineLevel="0" collapsed="false">
      <c r="A254" s="2" t="n">
        <v>15</v>
      </c>
      <c r="B254" s="2" t="s">
        <v>267</v>
      </c>
      <c r="C254" s="2" t="s">
        <v>272</v>
      </c>
      <c r="D254" s="2" t="s">
        <v>2302</v>
      </c>
      <c r="E254" s="2" t="s">
        <v>1370</v>
      </c>
      <c r="F254" s="2" t="s">
        <v>1410</v>
      </c>
      <c r="G254" s="2" t="s">
        <v>2303</v>
      </c>
      <c r="H254" s="2" t="s">
        <v>2304</v>
      </c>
      <c r="I254" s="2" t="s">
        <v>1374</v>
      </c>
      <c r="J254" s="2" t="s">
        <v>2305</v>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1</v>
      </c>
      <c r="Z254" s="2" t="n">
        <v>1</v>
      </c>
      <c r="AA254" s="2" t="n">
        <v>0</v>
      </c>
      <c r="AB254" s="2" t="n">
        <v>1</v>
      </c>
      <c r="AC254" s="2" t="s">
        <v>1376</v>
      </c>
    </row>
    <row r="255" customFormat="false" ht="15" hidden="false" customHeight="false" outlineLevel="0" collapsed="false">
      <c r="A255" s="2" t="n">
        <v>15</v>
      </c>
      <c r="B255" s="2" t="s">
        <v>267</v>
      </c>
      <c r="C255" s="2" t="s">
        <v>272</v>
      </c>
      <c r="D255" s="2" t="s">
        <v>2306</v>
      </c>
      <c r="E255" s="2" t="s">
        <v>1370</v>
      </c>
      <c r="F255" s="2" t="s">
        <v>1410</v>
      </c>
      <c r="G255" s="2" t="s">
        <v>2303</v>
      </c>
      <c r="H255" s="2" t="s">
        <v>2307</v>
      </c>
      <c r="I255" s="2" t="s">
        <v>1374</v>
      </c>
      <c r="J255" s="2" t="s">
        <v>2308</v>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3</v>
      </c>
      <c r="Z255" s="2" t="n">
        <v>0</v>
      </c>
      <c r="AA255" s="2" t="n">
        <v>0</v>
      </c>
      <c r="AB255" s="2" t="n">
        <v>3</v>
      </c>
      <c r="AC255" s="2" t="s">
        <v>1376</v>
      </c>
    </row>
    <row r="256" customFormat="false" ht="15" hidden="false" customHeight="false" outlineLevel="0" collapsed="false">
      <c r="A256" s="2" t="n">
        <v>15</v>
      </c>
      <c r="B256" s="2" t="s">
        <v>267</v>
      </c>
      <c r="C256" s="2" t="s">
        <v>272</v>
      </c>
      <c r="D256" s="2" t="s">
        <v>2309</v>
      </c>
      <c r="E256" s="2" t="s">
        <v>1370</v>
      </c>
      <c r="F256" s="2" t="s">
        <v>1410</v>
      </c>
      <c r="G256" s="2" t="s">
        <v>1123</v>
      </c>
      <c r="H256" s="2" t="s">
        <v>2310</v>
      </c>
      <c r="I256" s="2" t="s">
        <v>1374</v>
      </c>
      <c r="J256" s="2" t="s">
        <v>2311</v>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1</v>
      </c>
      <c r="AB256" s="2" t="n">
        <v>2</v>
      </c>
      <c r="AC256" s="2" t="s">
        <v>1376</v>
      </c>
    </row>
    <row r="257" customFormat="false" ht="15" hidden="false" customHeight="false" outlineLevel="0" collapsed="false">
      <c r="A257" s="2" t="n">
        <v>16</v>
      </c>
      <c r="B257" s="2" t="s">
        <v>280</v>
      </c>
      <c r="C257" s="2" t="s">
        <v>286</v>
      </c>
      <c r="D257" s="2" t="s">
        <v>2312</v>
      </c>
      <c r="E257" s="2" t="s">
        <v>1378</v>
      </c>
      <c r="F257" s="2" t="s">
        <v>1379</v>
      </c>
      <c r="G257" s="2" t="s">
        <v>2313</v>
      </c>
      <c r="H257" s="2" t="s">
        <v>2314</v>
      </c>
      <c r="I257" s="2" t="s">
        <v>1374</v>
      </c>
      <c r="J257" s="2" t="s">
        <v>2315</v>
      </c>
      <c r="K257" s="2" t="n">
        <v>2</v>
      </c>
      <c r="L257" s="2" t="n">
        <v>927</v>
      </c>
      <c r="M257" s="2" t="n">
        <v>635</v>
      </c>
      <c r="N257" s="2" t="n">
        <v>540</v>
      </c>
      <c r="O257" s="2" t="n">
        <v>292</v>
      </c>
      <c r="P257" s="2" t="n">
        <v>0</v>
      </c>
      <c r="Q257" s="2" t="n">
        <v>0</v>
      </c>
      <c r="R257" s="2" t="n">
        <v>0</v>
      </c>
      <c r="S257" s="2" t="n">
        <v>2</v>
      </c>
      <c r="T257" s="2" t="n">
        <v>0</v>
      </c>
      <c r="U257" s="2" t="n">
        <v>2</v>
      </c>
      <c r="V257" s="2" t="n">
        <v>0</v>
      </c>
      <c r="W257" s="2" t="n">
        <v>0</v>
      </c>
      <c r="X257" s="2" t="n">
        <v>0</v>
      </c>
      <c r="Y257" s="2" t="n">
        <v>0</v>
      </c>
      <c r="Z257" s="2" t="n">
        <v>2</v>
      </c>
      <c r="AA257" s="2" t="n">
        <v>0</v>
      </c>
      <c r="AB257" s="2" t="n">
        <v>0</v>
      </c>
      <c r="AC257" s="2"/>
    </row>
    <row r="258" customFormat="false" ht="15" hidden="false" customHeight="false" outlineLevel="0" collapsed="false">
      <c r="A258" s="2" t="n">
        <v>16</v>
      </c>
      <c r="B258" s="2" t="s">
        <v>280</v>
      </c>
      <c r="C258" s="2" t="s">
        <v>286</v>
      </c>
      <c r="D258" s="2" t="s">
        <v>2316</v>
      </c>
      <c r="E258" s="2" t="s">
        <v>1378</v>
      </c>
      <c r="F258" s="2" t="s">
        <v>1379</v>
      </c>
      <c r="G258" s="2" t="s">
        <v>2317</v>
      </c>
      <c r="H258" s="2" t="s">
        <v>2318</v>
      </c>
      <c r="I258" s="2" t="s">
        <v>1374</v>
      </c>
      <c r="J258" s="2" t="s">
        <v>2319</v>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9</v>
      </c>
      <c r="Z258" s="2" t="n">
        <v>2</v>
      </c>
      <c r="AA258" s="2" t="n">
        <v>17</v>
      </c>
      <c r="AB258" s="2" t="n">
        <v>8</v>
      </c>
      <c r="AC258" s="2"/>
    </row>
    <row r="259" customFormat="false" ht="15" hidden="false" customHeight="false" outlineLevel="0" collapsed="false">
      <c r="A259" s="2" t="n">
        <v>16</v>
      </c>
      <c r="B259" s="2" t="s">
        <v>280</v>
      </c>
      <c r="C259" s="2" t="s">
        <v>286</v>
      </c>
      <c r="D259" s="2" t="s">
        <v>2320</v>
      </c>
      <c r="E259" s="2" t="s">
        <v>1395</v>
      </c>
      <c r="F259" s="2" t="s">
        <v>1396</v>
      </c>
      <c r="G259" s="2" t="s">
        <v>511</v>
      </c>
      <c r="H259" s="2" t="s">
        <v>2321</v>
      </c>
      <c r="I259" s="2" t="s">
        <v>1374</v>
      </c>
      <c r="J259" s="2" t="s">
        <v>2322</v>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1</v>
      </c>
      <c r="Z259" s="2" t="n">
        <v>15</v>
      </c>
      <c r="AA259" s="2" t="n">
        <v>2</v>
      </c>
      <c r="AB259" s="2" t="n">
        <v>25</v>
      </c>
      <c r="AC259" s="2"/>
    </row>
    <row r="260" customFormat="false" ht="15" hidden="false" customHeight="false" outlineLevel="0" collapsed="false">
      <c r="A260" s="2" t="n">
        <v>17</v>
      </c>
      <c r="B260" s="2" t="s">
        <v>294</v>
      </c>
      <c r="C260" s="2" t="s">
        <v>300</v>
      </c>
      <c r="D260" s="2" t="s">
        <v>2323</v>
      </c>
      <c r="E260" s="2" t="s">
        <v>1378</v>
      </c>
      <c r="F260" s="2" t="s">
        <v>2324</v>
      </c>
      <c r="G260" s="2" t="s">
        <v>303</v>
      </c>
      <c r="H260" s="2" t="s">
        <v>2325</v>
      </c>
      <c r="I260" s="2" t="s">
        <v>1374</v>
      </c>
      <c r="J260" s="2" t="s">
        <v>2326</v>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row>
    <row r="261" customFormat="false" ht="15" hidden="false" customHeight="false" outlineLevel="0" collapsed="false">
      <c r="A261" s="2" t="n">
        <v>17</v>
      </c>
      <c r="B261" s="2" t="s">
        <v>294</v>
      </c>
      <c r="C261" s="2" t="s">
        <v>300</v>
      </c>
      <c r="D261" s="2" t="s">
        <v>2327</v>
      </c>
      <c r="E261" s="2" t="s">
        <v>1378</v>
      </c>
      <c r="F261" s="2" t="s">
        <v>1379</v>
      </c>
      <c r="G261" s="2" t="s">
        <v>2328</v>
      </c>
      <c r="H261" s="2" t="s">
        <v>2329</v>
      </c>
      <c r="I261" s="2" t="s">
        <v>1374</v>
      </c>
      <c r="J261" s="2" t="s">
        <v>2330</v>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row>
    <row r="262" customFormat="false" ht="15" hidden="false" customHeight="false" outlineLevel="0" collapsed="false">
      <c r="A262" s="2" t="n">
        <v>17</v>
      </c>
      <c r="B262" s="2" t="s">
        <v>294</v>
      </c>
      <c r="C262" s="2" t="s">
        <v>300</v>
      </c>
      <c r="D262" s="2" t="s">
        <v>2331</v>
      </c>
      <c r="E262" s="2" t="s">
        <v>1378</v>
      </c>
      <c r="F262" s="2" t="s">
        <v>2324</v>
      </c>
      <c r="G262" s="2" t="s">
        <v>2332</v>
      </c>
      <c r="H262" s="2" t="s">
        <v>2333</v>
      </c>
      <c r="I262" s="2" t="s">
        <v>1374</v>
      </c>
      <c r="J262" s="2" t="s">
        <v>2334</v>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row>
    <row r="263" customFormat="false" ht="15" hidden="false" customHeight="false" outlineLevel="0" collapsed="false">
      <c r="A263" s="2" t="n">
        <v>17</v>
      </c>
      <c r="B263" s="2" t="s">
        <v>294</v>
      </c>
      <c r="C263" s="2" t="s">
        <v>300</v>
      </c>
      <c r="D263" s="2" t="s">
        <v>2335</v>
      </c>
      <c r="E263" s="2" t="s">
        <v>1378</v>
      </c>
      <c r="F263" s="2" t="s">
        <v>2324</v>
      </c>
      <c r="G263" s="2" t="s">
        <v>2336</v>
      </c>
      <c r="H263" s="2" t="s">
        <v>2337</v>
      </c>
      <c r="I263" s="2" t="s">
        <v>1374</v>
      </c>
      <c r="J263" s="2" t="s">
        <v>2338</v>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row>
    <row r="264" customFormat="false" ht="15" hidden="false" customHeight="false" outlineLevel="0" collapsed="false">
      <c r="A264" s="2" t="n">
        <v>17</v>
      </c>
      <c r="B264" s="2" t="s">
        <v>294</v>
      </c>
      <c r="C264" s="2" t="s">
        <v>300</v>
      </c>
      <c r="D264" s="2" t="s">
        <v>2339</v>
      </c>
      <c r="E264" s="2" t="s">
        <v>1378</v>
      </c>
      <c r="F264" s="2" t="s">
        <v>2324</v>
      </c>
      <c r="G264" s="2" t="s">
        <v>2340</v>
      </c>
      <c r="H264" s="2" t="s">
        <v>2341</v>
      </c>
      <c r="I264" s="2" t="s">
        <v>1374</v>
      </c>
      <c r="J264" s="2" t="s">
        <v>2342</v>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row>
    <row r="265" customFormat="false" ht="15" hidden="false" customHeight="false" outlineLevel="0" collapsed="false">
      <c r="A265" s="2" t="n">
        <v>17</v>
      </c>
      <c r="B265" s="2" t="s">
        <v>294</v>
      </c>
      <c r="C265" s="2" t="s">
        <v>300</v>
      </c>
      <c r="D265" s="2" t="s">
        <v>2343</v>
      </c>
      <c r="E265" s="2" t="s">
        <v>1378</v>
      </c>
      <c r="F265" s="2" t="s">
        <v>2324</v>
      </c>
      <c r="G265" s="2" t="s">
        <v>2344</v>
      </c>
      <c r="H265" s="2" t="s">
        <v>2345</v>
      </c>
      <c r="I265" s="2" t="s">
        <v>1374</v>
      </c>
      <c r="J265" s="2" t="s">
        <v>2346</v>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row>
    <row r="266" customFormat="false" ht="15" hidden="false" customHeight="false" outlineLevel="0" collapsed="false">
      <c r="A266" s="2" t="n">
        <v>17</v>
      </c>
      <c r="B266" s="2" t="s">
        <v>294</v>
      </c>
      <c r="C266" s="2" t="s">
        <v>300</v>
      </c>
      <c r="D266" s="2" t="s">
        <v>2347</v>
      </c>
      <c r="E266" s="2" t="s">
        <v>1378</v>
      </c>
      <c r="F266" s="2" t="s">
        <v>2324</v>
      </c>
      <c r="G266" s="2" t="s">
        <v>2344</v>
      </c>
      <c r="H266" s="2" t="s">
        <v>2348</v>
      </c>
      <c r="I266" s="2" t="s">
        <v>1374</v>
      </c>
      <c r="J266" s="2" t="s">
        <v>2349</v>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row>
    <row r="267" customFormat="false" ht="15" hidden="false" customHeight="false" outlineLevel="0" collapsed="false">
      <c r="A267" s="2" t="n">
        <v>17</v>
      </c>
      <c r="B267" s="2" t="s">
        <v>294</v>
      </c>
      <c r="C267" s="2" t="s">
        <v>300</v>
      </c>
      <c r="D267" s="2" t="s">
        <v>2350</v>
      </c>
      <c r="E267" s="2" t="s">
        <v>1378</v>
      </c>
      <c r="F267" s="2" t="s">
        <v>2324</v>
      </c>
      <c r="G267" s="2" t="s">
        <v>2344</v>
      </c>
      <c r="H267" s="2" t="s">
        <v>2351</v>
      </c>
      <c r="I267" s="2" t="s">
        <v>1374</v>
      </c>
      <c r="J267" s="2" t="s">
        <v>2352</v>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row>
    <row r="268" customFormat="false" ht="15" hidden="false" customHeight="false" outlineLevel="0" collapsed="false">
      <c r="A268" s="2" t="n">
        <v>17</v>
      </c>
      <c r="B268" s="2" t="s">
        <v>294</v>
      </c>
      <c r="C268" s="2" t="s">
        <v>300</v>
      </c>
      <c r="D268" s="2" t="s">
        <v>2353</v>
      </c>
      <c r="E268" s="2" t="s">
        <v>1378</v>
      </c>
      <c r="F268" s="2" t="s">
        <v>2324</v>
      </c>
      <c r="G268" s="2" t="s">
        <v>2354</v>
      </c>
      <c r="H268" s="2" t="s">
        <v>2355</v>
      </c>
      <c r="I268" s="2" t="s">
        <v>1374</v>
      </c>
      <c r="J268" s="2" t="s">
        <v>2356</v>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row>
    <row r="269" customFormat="false" ht="15" hidden="false" customHeight="false" outlineLevel="0" collapsed="false">
      <c r="A269" s="2" t="n">
        <v>17</v>
      </c>
      <c r="B269" s="2" t="s">
        <v>294</v>
      </c>
      <c r="C269" s="2" t="s">
        <v>300</v>
      </c>
      <c r="D269" s="2" t="s">
        <v>2357</v>
      </c>
      <c r="E269" s="2" t="s">
        <v>1378</v>
      </c>
      <c r="F269" s="2" t="s">
        <v>2324</v>
      </c>
      <c r="G269" s="2" t="s">
        <v>2358</v>
      </c>
      <c r="H269" s="2" t="s">
        <v>2359</v>
      </c>
      <c r="I269" s="2" t="s">
        <v>1374</v>
      </c>
      <c r="J269" s="2" t="s">
        <v>2360</v>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row>
    <row r="270" customFormat="false" ht="15" hidden="false" customHeight="false" outlineLevel="0" collapsed="false">
      <c r="A270" s="2" t="n">
        <v>17</v>
      </c>
      <c r="B270" s="2" t="s">
        <v>294</v>
      </c>
      <c r="C270" s="2" t="s">
        <v>300</v>
      </c>
      <c r="D270" s="2" t="s">
        <v>2361</v>
      </c>
      <c r="E270" s="2" t="s">
        <v>1378</v>
      </c>
      <c r="F270" s="2" t="s">
        <v>2324</v>
      </c>
      <c r="G270" s="2" t="s">
        <v>2362</v>
      </c>
      <c r="H270" s="2" t="s">
        <v>2363</v>
      </c>
      <c r="I270" s="2" t="s">
        <v>1374</v>
      </c>
      <c r="J270" s="2" t="s">
        <v>2364</v>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row>
    <row r="271" customFormat="false" ht="15" hidden="false" customHeight="false" outlineLevel="0" collapsed="false">
      <c r="A271" s="2" t="n">
        <v>17</v>
      </c>
      <c r="B271" s="2" t="s">
        <v>294</v>
      </c>
      <c r="C271" s="2" t="s">
        <v>300</v>
      </c>
      <c r="D271" s="2" t="s">
        <v>2365</v>
      </c>
      <c r="E271" s="2" t="s">
        <v>1378</v>
      </c>
      <c r="F271" s="2" t="s">
        <v>2324</v>
      </c>
      <c r="G271" s="2" t="s">
        <v>2366</v>
      </c>
      <c r="H271" s="2" t="s">
        <v>2367</v>
      </c>
      <c r="I271" s="2" t="s">
        <v>1374</v>
      </c>
      <c r="J271" s="2" t="s">
        <v>2368</v>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row>
    <row r="272" customFormat="false" ht="15" hidden="false" customHeight="false" outlineLevel="0" collapsed="false">
      <c r="A272" s="2" t="n">
        <v>17</v>
      </c>
      <c r="B272" s="2" t="s">
        <v>294</v>
      </c>
      <c r="C272" s="2" t="s">
        <v>300</v>
      </c>
      <c r="D272" s="2" t="s">
        <v>2369</v>
      </c>
      <c r="E272" s="2" t="s">
        <v>1378</v>
      </c>
      <c r="F272" s="2" t="s">
        <v>2324</v>
      </c>
      <c r="G272" s="2" t="s">
        <v>2370</v>
      </c>
      <c r="H272" s="2" t="s">
        <v>2371</v>
      </c>
      <c r="I272" s="2" t="s">
        <v>1374</v>
      </c>
      <c r="J272" s="2" t="s">
        <v>2372</v>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row>
    <row r="273" customFormat="false" ht="15" hidden="false" customHeight="false" outlineLevel="0" collapsed="false">
      <c r="A273" s="2" t="n">
        <v>17</v>
      </c>
      <c r="B273" s="2" t="s">
        <v>294</v>
      </c>
      <c r="C273" s="2" t="s">
        <v>300</v>
      </c>
      <c r="D273" s="2" t="s">
        <v>2373</v>
      </c>
      <c r="E273" s="2" t="s">
        <v>1378</v>
      </c>
      <c r="F273" s="2" t="s">
        <v>2324</v>
      </c>
      <c r="G273" s="2" t="s">
        <v>2374</v>
      </c>
      <c r="H273" s="2" t="s">
        <v>2375</v>
      </c>
      <c r="I273" s="2" t="s">
        <v>1374</v>
      </c>
      <c r="J273" s="2" t="s">
        <v>2376</v>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row>
    <row r="274" customFormat="false" ht="15" hidden="false" customHeight="false" outlineLevel="0" collapsed="false">
      <c r="A274" s="2" t="n">
        <v>17</v>
      </c>
      <c r="B274" s="2" t="s">
        <v>294</v>
      </c>
      <c r="C274" s="2" t="s">
        <v>300</v>
      </c>
      <c r="D274" s="2" t="s">
        <v>2377</v>
      </c>
      <c r="E274" s="2" t="s">
        <v>1378</v>
      </c>
      <c r="F274" s="2" t="s">
        <v>2324</v>
      </c>
      <c r="G274" s="2" t="s">
        <v>2378</v>
      </c>
      <c r="H274" s="2" t="s">
        <v>2379</v>
      </c>
      <c r="I274" s="2" t="s">
        <v>1374</v>
      </c>
      <c r="J274" s="2" t="s">
        <v>2380</v>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row>
    <row r="275" customFormat="false" ht="15" hidden="false" customHeight="false" outlineLevel="0" collapsed="false">
      <c r="A275" s="2" t="n">
        <v>17</v>
      </c>
      <c r="B275" s="2" t="s">
        <v>294</v>
      </c>
      <c r="C275" s="2" t="s">
        <v>300</v>
      </c>
      <c r="D275" s="2" t="s">
        <v>2381</v>
      </c>
      <c r="E275" s="2" t="s">
        <v>1378</v>
      </c>
      <c r="F275" s="2" t="s">
        <v>2324</v>
      </c>
      <c r="G275" s="2" t="s">
        <v>2378</v>
      </c>
      <c r="H275" s="2" t="s">
        <v>2382</v>
      </c>
      <c r="I275" s="2" t="s">
        <v>1374</v>
      </c>
      <c r="J275" s="2" t="s">
        <v>2383</v>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row>
    <row r="276" customFormat="false" ht="15" hidden="false" customHeight="false" outlineLevel="0" collapsed="false">
      <c r="A276" s="2" t="n">
        <v>17</v>
      </c>
      <c r="B276" s="2" t="s">
        <v>294</v>
      </c>
      <c r="C276" s="2" t="s">
        <v>300</v>
      </c>
      <c r="D276" s="2" t="s">
        <v>2384</v>
      </c>
      <c r="E276" s="2" t="s">
        <v>1378</v>
      </c>
      <c r="F276" s="2" t="s">
        <v>2324</v>
      </c>
      <c r="G276" s="2" t="s">
        <v>2385</v>
      </c>
      <c r="H276" s="2" t="s">
        <v>2386</v>
      </c>
      <c r="I276" s="2" t="s">
        <v>1374</v>
      </c>
      <c r="J276" s="2" t="s">
        <v>2387</v>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row>
    <row r="277" customFormat="false" ht="15" hidden="false" customHeight="false" outlineLevel="0" collapsed="false">
      <c r="A277" s="2" t="n">
        <v>17</v>
      </c>
      <c r="B277" s="2" t="s">
        <v>294</v>
      </c>
      <c r="C277" s="2" t="s">
        <v>300</v>
      </c>
      <c r="D277" s="2" t="s">
        <v>2388</v>
      </c>
      <c r="E277" s="2" t="s">
        <v>1395</v>
      </c>
      <c r="F277" s="2" t="s">
        <v>1419</v>
      </c>
      <c r="G277" s="2" t="s">
        <v>2389</v>
      </c>
      <c r="H277" s="2" t="s">
        <v>2390</v>
      </c>
      <c r="I277" s="2" t="s">
        <v>1374</v>
      </c>
      <c r="J277" s="2" t="s">
        <v>2391</v>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row>
    <row r="278" customFormat="false" ht="15" hidden="false" customHeight="false" outlineLevel="0" collapsed="false">
      <c r="A278" s="2" t="n">
        <v>17</v>
      </c>
      <c r="B278" s="2" t="s">
        <v>294</v>
      </c>
      <c r="C278" s="2" t="s">
        <v>300</v>
      </c>
      <c r="D278" s="2" t="s">
        <v>2392</v>
      </c>
      <c r="E278" s="2" t="s">
        <v>1378</v>
      </c>
      <c r="F278" s="2" t="s">
        <v>2324</v>
      </c>
      <c r="G278" s="2" t="s">
        <v>304</v>
      </c>
      <c r="H278" s="2" t="s">
        <v>2393</v>
      </c>
      <c r="I278" s="2" t="s">
        <v>1374</v>
      </c>
      <c r="J278" s="2" t="s">
        <v>2394</v>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row>
    <row r="279" customFormat="false" ht="15" hidden="false" customHeight="false" outlineLevel="0" collapsed="false">
      <c r="A279" s="2" t="n">
        <v>18</v>
      </c>
      <c r="B279" s="2" t="s">
        <v>308</v>
      </c>
      <c r="C279" s="2" t="s">
        <v>313</v>
      </c>
      <c r="D279" s="2" t="s">
        <v>2395</v>
      </c>
      <c r="E279" s="2" t="s">
        <v>1370</v>
      </c>
      <c r="F279" s="2" t="s">
        <v>1410</v>
      </c>
      <c r="G279" s="2" t="s">
        <v>1411</v>
      </c>
      <c r="H279" s="2" t="s">
        <v>2396</v>
      </c>
      <c r="I279" s="2" t="s">
        <v>1374</v>
      </c>
      <c r="J279" s="2" t="s">
        <v>2397</v>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141</v>
      </c>
      <c r="Z279" s="2" t="n">
        <v>22</v>
      </c>
      <c r="AA279" s="2" t="n">
        <v>3</v>
      </c>
      <c r="AB279" s="2" t="n">
        <v>77</v>
      </c>
      <c r="AC279" s="2" t="s">
        <v>1376</v>
      </c>
    </row>
    <row r="280" customFormat="false" ht="15" hidden="false" customHeight="false" outlineLevel="0" collapsed="false">
      <c r="A280" s="2" t="n">
        <v>18</v>
      </c>
      <c r="B280" s="2" t="s">
        <v>308</v>
      </c>
      <c r="C280" s="2" t="s">
        <v>313</v>
      </c>
      <c r="D280" s="2" t="s">
        <v>2398</v>
      </c>
      <c r="E280" s="2" t="s">
        <v>1395</v>
      </c>
      <c r="F280" s="2" t="s">
        <v>1396</v>
      </c>
      <c r="G280" s="2" t="s">
        <v>2399</v>
      </c>
      <c r="H280" s="2" t="s">
        <v>2400</v>
      </c>
      <c r="I280" s="2" t="s">
        <v>1374</v>
      </c>
      <c r="J280" s="2" t="s">
        <v>2401</v>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0</v>
      </c>
      <c r="Z280" s="2" t="n">
        <v>0</v>
      </c>
      <c r="AA280" s="2" t="n">
        <v>0</v>
      </c>
      <c r="AB280" s="2" t="n">
        <v>13</v>
      </c>
      <c r="AC280" s="2"/>
    </row>
    <row r="281" customFormat="false" ht="15" hidden="false" customHeight="false" outlineLevel="0" collapsed="false">
      <c r="A281" s="2" t="n">
        <v>19</v>
      </c>
      <c r="B281" s="2" t="s">
        <v>320</v>
      </c>
      <c r="C281" s="2" t="s">
        <v>325</v>
      </c>
      <c r="D281" s="2" t="s">
        <v>2402</v>
      </c>
      <c r="E281" s="2" t="s">
        <v>1395</v>
      </c>
      <c r="F281" s="2" t="s">
        <v>1396</v>
      </c>
      <c r="G281" s="2" t="s">
        <v>2403</v>
      </c>
      <c r="H281" s="2" t="s">
        <v>2404</v>
      </c>
      <c r="I281" s="2" t="s">
        <v>1374</v>
      </c>
      <c r="J281" s="2" t="s">
        <v>2405</v>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0</v>
      </c>
      <c r="AA281" s="2" t="n">
        <v>0</v>
      </c>
      <c r="AB281" s="2" t="n">
        <v>5</v>
      </c>
      <c r="AC281" s="2"/>
    </row>
    <row r="282" customFormat="false" ht="15" hidden="false" customHeight="false" outlineLevel="0" collapsed="false">
      <c r="A282" s="2" t="n">
        <v>19</v>
      </c>
      <c r="B282" s="2" t="s">
        <v>320</v>
      </c>
      <c r="C282" s="2" t="s">
        <v>325</v>
      </c>
      <c r="D282" s="2" t="s">
        <v>2406</v>
      </c>
      <c r="E282" s="2" t="s">
        <v>1395</v>
      </c>
      <c r="F282" s="2" t="s">
        <v>1396</v>
      </c>
      <c r="G282" s="2" t="s">
        <v>2407</v>
      </c>
      <c r="H282" s="2" t="s">
        <v>2408</v>
      </c>
      <c r="I282" s="2" t="s">
        <v>1374</v>
      </c>
      <c r="J282" s="2" t="s">
        <v>2409</v>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0</v>
      </c>
      <c r="AA282" s="2" t="n">
        <v>0</v>
      </c>
      <c r="AB282" s="2" t="n">
        <v>1</v>
      </c>
      <c r="AC282" s="2"/>
    </row>
    <row r="283" customFormat="false" ht="15" hidden="false" customHeight="false" outlineLevel="0" collapsed="false">
      <c r="A283" s="2" t="n">
        <v>19</v>
      </c>
      <c r="B283" s="2" t="s">
        <v>320</v>
      </c>
      <c r="C283" s="2" t="s">
        <v>325</v>
      </c>
      <c r="D283" s="2" t="s">
        <v>2410</v>
      </c>
      <c r="E283" s="2" t="s">
        <v>1395</v>
      </c>
      <c r="F283" s="2" t="s">
        <v>1396</v>
      </c>
      <c r="G283" s="2" t="s">
        <v>2411</v>
      </c>
      <c r="H283" s="2" t="s">
        <v>2412</v>
      </c>
      <c r="I283" s="2" t="s">
        <v>1374</v>
      </c>
      <c r="J283" s="2" t="s">
        <v>2413</v>
      </c>
      <c r="K283" s="2" t="n">
        <v>27</v>
      </c>
      <c r="L283" s="2" t="n">
        <v>7350</v>
      </c>
      <c r="M283" s="2" t="n">
        <v>779</v>
      </c>
      <c r="N283" s="2" t="n">
        <v>670</v>
      </c>
      <c r="O283" s="2" t="n">
        <v>445</v>
      </c>
      <c r="P283" s="2" t="n">
        <v>6126</v>
      </c>
      <c r="Q283" s="2" t="n">
        <v>0</v>
      </c>
      <c r="R283" s="2" t="n">
        <v>0</v>
      </c>
      <c r="S283" s="2" t="n">
        <v>23</v>
      </c>
      <c r="T283" s="2" t="n">
        <v>16</v>
      </c>
      <c r="U283" s="2" t="n">
        <v>0</v>
      </c>
      <c r="V283" s="2" t="n">
        <v>0</v>
      </c>
      <c r="W283" s="2" t="n">
        <v>7</v>
      </c>
      <c r="X283" s="2" t="n">
        <v>0</v>
      </c>
      <c r="Y283" s="2" t="n">
        <v>2</v>
      </c>
      <c r="Z283" s="2" t="n">
        <v>0</v>
      </c>
      <c r="AA283" s="2" t="n">
        <v>0</v>
      </c>
      <c r="AB283" s="2" t="n">
        <v>21</v>
      </c>
      <c r="AC283" s="2"/>
    </row>
    <row r="284" customFormat="false" ht="15" hidden="false" customHeight="false" outlineLevel="0" collapsed="false">
      <c r="A284" s="2" t="n">
        <v>19</v>
      </c>
      <c r="B284" s="2" t="s">
        <v>320</v>
      </c>
      <c r="C284" s="2" t="s">
        <v>325</v>
      </c>
      <c r="D284" s="2" t="s">
        <v>2414</v>
      </c>
      <c r="E284" s="2" t="s">
        <v>1395</v>
      </c>
      <c r="F284" s="2" t="s">
        <v>1396</v>
      </c>
      <c r="G284" s="2" t="s">
        <v>2415</v>
      </c>
      <c r="H284" s="2" t="s">
        <v>2416</v>
      </c>
      <c r="I284" s="2" t="s">
        <v>1374</v>
      </c>
      <c r="J284" s="2" t="s">
        <v>2417</v>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row>
    <row r="285" customFormat="false" ht="15" hidden="false" customHeight="false" outlineLevel="0" collapsed="false">
      <c r="A285" s="2" t="n">
        <v>19</v>
      </c>
      <c r="B285" s="2" t="s">
        <v>320</v>
      </c>
      <c r="C285" s="2" t="s">
        <v>325</v>
      </c>
      <c r="D285" s="2" t="s">
        <v>2418</v>
      </c>
      <c r="E285" s="2" t="s">
        <v>1395</v>
      </c>
      <c r="F285" s="2" t="s">
        <v>1396</v>
      </c>
      <c r="G285" s="2" t="s">
        <v>2419</v>
      </c>
      <c r="H285" s="2" t="s">
        <v>2420</v>
      </c>
      <c r="I285" s="2" t="s">
        <v>1374</v>
      </c>
      <c r="J285" s="2" t="s">
        <v>2421</v>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0</v>
      </c>
      <c r="AA285" s="2" t="n">
        <v>0</v>
      </c>
      <c r="AB285" s="2" t="n">
        <v>4</v>
      </c>
      <c r="AC285" s="2"/>
    </row>
    <row r="286" customFormat="false" ht="15" hidden="false" customHeight="false" outlineLevel="0" collapsed="false">
      <c r="A286" s="2" t="n">
        <v>19</v>
      </c>
      <c r="B286" s="2" t="s">
        <v>320</v>
      </c>
      <c r="C286" s="2" t="s">
        <v>325</v>
      </c>
      <c r="D286" s="2" t="s">
        <v>2422</v>
      </c>
      <c r="E286" s="2" t="s">
        <v>1395</v>
      </c>
      <c r="F286" s="2" t="s">
        <v>1396</v>
      </c>
      <c r="G286" s="2" t="s">
        <v>2423</v>
      </c>
      <c r="H286" s="2" t="s">
        <v>2424</v>
      </c>
      <c r="I286" s="2" t="s">
        <v>1374</v>
      </c>
      <c r="J286" s="2" t="s">
        <v>2425</v>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0</v>
      </c>
      <c r="Z286" s="2" t="n">
        <v>0</v>
      </c>
      <c r="AA286" s="2" t="n">
        <v>0</v>
      </c>
      <c r="AB286" s="2" t="n">
        <v>1</v>
      </c>
      <c r="AC286" s="2"/>
    </row>
    <row r="287" customFormat="false" ht="15" hidden="false" customHeight="false" outlineLevel="0" collapsed="false">
      <c r="A287" s="2" t="n">
        <v>19</v>
      </c>
      <c r="B287" s="2" t="s">
        <v>320</v>
      </c>
      <c r="C287" s="2" t="s">
        <v>325</v>
      </c>
      <c r="D287" s="2" t="s">
        <v>2426</v>
      </c>
      <c r="E287" s="2" t="s">
        <v>1395</v>
      </c>
      <c r="F287" s="2" t="s">
        <v>1396</v>
      </c>
      <c r="G287" s="2" t="s">
        <v>2427</v>
      </c>
      <c r="H287" s="2" t="s">
        <v>2428</v>
      </c>
      <c r="I287" s="2" t="s">
        <v>1374</v>
      </c>
      <c r="J287" s="2" t="s">
        <v>2429</v>
      </c>
      <c r="K287" s="2" t="n">
        <v>65</v>
      </c>
      <c r="L287" s="2" t="n">
        <v>12962</v>
      </c>
      <c r="M287" s="2" t="n">
        <v>436</v>
      </c>
      <c r="N287" s="2" t="n">
        <v>320</v>
      </c>
      <c r="O287" s="2" t="n">
        <v>615</v>
      </c>
      <c r="P287" s="2" t="n">
        <v>11911</v>
      </c>
      <c r="Q287" s="2" t="n">
        <v>0</v>
      </c>
      <c r="R287" s="2" t="n">
        <v>0</v>
      </c>
      <c r="S287" s="2" t="n">
        <v>40</v>
      </c>
      <c r="T287" s="2" t="n">
        <v>23</v>
      </c>
      <c r="U287" s="2" t="n">
        <v>3</v>
      </c>
      <c r="V287" s="2" t="n">
        <v>0</v>
      </c>
      <c r="W287" s="2" t="n">
        <v>14</v>
      </c>
      <c r="X287" s="2" t="n">
        <v>0</v>
      </c>
      <c r="Y287" s="2" t="n">
        <v>13</v>
      </c>
      <c r="Z287" s="2" t="n">
        <v>2</v>
      </c>
      <c r="AA287" s="2" t="n">
        <v>0</v>
      </c>
      <c r="AB287" s="2" t="n">
        <v>25</v>
      </c>
      <c r="AC287" s="2"/>
    </row>
    <row r="288" customFormat="false" ht="15" hidden="false" customHeight="false" outlineLevel="0" collapsed="false">
      <c r="A288" s="2" t="n">
        <v>19</v>
      </c>
      <c r="B288" s="2" t="s">
        <v>320</v>
      </c>
      <c r="C288" s="2" t="s">
        <v>325</v>
      </c>
      <c r="D288" s="2" t="s">
        <v>2430</v>
      </c>
      <c r="E288" s="2" t="s">
        <v>1395</v>
      </c>
      <c r="F288" s="2" t="s">
        <v>1396</v>
      </c>
      <c r="G288" s="2" t="s">
        <v>2431</v>
      </c>
      <c r="H288" s="2" t="s">
        <v>2432</v>
      </c>
      <c r="I288" s="2" t="s">
        <v>1374</v>
      </c>
      <c r="J288" s="2" t="s">
        <v>2433</v>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7</v>
      </c>
      <c r="AB288" s="2" t="n">
        <v>1</v>
      </c>
      <c r="AC288" s="2"/>
    </row>
    <row r="289" customFormat="false" ht="15" hidden="false" customHeight="false" outlineLevel="0" collapsed="false">
      <c r="A289" s="2" t="n">
        <v>19</v>
      </c>
      <c r="B289" s="2" t="s">
        <v>320</v>
      </c>
      <c r="C289" s="2" t="s">
        <v>325</v>
      </c>
      <c r="D289" s="2" t="s">
        <v>2434</v>
      </c>
      <c r="E289" s="2" t="s">
        <v>1395</v>
      </c>
      <c r="F289" s="2" t="s">
        <v>1396</v>
      </c>
      <c r="G289" s="2" t="s">
        <v>2435</v>
      </c>
      <c r="H289" s="2" t="s">
        <v>2436</v>
      </c>
      <c r="I289" s="2" t="s">
        <v>1374</v>
      </c>
      <c r="J289" s="2" t="s">
        <v>2437</v>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1</v>
      </c>
      <c r="AC289" s="2"/>
    </row>
    <row r="290" customFormat="false" ht="15" hidden="false" customHeight="false" outlineLevel="0" collapsed="false">
      <c r="A290" s="2" t="n">
        <v>19</v>
      </c>
      <c r="B290" s="2" t="s">
        <v>320</v>
      </c>
      <c r="C290" s="2" t="s">
        <v>325</v>
      </c>
      <c r="D290" s="2" t="s">
        <v>2438</v>
      </c>
      <c r="E290" s="2" t="s">
        <v>1395</v>
      </c>
      <c r="F290" s="2" t="s">
        <v>1396</v>
      </c>
      <c r="G290" s="2" t="s">
        <v>2439</v>
      </c>
      <c r="H290" s="2" t="s">
        <v>2440</v>
      </c>
      <c r="I290" s="2" t="s">
        <v>1374</v>
      </c>
      <c r="J290" s="2" t="s">
        <v>2441</v>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1</v>
      </c>
      <c r="AC290" s="2"/>
    </row>
    <row r="291" customFormat="false" ht="15" hidden="false" customHeight="false" outlineLevel="0" collapsed="false">
      <c r="A291" s="2" t="n">
        <v>19</v>
      </c>
      <c r="B291" s="2" t="s">
        <v>320</v>
      </c>
      <c r="C291" s="2" t="s">
        <v>325</v>
      </c>
      <c r="D291" s="2" t="s">
        <v>2442</v>
      </c>
      <c r="E291" s="2" t="s">
        <v>1395</v>
      </c>
      <c r="F291" s="2" t="s">
        <v>1396</v>
      </c>
      <c r="G291" s="2" t="s">
        <v>2443</v>
      </c>
      <c r="H291" s="2" t="s">
        <v>2444</v>
      </c>
      <c r="I291" s="2" t="s">
        <v>1374</v>
      </c>
      <c r="J291" s="2" t="s">
        <v>2445</v>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1</v>
      </c>
      <c r="AC291" s="2"/>
    </row>
    <row r="292" customFormat="false" ht="15" hidden="false" customHeight="false" outlineLevel="0" collapsed="false">
      <c r="A292" s="2" t="n">
        <v>19</v>
      </c>
      <c r="B292" s="2" t="s">
        <v>320</v>
      </c>
      <c r="C292" s="2" t="s">
        <v>325</v>
      </c>
      <c r="D292" s="2" t="s">
        <v>2446</v>
      </c>
      <c r="E292" s="2" t="s">
        <v>1395</v>
      </c>
      <c r="F292" s="2" t="s">
        <v>1396</v>
      </c>
      <c r="G292" s="2" t="s">
        <v>2447</v>
      </c>
      <c r="H292" s="2" t="s">
        <v>2448</v>
      </c>
      <c r="I292" s="2" t="s">
        <v>1374</v>
      </c>
      <c r="J292" s="2" t="s">
        <v>2449</v>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row>
    <row r="293" customFormat="false" ht="15" hidden="false" customHeight="false" outlineLevel="0" collapsed="false">
      <c r="A293" s="2" t="n">
        <v>19</v>
      </c>
      <c r="B293" s="2" t="s">
        <v>320</v>
      </c>
      <c r="C293" s="2" t="s">
        <v>325</v>
      </c>
      <c r="D293" s="2" t="s">
        <v>2450</v>
      </c>
      <c r="E293" s="2" t="s">
        <v>1395</v>
      </c>
      <c r="F293" s="2" t="s">
        <v>1396</v>
      </c>
      <c r="G293" s="2" t="s">
        <v>2451</v>
      </c>
      <c r="H293" s="2" t="s">
        <v>2452</v>
      </c>
      <c r="I293" s="2" t="s">
        <v>1374</v>
      </c>
      <c r="J293" s="2" t="s">
        <v>2453</v>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row>
    <row r="294" customFormat="false" ht="15" hidden="false" customHeight="false" outlineLevel="0" collapsed="false">
      <c r="A294" s="2" t="n">
        <v>19</v>
      </c>
      <c r="B294" s="2" t="s">
        <v>320</v>
      </c>
      <c r="C294" s="2" t="s">
        <v>325</v>
      </c>
      <c r="D294" s="2" t="s">
        <v>2454</v>
      </c>
      <c r="E294" s="2" t="s">
        <v>1395</v>
      </c>
      <c r="F294" s="2" t="s">
        <v>1396</v>
      </c>
      <c r="G294" s="2" t="s">
        <v>2455</v>
      </c>
      <c r="H294" s="2" t="s">
        <v>2456</v>
      </c>
      <c r="I294" s="2" t="s">
        <v>1374</v>
      </c>
      <c r="J294" s="2" t="s">
        <v>2457</v>
      </c>
      <c r="K294" s="2" t="n">
        <v>135</v>
      </c>
      <c r="L294" s="2" t="n">
        <v>17396</v>
      </c>
      <c r="M294" s="2" t="n">
        <v>453</v>
      </c>
      <c r="N294" s="2" t="n">
        <v>319</v>
      </c>
      <c r="O294" s="2" t="n">
        <v>508</v>
      </c>
      <c r="P294" s="2" t="n">
        <v>16435</v>
      </c>
      <c r="Q294" s="2" t="n">
        <v>0</v>
      </c>
      <c r="R294" s="2" t="n">
        <v>0</v>
      </c>
      <c r="S294" s="2" t="n">
        <v>13</v>
      </c>
      <c r="T294" s="2" t="n">
        <v>9</v>
      </c>
      <c r="U294" s="2" t="n">
        <v>1</v>
      </c>
      <c r="V294" s="2" t="n">
        <v>0</v>
      </c>
      <c r="W294" s="2" t="n">
        <v>3</v>
      </c>
      <c r="X294" s="2" t="n">
        <v>0</v>
      </c>
      <c r="Y294" s="2" t="n">
        <v>3</v>
      </c>
      <c r="Z294" s="2" t="n">
        <v>3</v>
      </c>
      <c r="AA294" s="2" t="n">
        <v>0</v>
      </c>
      <c r="AB294" s="2" t="n">
        <v>7</v>
      </c>
      <c r="AC294" s="2"/>
    </row>
    <row r="295" customFormat="false" ht="15" hidden="false" customHeight="false" outlineLevel="0" collapsed="false">
      <c r="A295" s="2" t="n">
        <v>20</v>
      </c>
      <c r="B295" s="2" t="s">
        <v>333</v>
      </c>
      <c r="C295" s="2" t="s">
        <v>339</v>
      </c>
      <c r="D295" s="2" t="s">
        <v>2458</v>
      </c>
      <c r="E295" s="2" t="s">
        <v>1370</v>
      </c>
      <c r="F295" s="2" t="s">
        <v>1601</v>
      </c>
      <c r="G295" s="2" t="s">
        <v>2459</v>
      </c>
      <c r="H295" s="2" t="s">
        <v>2460</v>
      </c>
      <c r="I295" s="2" t="s">
        <v>1374</v>
      </c>
      <c r="J295" s="2" t="s">
        <v>2461</v>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6</v>
      </c>
      <c r="Z295" s="2" t="n">
        <v>5</v>
      </c>
      <c r="AA295" s="2" t="n">
        <v>5</v>
      </c>
      <c r="AB295" s="2" t="n">
        <v>4</v>
      </c>
      <c r="AC295" s="2" t="s">
        <v>1376</v>
      </c>
    </row>
    <row r="296" customFormat="false" ht="15" hidden="false" customHeight="false" outlineLevel="0" collapsed="false">
      <c r="A296" s="2" t="n">
        <v>20</v>
      </c>
      <c r="B296" s="2" t="s">
        <v>333</v>
      </c>
      <c r="C296" s="2" t="s">
        <v>339</v>
      </c>
      <c r="D296" s="2" t="s">
        <v>2462</v>
      </c>
      <c r="E296" s="2" t="s">
        <v>1395</v>
      </c>
      <c r="F296" s="2" t="s">
        <v>1419</v>
      </c>
      <c r="G296" s="2" t="s">
        <v>2463</v>
      </c>
      <c r="H296" s="2" t="s">
        <v>2464</v>
      </c>
      <c r="I296" s="2" t="s">
        <v>1647</v>
      </c>
      <c r="J296" s="2" t="s">
        <v>2465</v>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39</v>
      </c>
      <c r="Z296" s="2" t="n">
        <v>7</v>
      </c>
      <c r="AA296" s="2" t="n">
        <v>19</v>
      </c>
      <c r="AB296" s="2" t="n">
        <v>43</v>
      </c>
      <c r="AC296" s="2"/>
    </row>
    <row r="297" customFormat="false" ht="15" hidden="false" customHeight="false" outlineLevel="0" collapsed="false">
      <c r="A297" s="2" t="n">
        <v>20</v>
      </c>
      <c r="B297" s="2" t="s">
        <v>333</v>
      </c>
      <c r="C297" s="2" t="s">
        <v>339</v>
      </c>
      <c r="D297" s="2" t="s">
        <v>2466</v>
      </c>
      <c r="E297" s="2" t="s">
        <v>1370</v>
      </c>
      <c r="F297" s="2" t="s">
        <v>1601</v>
      </c>
      <c r="G297" s="2" t="s">
        <v>2467</v>
      </c>
      <c r="H297" s="2" t="s">
        <v>2468</v>
      </c>
      <c r="I297" s="2" t="s">
        <v>1374</v>
      </c>
      <c r="J297" s="2" t="s">
        <v>2469</v>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1</v>
      </c>
      <c r="AA297" s="2" t="n">
        <v>1</v>
      </c>
      <c r="AB297" s="2" t="n">
        <v>2</v>
      </c>
      <c r="AC297" s="2" t="s">
        <v>1376</v>
      </c>
    </row>
    <row r="298" customFormat="false" ht="15" hidden="false" customHeight="false" outlineLevel="0" collapsed="false">
      <c r="A298" s="2" t="n">
        <v>20</v>
      </c>
      <c r="B298" s="2" t="s">
        <v>333</v>
      </c>
      <c r="C298" s="2" t="s">
        <v>339</v>
      </c>
      <c r="D298" s="2" t="s">
        <v>2470</v>
      </c>
      <c r="E298" s="2" t="s">
        <v>1395</v>
      </c>
      <c r="F298" s="2" t="s">
        <v>1419</v>
      </c>
      <c r="G298" s="2" t="s">
        <v>2471</v>
      </c>
      <c r="H298" s="2" t="s">
        <v>2472</v>
      </c>
      <c r="I298" s="2" t="s">
        <v>1374</v>
      </c>
      <c r="J298" s="2" t="s">
        <v>2473</v>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172</v>
      </c>
      <c r="Z298" s="2" t="n">
        <v>10</v>
      </c>
      <c r="AA298" s="2" t="n">
        <v>1</v>
      </c>
      <c r="AB298" s="2" t="n">
        <v>34</v>
      </c>
      <c r="AC298" s="2"/>
    </row>
    <row r="299" customFormat="false" ht="15" hidden="false" customHeight="false" outlineLevel="0" collapsed="false">
      <c r="A299" s="2" t="n">
        <v>20</v>
      </c>
      <c r="B299" s="2" t="s">
        <v>333</v>
      </c>
      <c r="C299" s="2" t="s">
        <v>339</v>
      </c>
      <c r="D299" s="2" t="s">
        <v>2474</v>
      </c>
      <c r="E299" s="2" t="s">
        <v>1395</v>
      </c>
      <c r="F299" s="2" t="s">
        <v>1419</v>
      </c>
      <c r="G299" s="2" t="s">
        <v>2471</v>
      </c>
      <c r="H299" s="2" t="s">
        <v>2475</v>
      </c>
      <c r="I299" s="2" t="s">
        <v>1374</v>
      </c>
      <c r="J299" s="2" t="s">
        <v>2476</v>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45</v>
      </c>
      <c r="Z299" s="2" t="n">
        <v>0</v>
      </c>
      <c r="AA299" s="2" t="n">
        <v>1</v>
      </c>
      <c r="AB299" s="2" t="n">
        <v>9</v>
      </c>
      <c r="AC299" s="2"/>
    </row>
    <row r="300" customFormat="false" ht="15" hidden="false" customHeight="false" outlineLevel="0" collapsed="false">
      <c r="A300" s="2" t="n">
        <v>20</v>
      </c>
      <c r="B300" s="2" t="s">
        <v>333</v>
      </c>
      <c r="C300" s="2" t="s">
        <v>339</v>
      </c>
      <c r="D300" s="2" t="s">
        <v>2477</v>
      </c>
      <c r="E300" s="2" t="s">
        <v>1395</v>
      </c>
      <c r="F300" s="2" t="s">
        <v>1419</v>
      </c>
      <c r="G300" s="2" t="s">
        <v>679</v>
      </c>
      <c r="H300" s="2" t="s">
        <v>2478</v>
      </c>
      <c r="I300" s="2" t="s">
        <v>1647</v>
      </c>
      <c r="J300" s="2" t="s">
        <v>2479</v>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row>
    <row r="301" customFormat="false" ht="15" hidden="false" customHeight="false" outlineLevel="0" collapsed="false">
      <c r="A301" s="2" t="n">
        <v>20</v>
      </c>
      <c r="B301" s="2" t="s">
        <v>333</v>
      </c>
      <c r="C301" s="2" t="s">
        <v>339</v>
      </c>
      <c r="D301" s="2" t="s">
        <v>2480</v>
      </c>
      <c r="E301" s="2" t="s">
        <v>1395</v>
      </c>
      <c r="F301" s="2" t="s">
        <v>1419</v>
      </c>
      <c r="G301" s="2" t="s">
        <v>2481</v>
      </c>
      <c r="H301" s="2" t="s">
        <v>2482</v>
      </c>
      <c r="I301" s="2" t="s">
        <v>1647</v>
      </c>
      <c r="J301" s="2" t="s">
        <v>2483</v>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93</v>
      </c>
      <c r="Z301" s="2" t="n">
        <v>32</v>
      </c>
      <c r="AA301" s="2" t="n">
        <v>43</v>
      </c>
      <c r="AB301" s="2" t="n">
        <v>111</v>
      </c>
      <c r="AC301" s="2"/>
    </row>
    <row r="302" customFormat="false" ht="15" hidden="false" customHeight="false" outlineLevel="0" collapsed="false">
      <c r="A302" s="2" t="n">
        <v>20</v>
      </c>
      <c r="B302" s="2" t="s">
        <v>333</v>
      </c>
      <c r="C302" s="2" t="s">
        <v>339</v>
      </c>
      <c r="D302" s="2" t="s">
        <v>2484</v>
      </c>
      <c r="E302" s="2" t="s">
        <v>1395</v>
      </c>
      <c r="F302" s="2" t="s">
        <v>1419</v>
      </c>
      <c r="G302" s="2" t="s">
        <v>2485</v>
      </c>
      <c r="H302" s="2" t="s">
        <v>2486</v>
      </c>
      <c r="I302" s="2" t="s">
        <v>1374</v>
      </c>
      <c r="J302" s="2" t="s">
        <v>2487</v>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40</v>
      </c>
      <c r="Z302" s="2" t="n">
        <v>7</v>
      </c>
      <c r="AA302" s="2" t="n">
        <v>6</v>
      </c>
      <c r="AB302" s="2" t="n">
        <v>7</v>
      </c>
      <c r="AC302" s="2"/>
    </row>
    <row r="303" customFormat="false" ht="15" hidden="false" customHeight="false" outlineLevel="0" collapsed="false">
      <c r="A303" s="2" t="n">
        <v>20</v>
      </c>
      <c r="B303" s="2" t="s">
        <v>333</v>
      </c>
      <c r="C303" s="2" t="s">
        <v>339</v>
      </c>
      <c r="D303" s="2" t="s">
        <v>2488</v>
      </c>
      <c r="E303" s="2" t="s">
        <v>1395</v>
      </c>
      <c r="F303" s="2" t="s">
        <v>1419</v>
      </c>
      <c r="G303" s="2" t="s">
        <v>2489</v>
      </c>
      <c r="H303" s="2" t="s">
        <v>2490</v>
      </c>
      <c r="I303" s="2" t="s">
        <v>1374</v>
      </c>
      <c r="J303" s="2" t="s">
        <v>2491</v>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31</v>
      </c>
      <c r="Z303" s="2" t="n">
        <v>20</v>
      </c>
      <c r="AA303" s="2" t="n">
        <v>5</v>
      </c>
      <c r="AB303" s="2" t="n">
        <v>136</v>
      </c>
      <c r="AC303" s="2"/>
    </row>
    <row r="304" customFormat="false" ht="15" hidden="false" customHeight="false" outlineLevel="0" collapsed="false">
      <c r="A304" s="2" t="n">
        <v>20</v>
      </c>
      <c r="B304" s="2" t="s">
        <v>333</v>
      </c>
      <c r="C304" s="2" t="s">
        <v>339</v>
      </c>
      <c r="D304" s="2" t="s">
        <v>2492</v>
      </c>
      <c r="E304" s="2" t="s">
        <v>1395</v>
      </c>
      <c r="F304" s="2" t="s">
        <v>1419</v>
      </c>
      <c r="G304" s="2" t="s">
        <v>2493</v>
      </c>
      <c r="H304" s="2" t="s">
        <v>2494</v>
      </c>
      <c r="I304" s="2" t="s">
        <v>1647</v>
      </c>
      <c r="J304" s="2" t="s">
        <v>2495</v>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row>
    <row r="305" customFormat="false" ht="15" hidden="false" customHeight="false" outlineLevel="0" collapsed="false">
      <c r="A305" s="2" t="n">
        <v>20</v>
      </c>
      <c r="B305" s="2" t="s">
        <v>333</v>
      </c>
      <c r="C305" s="2" t="s">
        <v>339</v>
      </c>
      <c r="D305" s="2" t="s">
        <v>2496</v>
      </c>
      <c r="E305" s="2" t="s">
        <v>1395</v>
      </c>
      <c r="F305" s="2" t="s">
        <v>1419</v>
      </c>
      <c r="G305" s="2" t="s">
        <v>2497</v>
      </c>
      <c r="H305" s="2" t="s">
        <v>2498</v>
      </c>
      <c r="I305" s="2" t="s">
        <v>1647</v>
      </c>
      <c r="J305" s="2" t="s">
        <v>2499</v>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row>
    <row r="306" customFormat="false" ht="15" hidden="false" customHeight="false" outlineLevel="0" collapsed="false">
      <c r="A306" s="2" t="n">
        <v>20</v>
      </c>
      <c r="B306" s="2" t="s">
        <v>333</v>
      </c>
      <c r="C306" s="2" t="s">
        <v>339</v>
      </c>
      <c r="D306" s="2" t="s">
        <v>2500</v>
      </c>
      <c r="E306" s="2" t="s">
        <v>1395</v>
      </c>
      <c r="F306" s="2" t="s">
        <v>1419</v>
      </c>
      <c r="G306" s="2" t="s">
        <v>628</v>
      </c>
      <c r="H306" s="2" t="s">
        <v>2501</v>
      </c>
      <c r="I306" s="2" t="s">
        <v>1647</v>
      </c>
      <c r="J306" s="2" t="s">
        <v>2502</v>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row>
    <row r="307" customFormat="false" ht="15" hidden="false" customHeight="false" outlineLevel="0" collapsed="false">
      <c r="A307" s="2" t="n">
        <v>20</v>
      </c>
      <c r="B307" s="2" t="s">
        <v>333</v>
      </c>
      <c r="C307" s="2" t="s">
        <v>339</v>
      </c>
      <c r="D307" s="2" t="s">
        <v>2503</v>
      </c>
      <c r="E307" s="2" t="s">
        <v>1395</v>
      </c>
      <c r="F307" s="2" t="s">
        <v>1419</v>
      </c>
      <c r="G307" s="2" t="s">
        <v>2504</v>
      </c>
      <c r="H307" s="2" t="s">
        <v>2505</v>
      </c>
      <c r="I307" s="2" t="s">
        <v>1374</v>
      </c>
      <c r="J307" s="2" t="s">
        <v>2506</v>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row>
    <row r="308" customFormat="false" ht="15" hidden="false" customHeight="false" outlineLevel="0" collapsed="false">
      <c r="A308" s="2" t="n">
        <v>21</v>
      </c>
      <c r="B308" s="2" t="s">
        <v>346</v>
      </c>
      <c r="C308" s="2" t="s">
        <v>350</v>
      </c>
      <c r="D308" s="2" t="s">
        <v>2507</v>
      </c>
      <c r="E308" s="2" t="s">
        <v>1395</v>
      </c>
      <c r="F308" s="2" t="s">
        <v>1419</v>
      </c>
      <c r="G308" s="2" t="s">
        <v>679</v>
      </c>
      <c r="H308" s="2" t="s">
        <v>2508</v>
      </c>
      <c r="I308" s="2" t="s">
        <v>1647</v>
      </c>
      <c r="J308" s="2" t="s">
        <v>2509</v>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row>
    <row r="309" customFormat="false" ht="15" hidden="false" customHeight="false" outlineLevel="0" collapsed="false">
      <c r="A309" s="2" t="n">
        <v>21</v>
      </c>
      <c r="B309" s="2" t="s">
        <v>346</v>
      </c>
      <c r="C309" s="2" t="s">
        <v>350</v>
      </c>
      <c r="D309" s="2" t="s">
        <v>2510</v>
      </c>
      <c r="E309" s="2" t="s">
        <v>1395</v>
      </c>
      <c r="F309" s="2" t="s">
        <v>1419</v>
      </c>
      <c r="G309" s="2" t="s">
        <v>2493</v>
      </c>
      <c r="H309" s="2" t="s">
        <v>2511</v>
      </c>
      <c r="I309" s="2" t="s">
        <v>1647</v>
      </c>
      <c r="J309" s="2" t="s">
        <v>2512</v>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row>
    <row r="310" customFormat="false" ht="15" hidden="false" customHeight="false" outlineLevel="0" collapsed="false">
      <c r="A310" s="2" t="n">
        <v>21</v>
      </c>
      <c r="B310" s="2" t="s">
        <v>346</v>
      </c>
      <c r="C310" s="2" t="s">
        <v>350</v>
      </c>
      <c r="D310" s="2" t="s">
        <v>2513</v>
      </c>
      <c r="E310" s="2" t="s">
        <v>1395</v>
      </c>
      <c r="F310" s="2" t="s">
        <v>1419</v>
      </c>
      <c r="G310" s="2" t="s">
        <v>628</v>
      </c>
      <c r="H310" s="2" t="s">
        <v>2514</v>
      </c>
      <c r="I310" s="2" t="s">
        <v>1647</v>
      </c>
      <c r="J310" s="2" t="s">
        <v>2515</v>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row>
    <row r="311" customFormat="false" ht="15" hidden="false" customHeight="false" outlineLevel="0" collapsed="false">
      <c r="A311" s="2" t="n">
        <v>22</v>
      </c>
      <c r="B311" s="2" t="s">
        <v>356</v>
      </c>
      <c r="C311" s="2" t="s">
        <v>362</v>
      </c>
      <c r="D311" s="2" t="s">
        <v>2516</v>
      </c>
      <c r="E311" s="2" t="s">
        <v>1395</v>
      </c>
      <c r="F311" s="2" t="s">
        <v>1419</v>
      </c>
      <c r="G311" s="2" t="s">
        <v>2517</v>
      </c>
      <c r="H311" s="2" t="s">
        <v>2518</v>
      </c>
      <c r="I311" s="2" t="s">
        <v>1374</v>
      </c>
      <c r="J311" s="2" t="s">
        <v>2519</v>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30</v>
      </c>
      <c r="AA311" s="2" t="n">
        <v>5</v>
      </c>
      <c r="AB311" s="2" t="n">
        <v>12</v>
      </c>
      <c r="AC311" s="2"/>
    </row>
    <row r="312" customFormat="false" ht="15" hidden="false" customHeight="false" outlineLevel="0" collapsed="false">
      <c r="A312" s="2" t="n">
        <v>22</v>
      </c>
      <c r="B312" s="2" t="s">
        <v>356</v>
      </c>
      <c r="C312" s="2" t="s">
        <v>362</v>
      </c>
      <c r="D312" s="2" t="s">
        <v>2520</v>
      </c>
      <c r="E312" s="2" t="s">
        <v>1395</v>
      </c>
      <c r="F312" s="2" t="s">
        <v>1396</v>
      </c>
      <c r="G312" s="2" t="s">
        <v>2521</v>
      </c>
      <c r="H312" s="2" t="s">
        <v>2522</v>
      </c>
      <c r="I312" s="2" t="s">
        <v>1374</v>
      </c>
      <c r="J312" s="2" t="s">
        <v>2523</v>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0</v>
      </c>
      <c r="Z312" s="2" t="n">
        <v>0</v>
      </c>
      <c r="AA312" s="2" t="n">
        <v>0</v>
      </c>
      <c r="AB312" s="2" t="n">
        <v>7</v>
      </c>
      <c r="AC312" s="2"/>
    </row>
    <row r="313" customFormat="false" ht="15" hidden="false" customHeight="false" outlineLevel="0" collapsed="false">
      <c r="A313" s="2" t="n">
        <v>22</v>
      </c>
      <c r="B313" s="2" t="s">
        <v>356</v>
      </c>
      <c r="C313" s="2" t="s">
        <v>362</v>
      </c>
      <c r="D313" s="2" t="s">
        <v>2524</v>
      </c>
      <c r="E313" s="2" t="s">
        <v>1395</v>
      </c>
      <c r="F313" s="2" t="s">
        <v>1419</v>
      </c>
      <c r="G313" s="2" t="s">
        <v>2525</v>
      </c>
      <c r="H313" s="2" t="s">
        <v>2526</v>
      </c>
      <c r="I313" s="2" t="s">
        <v>1374</v>
      </c>
      <c r="J313" s="2" t="s">
        <v>2527</v>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1</v>
      </c>
      <c r="Z313" s="2" t="n">
        <v>16</v>
      </c>
      <c r="AA313" s="2" t="n">
        <v>7</v>
      </c>
      <c r="AB313" s="2" t="n">
        <v>34</v>
      </c>
      <c r="AC313" s="2"/>
    </row>
    <row r="314" customFormat="false" ht="15" hidden="false" customHeight="false" outlineLevel="0" collapsed="false">
      <c r="A314" s="2" t="n">
        <v>22</v>
      </c>
      <c r="B314" s="2" t="s">
        <v>356</v>
      </c>
      <c r="C314" s="2" t="s">
        <v>362</v>
      </c>
      <c r="D314" s="2" t="s">
        <v>2528</v>
      </c>
      <c r="E314" s="2" t="s">
        <v>1395</v>
      </c>
      <c r="F314" s="2" t="s">
        <v>1419</v>
      </c>
      <c r="G314" s="2" t="s">
        <v>2525</v>
      </c>
      <c r="H314" s="2" t="s">
        <v>2529</v>
      </c>
      <c r="I314" s="2" t="s">
        <v>1374</v>
      </c>
      <c r="J314" s="2" t="s">
        <v>2530</v>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4</v>
      </c>
      <c r="AA314" s="2" t="n">
        <v>0</v>
      </c>
      <c r="AB314" s="2" t="n">
        <v>6</v>
      </c>
      <c r="AC314" s="2"/>
    </row>
    <row r="315" customFormat="false" ht="15" hidden="false" customHeight="false" outlineLevel="0" collapsed="false">
      <c r="A315" s="2" t="n">
        <v>22</v>
      </c>
      <c r="B315" s="2" t="s">
        <v>356</v>
      </c>
      <c r="C315" s="2" t="s">
        <v>362</v>
      </c>
      <c r="D315" s="2" t="s">
        <v>2531</v>
      </c>
      <c r="E315" s="2" t="s">
        <v>1395</v>
      </c>
      <c r="F315" s="2" t="s">
        <v>1396</v>
      </c>
      <c r="G315" s="2" t="s">
        <v>2525</v>
      </c>
      <c r="H315" s="2" t="s">
        <v>2532</v>
      </c>
      <c r="I315" s="2" t="s">
        <v>1374</v>
      </c>
      <c r="J315" s="2" t="s">
        <v>2533</v>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8</v>
      </c>
      <c r="Z315" s="2" t="n">
        <v>5</v>
      </c>
      <c r="AA315" s="2" t="n">
        <v>2</v>
      </c>
      <c r="AB315" s="2" t="n">
        <v>15</v>
      </c>
      <c r="AC315" s="2"/>
    </row>
    <row r="316" customFormat="false" ht="15" hidden="false" customHeight="false" outlineLevel="0" collapsed="false">
      <c r="A316" s="2" t="n">
        <v>22</v>
      </c>
      <c r="B316" s="2" t="s">
        <v>356</v>
      </c>
      <c r="C316" s="2" t="s">
        <v>362</v>
      </c>
      <c r="D316" s="2" t="s">
        <v>2534</v>
      </c>
      <c r="E316" s="2" t="s">
        <v>1395</v>
      </c>
      <c r="F316" s="2" t="s">
        <v>1396</v>
      </c>
      <c r="G316" s="2" t="s">
        <v>2525</v>
      </c>
      <c r="H316" s="2" t="s">
        <v>2535</v>
      </c>
      <c r="I316" s="2" t="s">
        <v>1374</v>
      </c>
      <c r="J316" s="2" t="s">
        <v>2536</v>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9</v>
      </c>
      <c r="Z316" s="2" t="n">
        <v>2</v>
      </c>
      <c r="AA316" s="2" t="n">
        <v>0</v>
      </c>
      <c r="AB316" s="2" t="n">
        <v>23</v>
      </c>
      <c r="AC316" s="2"/>
    </row>
    <row r="317" customFormat="false" ht="15" hidden="false" customHeight="false" outlineLevel="0" collapsed="false">
      <c r="A317" s="2" t="n">
        <v>22</v>
      </c>
      <c r="B317" s="2" t="s">
        <v>356</v>
      </c>
      <c r="C317" s="2" t="s">
        <v>362</v>
      </c>
      <c r="D317" s="2" t="s">
        <v>2537</v>
      </c>
      <c r="E317" s="2" t="s">
        <v>1395</v>
      </c>
      <c r="F317" s="2" t="s">
        <v>1419</v>
      </c>
      <c r="G317" s="2" t="s">
        <v>2538</v>
      </c>
      <c r="H317" s="2" t="s">
        <v>2539</v>
      </c>
      <c r="I317" s="2" t="s">
        <v>1374</v>
      </c>
      <c r="J317" s="2" t="s">
        <v>2540</v>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1</v>
      </c>
      <c r="Z317" s="2" t="n">
        <v>1</v>
      </c>
      <c r="AA317" s="2" t="n">
        <v>1</v>
      </c>
      <c r="AB317" s="2" t="n">
        <v>5</v>
      </c>
      <c r="AC317" s="2"/>
    </row>
    <row r="318" customFormat="false" ht="15" hidden="false" customHeight="false" outlineLevel="0" collapsed="false">
      <c r="A318" s="2" t="n">
        <v>22</v>
      </c>
      <c r="B318" s="2" t="s">
        <v>356</v>
      </c>
      <c r="C318" s="2" t="s">
        <v>362</v>
      </c>
      <c r="D318" s="2" t="s">
        <v>2541</v>
      </c>
      <c r="E318" s="2" t="s">
        <v>1395</v>
      </c>
      <c r="F318" s="2" t="s">
        <v>1419</v>
      </c>
      <c r="G318" s="2" t="s">
        <v>2542</v>
      </c>
      <c r="H318" s="2" t="s">
        <v>2543</v>
      </c>
      <c r="I318" s="2" t="s">
        <v>1374</v>
      </c>
      <c r="J318" s="2" t="s">
        <v>2544</v>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0</v>
      </c>
      <c r="Z318" s="2" t="n">
        <v>0</v>
      </c>
      <c r="AA318" s="2" t="n">
        <v>0</v>
      </c>
      <c r="AB318" s="2" t="n">
        <v>1</v>
      </c>
      <c r="AC318" s="2"/>
    </row>
    <row r="319" customFormat="false" ht="15" hidden="false" customHeight="false" outlineLevel="0" collapsed="false">
      <c r="A319" s="2" t="n">
        <v>22</v>
      </c>
      <c r="B319" s="2" t="s">
        <v>356</v>
      </c>
      <c r="C319" s="2" t="s">
        <v>362</v>
      </c>
      <c r="D319" s="2" t="s">
        <v>2545</v>
      </c>
      <c r="E319" s="2" t="s">
        <v>1395</v>
      </c>
      <c r="F319" s="2" t="s">
        <v>1396</v>
      </c>
      <c r="G319" s="2" t="s">
        <v>2546</v>
      </c>
      <c r="H319" s="2" t="s">
        <v>2547</v>
      </c>
      <c r="I319" s="2" t="s">
        <v>1374</v>
      </c>
      <c r="J319" s="2" t="s">
        <v>2548</v>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row>
    <row r="320" customFormat="false" ht="15" hidden="false" customHeight="false" outlineLevel="0" collapsed="false">
      <c r="A320" s="2" t="n">
        <v>22</v>
      </c>
      <c r="B320" s="2" t="s">
        <v>356</v>
      </c>
      <c r="C320" s="2" t="s">
        <v>362</v>
      </c>
      <c r="D320" s="2" t="s">
        <v>2549</v>
      </c>
      <c r="E320" s="2" t="s">
        <v>1395</v>
      </c>
      <c r="F320" s="2" t="s">
        <v>1396</v>
      </c>
      <c r="G320" s="2" t="s">
        <v>1063</v>
      </c>
      <c r="H320" s="2" t="s">
        <v>2550</v>
      </c>
      <c r="I320" s="2" t="s">
        <v>1374</v>
      </c>
      <c r="J320" s="2" t="s">
        <v>2551</v>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19</v>
      </c>
      <c r="Z320" s="2" t="n">
        <v>6</v>
      </c>
      <c r="AA320" s="2" t="n">
        <v>0</v>
      </c>
      <c r="AB320" s="2" t="n">
        <v>15</v>
      </c>
      <c r="AC320" s="2"/>
    </row>
    <row r="321" customFormat="false" ht="15" hidden="false" customHeight="false" outlineLevel="0" collapsed="false">
      <c r="A321" s="2" t="n">
        <v>22</v>
      </c>
      <c r="B321" s="2" t="s">
        <v>356</v>
      </c>
      <c r="C321" s="2" t="s">
        <v>362</v>
      </c>
      <c r="D321" s="2" t="s">
        <v>2552</v>
      </c>
      <c r="E321" s="2" t="s">
        <v>1395</v>
      </c>
      <c r="F321" s="2" t="s">
        <v>1396</v>
      </c>
      <c r="G321" s="2" t="s">
        <v>1063</v>
      </c>
      <c r="H321" s="2" t="s">
        <v>2553</v>
      </c>
      <c r="I321" s="2" t="s">
        <v>1374</v>
      </c>
      <c r="J321" s="2" t="s">
        <v>2554</v>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21</v>
      </c>
      <c r="Z321" s="2" t="n">
        <v>0</v>
      </c>
      <c r="AA321" s="2" t="n">
        <v>0</v>
      </c>
      <c r="AB321" s="2" t="n">
        <v>18</v>
      </c>
      <c r="AC321" s="2"/>
    </row>
    <row r="322" customFormat="false" ht="15" hidden="false" customHeight="false" outlineLevel="0" collapsed="false">
      <c r="A322" s="2" t="n">
        <v>22</v>
      </c>
      <c r="B322" s="2" t="s">
        <v>356</v>
      </c>
      <c r="C322" s="2" t="s">
        <v>362</v>
      </c>
      <c r="D322" s="2" t="s">
        <v>2555</v>
      </c>
      <c r="E322" s="2" t="s">
        <v>1395</v>
      </c>
      <c r="F322" s="2" t="s">
        <v>1396</v>
      </c>
      <c r="G322" s="2" t="s">
        <v>1063</v>
      </c>
      <c r="H322" s="2" t="s">
        <v>2556</v>
      </c>
      <c r="I322" s="2" t="s">
        <v>1374</v>
      </c>
      <c r="J322" s="2" t="s">
        <v>2557</v>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8</v>
      </c>
      <c r="AA322" s="2" t="n">
        <v>7</v>
      </c>
      <c r="AB322" s="2" t="n">
        <v>6</v>
      </c>
      <c r="AC322" s="2"/>
    </row>
    <row r="323" customFormat="false" ht="15" hidden="false" customHeight="false" outlineLevel="0" collapsed="false">
      <c r="A323" s="2" t="n">
        <v>22</v>
      </c>
      <c r="B323" s="2" t="s">
        <v>356</v>
      </c>
      <c r="C323" s="2" t="s">
        <v>362</v>
      </c>
      <c r="D323" s="2" t="s">
        <v>2558</v>
      </c>
      <c r="E323" s="2" t="s">
        <v>1395</v>
      </c>
      <c r="F323" s="2" t="s">
        <v>1396</v>
      </c>
      <c r="G323" s="2" t="s">
        <v>1063</v>
      </c>
      <c r="H323" s="2" t="s">
        <v>2559</v>
      </c>
      <c r="I323" s="2" t="s">
        <v>1374</v>
      </c>
      <c r="J323" s="2" t="s">
        <v>2560</v>
      </c>
      <c r="K323" s="2" t="n">
        <v>44</v>
      </c>
      <c r="L323" s="2" t="n">
        <v>17854</v>
      </c>
      <c r="M323" s="2" t="n">
        <v>2489</v>
      </c>
      <c r="N323" s="2" t="n">
        <v>2375</v>
      </c>
      <c r="O323" s="2" t="n">
        <v>5183</v>
      </c>
      <c r="P323" s="2" t="n">
        <v>10182</v>
      </c>
      <c r="Q323" s="2" t="n">
        <v>0</v>
      </c>
      <c r="R323" s="2" t="n">
        <v>0</v>
      </c>
      <c r="S323" s="2" t="n">
        <v>149</v>
      </c>
      <c r="T323" s="2" t="n">
        <v>138</v>
      </c>
      <c r="U323" s="2" t="n">
        <v>2</v>
      </c>
      <c r="V323" s="2" t="n">
        <v>0</v>
      </c>
      <c r="W323" s="2" t="n">
        <v>9</v>
      </c>
      <c r="X323" s="2" t="n">
        <v>0</v>
      </c>
      <c r="Y323" s="2" t="n">
        <v>22</v>
      </c>
      <c r="Z323" s="2" t="n">
        <v>69</v>
      </c>
      <c r="AA323" s="2" t="n">
        <v>0</v>
      </c>
      <c r="AB323" s="2" t="n">
        <v>58</v>
      </c>
      <c r="AC323" s="2"/>
    </row>
    <row r="324" customFormat="false" ht="15" hidden="false" customHeight="false" outlineLevel="0" collapsed="false">
      <c r="A324" s="2" t="n">
        <v>22</v>
      </c>
      <c r="B324" s="2" t="s">
        <v>356</v>
      </c>
      <c r="C324" s="2" t="s">
        <v>362</v>
      </c>
      <c r="D324" s="2" t="s">
        <v>2561</v>
      </c>
      <c r="E324" s="2" t="s">
        <v>1395</v>
      </c>
      <c r="F324" s="2" t="s">
        <v>1396</v>
      </c>
      <c r="G324" s="2" t="s">
        <v>1063</v>
      </c>
      <c r="H324" s="2" t="s">
        <v>2562</v>
      </c>
      <c r="I324" s="2" t="s">
        <v>1374</v>
      </c>
      <c r="J324" s="2" t="s">
        <v>2563</v>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13</v>
      </c>
      <c r="Z324" s="2" t="n">
        <v>0</v>
      </c>
      <c r="AA324" s="2" t="n">
        <v>0</v>
      </c>
      <c r="AB324" s="2" t="n">
        <v>6</v>
      </c>
      <c r="AC324" s="2"/>
    </row>
    <row r="325" customFormat="false" ht="15" hidden="false" customHeight="false" outlineLevel="0" collapsed="false">
      <c r="A325" s="2" t="n">
        <v>22</v>
      </c>
      <c r="B325" s="2" t="s">
        <v>356</v>
      </c>
      <c r="C325" s="2" t="s">
        <v>362</v>
      </c>
      <c r="D325" s="2" t="s">
        <v>2564</v>
      </c>
      <c r="E325" s="2" t="s">
        <v>1395</v>
      </c>
      <c r="F325" s="2" t="s">
        <v>1396</v>
      </c>
      <c r="G325" s="2" t="s">
        <v>2565</v>
      </c>
      <c r="H325" s="2" t="s">
        <v>2566</v>
      </c>
      <c r="I325" s="2" t="s">
        <v>1374</v>
      </c>
      <c r="J325" s="2" t="s">
        <v>2567</v>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10</v>
      </c>
      <c r="Z325" s="2" t="n">
        <v>1</v>
      </c>
      <c r="AA325" s="2" t="n">
        <v>0</v>
      </c>
      <c r="AB325" s="2" t="n">
        <v>2</v>
      </c>
      <c r="AC325" s="2"/>
    </row>
    <row r="326" customFormat="false" ht="15" hidden="false" customHeight="false" outlineLevel="0" collapsed="false">
      <c r="A326" s="2" t="n">
        <v>22</v>
      </c>
      <c r="B326" s="2" t="s">
        <v>356</v>
      </c>
      <c r="C326" s="2" t="s">
        <v>362</v>
      </c>
      <c r="D326" s="2" t="s">
        <v>2568</v>
      </c>
      <c r="E326" s="2" t="s">
        <v>1395</v>
      </c>
      <c r="F326" s="2" t="s">
        <v>1396</v>
      </c>
      <c r="G326" s="2" t="s">
        <v>2565</v>
      </c>
      <c r="H326" s="2" t="s">
        <v>2569</v>
      </c>
      <c r="I326" s="2" t="s">
        <v>1374</v>
      </c>
      <c r="J326" s="2" t="s">
        <v>2570</v>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3</v>
      </c>
      <c r="Z326" s="2" t="n">
        <v>14</v>
      </c>
      <c r="AA326" s="2" t="n">
        <v>0</v>
      </c>
      <c r="AB326" s="2" t="n">
        <v>14</v>
      </c>
      <c r="AC326" s="2"/>
    </row>
    <row r="327" customFormat="false" ht="15" hidden="false" customHeight="false" outlineLevel="0" collapsed="false">
      <c r="A327" s="2" t="n">
        <v>22</v>
      </c>
      <c r="B327" s="2" t="s">
        <v>356</v>
      </c>
      <c r="C327" s="2" t="s">
        <v>362</v>
      </c>
      <c r="D327" s="2" t="s">
        <v>2571</v>
      </c>
      <c r="E327" s="2" t="s">
        <v>1395</v>
      </c>
      <c r="F327" s="2" t="s">
        <v>1396</v>
      </c>
      <c r="G327" s="2" t="s">
        <v>2565</v>
      </c>
      <c r="H327" s="2" t="s">
        <v>2572</v>
      </c>
      <c r="I327" s="2" t="s">
        <v>1374</v>
      </c>
      <c r="J327" s="2" t="s">
        <v>2573</v>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33</v>
      </c>
      <c r="Z327" s="2" t="n">
        <v>16</v>
      </c>
      <c r="AA327" s="2" t="n">
        <v>0</v>
      </c>
      <c r="AB327" s="2" t="n">
        <v>11</v>
      </c>
      <c r="AC327" s="2"/>
    </row>
    <row r="328" customFormat="false" ht="15" hidden="false" customHeight="false" outlineLevel="0" collapsed="false">
      <c r="A328" s="2" t="n">
        <v>22</v>
      </c>
      <c r="B328" s="2" t="s">
        <v>356</v>
      </c>
      <c r="C328" s="2" t="s">
        <v>362</v>
      </c>
      <c r="D328" s="2" t="s">
        <v>2574</v>
      </c>
      <c r="E328" s="2" t="s">
        <v>1395</v>
      </c>
      <c r="F328" s="2" t="s">
        <v>1396</v>
      </c>
      <c r="G328" s="2" t="s">
        <v>2565</v>
      </c>
      <c r="H328" s="2" t="s">
        <v>2575</v>
      </c>
      <c r="I328" s="2" t="s">
        <v>1374</v>
      </c>
      <c r="J328" s="2" t="s">
        <v>2576</v>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row>
    <row r="329" customFormat="false" ht="15" hidden="false" customHeight="false" outlineLevel="0" collapsed="false">
      <c r="A329" s="2" t="n">
        <v>22</v>
      </c>
      <c r="B329" s="2" t="s">
        <v>356</v>
      </c>
      <c r="C329" s="2" t="s">
        <v>362</v>
      </c>
      <c r="D329" s="2" t="s">
        <v>2577</v>
      </c>
      <c r="E329" s="2" t="s">
        <v>1395</v>
      </c>
      <c r="F329" s="2" t="s">
        <v>1396</v>
      </c>
      <c r="G329" s="2" t="s">
        <v>2578</v>
      </c>
      <c r="H329" s="2" t="s">
        <v>2579</v>
      </c>
      <c r="I329" s="2" t="s">
        <v>1374</v>
      </c>
      <c r="J329" s="2" t="s">
        <v>2580</v>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2</v>
      </c>
      <c r="Z329" s="2" t="n">
        <v>1</v>
      </c>
      <c r="AA329" s="2" t="n">
        <v>0</v>
      </c>
      <c r="AB329" s="2" t="n">
        <v>7</v>
      </c>
      <c r="AC329" s="2"/>
    </row>
    <row r="330" customFormat="false" ht="15" hidden="false" customHeight="false" outlineLevel="0" collapsed="false">
      <c r="A330" s="2" t="n">
        <v>22</v>
      </c>
      <c r="B330" s="2" t="s">
        <v>356</v>
      </c>
      <c r="C330" s="2" t="s">
        <v>362</v>
      </c>
      <c r="D330" s="2" t="s">
        <v>2581</v>
      </c>
      <c r="E330" s="2" t="s">
        <v>1395</v>
      </c>
      <c r="F330" s="2" t="s">
        <v>1396</v>
      </c>
      <c r="G330" s="2" t="s">
        <v>2578</v>
      </c>
      <c r="H330" s="2" t="s">
        <v>2582</v>
      </c>
      <c r="I330" s="2" t="s">
        <v>1374</v>
      </c>
      <c r="J330" s="2" t="s">
        <v>2583</v>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0</v>
      </c>
      <c r="Z330" s="2" t="n">
        <v>0</v>
      </c>
      <c r="AA330" s="2" t="n">
        <v>0</v>
      </c>
      <c r="AB330" s="2" t="n">
        <v>9</v>
      </c>
      <c r="AC330" s="2"/>
    </row>
    <row r="331" customFormat="false" ht="15" hidden="false" customHeight="false" outlineLevel="0" collapsed="false">
      <c r="A331" s="2" t="n">
        <v>22</v>
      </c>
      <c r="B331" s="2" t="s">
        <v>356</v>
      </c>
      <c r="C331" s="2" t="s">
        <v>362</v>
      </c>
      <c r="D331" s="2" t="s">
        <v>2584</v>
      </c>
      <c r="E331" s="2" t="s">
        <v>1395</v>
      </c>
      <c r="F331" s="2" t="s">
        <v>1396</v>
      </c>
      <c r="G331" s="2" t="s">
        <v>2578</v>
      </c>
      <c r="H331" s="2" t="s">
        <v>2585</v>
      </c>
      <c r="I331" s="2" t="s">
        <v>1374</v>
      </c>
      <c r="J331" s="2" t="s">
        <v>2586</v>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6</v>
      </c>
      <c r="Z331" s="2" t="n">
        <v>18</v>
      </c>
      <c r="AA331" s="2" t="n">
        <v>10</v>
      </c>
      <c r="AB331" s="2" t="n">
        <v>36</v>
      </c>
      <c r="AC331" s="2"/>
    </row>
    <row r="332" customFormat="false" ht="15" hidden="false" customHeight="false" outlineLevel="0" collapsed="false">
      <c r="A332" s="2" t="n">
        <v>22</v>
      </c>
      <c r="B332" s="2" t="s">
        <v>356</v>
      </c>
      <c r="C332" s="2" t="s">
        <v>362</v>
      </c>
      <c r="D332" s="2" t="s">
        <v>2587</v>
      </c>
      <c r="E332" s="2" t="s">
        <v>1395</v>
      </c>
      <c r="F332" s="2" t="s">
        <v>1396</v>
      </c>
      <c r="G332" s="2" t="s">
        <v>2578</v>
      </c>
      <c r="H332" s="2" t="s">
        <v>2588</v>
      </c>
      <c r="I332" s="2" t="s">
        <v>1374</v>
      </c>
      <c r="J332" s="2" t="s">
        <v>2589</v>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2</v>
      </c>
      <c r="Z332" s="2" t="n">
        <v>21</v>
      </c>
      <c r="AA332" s="2" t="n">
        <v>18</v>
      </c>
      <c r="AB332" s="2" t="n">
        <v>13</v>
      </c>
      <c r="AC332" s="2"/>
    </row>
    <row r="333" customFormat="false" ht="15" hidden="false" customHeight="false" outlineLevel="0" collapsed="false">
      <c r="A333" s="2" t="n">
        <v>22</v>
      </c>
      <c r="B333" s="2" t="s">
        <v>356</v>
      </c>
      <c r="C333" s="2" t="s">
        <v>362</v>
      </c>
      <c r="D333" s="2" t="s">
        <v>2590</v>
      </c>
      <c r="E333" s="2" t="s">
        <v>1395</v>
      </c>
      <c r="F333" s="2" t="s">
        <v>1396</v>
      </c>
      <c r="G333" s="2" t="s">
        <v>2578</v>
      </c>
      <c r="H333" s="2" t="s">
        <v>2591</v>
      </c>
      <c r="I333" s="2" t="s">
        <v>1374</v>
      </c>
      <c r="J333" s="2" t="s">
        <v>2592</v>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2</v>
      </c>
      <c r="AA333" s="2" t="n">
        <v>0</v>
      </c>
      <c r="AB333" s="2" t="n">
        <v>2</v>
      </c>
      <c r="AC333" s="2"/>
    </row>
    <row r="334" customFormat="false" ht="15" hidden="false" customHeight="false" outlineLevel="0" collapsed="false">
      <c r="A334" s="2" t="n">
        <v>22</v>
      </c>
      <c r="B334" s="2" t="s">
        <v>356</v>
      </c>
      <c r="C334" s="2" t="s">
        <v>362</v>
      </c>
      <c r="D334" s="2" t="s">
        <v>2593</v>
      </c>
      <c r="E334" s="2" t="s">
        <v>1395</v>
      </c>
      <c r="F334" s="2" t="s">
        <v>1396</v>
      </c>
      <c r="G334" s="2" t="s">
        <v>2578</v>
      </c>
      <c r="H334" s="2" t="s">
        <v>2594</v>
      </c>
      <c r="I334" s="2" t="s">
        <v>1374</v>
      </c>
      <c r="J334" s="2" t="s">
        <v>2595</v>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4</v>
      </c>
      <c r="AA334" s="2" t="n">
        <v>0</v>
      </c>
      <c r="AB334" s="2" t="n">
        <v>1</v>
      </c>
      <c r="AC334" s="2"/>
    </row>
    <row r="335" customFormat="false" ht="15" hidden="false" customHeight="false" outlineLevel="0" collapsed="false">
      <c r="A335" s="2" t="n">
        <v>22</v>
      </c>
      <c r="B335" s="2" t="s">
        <v>356</v>
      </c>
      <c r="C335" s="2" t="s">
        <v>362</v>
      </c>
      <c r="D335" s="2" t="s">
        <v>2596</v>
      </c>
      <c r="E335" s="2" t="s">
        <v>1395</v>
      </c>
      <c r="F335" s="2" t="s">
        <v>1396</v>
      </c>
      <c r="G335" s="2" t="s">
        <v>2578</v>
      </c>
      <c r="H335" s="2" t="s">
        <v>2597</v>
      </c>
      <c r="I335" s="2" t="s">
        <v>1374</v>
      </c>
      <c r="J335" s="2" t="s">
        <v>2598</v>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4</v>
      </c>
      <c r="AA335" s="2" t="n">
        <v>0</v>
      </c>
      <c r="AB335" s="2" t="n">
        <v>1</v>
      </c>
      <c r="AC335" s="2"/>
    </row>
    <row r="336" customFormat="false" ht="15" hidden="false" customHeight="false" outlineLevel="0" collapsed="false">
      <c r="A336" s="2" t="n">
        <v>22</v>
      </c>
      <c r="B336" s="2" t="s">
        <v>356</v>
      </c>
      <c r="C336" s="2" t="s">
        <v>362</v>
      </c>
      <c r="D336" s="2" t="s">
        <v>2599</v>
      </c>
      <c r="E336" s="2" t="s">
        <v>1395</v>
      </c>
      <c r="F336" s="2" t="s">
        <v>1396</v>
      </c>
      <c r="G336" s="2" t="s">
        <v>2600</v>
      </c>
      <c r="H336" s="2" t="s">
        <v>2601</v>
      </c>
      <c r="I336" s="2" t="s">
        <v>1374</v>
      </c>
      <c r="J336" s="2" t="s">
        <v>2602</v>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0</v>
      </c>
      <c r="Z336" s="2" t="n">
        <v>0</v>
      </c>
      <c r="AA336" s="2" t="n">
        <v>0</v>
      </c>
      <c r="AB336" s="2" t="n">
        <v>28</v>
      </c>
      <c r="AC336" s="2"/>
    </row>
    <row r="337" customFormat="false" ht="15" hidden="false" customHeight="false" outlineLevel="0" collapsed="false">
      <c r="A337" s="2" t="n">
        <v>22</v>
      </c>
      <c r="B337" s="2" t="s">
        <v>356</v>
      </c>
      <c r="C337" s="2" t="s">
        <v>362</v>
      </c>
      <c r="D337" s="2" t="s">
        <v>2603</v>
      </c>
      <c r="E337" s="2" t="s">
        <v>1395</v>
      </c>
      <c r="F337" s="2" t="s">
        <v>1396</v>
      </c>
      <c r="G337" s="2" t="s">
        <v>2600</v>
      </c>
      <c r="H337" s="2" t="s">
        <v>2604</v>
      </c>
      <c r="I337" s="2" t="s">
        <v>1374</v>
      </c>
      <c r="J337" s="2" t="s">
        <v>2605</v>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1</v>
      </c>
      <c r="Z337" s="2" t="n">
        <v>0</v>
      </c>
      <c r="AA337" s="2" t="n">
        <v>0</v>
      </c>
      <c r="AB337" s="2" t="n">
        <v>41</v>
      </c>
      <c r="AC337" s="2"/>
    </row>
    <row r="338" customFormat="false" ht="15" hidden="false" customHeight="false" outlineLevel="0" collapsed="false">
      <c r="A338" s="2" t="n">
        <v>22</v>
      </c>
      <c r="B338" s="2" t="s">
        <v>356</v>
      </c>
      <c r="C338" s="2" t="s">
        <v>362</v>
      </c>
      <c r="D338" s="2" t="s">
        <v>2606</v>
      </c>
      <c r="E338" s="2" t="s">
        <v>1395</v>
      </c>
      <c r="F338" s="2" t="s">
        <v>1396</v>
      </c>
      <c r="G338" s="2" t="s">
        <v>2600</v>
      </c>
      <c r="H338" s="2" t="s">
        <v>2607</v>
      </c>
      <c r="I338" s="2" t="s">
        <v>1374</v>
      </c>
      <c r="J338" s="2" t="s">
        <v>2608</v>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10</v>
      </c>
      <c r="Z338" s="2" t="n">
        <v>0</v>
      </c>
      <c r="AA338" s="2" t="n">
        <v>0</v>
      </c>
      <c r="AB338" s="2" t="n">
        <v>54</v>
      </c>
      <c r="AC338" s="2"/>
    </row>
    <row r="339" customFormat="false" ht="15" hidden="false" customHeight="false" outlineLevel="0" collapsed="false">
      <c r="A339" s="2" t="n">
        <v>22</v>
      </c>
      <c r="B339" s="2" t="s">
        <v>356</v>
      </c>
      <c r="C339" s="2" t="s">
        <v>362</v>
      </c>
      <c r="D339" s="2" t="s">
        <v>2609</v>
      </c>
      <c r="E339" s="2" t="s">
        <v>1395</v>
      </c>
      <c r="F339" s="2" t="s">
        <v>1396</v>
      </c>
      <c r="G339" s="2" t="s">
        <v>2600</v>
      </c>
      <c r="H339" s="2" t="s">
        <v>2610</v>
      </c>
      <c r="I339" s="2" t="s">
        <v>1374</v>
      </c>
      <c r="J339" s="2" t="s">
        <v>2611</v>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4</v>
      </c>
      <c r="Z339" s="2" t="n">
        <v>0</v>
      </c>
      <c r="AA339" s="2" t="n">
        <v>0</v>
      </c>
      <c r="AB339" s="2" t="n">
        <v>20</v>
      </c>
      <c r="AC339" s="2"/>
    </row>
    <row r="340" customFormat="false" ht="15" hidden="false" customHeight="false" outlineLevel="0" collapsed="false">
      <c r="A340" s="2" t="n">
        <v>22</v>
      </c>
      <c r="B340" s="2" t="s">
        <v>356</v>
      </c>
      <c r="C340" s="2" t="s">
        <v>362</v>
      </c>
      <c r="D340" s="2" t="s">
        <v>2612</v>
      </c>
      <c r="E340" s="2" t="s">
        <v>1395</v>
      </c>
      <c r="F340" s="2" t="s">
        <v>1396</v>
      </c>
      <c r="G340" s="2" t="s">
        <v>2600</v>
      </c>
      <c r="H340" s="2" t="s">
        <v>2613</v>
      </c>
      <c r="I340" s="2" t="s">
        <v>1374</v>
      </c>
      <c r="J340" s="2" t="s">
        <v>2614</v>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2</v>
      </c>
      <c r="Z340" s="2" t="n">
        <v>0</v>
      </c>
      <c r="AA340" s="2" t="n">
        <v>0</v>
      </c>
      <c r="AB340" s="2" t="n">
        <v>16</v>
      </c>
      <c r="AC340" s="2"/>
    </row>
    <row r="341" customFormat="false" ht="15" hidden="false" customHeight="false" outlineLevel="0" collapsed="false">
      <c r="A341" s="2" t="n">
        <v>22</v>
      </c>
      <c r="B341" s="2" t="s">
        <v>356</v>
      </c>
      <c r="C341" s="2" t="s">
        <v>362</v>
      </c>
      <c r="D341" s="2" t="s">
        <v>2615</v>
      </c>
      <c r="E341" s="2" t="s">
        <v>1395</v>
      </c>
      <c r="F341" s="2" t="s">
        <v>1396</v>
      </c>
      <c r="G341" s="2" t="s">
        <v>2600</v>
      </c>
      <c r="H341" s="2" t="s">
        <v>2616</v>
      </c>
      <c r="I341" s="2" t="s">
        <v>1374</v>
      </c>
      <c r="J341" s="2" t="s">
        <v>2617</v>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v>
      </c>
      <c r="Z341" s="2" t="n">
        <v>0</v>
      </c>
      <c r="AA341" s="2" t="n">
        <v>0</v>
      </c>
      <c r="AB341" s="2" t="n">
        <v>23</v>
      </c>
      <c r="AC341" s="2"/>
    </row>
    <row r="342" customFormat="false" ht="15" hidden="false" customHeight="false" outlineLevel="0" collapsed="false">
      <c r="A342" s="2" t="n">
        <v>22</v>
      </c>
      <c r="B342" s="2" t="s">
        <v>356</v>
      </c>
      <c r="C342" s="2" t="s">
        <v>362</v>
      </c>
      <c r="D342" s="2" t="s">
        <v>2618</v>
      </c>
      <c r="E342" s="2" t="s">
        <v>1395</v>
      </c>
      <c r="F342" s="2" t="s">
        <v>1419</v>
      </c>
      <c r="G342" s="2" t="s">
        <v>2619</v>
      </c>
      <c r="H342" s="2" t="s">
        <v>2620</v>
      </c>
      <c r="I342" s="2" t="s">
        <v>1374</v>
      </c>
      <c r="J342" s="2" t="s">
        <v>2621</v>
      </c>
      <c r="K342" s="2" t="n">
        <v>7</v>
      </c>
      <c r="L342" s="2" t="n">
        <v>3081</v>
      </c>
      <c r="M342" s="2" t="n">
        <v>603</v>
      </c>
      <c r="N342" s="2" t="n">
        <v>493</v>
      </c>
      <c r="O342" s="2" t="n">
        <v>55</v>
      </c>
      <c r="P342" s="2" t="n">
        <v>2423</v>
      </c>
      <c r="Q342" s="2" t="n">
        <v>0</v>
      </c>
      <c r="R342" s="2" t="n">
        <v>0</v>
      </c>
      <c r="S342" s="2" t="n">
        <v>10</v>
      </c>
      <c r="T342" s="2" t="n">
        <v>9</v>
      </c>
      <c r="U342" s="2" t="n">
        <v>0</v>
      </c>
      <c r="V342" s="2" t="n">
        <v>1</v>
      </c>
      <c r="W342" s="2" t="n">
        <v>0</v>
      </c>
      <c r="X342" s="2" t="n">
        <v>0</v>
      </c>
      <c r="Y342" s="2" t="n">
        <v>0</v>
      </c>
      <c r="Z342" s="2" t="n">
        <v>5</v>
      </c>
      <c r="AA342" s="2" t="n">
        <v>0</v>
      </c>
      <c r="AB342" s="2" t="n">
        <v>5</v>
      </c>
      <c r="AC342" s="2"/>
    </row>
    <row r="343" customFormat="false" ht="15" hidden="false" customHeight="false" outlineLevel="0" collapsed="false">
      <c r="A343" s="2" t="n">
        <v>22</v>
      </c>
      <c r="B343" s="2" t="s">
        <v>356</v>
      </c>
      <c r="C343" s="2" t="s">
        <v>362</v>
      </c>
      <c r="D343" s="2" t="s">
        <v>2622</v>
      </c>
      <c r="E343" s="2" t="s">
        <v>1395</v>
      </c>
      <c r="F343" s="2" t="s">
        <v>1396</v>
      </c>
      <c r="G343" s="2" t="s">
        <v>2619</v>
      </c>
      <c r="H343" s="2" t="s">
        <v>2623</v>
      </c>
      <c r="I343" s="2" t="s">
        <v>1374</v>
      </c>
      <c r="J343" s="2" t="s">
        <v>2624</v>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10</v>
      </c>
      <c r="Z343" s="2" t="n">
        <v>0</v>
      </c>
      <c r="AA343" s="2" t="n">
        <v>0</v>
      </c>
      <c r="AB343" s="2" t="n">
        <v>6</v>
      </c>
      <c r="AC343" s="2"/>
    </row>
    <row r="344" customFormat="false" ht="15" hidden="false" customHeight="false" outlineLevel="0" collapsed="false">
      <c r="A344" s="2" t="n">
        <v>22</v>
      </c>
      <c r="B344" s="2" t="s">
        <v>356</v>
      </c>
      <c r="C344" s="2" t="s">
        <v>362</v>
      </c>
      <c r="D344" s="2" t="s">
        <v>2625</v>
      </c>
      <c r="E344" s="2" t="s">
        <v>1395</v>
      </c>
      <c r="F344" s="2" t="s">
        <v>1396</v>
      </c>
      <c r="G344" s="2" t="s">
        <v>2619</v>
      </c>
      <c r="H344" s="2" t="s">
        <v>2626</v>
      </c>
      <c r="I344" s="2" t="s">
        <v>1374</v>
      </c>
      <c r="J344" s="2" t="s">
        <v>2627</v>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15</v>
      </c>
      <c r="Z344" s="2" t="n">
        <v>9</v>
      </c>
      <c r="AA344" s="2" t="n">
        <v>0</v>
      </c>
      <c r="AB344" s="2" t="n">
        <v>19</v>
      </c>
      <c r="AC344" s="2"/>
    </row>
    <row r="345" customFormat="false" ht="15" hidden="false" customHeight="false" outlineLevel="0" collapsed="false">
      <c r="A345" s="2" t="n">
        <v>22</v>
      </c>
      <c r="B345" s="2" t="s">
        <v>356</v>
      </c>
      <c r="C345" s="2" t="s">
        <v>362</v>
      </c>
      <c r="D345" s="2" t="s">
        <v>2628</v>
      </c>
      <c r="E345" s="2" t="s">
        <v>1395</v>
      </c>
      <c r="F345" s="2" t="s">
        <v>1396</v>
      </c>
      <c r="G345" s="2" t="s">
        <v>641</v>
      </c>
      <c r="H345" s="2" t="s">
        <v>2629</v>
      </c>
      <c r="I345" s="2" t="s">
        <v>1374</v>
      </c>
      <c r="J345" s="2" t="s">
        <v>2630</v>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0</v>
      </c>
      <c r="Z345" s="2" t="n">
        <v>0</v>
      </c>
      <c r="AA345" s="2" t="n">
        <v>0</v>
      </c>
      <c r="AB345" s="2" t="n">
        <v>1</v>
      </c>
      <c r="AC345" s="2"/>
    </row>
    <row r="346" customFormat="false" ht="15" hidden="false" customHeight="false" outlineLevel="0" collapsed="false">
      <c r="A346" s="2" t="n">
        <v>22</v>
      </c>
      <c r="B346" s="2" t="s">
        <v>356</v>
      </c>
      <c r="C346" s="2" t="s">
        <v>362</v>
      </c>
      <c r="D346" s="2" t="s">
        <v>2631</v>
      </c>
      <c r="E346" s="2" t="s">
        <v>1395</v>
      </c>
      <c r="F346" s="2" t="s">
        <v>1396</v>
      </c>
      <c r="G346" s="2" t="s">
        <v>641</v>
      </c>
      <c r="H346" s="2" t="s">
        <v>2632</v>
      </c>
      <c r="I346" s="2" t="s">
        <v>1374</v>
      </c>
      <c r="J346" s="2" t="s">
        <v>2633</v>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11</v>
      </c>
      <c r="Z346" s="2" t="n">
        <v>0</v>
      </c>
      <c r="AA346" s="2" t="n">
        <v>0</v>
      </c>
      <c r="AB346" s="2" t="n">
        <v>3</v>
      </c>
      <c r="AC346" s="2"/>
    </row>
    <row r="347" customFormat="false" ht="15" hidden="false" customHeight="false" outlineLevel="0" collapsed="false">
      <c r="A347" s="2" t="n">
        <v>22</v>
      </c>
      <c r="B347" s="2" t="s">
        <v>356</v>
      </c>
      <c r="C347" s="2" t="s">
        <v>362</v>
      </c>
      <c r="D347" s="2" t="s">
        <v>2634</v>
      </c>
      <c r="E347" s="2" t="s">
        <v>1395</v>
      </c>
      <c r="F347" s="2" t="s">
        <v>1396</v>
      </c>
      <c r="G347" s="2" t="s">
        <v>641</v>
      </c>
      <c r="H347" s="2" t="s">
        <v>2635</v>
      </c>
      <c r="I347" s="2" t="s">
        <v>1374</v>
      </c>
      <c r="J347" s="2" t="s">
        <v>2636</v>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14</v>
      </c>
      <c r="Z347" s="2" t="n">
        <v>0</v>
      </c>
      <c r="AA347" s="2" t="n">
        <v>0</v>
      </c>
      <c r="AB347" s="2" t="n">
        <v>16</v>
      </c>
      <c r="AC347" s="2"/>
    </row>
    <row r="348" customFormat="false" ht="15" hidden="false" customHeight="false" outlineLevel="0" collapsed="false">
      <c r="A348" s="2" t="n">
        <v>22</v>
      </c>
      <c r="B348" s="2" t="s">
        <v>356</v>
      </c>
      <c r="C348" s="2" t="s">
        <v>362</v>
      </c>
      <c r="D348" s="2" t="s">
        <v>2637</v>
      </c>
      <c r="E348" s="2" t="s">
        <v>1395</v>
      </c>
      <c r="F348" s="2" t="s">
        <v>1396</v>
      </c>
      <c r="G348" s="2" t="s">
        <v>641</v>
      </c>
      <c r="H348" s="2" t="s">
        <v>2638</v>
      </c>
      <c r="I348" s="2" t="s">
        <v>1374</v>
      </c>
      <c r="J348" s="2" t="s">
        <v>2639</v>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4</v>
      </c>
      <c r="Z348" s="2" t="n">
        <v>0</v>
      </c>
      <c r="AA348" s="2" t="n">
        <v>0</v>
      </c>
      <c r="AB348" s="2" t="n">
        <v>17</v>
      </c>
      <c r="AC348" s="2"/>
    </row>
    <row r="349" customFormat="false" ht="15" hidden="false" customHeight="false" outlineLevel="0" collapsed="false">
      <c r="A349" s="2" t="n">
        <v>22</v>
      </c>
      <c r="B349" s="2" t="s">
        <v>356</v>
      </c>
      <c r="C349" s="2" t="s">
        <v>362</v>
      </c>
      <c r="D349" s="2" t="s">
        <v>2640</v>
      </c>
      <c r="E349" s="2" t="s">
        <v>1395</v>
      </c>
      <c r="F349" s="2" t="s">
        <v>1396</v>
      </c>
      <c r="G349" s="2" t="s">
        <v>2641</v>
      </c>
      <c r="H349" s="2" t="s">
        <v>2642</v>
      </c>
      <c r="I349" s="2" t="s">
        <v>1374</v>
      </c>
      <c r="J349" s="2" t="s">
        <v>2643</v>
      </c>
      <c r="K349" s="2" t="n">
        <v>7</v>
      </c>
      <c r="L349" s="2" t="n">
        <v>2724</v>
      </c>
      <c r="M349" s="2" t="n">
        <v>1036</v>
      </c>
      <c r="N349" s="2" t="n">
        <v>899</v>
      </c>
      <c r="O349" s="2" t="n">
        <v>1105</v>
      </c>
      <c r="P349" s="2" t="n">
        <v>583</v>
      </c>
      <c r="Q349" s="2" t="n">
        <v>0</v>
      </c>
      <c r="R349" s="2" t="n">
        <v>0</v>
      </c>
      <c r="S349" s="2" t="n">
        <v>15</v>
      </c>
      <c r="T349" s="2" t="n">
        <v>15</v>
      </c>
      <c r="U349" s="2" t="n">
        <v>0</v>
      </c>
      <c r="V349" s="2" t="n">
        <v>0</v>
      </c>
      <c r="W349" s="2" t="n">
        <v>0</v>
      </c>
      <c r="X349" s="2" t="n">
        <v>0</v>
      </c>
      <c r="Y349" s="2" t="n">
        <v>0</v>
      </c>
      <c r="Z349" s="2" t="n">
        <v>6</v>
      </c>
      <c r="AA349" s="2" t="n">
        <v>0</v>
      </c>
      <c r="AB349" s="2" t="n">
        <v>9</v>
      </c>
      <c r="AC349" s="2"/>
    </row>
    <row r="350" customFormat="false" ht="15" hidden="false" customHeight="false" outlineLevel="0" collapsed="false">
      <c r="A350" s="2" t="n">
        <v>22</v>
      </c>
      <c r="B350" s="2" t="s">
        <v>356</v>
      </c>
      <c r="C350" s="2" t="s">
        <v>362</v>
      </c>
      <c r="D350" s="2" t="s">
        <v>2644</v>
      </c>
      <c r="E350" s="2" t="s">
        <v>1395</v>
      </c>
      <c r="F350" s="2" t="s">
        <v>1396</v>
      </c>
      <c r="G350" s="2" t="s">
        <v>2645</v>
      </c>
      <c r="H350" s="2" t="s">
        <v>2646</v>
      </c>
      <c r="I350" s="2" t="s">
        <v>1374</v>
      </c>
      <c r="J350" s="2" t="s">
        <v>2647</v>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6</v>
      </c>
      <c r="Z350" s="2" t="n">
        <v>0</v>
      </c>
      <c r="AA350" s="2" t="n">
        <v>0</v>
      </c>
      <c r="AB350" s="2" t="n">
        <v>15</v>
      </c>
      <c r="AC350" s="2"/>
    </row>
    <row r="351" customFormat="false" ht="15" hidden="false" customHeight="false" outlineLevel="0" collapsed="false">
      <c r="A351" s="2" t="n">
        <v>22</v>
      </c>
      <c r="B351" s="2" t="s">
        <v>356</v>
      </c>
      <c r="C351" s="2" t="s">
        <v>362</v>
      </c>
      <c r="D351" s="2" t="s">
        <v>2648</v>
      </c>
      <c r="E351" s="2" t="s">
        <v>1395</v>
      </c>
      <c r="F351" s="2" t="s">
        <v>1396</v>
      </c>
      <c r="G351" s="2" t="s">
        <v>2649</v>
      </c>
      <c r="H351" s="2" t="s">
        <v>2650</v>
      </c>
      <c r="I351" s="2" t="s">
        <v>1374</v>
      </c>
      <c r="J351" s="2" t="s">
        <v>2651</v>
      </c>
      <c r="K351" s="2" t="n">
        <v>6</v>
      </c>
      <c r="L351" s="2" t="n">
        <v>1259</v>
      </c>
      <c r="M351" s="2" t="n">
        <v>508</v>
      </c>
      <c r="N351" s="2" t="n">
        <v>410</v>
      </c>
      <c r="O351" s="2" t="n">
        <v>454</v>
      </c>
      <c r="P351" s="2" t="n">
        <v>297</v>
      </c>
      <c r="Q351" s="2" t="n">
        <v>0</v>
      </c>
      <c r="R351" s="2" t="n">
        <v>0</v>
      </c>
      <c r="S351" s="2" t="n">
        <v>7</v>
      </c>
      <c r="T351" s="2" t="n">
        <v>6</v>
      </c>
      <c r="U351" s="2" t="n">
        <v>0</v>
      </c>
      <c r="V351" s="2" t="n">
        <v>0</v>
      </c>
      <c r="W351" s="2" t="n">
        <v>0</v>
      </c>
      <c r="X351" s="2" t="n">
        <v>1</v>
      </c>
      <c r="Y351" s="2" t="n">
        <v>0</v>
      </c>
      <c r="Z351" s="2" t="n">
        <v>3</v>
      </c>
      <c r="AA351" s="2" t="n">
        <v>0</v>
      </c>
      <c r="AB351" s="2" t="n">
        <v>4</v>
      </c>
      <c r="AC351" s="2"/>
    </row>
    <row r="352" customFormat="false" ht="15" hidden="false" customHeight="false" outlineLevel="0" collapsed="false">
      <c r="A352" s="2" t="n">
        <v>22</v>
      </c>
      <c r="B352" s="2" t="s">
        <v>356</v>
      </c>
      <c r="C352" s="2" t="s">
        <v>362</v>
      </c>
      <c r="D352" s="2" t="s">
        <v>2652</v>
      </c>
      <c r="E352" s="2" t="s">
        <v>1395</v>
      </c>
      <c r="F352" s="2" t="s">
        <v>1396</v>
      </c>
      <c r="G352" s="2" t="s">
        <v>2649</v>
      </c>
      <c r="H352" s="2" t="s">
        <v>2653</v>
      </c>
      <c r="I352" s="2" t="s">
        <v>1374</v>
      </c>
      <c r="J352" s="2" t="s">
        <v>2654</v>
      </c>
      <c r="K352" s="2" t="n">
        <v>46</v>
      </c>
      <c r="L352" s="2" t="n">
        <v>15940</v>
      </c>
      <c r="M352" s="2" t="n">
        <v>1093</v>
      </c>
      <c r="N352" s="2" t="n">
        <v>985</v>
      </c>
      <c r="O352" s="2" t="n">
        <v>1870</v>
      </c>
      <c r="P352" s="2" t="n">
        <v>12977</v>
      </c>
      <c r="Q352" s="2" t="n">
        <v>0</v>
      </c>
      <c r="R352" s="2" t="n">
        <v>0</v>
      </c>
      <c r="S352" s="2" t="n">
        <v>243</v>
      </c>
      <c r="T352" s="2" t="n">
        <v>197</v>
      </c>
      <c r="U352" s="2" t="n">
        <v>19</v>
      </c>
      <c r="V352" s="2" t="n">
        <v>2</v>
      </c>
      <c r="W352" s="2" t="n">
        <v>14</v>
      </c>
      <c r="X352" s="2" t="n">
        <v>11</v>
      </c>
      <c r="Y352" s="2" t="n">
        <v>97</v>
      </c>
      <c r="Z352" s="2" t="n">
        <v>10</v>
      </c>
      <c r="AA352" s="2" t="n">
        <v>2</v>
      </c>
      <c r="AB352" s="2" t="n">
        <v>134</v>
      </c>
      <c r="AC352" s="2"/>
    </row>
    <row r="353" customFormat="false" ht="15" hidden="false" customHeight="false" outlineLevel="0" collapsed="false">
      <c r="A353" s="2" t="n">
        <v>22</v>
      </c>
      <c r="B353" s="2" t="s">
        <v>356</v>
      </c>
      <c r="C353" s="2" t="s">
        <v>362</v>
      </c>
      <c r="D353" s="2" t="s">
        <v>2655</v>
      </c>
      <c r="E353" s="2" t="s">
        <v>1395</v>
      </c>
      <c r="F353" s="2" t="s">
        <v>1396</v>
      </c>
      <c r="G353" s="2" t="s">
        <v>2649</v>
      </c>
      <c r="H353" s="2" t="s">
        <v>2656</v>
      </c>
      <c r="I353" s="2" t="s">
        <v>1374</v>
      </c>
      <c r="J353" s="2" t="s">
        <v>2657</v>
      </c>
      <c r="K353" s="2" t="n">
        <v>7</v>
      </c>
      <c r="L353" s="2" t="n">
        <v>2419</v>
      </c>
      <c r="M353" s="2" t="n">
        <v>445</v>
      </c>
      <c r="N353" s="2" t="n">
        <v>340</v>
      </c>
      <c r="O353" s="2" t="n">
        <v>597</v>
      </c>
      <c r="P353" s="2" t="n">
        <v>1377</v>
      </c>
      <c r="Q353" s="2" t="n">
        <v>0</v>
      </c>
      <c r="R353" s="2" t="n">
        <v>0</v>
      </c>
      <c r="S353" s="2" t="n">
        <v>25</v>
      </c>
      <c r="T353" s="2" t="n">
        <v>24</v>
      </c>
      <c r="U353" s="2" t="n">
        <v>0</v>
      </c>
      <c r="V353" s="2" t="n">
        <v>0</v>
      </c>
      <c r="W353" s="2" t="n">
        <v>0</v>
      </c>
      <c r="X353" s="2" t="n">
        <v>1</v>
      </c>
      <c r="Y353" s="2" t="n">
        <v>1</v>
      </c>
      <c r="Z353" s="2" t="n">
        <v>3</v>
      </c>
      <c r="AA353" s="2" t="n">
        <v>0</v>
      </c>
      <c r="AB353" s="2" t="n">
        <v>21</v>
      </c>
      <c r="AC353" s="2"/>
    </row>
    <row r="354" customFormat="false" ht="15" hidden="false" customHeight="false" outlineLevel="0" collapsed="false">
      <c r="A354" s="2" t="n">
        <v>23</v>
      </c>
      <c r="B354" s="2" t="s">
        <v>369</v>
      </c>
      <c r="C354" s="2" t="s">
        <v>374</v>
      </c>
      <c r="D354" s="2" t="s">
        <v>2658</v>
      </c>
      <c r="E354" s="2" t="s">
        <v>1401</v>
      </c>
      <c r="F354" s="2" t="s">
        <v>1402</v>
      </c>
      <c r="G354" s="2" t="s">
        <v>2659</v>
      </c>
      <c r="H354" s="2" t="s">
        <v>2660</v>
      </c>
      <c r="I354" s="2" t="s">
        <v>1374</v>
      </c>
      <c r="J354" s="2" t="s">
        <v>2661</v>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4</v>
      </c>
      <c r="Z354" s="2" t="n">
        <v>22</v>
      </c>
      <c r="AA354" s="2" t="n">
        <v>0</v>
      </c>
      <c r="AB354" s="2" t="n">
        <v>3</v>
      </c>
      <c r="AC354" s="2"/>
    </row>
    <row r="355" customFormat="false" ht="15" hidden="false" customHeight="false" outlineLevel="0" collapsed="false">
      <c r="A355" s="2" t="n">
        <v>23</v>
      </c>
      <c r="B355" s="2" t="s">
        <v>369</v>
      </c>
      <c r="C355" s="2" t="s">
        <v>374</v>
      </c>
      <c r="D355" s="2" t="s">
        <v>2662</v>
      </c>
      <c r="E355" s="2" t="s">
        <v>1401</v>
      </c>
      <c r="F355" s="2" t="s">
        <v>1402</v>
      </c>
      <c r="G355" s="2" t="s">
        <v>2663</v>
      </c>
      <c r="H355" s="2" t="s">
        <v>2664</v>
      </c>
      <c r="I355" s="2" t="s">
        <v>1374</v>
      </c>
      <c r="J355" s="2" t="s">
        <v>2665</v>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98</v>
      </c>
      <c r="Z355" s="2" t="n">
        <v>9</v>
      </c>
      <c r="AA355" s="2" t="n">
        <v>1</v>
      </c>
      <c r="AB355" s="2" t="n">
        <v>23</v>
      </c>
      <c r="AC355" s="2"/>
    </row>
    <row r="356" customFormat="false" ht="15" hidden="false" customHeight="false" outlineLevel="0" collapsed="false">
      <c r="A356" s="2" t="n">
        <v>23</v>
      </c>
      <c r="B356" s="2" t="s">
        <v>369</v>
      </c>
      <c r="C356" s="2" t="s">
        <v>374</v>
      </c>
      <c r="D356" s="2" t="s">
        <v>2666</v>
      </c>
      <c r="E356" s="2" t="s">
        <v>1395</v>
      </c>
      <c r="F356" s="2" t="s">
        <v>1396</v>
      </c>
      <c r="G356" s="2" t="s">
        <v>2667</v>
      </c>
      <c r="H356" s="2" t="s">
        <v>2668</v>
      </c>
      <c r="I356" s="2" t="s">
        <v>1374</v>
      </c>
      <c r="J356" s="2" t="s">
        <v>2669</v>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29</v>
      </c>
      <c r="Z356" s="2" t="n">
        <v>90</v>
      </c>
      <c r="AA356" s="2" t="n">
        <v>0</v>
      </c>
      <c r="AB356" s="2" t="n">
        <v>35</v>
      </c>
      <c r="AC356" s="2"/>
    </row>
    <row r="357" customFormat="false" ht="15" hidden="false" customHeight="false" outlineLevel="0" collapsed="false">
      <c r="A357" s="2" t="n">
        <v>23</v>
      </c>
      <c r="B357" s="2" t="s">
        <v>369</v>
      </c>
      <c r="C357" s="2" t="s">
        <v>374</v>
      </c>
      <c r="D357" s="2" t="s">
        <v>2670</v>
      </c>
      <c r="E357" s="2" t="s">
        <v>1401</v>
      </c>
      <c r="F357" s="2" t="s">
        <v>1402</v>
      </c>
      <c r="G357" s="2" t="s">
        <v>2667</v>
      </c>
      <c r="H357" s="2" t="s">
        <v>2671</v>
      </c>
      <c r="I357" s="2" t="s">
        <v>1374</v>
      </c>
      <c r="J357" s="2" t="s">
        <v>2672</v>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8</v>
      </c>
      <c r="Z357" s="2" t="n">
        <v>16</v>
      </c>
      <c r="AA357" s="2" t="n">
        <v>41</v>
      </c>
      <c r="AB357" s="2" t="n">
        <v>32</v>
      </c>
      <c r="AC357" s="2"/>
    </row>
    <row r="358" customFormat="false" ht="15" hidden="false" customHeight="false" outlineLevel="0" collapsed="false">
      <c r="A358" s="2" t="n">
        <v>23</v>
      </c>
      <c r="B358" s="2" t="s">
        <v>369</v>
      </c>
      <c r="C358" s="2" t="s">
        <v>374</v>
      </c>
      <c r="D358" s="2" t="s">
        <v>2673</v>
      </c>
      <c r="E358" s="2" t="s">
        <v>1401</v>
      </c>
      <c r="F358" s="2" t="s">
        <v>1402</v>
      </c>
      <c r="G358" s="2" t="s">
        <v>2674</v>
      </c>
      <c r="H358" s="2" t="s">
        <v>2675</v>
      </c>
      <c r="I358" s="2" t="s">
        <v>1374</v>
      </c>
      <c r="J358" s="2" t="s">
        <v>2676</v>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1</v>
      </c>
      <c r="Z358" s="2" t="n">
        <v>0</v>
      </c>
      <c r="AA358" s="2" t="n">
        <v>0</v>
      </c>
      <c r="AB358" s="2" t="n">
        <v>4</v>
      </c>
      <c r="AC358" s="2"/>
    </row>
    <row r="359" customFormat="false" ht="15" hidden="false" customHeight="false" outlineLevel="0" collapsed="false">
      <c r="A359" s="2" t="n">
        <v>23</v>
      </c>
      <c r="B359" s="2" t="s">
        <v>369</v>
      </c>
      <c r="C359" s="2" t="s">
        <v>374</v>
      </c>
      <c r="D359" s="2" t="s">
        <v>2677</v>
      </c>
      <c r="E359" s="2" t="s">
        <v>1401</v>
      </c>
      <c r="F359" s="2" t="s">
        <v>1402</v>
      </c>
      <c r="G359" s="2" t="s">
        <v>2678</v>
      </c>
      <c r="H359" s="2" t="s">
        <v>2679</v>
      </c>
      <c r="I359" s="2" t="s">
        <v>1374</v>
      </c>
      <c r="J359" s="2" t="s">
        <v>2680</v>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11</v>
      </c>
      <c r="Z359" s="2" t="n">
        <v>30</v>
      </c>
      <c r="AA359" s="2" t="n">
        <v>3</v>
      </c>
      <c r="AB359" s="2" t="n">
        <v>5</v>
      </c>
      <c r="AC359" s="2"/>
    </row>
    <row r="360" customFormat="false" ht="15" hidden="false" customHeight="false" outlineLevel="0" collapsed="false">
      <c r="A360" s="2" t="n">
        <v>23</v>
      </c>
      <c r="B360" s="2" t="s">
        <v>369</v>
      </c>
      <c r="C360" s="2" t="s">
        <v>374</v>
      </c>
      <c r="D360" s="2" t="s">
        <v>2681</v>
      </c>
      <c r="E360" s="2" t="s">
        <v>1401</v>
      </c>
      <c r="F360" s="2" t="s">
        <v>1402</v>
      </c>
      <c r="G360" s="2" t="s">
        <v>2682</v>
      </c>
      <c r="H360" s="2" t="s">
        <v>2683</v>
      </c>
      <c r="I360" s="2" t="s">
        <v>1374</v>
      </c>
      <c r="J360" s="2" t="s">
        <v>2684</v>
      </c>
      <c r="K360" s="2" t="n">
        <v>4</v>
      </c>
      <c r="L360" s="2" t="n">
        <v>1870</v>
      </c>
      <c r="M360" s="2" t="n">
        <v>1119</v>
      </c>
      <c r="N360" s="2" t="n">
        <v>996</v>
      </c>
      <c r="O360" s="2" t="n">
        <v>751</v>
      </c>
      <c r="P360" s="2" t="n">
        <v>0</v>
      </c>
      <c r="Q360" s="2" t="n">
        <v>0</v>
      </c>
      <c r="R360" s="2" t="n">
        <v>0</v>
      </c>
      <c r="S360" s="2" t="n">
        <v>3</v>
      </c>
      <c r="T360" s="2" t="n">
        <v>2</v>
      </c>
      <c r="U360" s="2" t="n">
        <v>1</v>
      </c>
      <c r="V360" s="2" t="n">
        <v>0</v>
      </c>
      <c r="W360" s="2" t="n">
        <v>0</v>
      </c>
      <c r="X360" s="2" t="n">
        <v>0</v>
      </c>
      <c r="Y360" s="2" t="n">
        <v>3</v>
      </c>
      <c r="Z360" s="2" t="n">
        <v>0</v>
      </c>
      <c r="AA360" s="2" t="n">
        <v>0</v>
      </c>
      <c r="AB360" s="2" t="n">
        <v>0</v>
      </c>
      <c r="AC360" s="2"/>
    </row>
    <row r="361" customFormat="false" ht="15" hidden="false" customHeight="false" outlineLevel="0" collapsed="false">
      <c r="A361" s="2" t="n">
        <v>23</v>
      </c>
      <c r="B361" s="2" t="s">
        <v>369</v>
      </c>
      <c r="C361" s="2" t="s">
        <v>374</v>
      </c>
      <c r="D361" s="2" t="s">
        <v>2685</v>
      </c>
      <c r="E361" s="2" t="s">
        <v>1401</v>
      </c>
      <c r="F361" s="2" t="s">
        <v>1402</v>
      </c>
      <c r="G361" s="2" t="s">
        <v>2686</v>
      </c>
      <c r="H361" s="2" t="s">
        <v>2687</v>
      </c>
      <c r="I361" s="2" t="s">
        <v>1374</v>
      </c>
      <c r="J361" s="2" t="s">
        <v>2688</v>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row>
    <row r="362" customFormat="false" ht="15" hidden="false" customHeight="false" outlineLevel="0" collapsed="false">
      <c r="A362" s="2" t="n">
        <v>23</v>
      </c>
      <c r="B362" s="2" t="s">
        <v>369</v>
      </c>
      <c r="C362" s="2" t="s">
        <v>374</v>
      </c>
      <c r="D362" s="2" t="s">
        <v>2689</v>
      </c>
      <c r="E362" s="2" t="s">
        <v>1401</v>
      </c>
      <c r="F362" s="2" t="s">
        <v>1402</v>
      </c>
      <c r="G362" s="2" t="s">
        <v>2690</v>
      </c>
      <c r="H362" s="2" t="s">
        <v>2691</v>
      </c>
      <c r="I362" s="2" t="s">
        <v>1374</v>
      </c>
      <c r="J362" s="2" t="s">
        <v>2692</v>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row>
    <row r="363" customFormat="false" ht="15" hidden="false" customHeight="false" outlineLevel="0" collapsed="false">
      <c r="A363" s="2" t="n">
        <v>24</v>
      </c>
      <c r="B363" s="2" t="s">
        <v>381</v>
      </c>
      <c r="C363" s="2" t="s">
        <v>386</v>
      </c>
      <c r="D363" s="2" t="s">
        <v>2693</v>
      </c>
      <c r="E363" s="2" t="s">
        <v>1395</v>
      </c>
      <c r="F363" s="2" t="s">
        <v>1396</v>
      </c>
      <c r="G363" s="2" t="s">
        <v>2694</v>
      </c>
      <c r="H363" s="2" t="s">
        <v>2695</v>
      </c>
      <c r="I363" s="2" t="s">
        <v>1374</v>
      </c>
      <c r="J363" s="2" t="s">
        <v>2696</v>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5</v>
      </c>
      <c r="Z363" s="2" t="n">
        <v>1</v>
      </c>
      <c r="AA363" s="2" t="n">
        <v>1</v>
      </c>
      <c r="AB363" s="2" t="n">
        <v>3</v>
      </c>
      <c r="AC363" s="2"/>
    </row>
    <row r="364" customFormat="false" ht="15" hidden="false" customHeight="false" outlineLevel="0" collapsed="false">
      <c r="A364" s="2" t="n">
        <v>29</v>
      </c>
      <c r="B364" s="2" t="s">
        <v>440</v>
      </c>
      <c r="C364" s="2" t="s">
        <v>446</v>
      </c>
      <c r="D364" s="2" t="s">
        <v>2697</v>
      </c>
      <c r="E364" s="2" t="s">
        <v>1395</v>
      </c>
      <c r="F364" s="2" t="s">
        <v>1396</v>
      </c>
      <c r="G364" s="2" t="s">
        <v>2698</v>
      </c>
      <c r="H364" s="2" t="s">
        <v>2699</v>
      </c>
      <c r="I364" s="2" t="s">
        <v>1374</v>
      </c>
      <c r="J364" s="2" t="s">
        <v>2700</v>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9</v>
      </c>
      <c r="Z364" s="2" t="n">
        <v>33</v>
      </c>
      <c r="AA364" s="2" t="n">
        <v>17</v>
      </c>
      <c r="AB364" s="2" t="n">
        <v>65</v>
      </c>
      <c r="AC364" s="2"/>
    </row>
    <row r="365" customFormat="false" ht="15" hidden="false" customHeight="false" outlineLevel="0" collapsed="false">
      <c r="A365" s="2" t="n">
        <v>29</v>
      </c>
      <c r="B365" s="2" t="s">
        <v>440</v>
      </c>
      <c r="C365" s="2" t="s">
        <v>446</v>
      </c>
      <c r="D365" s="2" t="s">
        <v>2701</v>
      </c>
      <c r="E365" s="2" t="s">
        <v>1395</v>
      </c>
      <c r="F365" s="2" t="s">
        <v>1396</v>
      </c>
      <c r="G365" s="2" t="s">
        <v>2702</v>
      </c>
      <c r="H365" s="2" t="s">
        <v>2703</v>
      </c>
      <c r="I365" s="2" t="s">
        <v>1374</v>
      </c>
      <c r="J365" s="2" t="s">
        <v>2704</v>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12</v>
      </c>
      <c r="Z365" s="2" t="n">
        <v>51</v>
      </c>
      <c r="AA365" s="2" t="n">
        <v>17</v>
      </c>
      <c r="AB365" s="2" t="n">
        <v>88</v>
      </c>
      <c r="AC365" s="2"/>
    </row>
    <row r="366" customFormat="false" ht="15" hidden="false" customHeight="false" outlineLevel="0" collapsed="false">
      <c r="A366" s="2" t="n">
        <v>31</v>
      </c>
      <c r="B366" s="2" t="s">
        <v>466</v>
      </c>
      <c r="C366" s="2" t="s">
        <v>471</v>
      </c>
      <c r="D366" s="2" t="s">
        <v>2705</v>
      </c>
      <c r="E366" s="2" t="s">
        <v>1395</v>
      </c>
      <c r="F366" s="2" t="s">
        <v>1419</v>
      </c>
      <c r="G366" s="2" t="s">
        <v>2706</v>
      </c>
      <c r="H366" s="2" t="s">
        <v>2707</v>
      </c>
      <c r="I366" s="2" t="s">
        <v>1374</v>
      </c>
      <c r="J366" s="2" t="s">
        <v>2708</v>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0</v>
      </c>
      <c r="AB366" s="2" t="n">
        <v>2</v>
      </c>
      <c r="AC366" s="2"/>
    </row>
    <row r="367" customFormat="false" ht="15" hidden="false" customHeight="false" outlineLevel="0" collapsed="false">
      <c r="A367" s="2" t="n">
        <v>32</v>
      </c>
      <c r="B367" s="2" t="s">
        <v>477</v>
      </c>
      <c r="C367" s="2" t="s">
        <v>482</v>
      </c>
      <c r="D367" s="2" t="s">
        <v>1498</v>
      </c>
      <c r="E367" s="2" t="s">
        <v>1395</v>
      </c>
      <c r="F367" s="2" t="s">
        <v>1419</v>
      </c>
      <c r="G367" s="2" t="s">
        <v>1499</v>
      </c>
      <c r="H367" s="2" t="s">
        <v>1500</v>
      </c>
      <c r="I367" s="2" t="s">
        <v>1374</v>
      </c>
      <c r="J367" s="2" t="s">
        <v>1501</v>
      </c>
      <c r="K367" s="2" t="n">
        <v>9</v>
      </c>
      <c r="L367" s="2" t="n">
        <v>3854</v>
      </c>
      <c r="M367" s="2" t="n">
        <v>1167</v>
      </c>
      <c r="N367" s="2" t="n">
        <v>1027</v>
      </c>
      <c r="O367" s="2" t="n">
        <v>125</v>
      </c>
      <c r="P367" s="2" t="n">
        <v>2562</v>
      </c>
      <c r="Q367" s="2" t="n">
        <v>0</v>
      </c>
      <c r="R367" s="2" t="n">
        <v>0</v>
      </c>
      <c r="S367" s="2" t="n">
        <v>11</v>
      </c>
      <c r="T367" s="2" t="n">
        <v>9</v>
      </c>
      <c r="U367" s="2" t="n">
        <v>0</v>
      </c>
      <c r="V367" s="2" t="n">
        <v>0</v>
      </c>
      <c r="W367" s="2" t="n">
        <v>2</v>
      </c>
      <c r="X367" s="2" t="n">
        <v>0</v>
      </c>
      <c r="Y367" s="2" t="n">
        <v>1</v>
      </c>
      <c r="Z367" s="2" t="n">
        <v>2</v>
      </c>
      <c r="AA367" s="2" t="n">
        <v>0</v>
      </c>
      <c r="AB367" s="2" t="n">
        <v>8</v>
      </c>
      <c r="AC367" s="2"/>
    </row>
    <row r="368" customFormat="false" ht="15" hidden="false" customHeight="false" outlineLevel="0" collapsed="false">
      <c r="A368" s="2" t="n">
        <v>32</v>
      </c>
      <c r="B368" s="2" t="s">
        <v>477</v>
      </c>
      <c r="C368" s="2" t="s">
        <v>482</v>
      </c>
      <c r="D368" s="2" t="s">
        <v>2709</v>
      </c>
      <c r="E368" s="2" t="s">
        <v>1395</v>
      </c>
      <c r="F368" s="2" t="s">
        <v>1396</v>
      </c>
      <c r="G368" s="2" t="s">
        <v>2710</v>
      </c>
      <c r="H368" s="2" t="s">
        <v>2711</v>
      </c>
      <c r="I368" s="2" t="s">
        <v>1374</v>
      </c>
      <c r="J368" s="2" t="s">
        <v>2712</v>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7</v>
      </c>
      <c r="Z368" s="2" t="n">
        <v>0</v>
      </c>
      <c r="AA368" s="2" t="n">
        <v>0</v>
      </c>
      <c r="AB368" s="2" t="n">
        <v>27</v>
      </c>
      <c r="AC368" s="2"/>
    </row>
    <row r="369" customFormat="false" ht="15" hidden="false" customHeight="false" outlineLevel="0" collapsed="false">
      <c r="A369" s="2" t="n">
        <v>32</v>
      </c>
      <c r="B369" s="2" t="s">
        <v>477</v>
      </c>
      <c r="C369" s="2" t="s">
        <v>482</v>
      </c>
      <c r="D369" s="2" t="s">
        <v>2713</v>
      </c>
      <c r="E369" s="2" t="s">
        <v>1395</v>
      </c>
      <c r="F369" s="2" t="s">
        <v>1396</v>
      </c>
      <c r="G369" s="2" t="s">
        <v>2714</v>
      </c>
      <c r="H369" s="2" t="s">
        <v>2715</v>
      </c>
      <c r="I369" s="2" t="s">
        <v>1374</v>
      </c>
      <c r="J369" s="2" t="s">
        <v>2716</v>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2</v>
      </c>
      <c r="Z369" s="2" t="n">
        <v>0</v>
      </c>
      <c r="AA369" s="2" t="n">
        <v>0</v>
      </c>
      <c r="AB369" s="2" t="n">
        <v>9</v>
      </c>
      <c r="AC369" s="2"/>
    </row>
    <row r="370" customFormat="false" ht="15" hidden="false" customHeight="false" outlineLevel="0" collapsed="false">
      <c r="A370" s="2" t="n">
        <v>32</v>
      </c>
      <c r="B370" s="2" t="s">
        <v>477</v>
      </c>
      <c r="C370" s="2" t="s">
        <v>482</v>
      </c>
      <c r="D370" s="2" t="s">
        <v>2717</v>
      </c>
      <c r="E370" s="2" t="s">
        <v>1395</v>
      </c>
      <c r="F370" s="2" t="s">
        <v>1396</v>
      </c>
      <c r="G370" s="2" t="s">
        <v>2067</v>
      </c>
      <c r="H370" s="2" t="s">
        <v>2718</v>
      </c>
      <c r="I370" s="2" t="s">
        <v>1374</v>
      </c>
      <c r="J370" s="2" t="s">
        <v>2719</v>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2</v>
      </c>
      <c r="Z370" s="2" t="n">
        <v>1</v>
      </c>
      <c r="AA370" s="2" t="n">
        <v>0</v>
      </c>
      <c r="AB370" s="2" t="n">
        <v>9</v>
      </c>
      <c r="AC370" s="2"/>
    </row>
    <row r="371" customFormat="false" ht="15" hidden="false" customHeight="false" outlineLevel="0" collapsed="false">
      <c r="A371" s="2" t="n">
        <v>32</v>
      </c>
      <c r="B371" s="2" t="s">
        <v>477</v>
      </c>
      <c r="C371" s="2" t="s">
        <v>482</v>
      </c>
      <c r="D371" s="2" t="s">
        <v>2720</v>
      </c>
      <c r="E371" s="2" t="s">
        <v>1370</v>
      </c>
      <c r="F371" s="2" t="s">
        <v>2721</v>
      </c>
      <c r="G371" s="2" t="s">
        <v>2100</v>
      </c>
      <c r="H371" s="2" t="s">
        <v>2722</v>
      </c>
      <c r="I371" s="2" t="s">
        <v>1374</v>
      </c>
      <c r="J371" s="2" t="s">
        <v>2723</v>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s">
        <v>1376</v>
      </c>
    </row>
    <row r="372" customFormat="false" ht="15" hidden="false" customHeight="false" outlineLevel="0" collapsed="false">
      <c r="A372" s="2" t="n">
        <v>32</v>
      </c>
      <c r="B372" s="2" t="s">
        <v>477</v>
      </c>
      <c r="C372" s="2" t="s">
        <v>482</v>
      </c>
      <c r="D372" s="2" t="s">
        <v>2724</v>
      </c>
      <c r="E372" s="2" t="s">
        <v>1401</v>
      </c>
      <c r="F372" s="2" t="s">
        <v>1402</v>
      </c>
      <c r="G372" s="2" t="s">
        <v>2100</v>
      </c>
      <c r="H372" s="2" t="s">
        <v>2725</v>
      </c>
      <c r="I372" s="2" t="s">
        <v>1374</v>
      </c>
      <c r="J372" s="2" t="s">
        <v>2726</v>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1</v>
      </c>
      <c r="Z372" s="2" t="n">
        <v>0</v>
      </c>
      <c r="AA372" s="2" t="n">
        <v>0</v>
      </c>
      <c r="AB372" s="2" t="n">
        <v>5</v>
      </c>
      <c r="AC372" s="2"/>
    </row>
    <row r="373" customFormat="false" ht="15" hidden="false" customHeight="false" outlineLevel="0" collapsed="false">
      <c r="A373" s="2" t="n">
        <v>32</v>
      </c>
      <c r="B373" s="2" t="s">
        <v>477</v>
      </c>
      <c r="C373" s="2" t="s">
        <v>482</v>
      </c>
      <c r="D373" s="2" t="s">
        <v>2727</v>
      </c>
      <c r="E373" s="2" t="s">
        <v>1370</v>
      </c>
      <c r="F373" s="2" t="s">
        <v>2721</v>
      </c>
      <c r="G373" s="2" t="s">
        <v>2728</v>
      </c>
      <c r="H373" s="2" t="s">
        <v>2729</v>
      </c>
      <c r="I373" s="2" t="s">
        <v>1374</v>
      </c>
      <c r="J373" s="2" t="s">
        <v>2730</v>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1</v>
      </c>
      <c r="AA373" s="2" t="n">
        <v>0</v>
      </c>
      <c r="AB373" s="2" t="n">
        <v>2</v>
      </c>
      <c r="AC373" s="2" t="s">
        <v>1376</v>
      </c>
    </row>
    <row r="374" customFormat="false" ht="15" hidden="false" customHeight="false" outlineLevel="0" collapsed="false">
      <c r="A374" s="2" t="n">
        <v>32</v>
      </c>
      <c r="B374" s="2" t="s">
        <v>477</v>
      </c>
      <c r="C374" s="2" t="s">
        <v>482</v>
      </c>
      <c r="D374" s="2" t="s">
        <v>1541</v>
      </c>
      <c r="E374" s="2" t="s">
        <v>1395</v>
      </c>
      <c r="F374" s="2" t="s">
        <v>1419</v>
      </c>
      <c r="G374" s="2" t="s">
        <v>1538</v>
      </c>
      <c r="H374" s="2" t="s">
        <v>1542</v>
      </c>
      <c r="I374" s="2" t="s">
        <v>1374</v>
      </c>
      <c r="J374" s="2" t="s">
        <v>1543</v>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0</v>
      </c>
      <c r="Z374" s="2" t="n">
        <v>6</v>
      </c>
      <c r="AA374" s="2" t="n">
        <v>0</v>
      </c>
      <c r="AB374" s="2" t="n">
        <v>19</v>
      </c>
      <c r="AC374" s="2"/>
    </row>
    <row r="375" customFormat="false" ht="15" hidden="false" customHeight="false" outlineLevel="0" collapsed="false">
      <c r="A375" s="2" t="n">
        <v>32</v>
      </c>
      <c r="B375" s="2" t="s">
        <v>477</v>
      </c>
      <c r="C375" s="2" t="s">
        <v>482</v>
      </c>
      <c r="D375" s="2" t="s">
        <v>2731</v>
      </c>
      <c r="E375" s="2" t="s">
        <v>1395</v>
      </c>
      <c r="F375" s="2" t="s">
        <v>1419</v>
      </c>
      <c r="G375" s="2" t="s">
        <v>2732</v>
      </c>
      <c r="H375" s="2" t="s">
        <v>2733</v>
      </c>
      <c r="I375" s="2" t="s">
        <v>1374</v>
      </c>
      <c r="J375" s="2" t="s">
        <v>2734</v>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row>
    <row r="376" customFormat="false" ht="15" hidden="false" customHeight="false" outlineLevel="0" collapsed="false">
      <c r="A376" s="2" t="n">
        <v>32</v>
      </c>
      <c r="B376" s="2" t="s">
        <v>477</v>
      </c>
      <c r="C376" s="2" t="s">
        <v>482</v>
      </c>
      <c r="D376" s="2" t="s">
        <v>2735</v>
      </c>
      <c r="E376" s="2" t="s">
        <v>1401</v>
      </c>
      <c r="F376" s="2" t="s">
        <v>1402</v>
      </c>
      <c r="G376" s="2" t="s">
        <v>2736</v>
      </c>
      <c r="H376" s="2" t="s">
        <v>2737</v>
      </c>
      <c r="I376" s="2" t="s">
        <v>1374</v>
      </c>
      <c r="J376" s="2" t="s">
        <v>2738</v>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10</v>
      </c>
      <c r="AA376" s="2" t="n">
        <v>0</v>
      </c>
      <c r="AB376" s="2" t="n">
        <v>7</v>
      </c>
      <c r="AC376" s="2"/>
    </row>
    <row r="377" customFormat="false" ht="15" hidden="false" customHeight="false" outlineLevel="0" collapsed="false">
      <c r="A377" s="2" t="n">
        <v>32</v>
      </c>
      <c r="B377" s="2" t="s">
        <v>477</v>
      </c>
      <c r="C377" s="2" t="s">
        <v>482</v>
      </c>
      <c r="D377" s="2" t="s">
        <v>2739</v>
      </c>
      <c r="E377" s="2" t="s">
        <v>1395</v>
      </c>
      <c r="F377" s="2" t="s">
        <v>1396</v>
      </c>
      <c r="G377" s="2" t="s">
        <v>2740</v>
      </c>
      <c r="H377" s="2" t="s">
        <v>2741</v>
      </c>
      <c r="I377" s="2" t="s">
        <v>1374</v>
      </c>
      <c r="J377" s="2" t="s">
        <v>2742</v>
      </c>
      <c r="K377" s="2" t="n">
        <v>3</v>
      </c>
      <c r="L377" s="2" t="n">
        <v>1217</v>
      </c>
      <c r="M377" s="2" t="n">
        <v>503</v>
      </c>
      <c r="N377" s="2" t="n">
        <v>406</v>
      </c>
      <c r="O377" s="2" t="n">
        <v>269</v>
      </c>
      <c r="P377" s="2" t="n">
        <v>445</v>
      </c>
      <c r="Q377" s="2" t="n">
        <v>0</v>
      </c>
      <c r="R377" s="2" t="n">
        <v>0</v>
      </c>
      <c r="S377" s="2" t="n">
        <v>13</v>
      </c>
      <c r="T377" s="2" t="n">
        <v>9</v>
      </c>
      <c r="U377" s="2" t="n">
        <v>4</v>
      </c>
      <c r="V377" s="2" t="n">
        <v>0</v>
      </c>
      <c r="W377" s="2" t="n">
        <v>0</v>
      </c>
      <c r="X377" s="2" t="n">
        <v>0</v>
      </c>
      <c r="Y377" s="2" t="n">
        <v>1</v>
      </c>
      <c r="Z377" s="2" t="n">
        <v>2</v>
      </c>
      <c r="AA377" s="2" t="n">
        <v>0</v>
      </c>
      <c r="AB377" s="2" t="n">
        <v>10</v>
      </c>
      <c r="AC377" s="2"/>
    </row>
    <row r="378" customFormat="false" ht="15" hidden="false" customHeight="false" outlineLevel="0" collapsed="false">
      <c r="A378" s="2" t="n">
        <v>33</v>
      </c>
      <c r="B378" s="2" t="s">
        <v>488</v>
      </c>
      <c r="C378" s="2" t="s">
        <v>492</v>
      </c>
      <c r="D378" s="2" t="s">
        <v>2743</v>
      </c>
      <c r="E378" s="2" t="s">
        <v>1370</v>
      </c>
      <c r="F378" s="2" t="s">
        <v>1601</v>
      </c>
      <c r="G378" s="2" t="s">
        <v>2471</v>
      </c>
      <c r="H378" s="2" t="s">
        <v>2744</v>
      </c>
      <c r="I378" s="2" t="s">
        <v>1374</v>
      </c>
      <c r="J378" s="2" t="s">
        <v>2745</v>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26</v>
      </c>
      <c r="Z378" s="2" t="n">
        <v>9</v>
      </c>
      <c r="AA378" s="2" t="n">
        <v>0</v>
      </c>
      <c r="AB378" s="2" t="n">
        <v>19</v>
      </c>
      <c r="AC378" s="2" t="s">
        <v>1376</v>
      </c>
    </row>
    <row r="379" customFormat="false" ht="15" hidden="false" customHeight="false" outlineLevel="0" collapsed="false">
      <c r="A379" s="2" t="n">
        <v>35</v>
      </c>
      <c r="B379" s="2" t="s">
        <v>507</v>
      </c>
      <c r="C379" s="2" t="s">
        <v>512</v>
      </c>
      <c r="D379" s="2" t="s">
        <v>2474</v>
      </c>
      <c r="E379" s="2" t="s">
        <v>1395</v>
      </c>
      <c r="F379" s="2" t="s">
        <v>1419</v>
      </c>
      <c r="G379" s="2" t="s">
        <v>2471</v>
      </c>
      <c r="H379" s="2" t="s">
        <v>2475</v>
      </c>
      <c r="I379" s="2" t="s">
        <v>1374</v>
      </c>
      <c r="J379" s="2" t="s">
        <v>2476</v>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45</v>
      </c>
      <c r="Z379" s="2" t="n">
        <v>0</v>
      </c>
      <c r="AA379" s="2" t="n">
        <v>1</v>
      </c>
      <c r="AB379" s="2" t="n">
        <v>9</v>
      </c>
      <c r="AC379" s="2"/>
    </row>
    <row r="380" customFormat="false" ht="15" hidden="false" customHeight="false" outlineLevel="0" collapsed="false">
      <c r="A380" s="2" t="n">
        <v>35</v>
      </c>
      <c r="B380" s="2" t="s">
        <v>507</v>
      </c>
      <c r="C380" s="2" t="s">
        <v>512</v>
      </c>
      <c r="D380" s="2" t="s">
        <v>2484</v>
      </c>
      <c r="E380" s="2" t="s">
        <v>1395</v>
      </c>
      <c r="F380" s="2" t="s">
        <v>1419</v>
      </c>
      <c r="G380" s="2" t="s">
        <v>2485</v>
      </c>
      <c r="H380" s="2" t="s">
        <v>2486</v>
      </c>
      <c r="I380" s="2" t="s">
        <v>1374</v>
      </c>
      <c r="J380" s="2" t="s">
        <v>2487</v>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40</v>
      </c>
      <c r="Z380" s="2" t="n">
        <v>7</v>
      </c>
      <c r="AA380" s="2" t="n">
        <v>6</v>
      </c>
      <c r="AB380" s="2" t="n">
        <v>7</v>
      </c>
      <c r="AC380" s="2"/>
    </row>
    <row r="381" customFormat="false" ht="15" hidden="false" customHeight="false" outlineLevel="0" collapsed="false">
      <c r="A381" s="2" t="n">
        <v>36</v>
      </c>
      <c r="B381" s="2" t="s">
        <v>518</v>
      </c>
      <c r="C381" s="2" t="s">
        <v>522</v>
      </c>
      <c r="D381" s="2" t="s">
        <v>2746</v>
      </c>
      <c r="E381" s="2" t="s">
        <v>1370</v>
      </c>
      <c r="F381" s="2" t="s">
        <v>1410</v>
      </c>
      <c r="G381" s="2" t="s">
        <v>610</v>
      </c>
      <c r="H381" s="2" t="s">
        <v>2747</v>
      </c>
      <c r="I381" s="2" t="s">
        <v>1374</v>
      </c>
      <c r="J381" s="2" t="s">
        <v>2748</v>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2</v>
      </c>
      <c r="Z381" s="2" t="n">
        <v>3</v>
      </c>
      <c r="AA381" s="2" t="n">
        <v>1</v>
      </c>
      <c r="AB381" s="2" t="n">
        <v>6</v>
      </c>
      <c r="AC381" s="2" t="s">
        <v>1376</v>
      </c>
    </row>
    <row r="382" customFormat="false" ht="15" hidden="false" customHeight="false" outlineLevel="0" collapsed="false">
      <c r="A382" s="2" t="n">
        <v>36</v>
      </c>
      <c r="B382" s="2" t="s">
        <v>518</v>
      </c>
      <c r="C382" s="2" t="s">
        <v>522</v>
      </c>
      <c r="D382" s="2" t="s">
        <v>2749</v>
      </c>
      <c r="E382" s="2" t="s">
        <v>1395</v>
      </c>
      <c r="F382" s="2" t="s">
        <v>1396</v>
      </c>
      <c r="G382" s="2" t="s">
        <v>2750</v>
      </c>
      <c r="H382" s="2" t="s">
        <v>2751</v>
      </c>
      <c r="I382" s="2" t="s">
        <v>1374</v>
      </c>
      <c r="J382" s="2" t="s">
        <v>2752</v>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35</v>
      </c>
      <c r="Z382" s="2" t="n">
        <v>0</v>
      </c>
      <c r="AA382" s="2" t="n">
        <v>11</v>
      </c>
      <c r="AB382" s="2" t="n">
        <v>12</v>
      </c>
      <c r="AC382" s="2"/>
    </row>
    <row r="383" customFormat="false" ht="15" hidden="false" customHeight="false" outlineLevel="0" collapsed="false">
      <c r="A383" s="2" t="n">
        <v>36</v>
      </c>
      <c r="B383" s="2" t="s">
        <v>518</v>
      </c>
      <c r="C383" s="2" t="s">
        <v>522</v>
      </c>
      <c r="D383" s="2" t="s">
        <v>2753</v>
      </c>
      <c r="E383" s="2" t="s">
        <v>1370</v>
      </c>
      <c r="F383" s="2" t="s">
        <v>1410</v>
      </c>
      <c r="G383" s="2" t="s">
        <v>2754</v>
      </c>
      <c r="H383" s="2" t="s">
        <v>2755</v>
      </c>
      <c r="I383" s="2" t="s">
        <v>1374</v>
      </c>
      <c r="J383" s="2" t="s">
        <v>2756</v>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0</v>
      </c>
      <c r="AB383" s="2" t="n">
        <v>1</v>
      </c>
      <c r="AC383" s="2" t="s">
        <v>1376</v>
      </c>
    </row>
    <row r="384" customFormat="false" ht="15" hidden="false" customHeight="false" outlineLevel="0" collapsed="false">
      <c r="A384" s="2" t="n">
        <v>36</v>
      </c>
      <c r="B384" s="2" t="s">
        <v>518</v>
      </c>
      <c r="C384" s="2" t="s">
        <v>522</v>
      </c>
      <c r="D384" s="2" t="s">
        <v>2757</v>
      </c>
      <c r="E384" s="2" t="s">
        <v>1395</v>
      </c>
      <c r="F384" s="2" t="s">
        <v>1396</v>
      </c>
      <c r="G384" s="2" t="s">
        <v>2758</v>
      </c>
      <c r="H384" s="2" t="s">
        <v>2759</v>
      </c>
      <c r="I384" s="2" t="s">
        <v>1374</v>
      </c>
      <c r="J384" s="2" t="s">
        <v>2760</v>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15</v>
      </c>
      <c r="Z384" s="2" t="n">
        <v>26</v>
      </c>
      <c r="AA384" s="2" t="n">
        <v>37</v>
      </c>
      <c r="AB384" s="2" t="n">
        <v>37</v>
      </c>
      <c r="AC384" s="2"/>
    </row>
    <row r="385" customFormat="false" ht="15" hidden="false" customHeight="false" outlineLevel="0" collapsed="false">
      <c r="A385" s="2" t="n">
        <v>36</v>
      </c>
      <c r="B385" s="2" t="s">
        <v>518</v>
      </c>
      <c r="C385" s="2" t="s">
        <v>522</v>
      </c>
      <c r="D385" s="2" t="s">
        <v>2761</v>
      </c>
      <c r="E385" s="2" t="s">
        <v>1370</v>
      </c>
      <c r="F385" s="2" t="s">
        <v>1410</v>
      </c>
      <c r="G385" s="2" t="s">
        <v>2485</v>
      </c>
      <c r="H385" s="2" t="s">
        <v>2762</v>
      </c>
      <c r="I385" s="2" t="s">
        <v>1374</v>
      </c>
      <c r="J385" s="2" t="s">
        <v>2763</v>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1</v>
      </c>
      <c r="AA385" s="2" t="n">
        <v>1</v>
      </c>
      <c r="AB385" s="2" t="n">
        <v>5</v>
      </c>
      <c r="AC385" s="2" t="s">
        <v>1376</v>
      </c>
    </row>
    <row r="386" customFormat="false" ht="15" hidden="false" customHeight="false" outlineLevel="0" collapsed="false">
      <c r="A386" s="2" t="n">
        <v>36</v>
      </c>
      <c r="B386" s="2" t="s">
        <v>518</v>
      </c>
      <c r="C386" s="2" t="s">
        <v>522</v>
      </c>
      <c r="D386" s="2" t="s">
        <v>2764</v>
      </c>
      <c r="E386" s="2" t="s">
        <v>1370</v>
      </c>
      <c r="F386" s="2" t="s">
        <v>1410</v>
      </c>
      <c r="G386" s="2" t="s">
        <v>2765</v>
      </c>
      <c r="H386" s="2" t="s">
        <v>2766</v>
      </c>
      <c r="I386" s="2" t="s">
        <v>1374</v>
      </c>
      <c r="J386" s="2" t="s">
        <v>2767</v>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2</v>
      </c>
      <c r="AA386" s="2" t="n">
        <v>2</v>
      </c>
      <c r="AB386" s="2" t="n">
        <v>4</v>
      </c>
      <c r="AC386" s="2" t="s">
        <v>1376</v>
      </c>
    </row>
    <row r="387" customFormat="false" ht="15" hidden="false" customHeight="false" outlineLevel="0" collapsed="false">
      <c r="A387" s="2" t="n">
        <v>37</v>
      </c>
      <c r="B387" s="2" t="s">
        <v>530</v>
      </c>
      <c r="C387" s="2" t="s">
        <v>535</v>
      </c>
      <c r="D387" s="2" t="s">
        <v>2768</v>
      </c>
      <c r="E387" s="2" t="s">
        <v>1395</v>
      </c>
      <c r="F387" s="2" t="s">
        <v>1396</v>
      </c>
      <c r="G387" s="2" t="s">
        <v>2769</v>
      </c>
      <c r="H387" s="2" t="s">
        <v>2770</v>
      </c>
      <c r="I387" s="2" t="s">
        <v>1374</v>
      </c>
      <c r="J387" s="2" t="s">
        <v>2771</v>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42</v>
      </c>
      <c r="Z387" s="2" t="n">
        <v>58</v>
      </c>
      <c r="AA387" s="2" t="n">
        <v>5</v>
      </c>
      <c r="AB387" s="2" t="n">
        <v>165</v>
      </c>
      <c r="AC387" s="2"/>
    </row>
    <row r="388" customFormat="false" ht="15" hidden="false" customHeight="false" outlineLevel="0" collapsed="false">
      <c r="A388" s="2" t="n">
        <v>37</v>
      </c>
      <c r="B388" s="2" t="s">
        <v>530</v>
      </c>
      <c r="C388" s="2" t="s">
        <v>535</v>
      </c>
      <c r="D388" s="2" t="s">
        <v>2772</v>
      </c>
      <c r="E388" s="2" t="s">
        <v>1395</v>
      </c>
      <c r="F388" s="2" t="s">
        <v>1396</v>
      </c>
      <c r="G388" s="2" t="s">
        <v>2773</v>
      </c>
      <c r="H388" s="2" t="s">
        <v>2774</v>
      </c>
      <c r="I388" s="2" t="s">
        <v>1374</v>
      </c>
      <c r="J388" s="2" t="s">
        <v>2775</v>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0</v>
      </c>
      <c r="AA388" s="2" t="n">
        <v>5</v>
      </c>
      <c r="AB388" s="2" t="n">
        <v>6</v>
      </c>
      <c r="AC388" s="2"/>
    </row>
    <row r="389" customFormat="false" ht="15" hidden="false" customHeight="false" outlineLevel="0" collapsed="false">
      <c r="A389" s="2" t="n">
        <v>37</v>
      </c>
      <c r="B389" s="2" t="s">
        <v>530</v>
      </c>
      <c r="C389" s="2" t="s">
        <v>535</v>
      </c>
      <c r="D389" s="2" t="s">
        <v>2776</v>
      </c>
      <c r="E389" s="2" t="s">
        <v>1395</v>
      </c>
      <c r="F389" s="2" t="s">
        <v>1396</v>
      </c>
      <c r="G389" s="2" t="s">
        <v>2773</v>
      </c>
      <c r="H389" s="2" t="s">
        <v>2777</v>
      </c>
      <c r="I389" s="2" t="s">
        <v>1374</v>
      </c>
      <c r="J389" s="2" t="s">
        <v>2778</v>
      </c>
      <c r="K389" s="2" t="n">
        <v>7</v>
      </c>
      <c r="L389" s="2" t="n">
        <v>2758</v>
      </c>
      <c r="M389" s="2" t="n">
        <v>1209</v>
      </c>
      <c r="N389" s="2" t="n">
        <v>1098</v>
      </c>
      <c r="O389" s="2" t="n">
        <v>1181</v>
      </c>
      <c r="P389" s="2" t="n">
        <v>368</v>
      </c>
      <c r="Q389" s="2" t="n">
        <v>0</v>
      </c>
      <c r="R389" s="2" t="n">
        <v>0</v>
      </c>
      <c r="S389" s="2" t="n">
        <v>7</v>
      </c>
      <c r="T389" s="2" t="n">
        <v>5</v>
      </c>
      <c r="U389" s="2" t="n">
        <v>1</v>
      </c>
      <c r="V389" s="2" t="n">
        <v>0</v>
      </c>
      <c r="W389" s="2" t="n">
        <v>1</v>
      </c>
      <c r="X389" s="2" t="n">
        <v>0</v>
      </c>
      <c r="Y389" s="2" t="n">
        <v>3</v>
      </c>
      <c r="Z389" s="2" t="n">
        <v>0</v>
      </c>
      <c r="AA389" s="2" t="n">
        <v>0</v>
      </c>
      <c r="AB389" s="2" t="n">
        <v>4</v>
      </c>
      <c r="AC389" s="2"/>
    </row>
    <row r="390" customFormat="false" ht="15" hidden="false" customHeight="false" outlineLevel="0" collapsed="false">
      <c r="A390" s="2" t="n">
        <v>37</v>
      </c>
      <c r="B390" s="2" t="s">
        <v>530</v>
      </c>
      <c r="C390" s="2" t="s">
        <v>535</v>
      </c>
      <c r="D390" s="2" t="s">
        <v>2779</v>
      </c>
      <c r="E390" s="2" t="s">
        <v>1395</v>
      </c>
      <c r="F390" s="2" t="s">
        <v>1396</v>
      </c>
      <c r="G390" s="2" t="s">
        <v>2295</v>
      </c>
      <c r="H390" s="2" t="s">
        <v>2780</v>
      </c>
      <c r="I390" s="2" t="s">
        <v>1374</v>
      </c>
      <c r="J390" s="2" t="s">
        <v>2781</v>
      </c>
      <c r="K390" s="2" t="n">
        <v>13</v>
      </c>
      <c r="L390" s="2" t="n">
        <v>5101</v>
      </c>
      <c r="M390" s="2" t="n">
        <v>1641</v>
      </c>
      <c r="N390" s="2" t="n">
        <v>1528</v>
      </c>
      <c r="O390" s="2" t="n">
        <v>603</v>
      </c>
      <c r="P390" s="2" t="n">
        <v>2857</v>
      </c>
      <c r="Q390" s="2" t="n">
        <v>0</v>
      </c>
      <c r="R390" s="2" t="n">
        <v>0</v>
      </c>
      <c r="S390" s="2" t="n">
        <v>37</v>
      </c>
      <c r="T390" s="2" t="n">
        <v>35</v>
      </c>
      <c r="U390" s="2" t="n">
        <v>2</v>
      </c>
      <c r="V390" s="2" t="n">
        <v>0</v>
      </c>
      <c r="W390" s="2" t="n">
        <v>0</v>
      </c>
      <c r="X390" s="2" t="n">
        <v>0</v>
      </c>
      <c r="Y390" s="2" t="n">
        <v>7</v>
      </c>
      <c r="Z390" s="2" t="n">
        <v>0</v>
      </c>
      <c r="AA390" s="2" t="n">
        <v>1</v>
      </c>
      <c r="AB390" s="2" t="n">
        <v>29</v>
      </c>
      <c r="AC390" s="2"/>
    </row>
    <row r="391" customFormat="false" ht="15" hidden="false" customHeight="false" outlineLevel="0" collapsed="false">
      <c r="A391" s="2" t="n">
        <v>37</v>
      </c>
      <c r="B391" s="2" t="s">
        <v>530</v>
      </c>
      <c r="C391" s="2" t="s">
        <v>535</v>
      </c>
      <c r="D391" s="2" t="s">
        <v>2782</v>
      </c>
      <c r="E391" s="2" t="s">
        <v>1395</v>
      </c>
      <c r="F391" s="2" t="s">
        <v>1396</v>
      </c>
      <c r="G391" s="2" t="s">
        <v>2783</v>
      </c>
      <c r="H391" s="2" t="s">
        <v>2784</v>
      </c>
      <c r="I391" s="2" t="s">
        <v>1374</v>
      </c>
      <c r="J391" s="2" t="s">
        <v>2785</v>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1</v>
      </c>
      <c r="Z391" s="2" t="n">
        <v>9</v>
      </c>
      <c r="AA391" s="2" t="n">
        <v>15</v>
      </c>
      <c r="AB391" s="2" t="n">
        <v>33</v>
      </c>
      <c r="AC391" s="2"/>
    </row>
    <row r="392" customFormat="false" ht="15" hidden="false" customHeight="false" outlineLevel="0" collapsed="false">
      <c r="A392" s="2" t="n">
        <v>38</v>
      </c>
      <c r="B392" s="2" t="s">
        <v>541</v>
      </c>
      <c r="C392" s="2" t="s">
        <v>545</v>
      </c>
      <c r="D392" s="2" t="s">
        <v>2786</v>
      </c>
      <c r="E392" s="2" t="s">
        <v>1370</v>
      </c>
      <c r="F392" s="2" t="s">
        <v>1601</v>
      </c>
      <c r="G392" s="2" t="s">
        <v>2787</v>
      </c>
      <c r="H392" s="2" t="s">
        <v>2788</v>
      </c>
      <c r="I392" s="2" t="s">
        <v>1374</v>
      </c>
      <c r="J392" s="2" t="s">
        <v>2789</v>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11</v>
      </c>
      <c r="Z392" s="2" t="n">
        <v>8</v>
      </c>
      <c r="AA392" s="2" t="n">
        <v>4</v>
      </c>
      <c r="AB392" s="2" t="n">
        <v>12</v>
      </c>
      <c r="AC392" s="2" t="s">
        <v>1376</v>
      </c>
    </row>
    <row r="393" customFormat="false" ht="15" hidden="false" customHeight="false" outlineLevel="0" collapsed="false">
      <c r="A393" s="2" t="n">
        <v>39</v>
      </c>
      <c r="B393" s="2" t="s">
        <v>550</v>
      </c>
      <c r="C393" s="2" t="s">
        <v>555</v>
      </c>
      <c r="D393" s="2" t="s">
        <v>2790</v>
      </c>
      <c r="E393" s="2" t="s">
        <v>1370</v>
      </c>
      <c r="F393" s="2" t="s">
        <v>1410</v>
      </c>
      <c r="G393" s="2" t="s">
        <v>2791</v>
      </c>
      <c r="H393" s="2" t="s">
        <v>2792</v>
      </c>
      <c r="I393" s="2" t="s">
        <v>1374</v>
      </c>
      <c r="J393" s="2" t="s">
        <v>2793</v>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0</v>
      </c>
      <c r="Z393" s="2" t="n">
        <v>0</v>
      </c>
      <c r="AA393" s="2" t="n">
        <v>2</v>
      </c>
      <c r="AB393" s="2" t="n">
        <v>1</v>
      </c>
      <c r="AC393" s="2" t="s">
        <v>1376</v>
      </c>
    </row>
    <row r="394" customFormat="false" ht="15" hidden="false" customHeight="false" outlineLevel="0" collapsed="false">
      <c r="A394" s="2" t="n">
        <v>39</v>
      </c>
      <c r="B394" s="2" t="s">
        <v>550</v>
      </c>
      <c r="C394" s="2" t="s">
        <v>555</v>
      </c>
      <c r="D394" s="2" t="s">
        <v>2794</v>
      </c>
      <c r="E394" s="2" t="s">
        <v>1401</v>
      </c>
      <c r="F394" s="2" t="s">
        <v>1402</v>
      </c>
      <c r="G394" s="2" t="s">
        <v>558</v>
      </c>
      <c r="H394" s="2" t="s">
        <v>2795</v>
      </c>
      <c r="I394" s="2" t="s">
        <v>1374</v>
      </c>
      <c r="J394" s="2" t="s">
        <v>2796</v>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0</v>
      </c>
      <c r="AB394" s="2" t="n">
        <v>1</v>
      </c>
      <c r="AC394" s="2"/>
    </row>
    <row r="395" customFormat="false" ht="15" hidden="false" customHeight="false" outlineLevel="0" collapsed="false">
      <c r="A395" s="2" t="n">
        <v>39</v>
      </c>
      <c r="B395" s="2" t="s">
        <v>550</v>
      </c>
      <c r="C395" s="2" t="s">
        <v>555</v>
      </c>
      <c r="D395" s="2" t="s">
        <v>2797</v>
      </c>
      <c r="E395" s="2" t="s">
        <v>1401</v>
      </c>
      <c r="F395" s="2" t="s">
        <v>1402</v>
      </c>
      <c r="G395" s="2" t="s">
        <v>559</v>
      </c>
      <c r="H395" s="2" t="s">
        <v>2798</v>
      </c>
      <c r="I395" s="2" t="s">
        <v>1374</v>
      </c>
      <c r="J395" s="2" t="s">
        <v>2799</v>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row>
    <row r="396" customFormat="false" ht="15" hidden="false" customHeight="false" outlineLevel="0" collapsed="false">
      <c r="A396" s="2" t="n">
        <v>41</v>
      </c>
      <c r="B396" s="2" t="s">
        <v>572</v>
      </c>
      <c r="C396" s="2" t="s">
        <v>577</v>
      </c>
      <c r="D396" s="2" t="s">
        <v>2800</v>
      </c>
      <c r="E396" s="2" t="s">
        <v>1370</v>
      </c>
      <c r="F396" s="2" t="s">
        <v>1410</v>
      </c>
      <c r="G396" s="2" t="s">
        <v>2801</v>
      </c>
      <c r="H396" s="2" t="s">
        <v>2802</v>
      </c>
      <c r="I396" s="2" t="s">
        <v>1374</v>
      </c>
      <c r="J396" s="2" t="s">
        <v>2803</v>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25</v>
      </c>
      <c r="Z396" s="2" t="n">
        <v>6</v>
      </c>
      <c r="AA396" s="2" t="n">
        <v>1</v>
      </c>
      <c r="AB396" s="2" t="n">
        <v>11</v>
      </c>
      <c r="AC396" s="2" t="s">
        <v>1376</v>
      </c>
    </row>
    <row r="397" customFormat="false" ht="15" hidden="false" customHeight="false" outlineLevel="0" collapsed="false">
      <c r="A397" s="2" t="n">
        <v>41</v>
      </c>
      <c r="B397" s="2" t="s">
        <v>572</v>
      </c>
      <c r="C397" s="2" t="s">
        <v>577</v>
      </c>
      <c r="D397" s="2" t="s">
        <v>2804</v>
      </c>
      <c r="E397" s="2" t="s">
        <v>1395</v>
      </c>
      <c r="F397" s="2" t="s">
        <v>1396</v>
      </c>
      <c r="G397" s="2" t="s">
        <v>2805</v>
      </c>
      <c r="H397" s="2" t="s">
        <v>2806</v>
      </c>
      <c r="I397" s="2" t="s">
        <v>1374</v>
      </c>
      <c r="J397" s="2" t="s">
        <v>2807</v>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0</v>
      </c>
      <c r="Z397" s="2" t="n">
        <v>0</v>
      </c>
      <c r="AA397" s="2" t="n">
        <v>0</v>
      </c>
      <c r="AB397" s="2" t="n">
        <v>4</v>
      </c>
      <c r="AC397" s="2"/>
    </row>
    <row r="398" customFormat="false" ht="15" hidden="false" customHeight="false" outlineLevel="0" collapsed="false">
      <c r="A398" s="2" t="n">
        <v>41</v>
      </c>
      <c r="B398" s="2" t="s">
        <v>572</v>
      </c>
      <c r="C398" s="2" t="s">
        <v>577</v>
      </c>
      <c r="D398" s="2" t="s">
        <v>2808</v>
      </c>
      <c r="E398" s="2" t="s">
        <v>1395</v>
      </c>
      <c r="F398" s="2" t="s">
        <v>1396</v>
      </c>
      <c r="G398" s="2" t="s">
        <v>2809</v>
      </c>
      <c r="H398" s="2" t="s">
        <v>2810</v>
      </c>
      <c r="I398" s="2" t="s">
        <v>1374</v>
      </c>
      <c r="J398" s="2" t="s">
        <v>2811</v>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4</v>
      </c>
      <c r="Z398" s="2" t="n">
        <v>10</v>
      </c>
      <c r="AA398" s="2" t="n">
        <v>3</v>
      </c>
      <c r="AB398" s="2" t="n">
        <v>16</v>
      </c>
      <c r="AC398" s="2"/>
    </row>
    <row r="399" customFormat="false" ht="15" hidden="false" customHeight="false" outlineLevel="0" collapsed="false">
      <c r="A399" s="2" t="n">
        <v>41</v>
      </c>
      <c r="B399" s="2" t="s">
        <v>572</v>
      </c>
      <c r="C399" s="2" t="s">
        <v>577</v>
      </c>
      <c r="D399" s="2" t="s">
        <v>2812</v>
      </c>
      <c r="E399" s="2" t="s">
        <v>1395</v>
      </c>
      <c r="F399" s="2" t="s">
        <v>1396</v>
      </c>
      <c r="G399" s="2" t="s">
        <v>2813</v>
      </c>
      <c r="H399" s="2" t="s">
        <v>2814</v>
      </c>
      <c r="I399" s="2" t="s">
        <v>1374</v>
      </c>
      <c r="J399" s="2" t="s">
        <v>2815</v>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row>
    <row r="400" customFormat="false" ht="15" hidden="false" customHeight="false" outlineLevel="0" collapsed="false">
      <c r="A400" s="2" t="n">
        <v>41</v>
      </c>
      <c r="B400" s="2" t="s">
        <v>572</v>
      </c>
      <c r="C400" s="2" t="s">
        <v>577</v>
      </c>
      <c r="D400" s="2" t="s">
        <v>2816</v>
      </c>
      <c r="E400" s="2" t="s">
        <v>1395</v>
      </c>
      <c r="F400" s="2" t="s">
        <v>1419</v>
      </c>
      <c r="G400" s="2" t="s">
        <v>2817</v>
      </c>
      <c r="H400" s="2" t="s">
        <v>2818</v>
      </c>
      <c r="I400" s="2" t="s">
        <v>1374</v>
      </c>
      <c r="J400" s="2" t="s">
        <v>2819</v>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0</v>
      </c>
      <c r="AB400" s="2" t="n">
        <v>1</v>
      </c>
      <c r="AC400" s="2"/>
    </row>
    <row r="401" customFormat="false" ht="15" hidden="false" customHeight="false" outlineLevel="0" collapsed="false">
      <c r="A401" s="2" t="n">
        <v>41</v>
      </c>
      <c r="B401" s="2" t="s">
        <v>572</v>
      </c>
      <c r="C401" s="2" t="s">
        <v>577</v>
      </c>
      <c r="D401" s="2" t="s">
        <v>2484</v>
      </c>
      <c r="E401" s="2" t="s">
        <v>1395</v>
      </c>
      <c r="F401" s="2" t="s">
        <v>1419</v>
      </c>
      <c r="G401" s="2" t="s">
        <v>2485</v>
      </c>
      <c r="H401" s="2" t="s">
        <v>2486</v>
      </c>
      <c r="I401" s="2" t="s">
        <v>1374</v>
      </c>
      <c r="J401" s="2" t="s">
        <v>2487</v>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40</v>
      </c>
      <c r="Z401" s="2" t="n">
        <v>7</v>
      </c>
      <c r="AA401" s="2" t="n">
        <v>6</v>
      </c>
      <c r="AB401" s="2" t="n">
        <v>7</v>
      </c>
      <c r="AC401" s="2"/>
    </row>
    <row r="402" customFormat="false" ht="15" hidden="false" customHeight="false" outlineLevel="0" collapsed="false">
      <c r="A402" s="2" t="n">
        <v>41</v>
      </c>
      <c r="B402" s="2" t="s">
        <v>572</v>
      </c>
      <c r="C402" s="2" t="s">
        <v>577</v>
      </c>
      <c r="D402" s="2" t="s">
        <v>2820</v>
      </c>
      <c r="E402" s="2" t="s">
        <v>1395</v>
      </c>
      <c r="F402" s="2" t="s">
        <v>1396</v>
      </c>
      <c r="G402" s="2" t="s">
        <v>2821</v>
      </c>
      <c r="H402" s="2" t="s">
        <v>2822</v>
      </c>
      <c r="I402" s="2" t="s">
        <v>1374</v>
      </c>
      <c r="J402" s="2" t="s">
        <v>2823</v>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2</v>
      </c>
      <c r="AA402" s="2" t="n">
        <v>1</v>
      </c>
      <c r="AB402" s="2" t="n">
        <v>5</v>
      </c>
      <c r="AC402" s="2"/>
    </row>
    <row r="403" customFormat="false" ht="15" hidden="false" customHeight="false" outlineLevel="0" collapsed="false">
      <c r="A403" s="2" t="n">
        <v>41</v>
      </c>
      <c r="B403" s="2" t="s">
        <v>572</v>
      </c>
      <c r="C403" s="2" t="s">
        <v>577</v>
      </c>
      <c r="D403" s="2" t="s">
        <v>2824</v>
      </c>
      <c r="E403" s="2" t="s">
        <v>1395</v>
      </c>
      <c r="F403" s="2" t="s">
        <v>1419</v>
      </c>
      <c r="G403" s="2" t="s">
        <v>1562</v>
      </c>
      <c r="H403" s="2" t="s">
        <v>2825</v>
      </c>
      <c r="I403" s="2" t="s">
        <v>1374</v>
      </c>
      <c r="J403" s="2" t="s">
        <v>2826</v>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0</v>
      </c>
      <c r="AB403" s="2" t="n">
        <v>1</v>
      </c>
      <c r="AC403" s="2"/>
    </row>
    <row r="404" customFormat="false" ht="15" hidden="false" customHeight="false" outlineLevel="0" collapsed="false">
      <c r="A404" s="2" t="n">
        <v>41</v>
      </c>
      <c r="B404" s="2" t="s">
        <v>572</v>
      </c>
      <c r="C404" s="2" t="s">
        <v>577</v>
      </c>
      <c r="D404" s="2" t="s">
        <v>2827</v>
      </c>
      <c r="E404" s="2" t="s">
        <v>1395</v>
      </c>
      <c r="F404" s="2" t="s">
        <v>1396</v>
      </c>
      <c r="G404" s="2" t="s">
        <v>2828</v>
      </c>
      <c r="H404" s="2" t="s">
        <v>2829</v>
      </c>
      <c r="I404" s="2" t="s">
        <v>1374</v>
      </c>
      <c r="J404" s="2" t="s">
        <v>2830</v>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row>
    <row r="405" customFormat="false" ht="15" hidden="false" customHeight="false" outlineLevel="0" collapsed="false">
      <c r="A405" s="2" t="n">
        <v>41</v>
      </c>
      <c r="B405" s="2" t="s">
        <v>572</v>
      </c>
      <c r="C405" s="2" t="s">
        <v>577</v>
      </c>
      <c r="D405" s="2" t="s">
        <v>2831</v>
      </c>
      <c r="E405" s="2" t="s">
        <v>1395</v>
      </c>
      <c r="F405" s="2" t="s">
        <v>1419</v>
      </c>
      <c r="G405" s="2" t="s">
        <v>2832</v>
      </c>
      <c r="H405" s="2" t="s">
        <v>2833</v>
      </c>
      <c r="I405" s="2" t="s">
        <v>1374</v>
      </c>
      <c r="J405" s="2" t="s">
        <v>2834</v>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0</v>
      </c>
      <c r="AB405" s="2" t="n">
        <v>1</v>
      </c>
      <c r="AC405" s="2"/>
    </row>
    <row r="406" customFormat="false" ht="15" hidden="false" customHeight="false" outlineLevel="0" collapsed="false">
      <c r="A406" s="2" t="n">
        <v>41</v>
      </c>
      <c r="B406" s="2" t="s">
        <v>572</v>
      </c>
      <c r="C406" s="2" t="s">
        <v>577</v>
      </c>
      <c r="D406" s="2" t="s">
        <v>2835</v>
      </c>
      <c r="E406" s="2" t="s">
        <v>1395</v>
      </c>
      <c r="F406" s="2" t="s">
        <v>1419</v>
      </c>
      <c r="G406" s="2" t="s">
        <v>2836</v>
      </c>
      <c r="H406" s="2" t="s">
        <v>2837</v>
      </c>
      <c r="I406" s="2" t="s">
        <v>1374</v>
      </c>
      <c r="J406" s="2" t="s">
        <v>2838</v>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0</v>
      </c>
      <c r="AB406" s="2" t="n">
        <v>1</v>
      </c>
      <c r="AC406" s="2"/>
    </row>
    <row r="407" customFormat="false" ht="15" hidden="false" customHeight="false" outlineLevel="0" collapsed="false">
      <c r="A407" s="2" t="n">
        <v>42</v>
      </c>
      <c r="B407" s="2" t="s">
        <v>585</v>
      </c>
      <c r="C407" s="2" t="s">
        <v>590</v>
      </c>
      <c r="D407" s="2" t="s">
        <v>2839</v>
      </c>
      <c r="E407" s="2" t="s">
        <v>1395</v>
      </c>
      <c r="F407" s="2" t="s">
        <v>1396</v>
      </c>
      <c r="G407" s="2" t="s">
        <v>2840</v>
      </c>
      <c r="H407" s="2" t="s">
        <v>2841</v>
      </c>
      <c r="I407" s="2" t="s">
        <v>1374</v>
      </c>
      <c r="J407" s="2" t="s">
        <v>2842</v>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3</v>
      </c>
      <c r="Z407" s="2" t="n">
        <v>15</v>
      </c>
      <c r="AA407" s="2" t="n">
        <v>12</v>
      </c>
      <c r="AB407" s="2" t="n">
        <v>29</v>
      </c>
      <c r="AC407" s="2"/>
    </row>
    <row r="408" customFormat="false" ht="15" hidden="false" customHeight="false" outlineLevel="0" collapsed="false">
      <c r="A408" s="2" t="n">
        <v>43</v>
      </c>
      <c r="B408" s="2" t="s">
        <v>596</v>
      </c>
      <c r="C408" s="2" t="s">
        <v>601</v>
      </c>
      <c r="D408" s="2" t="s">
        <v>2843</v>
      </c>
      <c r="E408" s="2" t="s">
        <v>1395</v>
      </c>
      <c r="F408" s="2" t="s">
        <v>1396</v>
      </c>
      <c r="G408" s="2" t="s">
        <v>2844</v>
      </c>
      <c r="H408" s="2" t="s">
        <v>2845</v>
      </c>
      <c r="I408" s="2" t="s">
        <v>1374</v>
      </c>
      <c r="J408" s="2" t="s">
        <v>2846</v>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1</v>
      </c>
      <c r="Z408" s="2" t="n">
        <v>14</v>
      </c>
      <c r="AA408" s="2" t="n">
        <v>0</v>
      </c>
      <c r="AB408" s="2" t="n">
        <v>44</v>
      </c>
      <c r="AC408" s="2"/>
    </row>
    <row r="409" customFormat="false" ht="15" hidden="false" customHeight="false" outlineLevel="0" collapsed="false">
      <c r="A409" s="2" t="n">
        <v>44</v>
      </c>
      <c r="B409" s="2" t="s">
        <v>606</v>
      </c>
      <c r="C409" s="2" t="s">
        <v>611</v>
      </c>
      <c r="D409" s="2" t="s">
        <v>2847</v>
      </c>
      <c r="E409" s="2" t="s">
        <v>1370</v>
      </c>
      <c r="F409" s="2" t="s">
        <v>1410</v>
      </c>
      <c r="G409" s="2" t="s">
        <v>2848</v>
      </c>
      <c r="H409" s="2" t="s">
        <v>2849</v>
      </c>
      <c r="I409" s="2" t="s">
        <v>1374</v>
      </c>
      <c r="J409" s="2" t="s">
        <v>2850</v>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28</v>
      </c>
      <c r="Z409" s="2" t="n">
        <v>0</v>
      </c>
      <c r="AA409" s="2" t="n">
        <v>0</v>
      </c>
      <c r="AB409" s="2" t="n">
        <v>14</v>
      </c>
      <c r="AC409" s="2" t="s">
        <v>1376</v>
      </c>
    </row>
    <row r="410" customFormat="false" ht="15" hidden="false" customHeight="false" outlineLevel="0" collapsed="false">
      <c r="A410" s="2" t="n">
        <v>45</v>
      </c>
      <c r="B410" s="2" t="s">
        <v>617</v>
      </c>
      <c r="C410" s="2" t="s">
        <v>624</v>
      </c>
      <c r="D410" s="2" t="s">
        <v>2851</v>
      </c>
      <c r="E410" s="2" t="s">
        <v>1395</v>
      </c>
      <c r="F410" s="2" t="s">
        <v>1419</v>
      </c>
      <c r="G410" s="2" t="s">
        <v>2852</v>
      </c>
      <c r="H410" s="2" t="s">
        <v>2853</v>
      </c>
      <c r="I410" s="2" t="s">
        <v>1374</v>
      </c>
      <c r="J410" s="2" t="s">
        <v>2854</v>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row>
    <row r="411" customFormat="false" ht="15" hidden="false" customHeight="false" outlineLevel="0" collapsed="false">
      <c r="A411" s="2" t="n">
        <v>46</v>
      </c>
      <c r="B411" s="2" t="s">
        <v>632</v>
      </c>
      <c r="C411" s="2" t="s">
        <v>637</v>
      </c>
      <c r="D411" s="2" t="s">
        <v>2855</v>
      </c>
      <c r="E411" s="2" t="s">
        <v>1395</v>
      </c>
      <c r="F411" s="2" t="s">
        <v>1419</v>
      </c>
      <c r="G411" s="2" t="s">
        <v>2856</v>
      </c>
      <c r="H411" s="2" t="s">
        <v>2857</v>
      </c>
      <c r="I411" s="2" t="s">
        <v>1374</v>
      </c>
      <c r="J411" s="2" t="s">
        <v>2858</v>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5</v>
      </c>
      <c r="Z411" s="2" t="n">
        <v>2</v>
      </c>
      <c r="AA411" s="2" t="n">
        <v>4</v>
      </c>
      <c r="AB411" s="2" t="n">
        <v>20</v>
      </c>
      <c r="AC411" s="2"/>
    </row>
    <row r="412" customFormat="false" ht="15" hidden="false" customHeight="false" outlineLevel="0" collapsed="false">
      <c r="A412" s="2" t="n">
        <v>46</v>
      </c>
      <c r="B412" s="2" t="s">
        <v>632</v>
      </c>
      <c r="C412" s="2" t="s">
        <v>637</v>
      </c>
      <c r="D412" s="2" t="s">
        <v>2859</v>
      </c>
      <c r="E412" s="2" t="s">
        <v>1401</v>
      </c>
      <c r="F412" s="2" t="s">
        <v>1402</v>
      </c>
      <c r="G412" s="2" t="s">
        <v>2856</v>
      </c>
      <c r="H412" s="2" t="s">
        <v>2860</v>
      </c>
      <c r="I412" s="2" t="s">
        <v>1374</v>
      </c>
      <c r="J412" s="2" t="s">
        <v>2861</v>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55</v>
      </c>
      <c r="Z412" s="2" t="n">
        <v>3</v>
      </c>
      <c r="AA412" s="2" t="n">
        <v>8</v>
      </c>
      <c r="AB412" s="2" t="n">
        <v>115</v>
      </c>
      <c r="AC412" s="2"/>
    </row>
    <row r="413" customFormat="false" ht="15" hidden="false" customHeight="false" outlineLevel="0" collapsed="false">
      <c r="A413" s="2" t="n">
        <v>46</v>
      </c>
      <c r="B413" s="2" t="s">
        <v>632</v>
      </c>
      <c r="C413" s="2" t="s">
        <v>637</v>
      </c>
      <c r="D413" s="2" t="s">
        <v>2862</v>
      </c>
      <c r="E413" s="2" t="s">
        <v>1401</v>
      </c>
      <c r="F413" s="2" t="s">
        <v>1402</v>
      </c>
      <c r="G413" s="2" t="s">
        <v>2863</v>
      </c>
      <c r="H413" s="2" t="s">
        <v>2864</v>
      </c>
      <c r="I413" s="2" t="s">
        <v>1374</v>
      </c>
      <c r="J413" s="2" t="s">
        <v>2865</v>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8</v>
      </c>
      <c r="Z413" s="2" t="n">
        <v>1</v>
      </c>
      <c r="AA413" s="2" t="n">
        <v>7</v>
      </c>
      <c r="AB413" s="2" t="n">
        <v>62</v>
      </c>
      <c r="AC413" s="2"/>
    </row>
    <row r="414" customFormat="false" ht="15" hidden="false" customHeight="false" outlineLevel="0" collapsed="false">
      <c r="A414" s="2" t="n">
        <v>46</v>
      </c>
      <c r="B414" s="2" t="s">
        <v>632</v>
      </c>
      <c r="C414" s="2" t="s">
        <v>637</v>
      </c>
      <c r="D414" s="2" t="s">
        <v>2866</v>
      </c>
      <c r="E414" s="2" t="s">
        <v>1370</v>
      </c>
      <c r="F414" s="2" t="s">
        <v>1410</v>
      </c>
      <c r="G414" s="2" t="s">
        <v>722</v>
      </c>
      <c r="H414" s="2" t="s">
        <v>2867</v>
      </c>
      <c r="I414" s="2" t="s">
        <v>1374</v>
      </c>
      <c r="J414" s="2" t="s">
        <v>2868</v>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28</v>
      </c>
      <c r="Z414" s="2" t="n">
        <v>13</v>
      </c>
      <c r="AA414" s="2" t="n">
        <v>9</v>
      </c>
      <c r="AB414" s="2" t="n">
        <v>79</v>
      </c>
      <c r="AC414" s="2" t="s">
        <v>1376</v>
      </c>
    </row>
    <row r="415" customFormat="false" ht="15" hidden="false" customHeight="false" outlineLevel="0" collapsed="false">
      <c r="A415" s="2" t="n">
        <v>46</v>
      </c>
      <c r="B415" s="2" t="s">
        <v>632</v>
      </c>
      <c r="C415" s="2" t="s">
        <v>637</v>
      </c>
      <c r="D415" s="2" t="s">
        <v>2869</v>
      </c>
      <c r="E415" s="2" t="s">
        <v>1370</v>
      </c>
      <c r="F415" s="2" t="s">
        <v>1410</v>
      </c>
      <c r="G415" s="2" t="s">
        <v>2870</v>
      </c>
      <c r="H415" s="2" t="s">
        <v>2871</v>
      </c>
      <c r="I415" s="2" t="s">
        <v>1374</v>
      </c>
      <c r="J415" s="2" t="s">
        <v>2872</v>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7</v>
      </c>
      <c r="Z415" s="2" t="n">
        <v>12</v>
      </c>
      <c r="AA415" s="2" t="n">
        <v>0</v>
      </c>
      <c r="AB415" s="2" t="n">
        <v>34</v>
      </c>
      <c r="AC415" s="2" t="s">
        <v>1376</v>
      </c>
    </row>
    <row r="416" customFormat="false" ht="15" hidden="false" customHeight="false" outlineLevel="0" collapsed="false">
      <c r="A416" s="2" t="n">
        <v>46</v>
      </c>
      <c r="B416" s="2" t="s">
        <v>632</v>
      </c>
      <c r="C416" s="2" t="s">
        <v>637</v>
      </c>
      <c r="D416" s="2" t="s">
        <v>2873</v>
      </c>
      <c r="E416" s="2" t="s">
        <v>1395</v>
      </c>
      <c r="F416" s="2" t="s">
        <v>1419</v>
      </c>
      <c r="G416" s="2" t="s">
        <v>182</v>
      </c>
      <c r="H416" s="2" t="s">
        <v>2874</v>
      </c>
      <c r="I416" s="2" t="s">
        <v>1374</v>
      </c>
      <c r="J416" s="2" t="s">
        <v>2875</v>
      </c>
      <c r="K416" s="2" t="n">
        <v>1</v>
      </c>
      <c r="L416" s="2" t="n">
        <v>320</v>
      </c>
      <c r="M416" s="2" t="n">
        <v>158</v>
      </c>
      <c r="N416" s="2" t="n">
        <v>68</v>
      </c>
      <c r="O416" s="2" t="n">
        <v>162</v>
      </c>
      <c r="P416" s="2" t="n">
        <v>0</v>
      </c>
      <c r="Q416" s="2" t="n">
        <v>0</v>
      </c>
      <c r="R416" s="2" t="n">
        <v>0</v>
      </c>
      <c r="S416" s="2" t="n">
        <v>2</v>
      </c>
      <c r="T416" s="2" t="n">
        <v>2</v>
      </c>
      <c r="U416" s="2" t="n">
        <v>0</v>
      </c>
      <c r="V416" s="2" t="n">
        <v>0</v>
      </c>
      <c r="W416" s="2" t="n">
        <v>0</v>
      </c>
      <c r="X416" s="2" t="n">
        <v>0</v>
      </c>
      <c r="Y416" s="2" t="n">
        <v>0</v>
      </c>
      <c r="Z416" s="2" t="n">
        <v>0</v>
      </c>
      <c r="AA416" s="2" t="n">
        <v>0</v>
      </c>
      <c r="AB416" s="2" t="n">
        <v>2</v>
      </c>
      <c r="AC416" s="2"/>
    </row>
    <row r="417" customFormat="false" ht="15" hidden="false" customHeight="false" outlineLevel="0" collapsed="false">
      <c r="A417" s="2" t="n">
        <v>46</v>
      </c>
      <c r="B417" s="2" t="s">
        <v>632</v>
      </c>
      <c r="C417" s="2" t="s">
        <v>637</v>
      </c>
      <c r="D417" s="2" t="s">
        <v>2876</v>
      </c>
      <c r="E417" s="2" t="s">
        <v>1401</v>
      </c>
      <c r="F417" s="2" t="s">
        <v>1402</v>
      </c>
      <c r="G417" s="2" t="s">
        <v>2877</v>
      </c>
      <c r="H417" s="2" t="s">
        <v>2878</v>
      </c>
      <c r="I417" s="2" t="s">
        <v>1374</v>
      </c>
      <c r="J417" s="2" t="s">
        <v>2879</v>
      </c>
      <c r="K417" s="2" t="n">
        <v>5</v>
      </c>
      <c r="L417" s="2" t="n">
        <v>2618</v>
      </c>
      <c r="M417" s="2" t="n">
        <v>1255</v>
      </c>
      <c r="N417" s="2" t="n">
        <v>1154</v>
      </c>
      <c r="O417" s="2" t="n">
        <v>60</v>
      </c>
      <c r="P417" s="2" t="n">
        <v>1303</v>
      </c>
      <c r="Q417" s="2" t="n">
        <v>0</v>
      </c>
      <c r="R417" s="2" t="n">
        <v>0</v>
      </c>
      <c r="S417" s="2" t="n">
        <v>8</v>
      </c>
      <c r="T417" s="2" t="n">
        <v>6</v>
      </c>
      <c r="U417" s="2" t="n">
        <v>1</v>
      </c>
      <c r="V417" s="2" t="n">
        <v>0</v>
      </c>
      <c r="W417" s="2" t="n">
        <v>0</v>
      </c>
      <c r="X417" s="2" t="n">
        <v>1</v>
      </c>
      <c r="Y417" s="2" t="n">
        <v>2</v>
      </c>
      <c r="Z417" s="2" t="n">
        <v>0</v>
      </c>
      <c r="AA417" s="2" t="n">
        <v>1</v>
      </c>
      <c r="AB417" s="2" t="n">
        <v>5</v>
      </c>
      <c r="AC417" s="2"/>
    </row>
    <row r="418" customFormat="false" ht="15" hidden="false" customHeight="false" outlineLevel="0" collapsed="false">
      <c r="A418" s="2" t="n">
        <v>47</v>
      </c>
      <c r="B418" s="2" t="s">
        <v>645</v>
      </c>
      <c r="C418" s="2" t="s">
        <v>649</v>
      </c>
      <c r="D418" s="2" t="s">
        <v>2880</v>
      </c>
      <c r="E418" s="2" t="s">
        <v>1395</v>
      </c>
      <c r="F418" s="2" t="s">
        <v>1396</v>
      </c>
      <c r="G418" s="2" t="s">
        <v>2881</v>
      </c>
      <c r="H418" s="2" t="s">
        <v>2882</v>
      </c>
      <c r="I418" s="2" t="s">
        <v>1374</v>
      </c>
      <c r="J418" s="2" t="s">
        <v>2883</v>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2</v>
      </c>
      <c r="Z418" s="2" t="n">
        <v>0</v>
      </c>
      <c r="AA418" s="2" t="n">
        <v>0</v>
      </c>
      <c r="AB418" s="2" t="n">
        <v>10</v>
      </c>
      <c r="AC418" s="2"/>
    </row>
    <row r="419" customFormat="false" ht="15" hidden="false" customHeight="false" outlineLevel="0" collapsed="false">
      <c r="A419" s="2" t="n">
        <v>47</v>
      </c>
      <c r="B419" s="2" t="s">
        <v>645</v>
      </c>
      <c r="C419" s="2" t="s">
        <v>649</v>
      </c>
      <c r="D419" s="2" t="s">
        <v>2869</v>
      </c>
      <c r="E419" s="2" t="s">
        <v>1370</v>
      </c>
      <c r="F419" s="2" t="s">
        <v>1410</v>
      </c>
      <c r="G419" s="2" t="s">
        <v>2870</v>
      </c>
      <c r="H419" s="2" t="s">
        <v>2871</v>
      </c>
      <c r="I419" s="2" t="s">
        <v>1374</v>
      </c>
      <c r="J419" s="2" t="s">
        <v>2872</v>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7</v>
      </c>
      <c r="Z419" s="2" t="n">
        <v>12</v>
      </c>
      <c r="AA419" s="2" t="n">
        <v>0</v>
      </c>
      <c r="AB419" s="2" t="n">
        <v>34</v>
      </c>
      <c r="AC419" s="2" t="s">
        <v>1376</v>
      </c>
    </row>
    <row r="420" customFormat="false" ht="15" hidden="false" customHeight="false" outlineLevel="0" collapsed="false">
      <c r="A420" s="2" t="n">
        <v>47</v>
      </c>
      <c r="B420" s="2" t="s">
        <v>645</v>
      </c>
      <c r="C420" s="2" t="s">
        <v>649</v>
      </c>
      <c r="D420" s="2" t="s">
        <v>2884</v>
      </c>
      <c r="E420" s="2" t="s">
        <v>1401</v>
      </c>
      <c r="F420" s="2" t="s">
        <v>1402</v>
      </c>
      <c r="G420" s="2" t="s">
        <v>2885</v>
      </c>
      <c r="H420" s="2" t="s">
        <v>2886</v>
      </c>
      <c r="I420" s="2" t="s">
        <v>1374</v>
      </c>
      <c r="J420" s="2" t="s">
        <v>2887</v>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0</v>
      </c>
      <c r="Z420" s="2" t="n">
        <v>2</v>
      </c>
      <c r="AA420" s="2" t="n">
        <v>17</v>
      </c>
      <c r="AB420" s="2" t="n">
        <v>17</v>
      </c>
      <c r="AC420" s="2"/>
    </row>
    <row r="421" customFormat="false" ht="15" hidden="false" customHeight="false" outlineLevel="0" collapsed="false">
      <c r="A421" s="2" t="n">
        <v>47</v>
      </c>
      <c r="B421" s="2" t="s">
        <v>645</v>
      </c>
      <c r="C421" s="2" t="s">
        <v>649</v>
      </c>
      <c r="D421" s="2" t="s">
        <v>2888</v>
      </c>
      <c r="E421" s="2" t="s">
        <v>1401</v>
      </c>
      <c r="F421" s="2" t="s">
        <v>1402</v>
      </c>
      <c r="G421" s="2" t="s">
        <v>2889</v>
      </c>
      <c r="H421" s="2" t="s">
        <v>2890</v>
      </c>
      <c r="I421" s="2" t="s">
        <v>1374</v>
      </c>
      <c r="J421" s="2" t="s">
        <v>2891</v>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1</v>
      </c>
      <c r="AC421" s="2"/>
    </row>
    <row r="422" customFormat="false" ht="15" hidden="false" customHeight="false" outlineLevel="0" collapsed="false">
      <c r="A422" s="2" t="n">
        <v>47</v>
      </c>
      <c r="B422" s="2" t="s">
        <v>645</v>
      </c>
      <c r="C422" s="2" t="s">
        <v>649</v>
      </c>
      <c r="D422" s="2" t="s">
        <v>2892</v>
      </c>
      <c r="E422" s="2" t="s">
        <v>1401</v>
      </c>
      <c r="F422" s="2" t="s">
        <v>1402</v>
      </c>
      <c r="G422" s="2" t="s">
        <v>2893</v>
      </c>
      <c r="H422" s="2" t="s">
        <v>2894</v>
      </c>
      <c r="I422" s="2" t="s">
        <v>1374</v>
      </c>
      <c r="J422" s="2" t="s">
        <v>2895</v>
      </c>
      <c r="K422" s="2" t="n">
        <v>2</v>
      </c>
      <c r="L422" s="2" t="n">
        <v>704</v>
      </c>
      <c r="M422" s="2" t="n">
        <v>514</v>
      </c>
      <c r="N422" s="2" t="n">
        <v>389</v>
      </c>
      <c r="O422" s="2" t="n">
        <v>190</v>
      </c>
      <c r="P422" s="2" t="n">
        <v>0</v>
      </c>
      <c r="Q422" s="2" t="n">
        <v>0</v>
      </c>
      <c r="R422" s="2" t="n">
        <v>0</v>
      </c>
      <c r="S422" s="2" t="n">
        <v>1</v>
      </c>
      <c r="T422" s="2" t="n">
        <v>1</v>
      </c>
      <c r="U422" s="2" t="n">
        <v>0</v>
      </c>
      <c r="V422" s="2" t="n">
        <v>0</v>
      </c>
      <c r="W422" s="2" t="n">
        <v>0</v>
      </c>
      <c r="X422" s="2" t="n">
        <v>0</v>
      </c>
      <c r="Y422" s="2" t="n">
        <v>0</v>
      </c>
      <c r="Z422" s="2" t="n">
        <v>0</v>
      </c>
      <c r="AA422" s="2" t="n">
        <v>0</v>
      </c>
      <c r="AB422" s="2" t="n">
        <v>1</v>
      </c>
      <c r="AC422" s="2"/>
    </row>
    <row r="423" customFormat="false" ht="15" hidden="false" customHeight="false" outlineLevel="0" collapsed="false">
      <c r="A423" s="2" t="n">
        <v>47</v>
      </c>
      <c r="B423" s="2" t="s">
        <v>645</v>
      </c>
      <c r="C423" s="2" t="s">
        <v>649</v>
      </c>
      <c r="D423" s="2" t="s">
        <v>2896</v>
      </c>
      <c r="E423" s="2" t="s">
        <v>1401</v>
      </c>
      <c r="F423" s="2" t="s">
        <v>1402</v>
      </c>
      <c r="G423" s="2" t="s">
        <v>2740</v>
      </c>
      <c r="H423" s="2" t="s">
        <v>2897</v>
      </c>
      <c r="I423" s="2" t="s">
        <v>1374</v>
      </c>
      <c r="J423" s="2" t="s">
        <v>2898</v>
      </c>
      <c r="K423" s="2" t="n">
        <v>3</v>
      </c>
      <c r="L423" s="2" t="n">
        <v>784</v>
      </c>
      <c r="M423" s="2" t="n">
        <v>523</v>
      </c>
      <c r="N423" s="2" t="n">
        <v>402</v>
      </c>
      <c r="O423" s="2" t="n">
        <v>261</v>
      </c>
      <c r="P423" s="2" t="n">
        <v>0</v>
      </c>
      <c r="Q423" s="2" t="n">
        <v>0</v>
      </c>
      <c r="R423" s="2" t="n">
        <v>0</v>
      </c>
      <c r="S423" s="2" t="n">
        <v>1</v>
      </c>
      <c r="T423" s="2" t="n">
        <v>1</v>
      </c>
      <c r="U423" s="2" t="n">
        <v>0</v>
      </c>
      <c r="V423" s="2" t="n">
        <v>0</v>
      </c>
      <c r="W423" s="2" t="n">
        <v>0</v>
      </c>
      <c r="X423" s="2" t="n">
        <v>0</v>
      </c>
      <c r="Y423" s="2" t="n">
        <v>0</v>
      </c>
      <c r="Z423" s="2" t="n">
        <v>0</v>
      </c>
      <c r="AA423" s="2" t="n">
        <v>0</v>
      </c>
      <c r="AB423" s="2" t="n">
        <v>1</v>
      </c>
      <c r="AC423" s="2"/>
    </row>
    <row r="424" customFormat="false" ht="15" hidden="false" customHeight="false" outlineLevel="0" collapsed="false">
      <c r="A424" s="2" t="n">
        <v>47</v>
      </c>
      <c r="B424" s="2" t="s">
        <v>645</v>
      </c>
      <c r="C424" s="2" t="s">
        <v>649</v>
      </c>
      <c r="D424" s="2" t="s">
        <v>2899</v>
      </c>
      <c r="E424" s="2" t="s">
        <v>1401</v>
      </c>
      <c r="F424" s="2" t="s">
        <v>1402</v>
      </c>
      <c r="G424" s="2" t="s">
        <v>2578</v>
      </c>
      <c r="H424" s="2" t="s">
        <v>2900</v>
      </c>
      <c r="I424" s="2" t="s">
        <v>1374</v>
      </c>
      <c r="J424" s="2" t="s">
        <v>2901</v>
      </c>
      <c r="K424" s="2" t="n">
        <v>3</v>
      </c>
      <c r="L424" s="2" t="n">
        <v>899</v>
      </c>
      <c r="M424" s="2" t="n">
        <v>520</v>
      </c>
      <c r="N424" s="2" t="n">
        <v>412</v>
      </c>
      <c r="O424" s="2" t="n">
        <v>379</v>
      </c>
      <c r="P424" s="2" t="n">
        <v>0</v>
      </c>
      <c r="Q424" s="2" t="n">
        <v>0</v>
      </c>
      <c r="R424" s="2" t="n">
        <v>0</v>
      </c>
      <c r="S424" s="2" t="n">
        <v>1</v>
      </c>
      <c r="T424" s="2" t="n">
        <v>1</v>
      </c>
      <c r="U424" s="2" t="n">
        <v>0</v>
      </c>
      <c r="V424" s="2" t="n">
        <v>0</v>
      </c>
      <c r="W424" s="2" t="n">
        <v>0</v>
      </c>
      <c r="X424" s="2" t="n">
        <v>0</v>
      </c>
      <c r="Y424" s="2" t="n">
        <v>0</v>
      </c>
      <c r="Z424" s="2" t="n">
        <v>0</v>
      </c>
      <c r="AA424" s="2" t="n">
        <v>0</v>
      </c>
      <c r="AB424" s="2" t="n">
        <v>1</v>
      </c>
      <c r="AC424" s="2"/>
    </row>
    <row r="425" customFormat="false" ht="15" hidden="false" customHeight="false" outlineLevel="0" collapsed="false">
      <c r="A425" s="2" t="n">
        <v>47</v>
      </c>
      <c r="B425" s="2" t="s">
        <v>645</v>
      </c>
      <c r="C425" s="2" t="s">
        <v>649</v>
      </c>
      <c r="D425" s="2" t="s">
        <v>2902</v>
      </c>
      <c r="E425" s="2" t="s">
        <v>1401</v>
      </c>
      <c r="F425" s="2" t="s">
        <v>1402</v>
      </c>
      <c r="G425" s="2" t="s">
        <v>2836</v>
      </c>
      <c r="H425" s="2" t="s">
        <v>2903</v>
      </c>
      <c r="I425" s="2" t="s">
        <v>1374</v>
      </c>
      <c r="J425" s="2" t="s">
        <v>2904</v>
      </c>
      <c r="K425" s="2" t="n">
        <v>3</v>
      </c>
      <c r="L425" s="2" t="n">
        <v>983</v>
      </c>
      <c r="M425" s="2" t="n">
        <v>574</v>
      </c>
      <c r="N425" s="2" t="n">
        <v>465</v>
      </c>
      <c r="O425" s="2" t="n">
        <v>409</v>
      </c>
      <c r="P425" s="2" t="n">
        <v>0</v>
      </c>
      <c r="Q425" s="2" t="n">
        <v>0</v>
      </c>
      <c r="R425" s="2" t="n">
        <v>0</v>
      </c>
      <c r="S425" s="2" t="n">
        <v>1</v>
      </c>
      <c r="T425" s="2" t="n">
        <v>1</v>
      </c>
      <c r="U425" s="2" t="n">
        <v>0</v>
      </c>
      <c r="V425" s="2" t="n">
        <v>0</v>
      </c>
      <c r="W425" s="2" t="n">
        <v>0</v>
      </c>
      <c r="X425" s="2" t="n">
        <v>0</v>
      </c>
      <c r="Y425" s="2" t="n">
        <v>0</v>
      </c>
      <c r="Z425" s="2" t="n">
        <v>0</v>
      </c>
      <c r="AA425" s="2" t="n">
        <v>0</v>
      </c>
      <c r="AB425" s="2" t="n">
        <v>1</v>
      </c>
      <c r="AC425" s="2"/>
    </row>
    <row r="426" customFormat="false" ht="15" hidden="false" customHeight="false" outlineLevel="0" collapsed="false">
      <c r="A426" s="2" t="n">
        <v>49</v>
      </c>
      <c r="B426" s="2" t="s">
        <v>665</v>
      </c>
      <c r="C426" s="2" t="s">
        <v>668</v>
      </c>
      <c r="D426" s="2" t="s">
        <v>2905</v>
      </c>
      <c r="E426" s="2" t="s">
        <v>1401</v>
      </c>
      <c r="F426" s="2" t="s">
        <v>1402</v>
      </c>
      <c r="G426" s="2" t="s">
        <v>588</v>
      </c>
      <c r="H426" s="2" t="s">
        <v>2906</v>
      </c>
      <c r="I426" s="2" t="s">
        <v>1374</v>
      </c>
      <c r="J426" s="2" t="s">
        <v>2907</v>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1</v>
      </c>
      <c r="Z426" s="2" t="n">
        <v>0</v>
      </c>
      <c r="AA426" s="2" t="n">
        <v>2</v>
      </c>
      <c r="AB426" s="2" t="n">
        <v>4</v>
      </c>
      <c r="AC426" s="2"/>
    </row>
    <row r="427" customFormat="false" ht="15" hidden="false" customHeight="false" outlineLevel="0" collapsed="false">
      <c r="A427" s="2" t="n">
        <v>52</v>
      </c>
      <c r="B427" s="2" t="s">
        <v>695</v>
      </c>
      <c r="C427" s="2" t="s">
        <v>701</v>
      </c>
      <c r="D427" s="2" t="s">
        <v>2908</v>
      </c>
      <c r="E427" s="2" t="s">
        <v>1370</v>
      </c>
      <c r="F427" s="2" t="s">
        <v>1410</v>
      </c>
      <c r="G427" s="2" t="s">
        <v>699</v>
      </c>
      <c r="H427" s="2" t="s">
        <v>2909</v>
      </c>
      <c r="I427" s="2" t="s">
        <v>1374</v>
      </c>
      <c r="J427" s="2" t="s">
        <v>2910</v>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4</v>
      </c>
      <c r="Z427" s="2" t="n">
        <v>7</v>
      </c>
      <c r="AA427" s="2" t="n">
        <v>0</v>
      </c>
      <c r="AB427" s="2" t="n">
        <v>11</v>
      </c>
      <c r="AC427" s="2" t="s">
        <v>1376</v>
      </c>
    </row>
    <row r="428" customFormat="false" ht="15" hidden="false" customHeight="false" outlineLevel="0" collapsed="false">
      <c r="A428" s="2" t="n">
        <v>52</v>
      </c>
      <c r="B428" s="2" t="s">
        <v>695</v>
      </c>
      <c r="C428" s="2" t="s">
        <v>701</v>
      </c>
      <c r="D428" s="2" t="s">
        <v>2911</v>
      </c>
      <c r="E428" s="2" t="s">
        <v>1395</v>
      </c>
      <c r="F428" s="2" t="s">
        <v>1419</v>
      </c>
      <c r="G428" s="2" t="s">
        <v>2912</v>
      </c>
      <c r="H428" s="2" t="s">
        <v>2913</v>
      </c>
      <c r="I428" s="2" t="s">
        <v>1374</v>
      </c>
      <c r="J428" s="2" t="s">
        <v>2914</v>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5</v>
      </c>
      <c r="AB428" s="2" t="n">
        <v>20</v>
      </c>
      <c r="AC428" s="2"/>
    </row>
    <row r="429" customFormat="false" ht="15" hidden="false" customHeight="false" outlineLevel="0" collapsed="false">
      <c r="A429" s="2" t="n">
        <v>52</v>
      </c>
      <c r="B429" s="2" t="s">
        <v>695</v>
      </c>
      <c r="C429" s="2" t="s">
        <v>701</v>
      </c>
      <c r="D429" s="2" t="s">
        <v>2869</v>
      </c>
      <c r="E429" s="2" t="s">
        <v>1370</v>
      </c>
      <c r="F429" s="2" t="s">
        <v>1410</v>
      </c>
      <c r="G429" s="2" t="s">
        <v>2870</v>
      </c>
      <c r="H429" s="2" t="s">
        <v>2871</v>
      </c>
      <c r="I429" s="2" t="s">
        <v>1374</v>
      </c>
      <c r="J429" s="2" t="s">
        <v>2872</v>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7</v>
      </c>
      <c r="Z429" s="2" t="n">
        <v>12</v>
      </c>
      <c r="AA429" s="2" t="n">
        <v>0</v>
      </c>
      <c r="AB429" s="2" t="n">
        <v>34</v>
      </c>
      <c r="AC429" s="2" t="s">
        <v>1376</v>
      </c>
    </row>
    <row r="430" customFormat="false" ht="15" hidden="false" customHeight="false" outlineLevel="0" collapsed="false">
      <c r="A430" s="2" t="n">
        <v>52</v>
      </c>
      <c r="B430" s="2" t="s">
        <v>695</v>
      </c>
      <c r="C430" s="2" t="s">
        <v>701</v>
      </c>
      <c r="D430" s="2" t="s">
        <v>2915</v>
      </c>
      <c r="E430" s="2" t="s">
        <v>1401</v>
      </c>
      <c r="F430" s="2" t="s">
        <v>1402</v>
      </c>
      <c r="G430" s="2" t="s">
        <v>1534</v>
      </c>
      <c r="H430" s="2" t="s">
        <v>2916</v>
      </c>
      <c r="I430" s="2" t="s">
        <v>1374</v>
      </c>
      <c r="J430" s="2" t="s">
        <v>2917</v>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2</v>
      </c>
      <c r="Z430" s="2" t="n">
        <v>0</v>
      </c>
      <c r="AA430" s="2" t="n">
        <v>4</v>
      </c>
      <c r="AB430" s="2" t="n">
        <v>5</v>
      </c>
      <c r="AC430" s="2"/>
    </row>
    <row r="431" customFormat="false" ht="15" hidden="false" customHeight="false" outlineLevel="0" collapsed="false">
      <c r="A431" s="2" t="n">
        <v>52</v>
      </c>
      <c r="B431" s="2" t="s">
        <v>695</v>
      </c>
      <c r="C431" s="2" t="s">
        <v>701</v>
      </c>
      <c r="D431" s="2" t="s">
        <v>2918</v>
      </c>
      <c r="E431" s="2" t="s">
        <v>1401</v>
      </c>
      <c r="F431" s="2" t="s">
        <v>1402</v>
      </c>
      <c r="G431" s="2" t="s">
        <v>1534</v>
      </c>
      <c r="H431" s="2" t="s">
        <v>2919</v>
      </c>
      <c r="I431" s="2" t="s">
        <v>1374</v>
      </c>
      <c r="J431" s="2" t="s">
        <v>2920</v>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5</v>
      </c>
      <c r="Z431" s="2" t="n">
        <v>12</v>
      </c>
      <c r="AA431" s="2" t="n">
        <v>0</v>
      </c>
      <c r="AB431" s="2" t="n">
        <v>55</v>
      </c>
      <c r="AC431" s="2"/>
    </row>
    <row r="432" customFormat="false" ht="15" hidden="false" customHeight="false" outlineLevel="0" collapsed="false">
      <c r="A432" s="2" t="n">
        <v>52</v>
      </c>
      <c r="B432" s="2" t="s">
        <v>695</v>
      </c>
      <c r="C432" s="2" t="s">
        <v>701</v>
      </c>
      <c r="D432" s="2" t="s">
        <v>2921</v>
      </c>
      <c r="E432" s="2" t="s">
        <v>1370</v>
      </c>
      <c r="F432" s="2" t="s">
        <v>1410</v>
      </c>
      <c r="G432" s="2" t="s">
        <v>2922</v>
      </c>
      <c r="H432" s="2" t="s">
        <v>2923</v>
      </c>
      <c r="I432" s="2" t="s">
        <v>1374</v>
      </c>
      <c r="J432" s="2" t="s">
        <v>2924</v>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4</v>
      </c>
      <c r="Z432" s="2" t="n">
        <v>7</v>
      </c>
      <c r="AA432" s="2" t="n">
        <v>0</v>
      </c>
      <c r="AB432" s="2" t="n">
        <v>12</v>
      </c>
      <c r="AC432" s="2" t="s">
        <v>1376</v>
      </c>
    </row>
    <row r="433" customFormat="false" ht="15" hidden="false" customHeight="false" outlineLevel="0" collapsed="false">
      <c r="A433" s="2" t="n">
        <v>52</v>
      </c>
      <c r="B433" s="2" t="s">
        <v>695</v>
      </c>
      <c r="C433" s="2" t="s">
        <v>701</v>
      </c>
      <c r="D433" s="2" t="s">
        <v>2925</v>
      </c>
      <c r="E433" s="2" t="s">
        <v>1370</v>
      </c>
      <c r="F433" s="2" t="s">
        <v>1410</v>
      </c>
      <c r="G433" s="2" t="s">
        <v>2926</v>
      </c>
      <c r="H433" s="2" t="s">
        <v>2927</v>
      </c>
      <c r="I433" s="2" t="s">
        <v>1374</v>
      </c>
      <c r="J433" s="2" t="s">
        <v>2928</v>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26</v>
      </c>
      <c r="AA433" s="2" t="n">
        <v>2</v>
      </c>
      <c r="AB433" s="2" t="n">
        <v>9</v>
      </c>
      <c r="AC433" s="2" t="s">
        <v>1376</v>
      </c>
    </row>
    <row r="434" customFormat="false" ht="15" hidden="false" customHeight="false" outlineLevel="0" collapsed="false">
      <c r="A434" s="2" t="n">
        <v>53</v>
      </c>
      <c r="B434" s="2" t="s">
        <v>708</v>
      </c>
      <c r="C434" s="2" t="s">
        <v>713</v>
      </c>
      <c r="D434" s="2" t="s">
        <v>2929</v>
      </c>
      <c r="E434" s="2" t="s">
        <v>1395</v>
      </c>
      <c r="F434" s="2" t="s">
        <v>1396</v>
      </c>
      <c r="G434" s="2" t="s">
        <v>2930</v>
      </c>
      <c r="H434" s="2" t="s">
        <v>2931</v>
      </c>
      <c r="I434" s="2" t="s">
        <v>1374</v>
      </c>
      <c r="J434" s="2" t="s">
        <v>2932</v>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row>
    <row r="435" customFormat="false" ht="15" hidden="false" customHeight="false" outlineLevel="0" collapsed="false">
      <c r="A435" s="2" t="n">
        <v>56</v>
      </c>
      <c r="B435" s="2" t="s">
        <v>744</v>
      </c>
      <c r="C435" s="2" t="s">
        <v>749</v>
      </c>
      <c r="D435" s="2" t="s">
        <v>2933</v>
      </c>
      <c r="E435" s="2" t="s">
        <v>1401</v>
      </c>
      <c r="F435" s="2" t="s">
        <v>1402</v>
      </c>
      <c r="G435" s="2" t="s">
        <v>2934</v>
      </c>
      <c r="H435" s="2" t="s">
        <v>2935</v>
      </c>
      <c r="I435" s="2" t="s">
        <v>1374</v>
      </c>
      <c r="J435" s="2" t="s">
        <v>2936</v>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8</v>
      </c>
      <c r="Z435" s="2" t="n">
        <v>0</v>
      </c>
      <c r="AA435" s="2" t="n">
        <v>9</v>
      </c>
      <c r="AB435" s="2" t="n">
        <v>4</v>
      </c>
      <c r="AC435" s="2"/>
    </row>
    <row r="436" customFormat="false" ht="15" hidden="false" customHeight="false" outlineLevel="0" collapsed="false">
      <c r="A436" s="2" t="n">
        <v>56</v>
      </c>
      <c r="B436" s="2" t="s">
        <v>744</v>
      </c>
      <c r="C436" s="2" t="s">
        <v>749</v>
      </c>
      <c r="D436" s="2" t="s">
        <v>2937</v>
      </c>
      <c r="E436" s="2" t="s">
        <v>1401</v>
      </c>
      <c r="F436" s="2" t="s">
        <v>1402</v>
      </c>
      <c r="G436" s="2" t="s">
        <v>2934</v>
      </c>
      <c r="H436" s="2" t="s">
        <v>2938</v>
      </c>
      <c r="I436" s="2" t="s">
        <v>1374</v>
      </c>
      <c r="J436" s="2" t="s">
        <v>2939</v>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8</v>
      </c>
      <c r="Z436" s="2" t="n">
        <v>0</v>
      </c>
      <c r="AA436" s="2" t="n">
        <v>23</v>
      </c>
      <c r="AB436" s="2" t="n">
        <v>16</v>
      </c>
      <c r="AC436" s="2"/>
    </row>
    <row r="437" customFormat="false" ht="15" hidden="false" customHeight="false" outlineLevel="0" collapsed="false">
      <c r="A437" s="2" t="n">
        <v>56</v>
      </c>
      <c r="B437" s="2" t="s">
        <v>744</v>
      </c>
      <c r="C437" s="2" t="s">
        <v>749</v>
      </c>
      <c r="D437" s="2" t="s">
        <v>2940</v>
      </c>
      <c r="E437" s="2" t="s">
        <v>1401</v>
      </c>
      <c r="F437" s="2" t="s">
        <v>1402</v>
      </c>
      <c r="G437" s="2" t="s">
        <v>2934</v>
      </c>
      <c r="H437" s="2" t="s">
        <v>2941</v>
      </c>
      <c r="I437" s="2" t="s">
        <v>1374</v>
      </c>
      <c r="J437" s="2" t="s">
        <v>2942</v>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row>
    <row r="438" customFormat="false" ht="15" hidden="false" customHeight="false" outlineLevel="0" collapsed="false">
      <c r="A438" s="2" t="n">
        <v>56</v>
      </c>
      <c r="B438" s="2" t="s">
        <v>744</v>
      </c>
      <c r="C438" s="2" t="s">
        <v>749</v>
      </c>
      <c r="D438" s="2" t="s">
        <v>2943</v>
      </c>
      <c r="E438" s="2" t="s">
        <v>1401</v>
      </c>
      <c r="F438" s="2" t="s">
        <v>1402</v>
      </c>
      <c r="G438" s="2" t="s">
        <v>2934</v>
      </c>
      <c r="H438" s="2" t="s">
        <v>2944</v>
      </c>
      <c r="I438" s="2" t="s">
        <v>1374</v>
      </c>
      <c r="J438" s="2" t="s">
        <v>2945</v>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row>
    <row r="439" customFormat="false" ht="15" hidden="false" customHeight="false" outlineLevel="0" collapsed="false">
      <c r="A439" s="2" t="n">
        <v>56</v>
      </c>
      <c r="B439" s="2" t="s">
        <v>744</v>
      </c>
      <c r="C439" s="2" t="s">
        <v>749</v>
      </c>
      <c r="D439" s="2" t="s">
        <v>2946</v>
      </c>
      <c r="E439" s="2" t="s">
        <v>1395</v>
      </c>
      <c r="F439" s="2" t="s">
        <v>1396</v>
      </c>
      <c r="G439" s="2" t="s">
        <v>2947</v>
      </c>
      <c r="H439" s="2" t="s">
        <v>2948</v>
      </c>
      <c r="I439" s="2" t="s">
        <v>1374</v>
      </c>
      <c r="J439" s="2" t="s">
        <v>2949</v>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5</v>
      </c>
      <c r="AA439" s="2" t="n">
        <v>14</v>
      </c>
      <c r="AB439" s="2" t="n">
        <v>24</v>
      </c>
      <c r="AC439" s="2"/>
    </row>
    <row r="440" customFormat="false" ht="15" hidden="false" customHeight="false" outlineLevel="0" collapsed="false">
      <c r="A440" s="2" t="n">
        <v>56</v>
      </c>
      <c r="B440" s="2" t="s">
        <v>744</v>
      </c>
      <c r="C440" s="2" t="s">
        <v>749</v>
      </c>
      <c r="D440" s="2" t="s">
        <v>2950</v>
      </c>
      <c r="E440" s="2" t="s">
        <v>1395</v>
      </c>
      <c r="F440" s="2" t="s">
        <v>1396</v>
      </c>
      <c r="G440" s="2" t="s">
        <v>2947</v>
      </c>
      <c r="H440" s="2" t="s">
        <v>2951</v>
      </c>
      <c r="I440" s="2" t="s">
        <v>1374</v>
      </c>
      <c r="J440" s="2" t="s">
        <v>2952</v>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51</v>
      </c>
      <c r="AA440" s="2" t="n">
        <v>2</v>
      </c>
      <c r="AB440" s="2" t="n">
        <v>12</v>
      </c>
      <c r="AC440" s="2"/>
    </row>
    <row r="441" customFormat="false" ht="15" hidden="false" customHeight="false" outlineLevel="0" collapsed="false">
      <c r="A441" s="2" t="n">
        <v>56</v>
      </c>
      <c r="B441" s="2" t="s">
        <v>744</v>
      </c>
      <c r="C441" s="2" t="s">
        <v>749</v>
      </c>
      <c r="D441" s="2" t="s">
        <v>2953</v>
      </c>
      <c r="E441" s="2" t="s">
        <v>1401</v>
      </c>
      <c r="F441" s="2" t="s">
        <v>1402</v>
      </c>
      <c r="G441" s="2" t="s">
        <v>2954</v>
      </c>
      <c r="H441" s="2" t="s">
        <v>2955</v>
      </c>
      <c r="I441" s="2" t="s">
        <v>1374</v>
      </c>
      <c r="J441" s="2" t="s">
        <v>2956</v>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3</v>
      </c>
      <c r="AA441" s="2" t="n">
        <v>0</v>
      </c>
      <c r="AB441" s="2" t="n">
        <v>6</v>
      </c>
      <c r="AC441" s="2"/>
    </row>
    <row r="442" customFormat="false" ht="15" hidden="false" customHeight="false" outlineLevel="0" collapsed="false">
      <c r="A442" s="2" t="n">
        <v>56</v>
      </c>
      <c r="B442" s="2" t="s">
        <v>744</v>
      </c>
      <c r="C442" s="2" t="s">
        <v>749</v>
      </c>
      <c r="D442" s="2" t="s">
        <v>2957</v>
      </c>
      <c r="E442" s="2" t="s">
        <v>1401</v>
      </c>
      <c r="F442" s="2" t="s">
        <v>1402</v>
      </c>
      <c r="G442" s="2" t="s">
        <v>2958</v>
      </c>
      <c r="H442" s="2" t="s">
        <v>2959</v>
      </c>
      <c r="I442" s="2" t="s">
        <v>1374</v>
      </c>
      <c r="J442" s="2" t="s">
        <v>2960</v>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21</v>
      </c>
      <c r="Z442" s="2" t="n">
        <v>0</v>
      </c>
      <c r="AA442" s="2" t="n">
        <v>0</v>
      </c>
      <c r="AB442" s="2" t="n">
        <v>1</v>
      </c>
      <c r="AC442" s="2"/>
    </row>
    <row r="443" customFormat="false" ht="15" hidden="false" customHeight="false" outlineLevel="0" collapsed="false">
      <c r="A443" s="2" t="n">
        <v>56</v>
      </c>
      <c r="B443" s="2" t="s">
        <v>744</v>
      </c>
      <c r="C443" s="2" t="s">
        <v>749</v>
      </c>
      <c r="D443" s="2" t="s">
        <v>2961</v>
      </c>
      <c r="E443" s="2" t="s">
        <v>1401</v>
      </c>
      <c r="F443" s="2" t="s">
        <v>1402</v>
      </c>
      <c r="G443" s="2" t="s">
        <v>2962</v>
      </c>
      <c r="H443" s="2" t="s">
        <v>2963</v>
      </c>
      <c r="I443" s="2" t="s">
        <v>1374</v>
      </c>
      <c r="J443" s="2" t="s">
        <v>2964</v>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35</v>
      </c>
      <c r="Z443" s="2" t="n">
        <v>0</v>
      </c>
      <c r="AA443" s="2" t="n">
        <v>0</v>
      </c>
      <c r="AB443" s="2" t="n">
        <v>6</v>
      </c>
      <c r="AC443" s="2"/>
    </row>
    <row r="444" customFormat="false" ht="15" hidden="false" customHeight="false" outlineLevel="0" collapsed="false">
      <c r="A444" s="2" t="n">
        <v>56</v>
      </c>
      <c r="B444" s="2" t="s">
        <v>744</v>
      </c>
      <c r="C444" s="2" t="s">
        <v>749</v>
      </c>
      <c r="D444" s="2" t="s">
        <v>2965</v>
      </c>
      <c r="E444" s="2" t="s">
        <v>1401</v>
      </c>
      <c r="F444" s="2" t="s">
        <v>1402</v>
      </c>
      <c r="G444" s="2" t="s">
        <v>2966</v>
      </c>
      <c r="H444" s="2" t="s">
        <v>2967</v>
      </c>
      <c r="I444" s="2" t="s">
        <v>1374</v>
      </c>
      <c r="J444" s="2" t="s">
        <v>2968</v>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row>
    <row r="445" customFormat="false" ht="15" hidden="false" customHeight="false" outlineLevel="0" collapsed="false">
      <c r="A445" s="2" t="n">
        <v>56</v>
      </c>
      <c r="B445" s="2" t="s">
        <v>744</v>
      </c>
      <c r="C445" s="2" t="s">
        <v>749</v>
      </c>
      <c r="D445" s="2" t="s">
        <v>2969</v>
      </c>
      <c r="E445" s="2" t="s">
        <v>1401</v>
      </c>
      <c r="F445" s="2" t="s">
        <v>1402</v>
      </c>
      <c r="G445" s="2" t="s">
        <v>1630</v>
      </c>
      <c r="H445" s="2" t="s">
        <v>2970</v>
      </c>
      <c r="I445" s="2" t="s">
        <v>1374</v>
      </c>
      <c r="J445" s="2" t="s">
        <v>2971</v>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7</v>
      </c>
      <c r="Z445" s="2" t="n">
        <v>11</v>
      </c>
      <c r="AA445" s="2" t="n">
        <v>0</v>
      </c>
      <c r="AB445" s="2" t="n">
        <v>6</v>
      </c>
      <c r="AC445" s="2"/>
    </row>
    <row r="446" customFormat="false" ht="15" hidden="false" customHeight="false" outlineLevel="0" collapsed="false">
      <c r="A446" s="2" t="n">
        <v>56</v>
      </c>
      <c r="B446" s="2" t="s">
        <v>744</v>
      </c>
      <c r="C446" s="2" t="s">
        <v>749</v>
      </c>
      <c r="D446" s="2" t="s">
        <v>2972</v>
      </c>
      <c r="E446" s="2" t="s">
        <v>1401</v>
      </c>
      <c r="F446" s="2" t="s">
        <v>1402</v>
      </c>
      <c r="G446" s="2" t="s">
        <v>1630</v>
      </c>
      <c r="H446" s="2" t="s">
        <v>2973</v>
      </c>
      <c r="I446" s="2" t="s">
        <v>1374</v>
      </c>
      <c r="J446" s="2" t="s">
        <v>2974</v>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3</v>
      </c>
      <c r="AA446" s="2" t="n">
        <v>25</v>
      </c>
      <c r="AB446" s="2" t="n">
        <v>13</v>
      </c>
      <c r="AC446" s="2"/>
    </row>
    <row r="447" customFormat="false" ht="15" hidden="false" customHeight="false" outlineLevel="0" collapsed="false">
      <c r="A447" s="2" t="n">
        <v>56</v>
      </c>
      <c r="B447" s="2" t="s">
        <v>744</v>
      </c>
      <c r="C447" s="2" t="s">
        <v>749</v>
      </c>
      <c r="D447" s="2" t="s">
        <v>2975</v>
      </c>
      <c r="E447" s="2" t="s">
        <v>1401</v>
      </c>
      <c r="F447" s="2" t="s">
        <v>1402</v>
      </c>
      <c r="G447" s="2" t="s">
        <v>1630</v>
      </c>
      <c r="H447" s="2" t="s">
        <v>2976</v>
      </c>
      <c r="I447" s="2" t="s">
        <v>1374</v>
      </c>
      <c r="J447" s="2" t="s">
        <v>2977</v>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8</v>
      </c>
      <c r="Z447" s="2" t="n">
        <v>0</v>
      </c>
      <c r="AA447" s="2" t="n">
        <v>0</v>
      </c>
      <c r="AB447" s="2" t="n">
        <v>6</v>
      </c>
      <c r="AC447" s="2"/>
    </row>
    <row r="448" customFormat="false" ht="15" hidden="false" customHeight="false" outlineLevel="0" collapsed="false">
      <c r="A448" s="2" t="n">
        <v>56</v>
      </c>
      <c r="B448" s="2" t="s">
        <v>744</v>
      </c>
      <c r="C448" s="2" t="s">
        <v>749</v>
      </c>
      <c r="D448" s="2" t="s">
        <v>2978</v>
      </c>
      <c r="E448" s="2" t="s">
        <v>1401</v>
      </c>
      <c r="F448" s="2" t="s">
        <v>1402</v>
      </c>
      <c r="G448" s="2" t="s">
        <v>1630</v>
      </c>
      <c r="H448" s="2" t="s">
        <v>2979</v>
      </c>
      <c r="I448" s="2" t="s">
        <v>1374</v>
      </c>
      <c r="J448" s="2" t="s">
        <v>2980</v>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19</v>
      </c>
      <c r="Z448" s="2" t="n">
        <v>0</v>
      </c>
      <c r="AA448" s="2" t="n">
        <v>0</v>
      </c>
      <c r="AB448" s="2" t="n">
        <v>3</v>
      </c>
      <c r="AC448" s="2"/>
    </row>
    <row r="449" customFormat="false" ht="15" hidden="false" customHeight="false" outlineLevel="0" collapsed="false">
      <c r="A449" s="2" t="n">
        <v>56</v>
      </c>
      <c r="B449" s="2" t="s">
        <v>744</v>
      </c>
      <c r="C449" s="2" t="s">
        <v>749</v>
      </c>
      <c r="D449" s="2" t="s">
        <v>2981</v>
      </c>
      <c r="E449" s="2" t="s">
        <v>1401</v>
      </c>
      <c r="F449" s="2" t="s">
        <v>1402</v>
      </c>
      <c r="G449" s="2" t="s">
        <v>1630</v>
      </c>
      <c r="H449" s="2" t="s">
        <v>2982</v>
      </c>
      <c r="I449" s="2" t="s">
        <v>1374</v>
      </c>
      <c r="J449" s="2" t="s">
        <v>2983</v>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15</v>
      </c>
      <c r="Z449" s="2" t="n">
        <v>0</v>
      </c>
      <c r="AA449" s="2" t="n">
        <v>0</v>
      </c>
      <c r="AB449" s="2" t="n">
        <v>1</v>
      </c>
      <c r="AC449" s="2"/>
    </row>
    <row r="450" customFormat="false" ht="15" hidden="false" customHeight="false" outlineLevel="0" collapsed="false">
      <c r="A450" s="2" t="n">
        <v>56</v>
      </c>
      <c r="B450" s="2" t="s">
        <v>744</v>
      </c>
      <c r="C450" s="2" t="s">
        <v>749</v>
      </c>
      <c r="D450" s="2" t="s">
        <v>2984</v>
      </c>
      <c r="E450" s="2" t="s">
        <v>1395</v>
      </c>
      <c r="F450" s="2" t="s">
        <v>1396</v>
      </c>
      <c r="G450" s="2" t="s">
        <v>1630</v>
      </c>
      <c r="H450" s="2" t="s">
        <v>2985</v>
      </c>
      <c r="I450" s="2" t="s">
        <v>1374</v>
      </c>
      <c r="J450" s="2" t="s">
        <v>2986</v>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4</v>
      </c>
      <c r="AA450" s="2" t="n">
        <v>0</v>
      </c>
      <c r="AB450" s="2" t="n">
        <v>1</v>
      </c>
      <c r="AC450" s="2"/>
    </row>
    <row r="451" customFormat="false" ht="15" hidden="false" customHeight="false" outlineLevel="0" collapsed="false">
      <c r="A451" s="2" t="n">
        <v>56</v>
      </c>
      <c r="B451" s="2" t="s">
        <v>744</v>
      </c>
      <c r="C451" s="2" t="s">
        <v>749</v>
      </c>
      <c r="D451" s="2" t="s">
        <v>2987</v>
      </c>
      <c r="E451" s="2" t="s">
        <v>1401</v>
      </c>
      <c r="F451" s="2" t="s">
        <v>1402</v>
      </c>
      <c r="G451" s="2" t="s">
        <v>1630</v>
      </c>
      <c r="H451" s="2" t="s">
        <v>2988</v>
      </c>
      <c r="I451" s="2" t="s">
        <v>1374</v>
      </c>
      <c r="J451" s="2" t="s">
        <v>2989</v>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24</v>
      </c>
      <c r="Z451" s="2" t="n">
        <v>0</v>
      </c>
      <c r="AA451" s="2" t="n">
        <v>0</v>
      </c>
      <c r="AB451" s="2" t="n">
        <v>3</v>
      </c>
      <c r="AC451" s="2"/>
    </row>
    <row r="452" customFormat="false" ht="15" hidden="false" customHeight="false" outlineLevel="0" collapsed="false">
      <c r="A452" s="2" t="n">
        <v>56</v>
      </c>
      <c r="B452" s="2" t="s">
        <v>744</v>
      </c>
      <c r="C452" s="2" t="s">
        <v>749</v>
      </c>
      <c r="D452" s="2" t="s">
        <v>2990</v>
      </c>
      <c r="E452" s="2" t="s">
        <v>1395</v>
      </c>
      <c r="F452" s="2" t="s">
        <v>1396</v>
      </c>
      <c r="G452" s="2" t="s">
        <v>1630</v>
      </c>
      <c r="H452" s="2" t="s">
        <v>2991</v>
      </c>
      <c r="I452" s="2" t="s">
        <v>1374</v>
      </c>
      <c r="J452" s="2" t="s">
        <v>2992</v>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5</v>
      </c>
      <c r="AA452" s="2" t="n">
        <v>0</v>
      </c>
      <c r="AB452" s="2" t="n">
        <v>2</v>
      </c>
      <c r="AC452" s="2"/>
    </row>
    <row r="453" customFormat="false" ht="15" hidden="false" customHeight="false" outlineLevel="0" collapsed="false">
      <c r="A453" s="2" t="n">
        <v>56</v>
      </c>
      <c r="B453" s="2" t="s">
        <v>744</v>
      </c>
      <c r="C453" s="2" t="s">
        <v>749</v>
      </c>
      <c r="D453" s="2" t="s">
        <v>2993</v>
      </c>
      <c r="E453" s="2" t="s">
        <v>1395</v>
      </c>
      <c r="F453" s="2" t="s">
        <v>1396</v>
      </c>
      <c r="G453" s="2" t="s">
        <v>2994</v>
      </c>
      <c r="H453" s="2" t="s">
        <v>2995</v>
      </c>
      <c r="I453" s="2" t="s">
        <v>1374</v>
      </c>
      <c r="J453" s="2" t="s">
        <v>2996</v>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10</v>
      </c>
      <c r="Z453" s="2" t="n">
        <v>2</v>
      </c>
      <c r="AA453" s="2" t="n">
        <v>0</v>
      </c>
      <c r="AB453" s="2" t="n">
        <v>6</v>
      </c>
      <c r="AC453" s="2"/>
    </row>
    <row r="454" customFormat="false" ht="15" hidden="false" customHeight="false" outlineLevel="0" collapsed="false">
      <c r="A454" s="2" t="n">
        <v>56</v>
      </c>
      <c r="B454" s="2" t="s">
        <v>744</v>
      </c>
      <c r="C454" s="2" t="s">
        <v>749</v>
      </c>
      <c r="D454" s="2" t="s">
        <v>2997</v>
      </c>
      <c r="E454" s="2" t="s">
        <v>1395</v>
      </c>
      <c r="F454" s="2" t="s">
        <v>1396</v>
      </c>
      <c r="G454" s="2" t="s">
        <v>1040</v>
      </c>
      <c r="H454" s="2" t="s">
        <v>2998</v>
      </c>
      <c r="I454" s="2" t="s">
        <v>1374</v>
      </c>
      <c r="J454" s="2" t="s">
        <v>2999</v>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50</v>
      </c>
      <c r="Z454" s="2" t="n">
        <v>1</v>
      </c>
      <c r="AA454" s="2" t="n">
        <v>3</v>
      </c>
      <c r="AB454" s="2" t="n">
        <v>70</v>
      </c>
      <c r="AC454" s="2"/>
    </row>
    <row r="455" customFormat="false" ht="15" hidden="false" customHeight="false" outlineLevel="0" collapsed="false">
      <c r="A455" s="2" t="n">
        <v>56</v>
      </c>
      <c r="B455" s="2" t="s">
        <v>744</v>
      </c>
      <c r="C455" s="2" t="s">
        <v>749</v>
      </c>
      <c r="D455" s="2" t="s">
        <v>3000</v>
      </c>
      <c r="E455" s="2" t="s">
        <v>1401</v>
      </c>
      <c r="F455" s="2" t="s">
        <v>1402</v>
      </c>
      <c r="G455" s="2" t="s">
        <v>1063</v>
      </c>
      <c r="H455" s="2" t="s">
        <v>3001</v>
      </c>
      <c r="I455" s="2" t="s">
        <v>1374</v>
      </c>
      <c r="J455" s="2" t="s">
        <v>3002</v>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22</v>
      </c>
      <c r="Z455" s="2" t="n">
        <v>0</v>
      </c>
      <c r="AA455" s="2" t="n">
        <v>0</v>
      </c>
      <c r="AB455" s="2" t="n">
        <v>19</v>
      </c>
      <c r="AC455" s="2"/>
    </row>
    <row r="456" customFormat="false" ht="15" hidden="false" customHeight="false" outlineLevel="0" collapsed="false">
      <c r="A456" s="2" t="n">
        <v>56</v>
      </c>
      <c r="B456" s="2" t="s">
        <v>744</v>
      </c>
      <c r="C456" s="2" t="s">
        <v>749</v>
      </c>
      <c r="D456" s="2" t="s">
        <v>3003</v>
      </c>
      <c r="E456" s="2" t="s">
        <v>1395</v>
      </c>
      <c r="F456" s="2" t="s">
        <v>1396</v>
      </c>
      <c r="G456" s="2" t="s">
        <v>3004</v>
      </c>
      <c r="H456" s="2" t="s">
        <v>3005</v>
      </c>
      <c r="I456" s="2" t="s">
        <v>1374</v>
      </c>
      <c r="J456" s="2" t="s">
        <v>3006</v>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11</v>
      </c>
      <c r="Z456" s="2" t="n">
        <v>11</v>
      </c>
      <c r="AA456" s="2" t="n">
        <v>0</v>
      </c>
      <c r="AB456" s="2" t="n">
        <v>26</v>
      </c>
      <c r="AC456" s="2"/>
    </row>
    <row r="457" customFormat="false" ht="15" hidden="false" customHeight="false" outlineLevel="0" collapsed="false">
      <c r="A457" s="2" t="n">
        <v>56</v>
      </c>
      <c r="B457" s="2" t="s">
        <v>744</v>
      </c>
      <c r="C457" s="2" t="s">
        <v>749</v>
      </c>
      <c r="D457" s="2" t="s">
        <v>3007</v>
      </c>
      <c r="E457" s="2" t="s">
        <v>1401</v>
      </c>
      <c r="F457" s="2" t="s">
        <v>1402</v>
      </c>
      <c r="G457" s="2" t="s">
        <v>3004</v>
      </c>
      <c r="H457" s="2" t="s">
        <v>3008</v>
      </c>
      <c r="I457" s="2" t="s">
        <v>1374</v>
      </c>
      <c r="J457" s="2" t="s">
        <v>3009</v>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60</v>
      </c>
      <c r="Z457" s="2" t="n">
        <v>1</v>
      </c>
      <c r="AA457" s="2" t="n">
        <v>1</v>
      </c>
      <c r="AB457" s="2" t="n">
        <v>51</v>
      </c>
      <c r="AC457" s="2"/>
    </row>
    <row r="458" customFormat="false" ht="15" hidden="false" customHeight="false" outlineLevel="0" collapsed="false">
      <c r="A458" s="2" t="n">
        <v>56</v>
      </c>
      <c r="B458" s="2" t="s">
        <v>744</v>
      </c>
      <c r="C458" s="2" t="s">
        <v>749</v>
      </c>
      <c r="D458" s="2" t="s">
        <v>3010</v>
      </c>
      <c r="E458" s="2" t="s">
        <v>1401</v>
      </c>
      <c r="F458" s="2" t="s">
        <v>1402</v>
      </c>
      <c r="G458" s="2" t="s">
        <v>3011</v>
      </c>
      <c r="H458" s="2" t="s">
        <v>3012</v>
      </c>
      <c r="I458" s="2" t="s">
        <v>1374</v>
      </c>
      <c r="J458" s="2" t="s">
        <v>3013</v>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27</v>
      </c>
      <c r="Z458" s="2" t="n">
        <v>6</v>
      </c>
      <c r="AA458" s="2" t="n">
        <v>1</v>
      </c>
      <c r="AB458" s="2" t="n">
        <v>19</v>
      </c>
      <c r="AC458" s="2"/>
    </row>
    <row r="459" customFormat="false" ht="15" hidden="false" customHeight="false" outlineLevel="0" collapsed="false">
      <c r="A459" s="2" t="n">
        <v>56</v>
      </c>
      <c r="B459" s="2" t="s">
        <v>744</v>
      </c>
      <c r="C459" s="2" t="s">
        <v>749</v>
      </c>
      <c r="D459" s="2" t="s">
        <v>3014</v>
      </c>
      <c r="E459" s="2" t="s">
        <v>1401</v>
      </c>
      <c r="F459" s="2" t="s">
        <v>1402</v>
      </c>
      <c r="G459" s="2" t="s">
        <v>3015</v>
      </c>
      <c r="H459" s="2" t="s">
        <v>3016</v>
      </c>
      <c r="I459" s="2" t="s">
        <v>1374</v>
      </c>
      <c r="J459" s="2" t="s">
        <v>3017</v>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row>
    <row r="460" customFormat="false" ht="15" hidden="false" customHeight="false" outlineLevel="0" collapsed="false">
      <c r="A460" s="2" t="n">
        <v>56</v>
      </c>
      <c r="B460" s="2" t="s">
        <v>744</v>
      </c>
      <c r="C460" s="2" t="s">
        <v>749</v>
      </c>
      <c r="D460" s="2" t="s">
        <v>3018</v>
      </c>
      <c r="E460" s="2" t="s">
        <v>1401</v>
      </c>
      <c r="F460" s="2" t="s">
        <v>1402</v>
      </c>
      <c r="G460" s="2" t="s">
        <v>3015</v>
      </c>
      <c r="H460" s="2" t="s">
        <v>3019</v>
      </c>
      <c r="I460" s="2" t="s">
        <v>1374</v>
      </c>
      <c r="J460" s="2" t="s">
        <v>3020</v>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4</v>
      </c>
      <c r="Z460" s="2" t="n">
        <v>4</v>
      </c>
      <c r="AA460" s="2" t="n">
        <v>0</v>
      </c>
      <c r="AB460" s="2" t="n">
        <v>3</v>
      </c>
      <c r="AC460" s="2"/>
    </row>
    <row r="461" customFormat="false" ht="15" hidden="false" customHeight="false" outlineLevel="0" collapsed="false">
      <c r="A461" s="2" t="n">
        <v>56</v>
      </c>
      <c r="B461" s="2" t="s">
        <v>744</v>
      </c>
      <c r="C461" s="2" t="s">
        <v>749</v>
      </c>
      <c r="D461" s="2" t="s">
        <v>3021</v>
      </c>
      <c r="E461" s="2" t="s">
        <v>1401</v>
      </c>
      <c r="F461" s="2" t="s">
        <v>1402</v>
      </c>
      <c r="G461" s="2" t="s">
        <v>3015</v>
      </c>
      <c r="H461" s="2" t="s">
        <v>3022</v>
      </c>
      <c r="I461" s="2" t="s">
        <v>1374</v>
      </c>
      <c r="J461" s="2" t="s">
        <v>3023</v>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7</v>
      </c>
      <c r="Z461" s="2" t="n">
        <v>0</v>
      </c>
      <c r="AA461" s="2" t="n">
        <v>0</v>
      </c>
      <c r="AB461" s="2" t="n">
        <v>5</v>
      </c>
      <c r="AC461" s="2"/>
    </row>
    <row r="462" customFormat="false" ht="15" hidden="false" customHeight="false" outlineLevel="0" collapsed="false">
      <c r="A462" s="2" t="n">
        <v>56</v>
      </c>
      <c r="B462" s="2" t="s">
        <v>744</v>
      </c>
      <c r="C462" s="2" t="s">
        <v>749</v>
      </c>
      <c r="D462" s="2" t="s">
        <v>3024</v>
      </c>
      <c r="E462" s="2" t="s">
        <v>1401</v>
      </c>
      <c r="F462" s="2" t="s">
        <v>1402</v>
      </c>
      <c r="G462" s="2" t="s">
        <v>1569</v>
      </c>
      <c r="H462" s="2" t="s">
        <v>3025</v>
      </c>
      <c r="I462" s="2" t="s">
        <v>1374</v>
      </c>
      <c r="J462" s="2" t="s">
        <v>3026</v>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10</v>
      </c>
      <c r="Z462" s="2" t="n">
        <v>1</v>
      </c>
      <c r="AA462" s="2" t="n">
        <v>0</v>
      </c>
      <c r="AB462" s="2" t="n">
        <v>18</v>
      </c>
      <c r="AC462" s="2"/>
    </row>
    <row r="463" customFormat="false" ht="15" hidden="false" customHeight="false" outlineLevel="0" collapsed="false">
      <c r="A463" s="2" t="n">
        <v>56</v>
      </c>
      <c r="B463" s="2" t="s">
        <v>744</v>
      </c>
      <c r="C463" s="2" t="s">
        <v>749</v>
      </c>
      <c r="D463" s="2" t="s">
        <v>3027</v>
      </c>
      <c r="E463" s="2" t="s">
        <v>1401</v>
      </c>
      <c r="F463" s="2" t="s">
        <v>1402</v>
      </c>
      <c r="G463" s="2" t="s">
        <v>2773</v>
      </c>
      <c r="H463" s="2" t="s">
        <v>3028</v>
      </c>
      <c r="I463" s="2" t="s">
        <v>1374</v>
      </c>
      <c r="J463" s="2" t="s">
        <v>3029</v>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16</v>
      </c>
      <c r="Z463" s="2" t="n">
        <v>1</v>
      </c>
      <c r="AA463" s="2" t="n">
        <v>1</v>
      </c>
      <c r="AB463" s="2" t="n">
        <v>21</v>
      </c>
      <c r="AC463" s="2"/>
    </row>
    <row r="464" customFormat="false" ht="15" hidden="false" customHeight="false" outlineLevel="0" collapsed="false">
      <c r="A464" s="2" t="n">
        <v>56</v>
      </c>
      <c r="B464" s="2" t="s">
        <v>744</v>
      </c>
      <c r="C464" s="2" t="s">
        <v>749</v>
      </c>
      <c r="D464" s="2" t="s">
        <v>3030</v>
      </c>
      <c r="E464" s="2" t="s">
        <v>1401</v>
      </c>
      <c r="F464" s="2" t="s">
        <v>1402</v>
      </c>
      <c r="G464" s="2" t="s">
        <v>2773</v>
      </c>
      <c r="H464" s="2" t="s">
        <v>3031</v>
      </c>
      <c r="I464" s="2" t="s">
        <v>1374</v>
      </c>
      <c r="J464" s="2" t="s">
        <v>3032</v>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16</v>
      </c>
      <c r="Z464" s="2" t="n">
        <v>1</v>
      </c>
      <c r="AA464" s="2" t="n">
        <v>1</v>
      </c>
      <c r="AB464" s="2" t="n">
        <v>21</v>
      </c>
      <c r="AC464" s="2"/>
    </row>
    <row r="465" customFormat="false" ht="15" hidden="false" customHeight="false" outlineLevel="0" collapsed="false">
      <c r="A465" s="2" t="n">
        <v>56</v>
      </c>
      <c r="B465" s="2" t="s">
        <v>744</v>
      </c>
      <c r="C465" s="2" t="s">
        <v>749</v>
      </c>
      <c r="D465" s="2" t="s">
        <v>3033</v>
      </c>
      <c r="E465" s="2" t="s">
        <v>1401</v>
      </c>
      <c r="F465" s="2" t="s">
        <v>1402</v>
      </c>
      <c r="G465" s="2" t="s">
        <v>3034</v>
      </c>
      <c r="H465" s="2" t="s">
        <v>3035</v>
      </c>
      <c r="I465" s="2" t="s">
        <v>1374</v>
      </c>
      <c r="J465" s="2" t="s">
        <v>3036</v>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87</v>
      </c>
      <c r="Z465" s="2" t="n">
        <v>3</v>
      </c>
      <c r="AA465" s="2" t="n">
        <v>2</v>
      </c>
      <c r="AB465" s="2" t="n">
        <v>81</v>
      </c>
      <c r="AC465" s="2"/>
    </row>
    <row r="466" customFormat="false" ht="15" hidden="false" customHeight="false" outlineLevel="0" collapsed="false">
      <c r="A466" s="2" t="n">
        <v>56</v>
      </c>
      <c r="B466" s="2" t="s">
        <v>744</v>
      </c>
      <c r="C466" s="2" t="s">
        <v>749</v>
      </c>
      <c r="D466" s="2" t="s">
        <v>3037</v>
      </c>
      <c r="E466" s="2" t="s">
        <v>1401</v>
      </c>
      <c r="F466" s="2" t="s">
        <v>1402</v>
      </c>
      <c r="G466" s="2" t="s">
        <v>3034</v>
      </c>
      <c r="H466" s="2" t="s">
        <v>3038</v>
      </c>
      <c r="I466" s="2" t="s">
        <v>1374</v>
      </c>
      <c r="J466" s="2" t="s">
        <v>3039</v>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16</v>
      </c>
      <c r="Z466" s="2" t="n">
        <v>0</v>
      </c>
      <c r="AA466" s="2" t="n">
        <v>1</v>
      </c>
      <c r="AB466" s="2" t="n">
        <v>22</v>
      </c>
      <c r="AC466" s="2"/>
    </row>
    <row r="467" customFormat="false" ht="15" hidden="false" customHeight="false" outlineLevel="0" collapsed="false">
      <c r="A467" s="2" t="n">
        <v>56</v>
      </c>
      <c r="B467" s="2" t="s">
        <v>744</v>
      </c>
      <c r="C467" s="2" t="s">
        <v>749</v>
      </c>
      <c r="D467" s="2" t="s">
        <v>3040</v>
      </c>
      <c r="E467" s="2" t="s">
        <v>1401</v>
      </c>
      <c r="F467" s="2" t="s">
        <v>1402</v>
      </c>
      <c r="G467" s="2" t="s">
        <v>3034</v>
      </c>
      <c r="H467" s="2" t="s">
        <v>3041</v>
      </c>
      <c r="I467" s="2" t="s">
        <v>1374</v>
      </c>
      <c r="J467" s="2" t="s">
        <v>3042</v>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22</v>
      </c>
      <c r="Z467" s="2" t="n">
        <v>0</v>
      </c>
      <c r="AA467" s="2" t="n">
        <v>0</v>
      </c>
      <c r="AB467" s="2" t="n">
        <v>14</v>
      </c>
      <c r="AC467" s="2"/>
    </row>
    <row r="468" customFormat="false" ht="15" hidden="false" customHeight="false" outlineLevel="0" collapsed="false">
      <c r="A468" s="2" t="n">
        <v>56</v>
      </c>
      <c r="B468" s="2" t="s">
        <v>744</v>
      </c>
      <c r="C468" s="2" t="s">
        <v>749</v>
      </c>
      <c r="D468" s="2" t="s">
        <v>3043</v>
      </c>
      <c r="E468" s="2" t="s">
        <v>1401</v>
      </c>
      <c r="F468" s="2" t="s">
        <v>1402</v>
      </c>
      <c r="G468" s="2" t="s">
        <v>3044</v>
      </c>
      <c r="H468" s="2" t="s">
        <v>3045</v>
      </c>
      <c r="I468" s="2" t="s">
        <v>1374</v>
      </c>
      <c r="J468" s="2" t="s">
        <v>3046</v>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23</v>
      </c>
      <c r="Z468" s="2" t="n">
        <v>8</v>
      </c>
      <c r="AA468" s="2" t="n">
        <v>0</v>
      </c>
      <c r="AB468" s="2" t="n">
        <v>9</v>
      </c>
      <c r="AC468" s="2"/>
    </row>
    <row r="469" customFormat="false" ht="15" hidden="false" customHeight="false" outlineLevel="0" collapsed="false">
      <c r="A469" s="2" t="n">
        <v>56</v>
      </c>
      <c r="B469" s="2" t="s">
        <v>744</v>
      </c>
      <c r="C469" s="2" t="s">
        <v>749</v>
      </c>
      <c r="D469" s="2" t="s">
        <v>3047</v>
      </c>
      <c r="E469" s="2" t="s">
        <v>1401</v>
      </c>
      <c r="F469" s="2" t="s">
        <v>1402</v>
      </c>
      <c r="G469" s="2" t="s">
        <v>3048</v>
      </c>
      <c r="H469" s="2" t="s">
        <v>3049</v>
      </c>
      <c r="I469" s="2" t="s">
        <v>1374</v>
      </c>
      <c r="J469" s="2" t="s">
        <v>3050</v>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9</v>
      </c>
      <c r="Z469" s="2" t="n">
        <v>0</v>
      </c>
      <c r="AA469" s="2" t="n">
        <v>1</v>
      </c>
      <c r="AB469" s="2" t="n">
        <v>25</v>
      </c>
      <c r="AC469" s="2"/>
    </row>
    <row r="470" customFormat="false" ht="15" hidden="false" customHeight="false" outlineLevel="0" collapsed="false">
      <c r="A470" s="2" t="n">
        <v>56</v>
      </c>
      <c r="B470" s="2" t="s">
        <v>744</v>
      </c>
      <c r="C470" s="2" t="s">
        <v>749</v>
      </c>
      <c r="D470" s="2" t="s">
        <v>3051</v>
      </c>
      <c r="E470" s="2" t="s">
        <v>1395</v>
      </c>
      <c r="F470" s="2" t="s">
        <v>1396</v>
      </c>
      <c r="G470" s="2" t="s">
        <v>3048</v>
      </c>
      <c r="H470" s="2" t="s">
        <v>3052</v>
      </c>
      <c r="I470" s="2" t="s">
        <v>1374</v>
      </c>
      <c r="J470" s="2" t="s">
        <v>3053</v>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9</v>
      </c>
      <c r="AA470" s="2" t="n">
        <v>1</v>
      </c>
      <c r="AB470" s="2" t="n">
        <v>1</v>
      </c>
      <c r="AC470" s="2"/>
    </row>
    <row r="471" customFormat="false" ht="15" hidden="false" customHeight="false" outlineLevel="0" collapsed="false">
      <c r="A471" s="2" t="n">
        <v>56</v>
      </c>
      <c r="B471" s="2" t="s">
        <v>744</v>
      </c>
      <c r="C471" s="2" t="s">
        <v>749</v>
      </c>
      <c r="D471" s="2" t="s">
        <v>3054</v>
      </c>
      <c r="E471" s="2" t="s">
        <v>1401</v>
      </c>
      <c r="F471" s="2" t="s">
        <v>1402</v>
      </c>
      <c r="G471" s="2" t="s">
        <v>3055</v>
      </c>
      <c r="H471" s="2" t="s">
        <v>3056</v>
      </c>
      <c r="I471" s="2" t="s">
        <v>1374</v>
      </c>
      <c r="J471" s="2" t="s">
        <v>3057</v>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13</v>
      </c>
      <c r="Z471" s="2" t="n">
        <v>0</v>
      </c>
      <c r="AA471" s="2" t="n">
        <v>0</v>
      </c>
      <c r="AB471" s="2" t="n">
        <v>12</v>
      </c>
      <c r="AC471" s="2"/>
    </row>
    <row r="472" customFormat="false" ht="15" hidden="false" customHeight="false" outlineLevel="0" collapsed="false">
      <c r="A472" s="2" t="n">
        <v>57</v>
      </c>
      <c r="B472" s="2" t="s">
        <v>756</v>
      </c>
      <c r="C472" s="2" t="s">
        <v>760</v>
      </c>
      <c r="D472" s="2" t="s">
        <v>3058</v>
      </c>
      <c r="E472" s="2" t="s">
        <v>1401</v>
      </c>
      <c r="F472" s="2" t="s">
        <v>1402</v>
      </c>
      <c r="G472" s="2" t="s">
        <v>2934</v>
      </c>
      <c r="H472" s="2" t="s">
        <v>3059</v>
      </c>
      <c r="I472" s="2" t="s">
        <v>1374</v>
      </c>
      <c r="J472" s="2" t="s">
        <v>3060</v>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v>
      </c>
      <c r="AB472" s="2" t="n">
        <v>12</v>
      </c>
      <c r="AC472" s="2"/>
    </row>
    <row r="473" customFormat="false" ht="15" hidden="false" customHeight="false" outlineLevel="0" collapsed="false">
      <c r="A473" s="2" t="n">
        <v>57</v>
      </c>
      <c r="B473" s="2" t="s">
        <v>756</v>
      </c>
      <c r="C473" s="2" t="s">
        <v>760</v>
      </c>
      <c r="D473" s="2" t="s">
        <v>3061</v>
      </c>
      <c r="E473" s="2" t="s">
        <v>1401</v>
      </c>
      <c r="F473" s="2" t="s">
        <v>1402</v>
      </c>
      <c r="G473" s="2" t="s">
        <v>2934</v>
      </c>
      <c r="H473" s="2" t="s">
        <v>3062</v>
      </c>
      <c r="I473" s="2" t="s">
        <v>1374</v>
      </c>
      <c r="J473" s="2" t="s">
        <v>3063</v>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16</v>
      </c>
      <c r="Z473" s="2" t="n">
        <v>0</v>
      </c>
      <c r="AA473" s="2" t="n">
        <v>3</v>
      </c>
      <c r="AB473" s="2" t="n">
        <v>7</v>
      </c>
      <c r="AC473" s="2"/>
    </row>
    <row r="474" customFormat="false" ht="15" hidden="false" customHeight="false" outlineLevel="0" collapsed="false">
      <c r="A474" s="2" t="n">
        <v>57</v>
      </c>
      <c r="B474" s="2" t="s">
        <v>756</v>
      </c>
      <c r="C474" s="2" t="s">
        <v>760</v>
      </c>
      <c r="D474" s="2" t="s">
        <v>3064</v>
      </c>
      <c r="E474" s="2" t="s">
        <v>1401</v>
      </c>
      <c r="F474" s="2" t="s">
        <v>1402</v>
      </c>
      <c r="G474" s="2" t="s">
        <v>377</v>
      </c>
      <c r="H474" s="2" t="s">
        <v>3065</v>
      </c>
      <c r="I474" s="2" t="s">
        <v>1374</v>
      </c>
      <c r="J474" s="2" t="s">
        <v>3066</v>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19</v>
      </c>
      <c r="Z474" s="2" t="n">
        <v>2</v>
      </c>
      <c r="AA474" s="2" t="n">
        <v>0</v>
      </c>
      <c r="AB474" s="2" t="n">
        <v>5</v>
      </c>
      <c r="AC474" s="2"/>
    </row>
    <row r="475" customFormat="false" ht="15" hidden="false" customHeight="false" outlineLevel="0" collapsed="false">
      <c r="A475" s="2" t="n">
        <v>57</v>
      </c>
      <c r="B475" s="2" t="s">
        <v>756</v>
      </c>
      <c r="C475" s="2" t="s">
        <v>760</v>
      </c>
      <c r="D475" s="2" t="s">
        <v>3067</v>
      </c>
      <c r="E475" s="2" t="s">
        <v>1401</v>
      </c>
      <c r="F475" s="2" t="s">
        <v>1402</v>
      </c>
      <c r="G475" s="2" t="s">
        <v>377</v>
      </c>
      <c r="H475" s="2" t="s">
        <v>3068</v>
      </c>
      <c r="I475" s="2" t="s">
        <v>1374</v>
      </c>
      <c r="J475" s="2" t="s">
        <v>3069</v>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14</v>
      </c>
      <c r="Z475" s="2" t="n">
        <v>0</v>
      </c>
      <c r="AA475" s="2" t="n">
        <v>0</v>
      </c>
      <c r="AB475" s="2" t="n">
        <v>39</v>
      </c>
      <c r="AC475" s="2"/>
    </row>
    <row r="476" customFormat="false" ht="15" hidden="false" customHeight="false" outlineLevel="0" collapsed="false">
      <c r="A476" s="2" t="n">
        <v>57</v>
      </c>
      <c r="B476" s="2" t="s">
        <v>756</v>
      </c>
      <c r="C476" s="2" t="s">
        <v>760</v>
      </c>
      <c r="D476" s="2" t="s">
        <v>3070</v>
      </c>
      <c r="E476" s="2" t="s">
        <v>1401</v>
      </c>
      <c r="F476" s="2" t="s">
        <v>1402</v>
      </c>
      <c r="G476" s="2" t="s">
        <v>377</v>
      </c>
      <c r="H476" s="2" t="s">
        <v>3071</v>
      </c>
      <c r="I476" s="2" t="s">
        <v>1374</v>
      </c>
      <c r="J476" s="2" t="s">
        <v>3072</v>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126</v>
      </c>
      <c r="Z476" s="2" t="n">
        <v>0</v>
      </c>
      <c r="AA476" s="2" t="n">
        <v>0</v>
      </c>
      <c r="AB476" s="2" t="n">
        <v>79</v>
      </c>
      <c r="AC476" s="2"/>
    </row>
    <row r="477" customFormat="false" ht="15" hidden="false" customHeight="false" outlineLevel="0" collapsed="false">
      <c r="A477" s="2" t="n">
        <v>57</v>
      </c>
      <c r="B477" s="2" t="s">
        <v>756</v>
      </c>
      <c r="C477" s="2" t="s">
        <v>760</v>
      </c>
      <c r="D477" s="2" t="s">
        <v>3073</v>
      </c>
      <c r="E477" s="2" t="s">
        <v>1401</v>
      </c>
      <c r="F477" s="2" t="s">
        <v>1402</v>
      </c>
      <c r="G477" s="2" t="s">
        <v>142</v>
      </c>
      <c r="H477" s="2" t="s">
        <v>3074</v>
      </c>
      <c r="I477" s="2" t="s">
        <v>1374</v>
      </c>
      <c r="J477" s="2" t="s">
        <v>3075</v>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6</v>
      </c>
      <c r="Z477" s="2" t="n">
        <v>1</v>
      </c>
      <c r="AA477" s="2" t="n">
        <v>0</v>
      </c>
      <c r="AB477" s="2" t="n">
        <v>4</v>
      </c>
      <c r="AC477" s="2"/>
    </row>
    <row r="478" customFormat="false" ht="15" hidden="false" customHeight="false" outlineLevel="0" collapsed="false">
      <c r="A478" s="2" t="n">
        <v>57</v>
      </c>
      <c r="B478" s="2" t="s">
        <v>756</v>
      </c>
      <c r="C478" s="2" t="s">
        <v>760</v>
      </c>
      <c r="D478" s="2" t="s">
        <v>3076</v>
      </c>
      <c r="E478" s="2" t="s">
        <v>1395</v>
      </c>
      <c r="F478" s="2" t="s">
        <v>1396</v>
      </c>
      <c r="G478" s="2" t="s">
        <v>142</v>
      </c>
      <c r="H478" s="2" t="s">
        <v>3077</v>
      </c>
      <c r="I478" s="2" t="s">
        <v>1374</v>
      </c>
      <c r="J478" s="2" t="s">
        <v>3078</v>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83</v>
      </c>
      <c r="Z478" s="2" t="n">
        <v>2</v>
      </c>
      <c r="AA478" s="2" t="n">
        <v>0</v>
      </c>
      <c r="AB478" s="2" t="n">
        <v>20</v>
      </c>
      <c r="AC478" s="2"/>
    </row>
    <row r="479" customFormat="false" ht="15" hidden="false" customHeight="false" outlineLevel="0" collapsed="false">
      <c r="A479" s="2" t="n">
        <v>57</v>
      </c>
      <c r="B479" s="2" t="s">
        <v>756</v>
      </c>
      <c r="C479" s="2" t="s">
        <v>760</v>
      </c>
      <c r="D479" s="2" t="s">
        <v>3079</v>
      </c>
      <c r="E479" s="2" t="s">
        <v>1401</v>
      </c>
      <c r="F479" s="2" t="s">
        <v>1402</v>
      </c>
      <c r="G479" s="2" t="s">
        <v>3080</v>
      </c>
      <c r="H479" s="2" t="s">
        <v>3081</v>
      </c>
      <c r="I479" s="2" t="s">
        <v>1374</v>
      </c>
      <c r="J479" s="2" t="s">
        <v>3082</v>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9</v>
      </c>
      <c r="Z479" s="2" t="n">
        <v>4</v>
      </c>
      <c r="AA479" s="2" t="n">
        <v>0</v>
      </c>
      <c r="AB479" s="2" t="n">
        <v>4</v>
      </c>
      <c r="AC479" s="2"/>
    </row>
    <row r="480" customFormat="false" ht="15" hidden="false" customHeight="false" outlineLevel="0" collapsed="false">
      <c r="A480" s="2" t="n">
        <v>57</v>
      </c>
      <c r="B480" s="2" t="s">
        <v>756</v>
      </c>
      <c r="C480" s="2" t="s">
        <v>760</v>
      </c>
      <c r="D480" s="2" t="s">
        <v>3083</v>
      </c>
      <c r="E480" s="2" t="s">
        <v>1395</v>
      </c>
      <c r="F480" s="2" t="s">
        <v>1396</v>
      </c>
      <c r="G480" s="2" t="s">
        <v>3004</v>
      </c>
      <c r="H480" s="2" t="s">
        <v>3084</v>
      </c>
      <c r="I480" s="2" t="s">
        <v>1374</v>
      </c>
      <c r="J480" s="2" t="s">
        <v>3085</v>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63</v>
      </c>
      <c r="Z480" s="2" t="n">
        <v>0</v>
      </c>
      <c r="AA480" s="2" t="n">
        <v>0</v>
      </c>
      <c r="AB480" s="2" t="n">
        <v>148</v>
      </c>
      <c r="AC480" s="2"/>
    </row>
    <row r="481" customFormat="false" ht="15" hidden="false" customHeight="false" outlineLevel="0" collapsed="false">
      <c r="A481" s="2" t="n">
        <v>57</v>
      </c>
      <c r="B481" s="2" t="s">
        <v>756</v>
      </c>
      <c r="C481" s="2" t="s">
        <v>760</v>
      </c>
      <c r="D481" s="2" t="s">
        <v>3086</v>
      </c>
      <c r="E481" s="2" t="s">
        <v>1401</v>
      </c>
      <c r="F481" s="2" t="s">
        <v>1402</v>
      </c>
      <c r="G481" s="2" t="s">
        <v>3015</v>
      </c>
      <c r="H481" s="2" t="s">
        <v>3087</v>
      </c>
      <c r="I481" s="2" t="s">
        <v>1374</v>
      </c>
      <c r="J481" s="2" t="s">
        <v>3088</v>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7</v>
      </c>
      <c r="AA481" s="2" t="n">
        <v>0</v>
      </c>
      <c r="AB481" s="2" t="n">
        <v>15</v>
      </c>
      <c r="AC481" s="2"/>
    </row>
    <row r="482" customFormat="false" ht="15" hidden="false" customHeight="false" outlineLevel="0" collapsed="false">
      <c r="A482" s="2" t="n">
        <v>57</v>
      </c>
      <c r="B482" s="2" t="s">
        <v>756</v>
      </c>
      <c r="C482" s="2" t="s">
        <v>760</v>
      </c>
      <c r="D482" s="2" t="s">
        <v>3089</v>
      </c>
      <c r="E482" s="2" t="s">
        <v>1401</v>
      </c>
      <c r="F482" s="2" t="s">
        <v>1402</v>
      </c>
      <c r="G482" s="2" t="s">
        <v>3090</v>
      </c>
      <c r="H482" s="2" t="s">
        <v>3091</v>
      </c>
      <c r="I482" s="2" t="s">
        <v>1374</v>
      </c>
      <c r="J482" s="2" t="s">
        <v>3092</v>
      </c>
      <c r="K482" s="2" t="n">
        <v>29</v>
      </c>
      <c r="L482" s="2" t="n">
        <v>12712</v>
      </c>
      <c r="M482" s="2" t="n">
        <v>3629</v>
      </c>
      <c r="N482" s="2" t="n">
        <v>3439</v>
      </c>
      <c r="O482" s="2" t="n">
        <v>7473</v>
      </c>
      <c r="P482" s="2" t="n">
        <v>1610</v>
      </c>
      <c r="Q482" s="2" t="n">
        <v>0</v>
      </c>
      <c r="R482" s="2" t="n">
        <v>0</v>
      </c>
      <c r="S482" s="2" t="n">
        <v>121</v>
      </c>
      <c r="T482" s="2" t="n">
        <v>114</v>
      </c>
      <c r="U482" s="2" t="n">
        <v>4</v>
      </c>
      <c r="V482" s="2" t="n">
        <v>0</v>
      </c>
      <c r="W482" s="2" t="n">
        <v>1</v>
      </c>
      <c r="X482" s="2" t="n">
        <v>2</v>
      </c>
      <c r="Y482" s="2" t="n">
        <v>36</v>
      </c>
      <c r="Z482" s="2" t="n">
        <v>37</v>
      </c>
      <c r="AA482" s="2" t="n">
        <v>0</v>
      </c>
      <c r="AB482" s="2" t="n">
        <v>48</v>
      </c>
      <c r="AC482" s="2"/>
    </row>
    <row r="483" customFormat="false" ht="15" hidden="false" customHeight="false" outlineLevel="0" collapsed="false">
      <c r="A483" s="2" t="n">
        <v>57</v>
      </c>
      <c r="B483" s="2" t="s">
        <v>756</v>
      </c>
      <c r="C483" s="2" t="s">
        <v>760</v>
      </c>
      <c r="D483" s="2" t="s">
        <v>3093</v>
      </c>
      <c r="E483" s="2" t="s">
        <v>1401</v>
      </c>
      <c r="F483" s="2" t="s">
        <v>1402</v>
      </c>
      <c r="G483" s="2" t="s">
        <v>3094</v>
      </c>
      <c r="H483" s="2" t="s">
        <v>3095</v>
      </c>
      <c r="I483" s="2" t="s">
        <v>1374</v>
      </c>
      <c r="J483" s="2" t="s">
        <v>3096</v>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11</v>
      </c>
      <c r="Z483" s="2" t="n">
        <v>0</v>
      </c>
      <c r="AA483" s="2" t="n">
        <v>0</v>
      </c>
      <c r="AB483" s="2" t="n">
        <v>6</v>
      </c>
      <c r="AC483" s="2"/>
    </row>
    <row r="484" customFormat="false" ht="15" hidden="false" customHeight="false" outlineLevel="0" collapsed="false">
      <c r="A484" s="2" t="n">
        <v>58</v>
      </c>
      <c r="B484" s="2" t="s">
        <v>766</v>
      </c>
      <c r="C484" s="2" t="s">
        <v>771</v>
      </c>
      <c r="D484" s="2" t="s">
        <v>3097</v>
      </c>
      <c r="E484" s="2" t="s">
        <v>1395</v>
      </c>
      <c r="F484" s="2" t="s">
        <v>1396</v>
      </c>
      <c r="G484" s="2" t="s">
        <v>3098</v>
      </c>
      <c r="H484" s="2" t="s">
        <v>3099</v>
      </c>
      <c r="I484" s="2" t="s">
        <v>1374</v>
      </c>
      <c r="J484" s="2" t="s">
        <v>3100</v>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0</v>
      </c>
      <c r="Z484" s="2" t="n">
        <v>0</v>
      </c>
      <c r="AA484" s="2" t="n">
        <v>0</v>
      </c>
      <c r="AB484" s="2" t="n">
        <v>7</v>
      </c>
      <c r="AC484" s="2"/>
    </row>
    <row r="485" customFormat="false" ht="15" hidden="false" customHeight="false" outlineLevel="0" collapsed="false">
      <c r="A485" s="2" t="n">
        <v>59</v>
      </c>
      <c r="B485" s="2" t="s">
        <v>777</v>
      </c>
      <c r="C485" s="2" t="s">
        <v>783</v>
      </c>
      <c r="D485" s="2" t="s">
        <v>3101</v>
      </c>
      <c r="E485" s="2" t="s">
        <v>1395</v>
      </c>
      <c r="F485" s="2" t="s">
        <v>1396</v>
      </c>
      <c r="G485" s="2" t="s">
        <v>3102</v>
      </c>
      <c r="H485" s="2" t="s">
        <v>3103</v>
      </c>
      <c r="I485" s="2" t="s">
        <v>1374</v>
      </c>
      <c r="J485" s="2" t="s">
        <v>3104</v>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11</v>
      </c>
      <c r="Z485" s="2" t="n">
        <v>0</v>
      </c>
      <c r="AA485" s="2" t="n">
        <v>25</v>
      </c>
      <c r="AB485" s="2" t="n">
        <v>36</v>
      </c>
      <c r="AC485" s="2"/>
    </row>
    <row r="486" customFormat="false" ht="15" hidden="false" customHeight="false" outlineLevel="0" collapsed="false">
      <c r="A486" s="2" t="n">
        <v>60</v>
      </c>
      <c r="B486" s="2" t="s">
        <v>789</v>
      </c>
      <c r="C486" s="2" t="s">
        <v>793</v>
      </c>
      <c r="D486" s="2" t="s">
        <v>3105</v>
      </c>
      <c r="E486" s="2" t="s">
        <v>1401</v>
      </c>
      <c r="F486" s="2" t="s">
        <v>1402</v>
      </c>
      <c r="G486" s="2" t="s">
        <v>3106</v>
      </c>
      <c r="H486" s="2" t="s">
        <v>3107</v>
      </c>
      <c r="I486" s="2" t="s">
        <v>1374</v>
      </c>
      <c r="J486" s="2" t="s">
        <v>3108</v>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7</v>
      </c>
      <c r="Z486" s="2" t="n">
        <v>0</v>
      </c>
      <c r="AA486" s="2" t="n">
        <v>10</v>
      </c>
      <c r="AB486" s="2" t="n">
        <v>21</v>
      </c>
      <c r="AC486" s="2"/>
    </row>
    <row r="487" customFormat="false" ht="15" hidden="false" customHeight="false" outlineLevel="0" collapsed="false">
      <c r="A487" s="2" t="n">
        <v>60</v>
      </c>
      <c r="B487" s="2" t="s">
        <v>789</v>
      </c>
      <c r="C487" s="2" t="s">
        <v>793</v>
      </c>
      <c r="D487" s="2" t="s">
        <v>3109</v>
      </c>
      <c r="E487" s="2" t="s">
        <v>1395</v>
      </c>
      <c r="F487" s="2" t="s">
        <v>1396</v>
      </c>
      <c r="G487" s="2" t="s">
        <v>3110</v>
      </c>
      <c r="H487" s="2" t="s">
        <v>3111</v>
      </c>
      <c r="I487" s="2" t="s">
        <v>1374</v>
      </c>
      <c r="J487" s="2" t="s">
        <v>3112</v>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8</v>
      </c>
      <c r="Z487" s="2" t="n">
        <v>0</v>
      </c>
      <c r="AA487" s="2" t="n">
        <v>25</v>
      </c>
      <c r="AB487" s="2" t="n">
        <v>27</v>
      </c>
      <c r="AC487" s="2"/>
    </row>
    <row r="488" customFormat="false" ht="15" hidden="false" customHeight="false" outlineLevel="0" collapsed="false">
      <c r="A488" s="2" t="n">
        <v>60</v>
      </c>
      <c r="B488" s="2" t="s">
        <v>789</v>
      </c>
      <c r="C488" s="2" t="s">
        <v>793</v>
      </c>
      <c r="D488" s="2" t="s">
        <v>3113</v>
      </c>
      <c r="E488" s="2" t="s">
        <v>1401</v>
      </c>
      <c r="F488" s="2" t="s">
        <v>1402</v>
      </c>
      <c r="G488" s="2" t="s">
        <v>3114</v>
      </c>
      <c r="H488" s="2" t="s">
        <v>3115</v>
      </c>
      <c r="I488" s="2" t="s">
        <v>1374</v>
      </c>
      <c r="J488" s="2" t="s">
        <v>3116</v>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25</v>
      </c>
      <c r="Z488" s="2" t="n">
        <v>0</v>
      </c>
      <c r="AA488" s="2" t="n">
        <v>0</v>
      </c>
      <c r="AB488" s="2" t="n">
        <v>33</v>
      </c>
      <c r="AC488" s="2"/>
    </row>
    <row r="489" customFormat="false" ht="15" hidden="false" customHeight="false" outlineLevel="0" collapsed="false">
      <c r="A489" s="2" t="n">
        <v>60</v>
      </c>
      <c r="B489" s="2" t="s">
        <v>789</v>
      </c>
      <c r="C489" s="2" t="s">
        <v>793</v>
      </c>
      <c r="D489" s="2" t="s">
        <v>3117</v>
      </c>
      <c r="E489" s="2" t="s">
        <v>1395</v>
      </c>
      <c r="F489" s="2" t="s">
        <v>1396</v>
      </c>
      <c r="G489" s="2" t="s">
        <v>3118</v>
      </c>
      <c r="H489" s="2" t="s">
        <v>3119</v>
      </c>
      <c r="I489" s="2" t="s">
        <v>1374</v>
      </c>
      <c r="J489" s="2" t="s">
        <v>3120</v>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34</v>
      </c>
      <c r="Z489" s="2" t="n">
        <v>13</v>
      </c>
      <c r="AA489" s="2" t="n">
        <v>31</v>
      </c>
      <c r="AB489" s="2" t="n">
        <v>16</v>
      </c>
      <c r="AC489" s="2"/>
    </row>
    <row r="490" customFormat="false" ht="15" hidden="false" customHeight="false" outlineLevel="0" collapsed="false">
      <c r="A490" s="2" t="n">
        <v>60</v>
      </c>
      <c r="B490" s="2" t="s">
        <v>789</v>
      </c>
      <c r="C490" s="2" t="s">
        <v>793</v>
      </c>
      <c r="D490" s="2" t="s">
        <v>3121</v>
      </c>
      <c r="E490" s="2" t="s">
        <v>1370</v>
      </c>
      <c r="F490" s="2" t="s">
        <v>1410</v>
      </c>
      <c r="G490" s="2" t="s">
        <v>3122</v>
      </c>
      <c r="H490" s="2" t="s">
        <v>3123</v>
      </c>
      <c r="I490" s="2" t="s">
        <v>1374</v>
      </c>
      <c r="J490" s="2" t="s">
        <v>3124</v>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2</v>
      </c>
      <c r="AB490" s="2" t="n">
        <v>1</v>
      </c>
      <c r="AC490" s="2" t="s">
        <v>1376</v>
      </c>
    </row>
    <row r="491" customFormat="false" ht="15" hidden="false" customHeight="false" outlineLevel="0" collapsed="false">
      <c r="A491" s="2" t="n">
        <v>60</v>
      </c>
      <c r="B491" s="2" t="s">
        <v>789</v>
      </c>
      <c r="C491" s="2" t="s">
        <v>793</v>
      </c>
      <c r="D491" s="2" t="s">
        <v>3125</v>
      </c>
      <c r="E491" s="2" t="s">
        <v>1395</v>
      </c>
      <c r="F491" s="2" t="s">
        <v>1396</v>
      </c>
      <c r="G491" s="2" t="s">
        <v>3126</v>
      </c>
      <c r="H491" s="2" t="s">
        <v>3127</v>
      </c>
      <c r="I491" s="2" t="s">
        <v>1374</v>
      </c>
      <c r="J491" s="2" t="s">
        <v>3128</v>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39</v>
      </c>
      <c r="Z491" s="2" t="n">
        <v>3</v>
      </c>
      <c r="AA491" s="2" t="n">
        <v>0</v>
      </c>
      <c r="AB491" s="2" t="n">
        <v>175</v>
      </c>
      <c r="AC491" s="2"/>
    </row>
    <row r="492" customFormat="false" ht="15" hidden="false" customHeight="false" outlineLevel="0" collapsed="false">
      <c r="A492" s="2" t="n">
        <v>60</v>
      </c>
      <c r="B492" s="2" t="s">
        <v>789</v>
      </c>
      <c r="C492" s="2" t="s">
        <v>793</v>
      </c>
      <c r="D492" s="2" t="s">
        <v>3129</v>
      </c>
      <c r="E492" s="2" t="s">
        <v>1401</v>
      </c>
      <c r="F492" s="2" t="s">
        <v>1402</v>
      </c>
      <c r="G492" s="2" t="s">
        <v>3130</v>
      </c>
      <c r="H492" s="2" t="s">
        <v>3131</v>
      </c>
      <c r="I492" s="2" t="s">
        <v>1374</v>
      </c>
      <c r="J492" s="2" t="s">
        <v>3132</v>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16</v>
      </c>
      <c r="Z492" s="2" t="n">
        <v>31</v>
      </c>
      <c r="AA492" s="2" t="n">
        <v>15</v>
      </c>
      <c r="AB492" s="2" t="n">
        <v>14</v>
      </c>
      <c r="AC492" s="2"/>
    </row>
    <row r="493" customFormat="false" ht="15" hidden="false" customHeight="false" outlineLevel="0" collapsed="false">
      <c r="A493" s="2" t="n">
        <v>60</v>
      </c>
      <c r="B493" s="2" t="s">
        <v>789</v>
      </c>
      <c r="C493" s="2" t="s">
        <v>793</v>
      </c>
      <c r="D493" s="2" t="s">
        <v>3133</v>
      </c>
      <c r="E493" s="2" t="s">
        <v>1370</v>
      </c>
      <c r="F493" s="2" t="s">
        <v>1410</v>
      </c>
      <c r="G493" s="2" t="s">
        <v>3134</v>
      </c>
      <c r="H493" s="2" t="s">
        <v>3135</v>
      </c>
      <c r="I493" s="2" t="s">
        <v>1374</v>
      </c>
      <c r="J493" s="2" t="s">
        <v>3136</v>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10</v>
      </c>
      <c r="Z493" s="2" t="n">
        <v>4</v>
      </c>
      <c r="AA493" s="2" t="n">
        <v>4</v>
      </c>
      <c r="AB493" s="2" t="n">
        <v>10</v>
      </c>
      <c r="AC493" s="2" t="s">
        <v>1376</v>
      </c>
    </row>
    <row r="494" customFormat="false" ht="15" hidden="false" customHeight="false" outlineLevel="0" collapsed="false">
      <c r="A494" s="2" t="n">
        <v>61</v>
      </c>
      <c r="B494" s="2" t="s">
        <v>799</v>
      </c>
      <c r="C494" s="2" t="s">
        <v>802</v>
      </c>
      <c r="D494" s="2" t="s">
        <v>3137</v>
      </c>
      <c r="E494" s="2" t="s">
        <v>1370</v>
      </c>
      <c r="F494" s="2" t="s">
        <v>3138</v>
      </c>
      <c r="G494" s="2" t="s">
        <v>3139</v>
      </c>
      <c r="H494" s="2" t="s">
        <v>3140</v>
      </c>
      <c r="I494" s="2" t="s">
        <v>1374</v>
      </c>
      <c r="J494" s="2" t="s">
        <v>3141</v>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4</v>
      </c>
      <c r="AA494" s="2" t="n">
        <v>1</v>
      </c>
      <c r="AB494" s="2" t="n">
        <v>1</v>
      </c>
      <c r="AC494" s="2" t="s">
        <v>1376</v>
      </c>
    </row>
    <row r="495" customFormat="false" ht="15" hidden="false" customHeight="false" outlineLevel="0" collapsed="false">
      <c r="A495" s="2" t="n">
        <v>61</v>
      </c>
      <c r="B495" s="2" t="s">
        <v>799</v>
      </c>
      <c r="C495" s="2" t="s">
        <v>802</v>
      </c>
      <c r="D495" s="2" t="s">
        <v>3142</v>
      </c>
      <c r="E495" s="2" t="s">
        <v>1370</v>
      </c>
      <c r="F495" s="2" t="s">
        <v>3138</v>
      </c>
      <c r="G495" s="2" t="s">
        <v>947</v>
      </c>
      <c r="H495" s="2" t="s">
        <v>3143</v>
      </c>
      <c r="I495" s="2" t="s">
        <v>1374</v>
      </c>
      <c r="J495" s="2" t="s">
        <v>3144</v>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8</v>
      </c>
      <c r="Z495" s="2" t="n">
        <v>10</v>
      </c>
      <c r="AA495" s="2" t="n">
        <v>3</v>
      </c>
      <c r="AB495" s="2" t="n">
        <v>9</v>
      </c>
      <c r="AC495" s="2" t="s">
        <v>1376</v>
      </c>
    </row>
    <row r="496" customFormat="false" ht="15" hidden="false" customHeight="false" outlineLevel="0" collapsed="false">
      <c r="A496" s="2" t="n">
        <v>61</v>
      </c>
      <c r="B496" s="2" t="s">
        <v>799</v>
      </c>
      <c r="C496" s="2" t="s">
        <v>802</v>
      </c>
      <c r="D496" s="2" t="s">
        <v>3145</v>
      </c>
      <c r="E496" s="2" t="s">
        <v>1370</v>
      </c>
      <c r="F496" s="2" t="s">
        <v>2721</v>
      </c>
      <c r="G496" s="2" t="s">
        <v>276</v>
      </c>
      <c r="H496" s="2" t="s">
        <v>3146</v>
      </c>
      <c r="I496" s="2" t="s">
        <v>1374</v>
      </c>
      <c r="J496" s="2" t="s">
        <v>3147</v>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0</v>
      </c>
      <c r="AB496" s="2" t="n">
        <v>1</v>
      </c>
      <c r="AC496" s="2" t="s">
        <v>1376</v>
      </c>
    </row>
    <row r="497" customFormat="false" ht="15" hidden="false" customHeight="false" outlineLevel="0" collapsed="false">
      <c r="A497" s="2" t="n">
        <v>61</v>
      </c>
      <c r="B497" s="2" t="s">
        <v>799</v>
      </c>
      <c r="C497" s="2" t="s">
        <v>802</v>
      </c>
      <c r="D497" s="2" t="s">
        <v>3148</v>
      </c>
      <c r="E497" s="2" t="s">
        <v>1395</v>
      </c>
      <c r="F497" s="2" t="s">
        <v>1396</v>
      </c>
      <c r="G497" s="2" t="s">
        <v>3149</v>
      </c>
      <c r="H497" s="2" t="s">
        <v>3150</v>
      </c>
      <c r="I497" s="2" t="s">
        <v>1374</v>
      </c>
      <c r="J497" s="2" t="s">
        <v>3151</v>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168</v>
      </c>
      <c r="Z497" s="2" t="n">
        <v>2</v>
      </c>
      <c r="AA497" s="2" t="n">
        <v>0</v>
      </c>
      <c r="AB497" s="2" t="n">
        <v>49</v>
      </c>
      <c r="AC497" s="2"/>
    </row>
    <row r="498" customFormat="false" ht="15" hidden="false" customHeight="false" outlineLevel="0" collapsed="false">
      <c r="A498" s="2" t="n">
        <v>64</v>
      </c>
      <c r="B498" s="2" t="s">
        <v>832</v>
      </c>
      <c r="C498" s="2" t="s">
        <v>837</v>
      </c>
      <c r="D498" s="2" t="s">
        <v>3152</v>
      </c>
      <c r="E498" s="2" t="s">
        <v>1395</v>
      </c>
      <c r="F498" s="2" t="s">
        <v>1396</v>
      </c>
      <c r="G498" s="2" t="s">
        <v>3153</v>
      </c>
      <c r="H498" s="2" t="s">
        <v>3154</v>
      </c>
      <c r="I498" s="2" t="s">
        <v>1374</v>
      </c>
      <c r="J498" s="2" t="s">
        <v>3155</v>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0</v>
      </c>
      <c r="Z498" s="2" t="n">
        <v>1</v>
      </c>
      <c r="AA498" s="2" t="n">
        <v>42</v>
      </c>
      <c r="AB498" s="2" t="n">
        <v>40</v>
      </c>
      <c r="AC498" s="2"/>
    </row>
    <row r="499" customFormat="false" ht="15" hidden="false" customHeight="false" outlineLevel="0" collapsed="false">
      <c r="A499" s="2" t="n">
        <v>64</v>
      </c>
      <c r="B499" s="2" t="s">
        <v>832</v>
      </c>
      <c r="C499" s="2" t="s">
        <v>837</v>
      </c>
      <c r="D499" s="2" t="s">
        <v>3156</v>
      </c>
      <c r="E499" s="2" t="s">
        <v>1395</v>
      </c>
      <c r="F499" s="2" t="s">
        <v>1396</v>
      </c>
      <c r="G499" s="2" t="s">
        <v>3157</v>
      </c>
      <c r="H499" s="2" t="s">
        <v>3158</v>
      </c>
      <c r="I499" s="2" t="s">
        <v>1374</v>
      </c>
      <c r="J499" s="2" t="s">
        <v>3159</v>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8</v>
      </c>
      <c r="Z499" s="2" t="n">
        <v>0</v>
      </c>
      <c r="AA499" s="2" t="n">
        <v>28</v>
      </c>
      <c r="AB499" s="2" t="n">
        <v>40</v>
      </c>
      <c r="AC499" s="2"/>
    </row>
    <row r="500" customFormat="false" ht="15" hidden="false" customHeight="false" outlineLevel="0" collapsed="false">
      <c r="A500" s="2" t="n">
        <v>65</v>
      </c>
      <c r="B500" s="2" t="s">
        <v>843</v>
      </c>
      <c r="C500" s="2" t="s">
        <v>847</v>
      </c>
      <c r="D500" s="2" t="s">
        <v>3160</v>
      </c>
      <c r="E500" s="2" t="s">
        <v>1395</v>
      </c>
      <c r="F500" s="2" t="s">
        <v>1396</v>
      </c>
      <c r="G500" s="2" t="s">
        <v>835</v>
      </c>
      <c r="H500" s="2" t="s">
        <v>3161</v>
      </c>
      <c r="I500" s="2" t="s">
        <v>1374</v>
      </c>
      <c r="J500" s="2" t="s">
        <v>3162</v>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row>
    <row r="501" customFormat="false" ht="15" hidden="false" customHeight="false" outlineLevel="0" collapsed="false">
      <c r="A501" s="2" t="n">
        <v>65</v>
      </c>
      <c r="B501" s="2" t="s">
        <v>843</v>
      </c>
      <c r="C501" s="2" t="s">
        <v>847</v>
      </c>
      <c r="D501" s="2" t="s">
        <v>3163</v>
      </c>
      <c r="E501" s="2" t="s">
        <v>1370</v>
      </c>
      <c r="F501" s="2" t="s">
        <v>1410</v>
      </c>
      <c r="G501" s="2" t="s">
        <v>3164</v>
      </c>
      <c r="H501" s="2" t="s">
        <v>3165</v>
      </c>
      <c r="I501" s="2" t="s">
        <v>1374</v>
      </c>
      <c r="J501" s="2" t="s">
        <v>3166</v>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0</v>
      </c>
      <c r="AA501" s="2" t="n">
        <v>1</v>
      </c>
      <c r="AB501" s="2" t="n">
        <v>1</v>
      </c>
      <c r="AC501" s="2" t="s">
        <v>1376</v>
      </c>
    </row>
    <row r="502" customFormat="false" ht="15" hidden="false" customHeight="false" outlineLevel="0" collapsed="false">
      <c r="A502" s="2" t="n">
        <v>66</v>
      </c>
      <c r="B502" s="2" t="s">
        <v>854</v>
      </c>
      <c r="C502" s="2" t="s">
        <v>859</v>
      </c>
      <c r="D502" s="2" t="s">
        <v>3167</v>
      </c>
      <c r="E502" s="2" t="s">
        <v>1395</v>
      </c>
      <c r="F502" s="2" t="s">
        <v>1396</v>
      </c>
      <c r="G502" s="2" t="s">
        <v>2489</v>
      </c>
      <c r="H502" s="2" t="s">
        <v>3168</v>
      </c>
      <c r="I502" s="2" t="s">
        <v>1374</v>
      </c>
      <c r="J502" s="2" t="s">
        <v>3169</v>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52</v>
      </c>
      <c r="Z502" s="2" t="n">
        <v>4</v>
      </c>
      <c r="AA502" s="2" t="n">
        <v>45</v>
      </c>
      <c r="AB502" s="2" t="n">
        <v>90</v>
      </c>
      <c r="AC502" s="2"/>
    </row>
    <row r="503" customFormat="false" ht="15" hidden="false" customHeight="false" outlineLevel="0" collapsed="false">
      <c r="A503" s="2" t="n">
        <v>66</v>
      </c>
      <c r="B503" s="2" t="s">
        <v>854</v>
      </c>
      <c r="C503" s="2" t="s">
        <v>859</v>
      </c>
      <c r="D503" s="2" t="s">
        <v>3170</v>
      </c>
      <c r="E503" s="2" t="s">
        <v>1395</v>
      </c>
      <c r="F503" s="2" t="s">
        <v>1396</v>
      </c>
      <c r="G503" s="2" t="s">
        <v>3171</v>
      </c>
      <c r="H503" s="2" t="s">
        <v>3172</v>
      </c>
      <c r="I503" s="2" t="s">
        <v>1374</v>
      </c>
      <c r="J503" s="2" t="s">
        <v>3173</v>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row>
    <row r="504" customFormat="false" ht="15" hidden="false" customHeight="false" outlineLevel="0" collapsed="false">
      <c r="A504" s="2" t="n">
        <v>66</v>
      </c>
      <c r="B504" s="2" t="s">
        <v>854</v>
      </c>
      <c r="C504" s="2" t="s">
        <v>859</v>
      </c>
      <c r="D504" s="2" t="s">
        <v>3174</v>
      </c>
      <c r="E504" s="2" t="s">
        <v>1370</v>
      </c>
      <c r="F504" s="2" t="s">
        <v>1410</v>
      </c>
      <c r="G504" s="2" t="s">
        <v>3175</v>
      </c>
      <c r="H504" s="2" t="s">
        <v>3176</v>
      </c>
      <c r="I504" s="2" t="s">
        <v>1374</v>
      </c>
      <c r="J504" s="2" t="s">
        <v>3177</v>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5</v>
      </c>
      <c r="Z504" s="2" t="n">
        <v>3</v>
      </c>
      <c r="AA504" s="2" t="n">
        <v>9</v>
      </c>
      <c r="AB504" s="2" t="n">
        <v>11</v>
      </c>
      <c r="AC504" s="2" t="s">
        <v>1376</v>
      </c>
    </row>
    <row r="505" customFormat="false" ht="15" hidden="false" customHeight="false" outlineLevel="0" collapsed="false">
      <c r="A505" s="2" t="n">
        <v>67</v>
      </c>
      <c r="B505" s="2" t="s">
        <v>865</v>
      </c>
      <c r="C505" s="2" t="s">
        <v>871</v>
      </c>
      <c r="D505" s="2" t="s">
        <v>3178</v>
      </c>
      <c r="E505" s="2" t="s">
        <v>1395</v>
      </c>
      <c r="F505" s="2" t="s">
        <v>1396</v>
      </c>
      <c r="G505" s="2" t="s">
        <v>980</v>
      </c>
      <c r="H505" s="2" t="s">
        <v>3179</v>
      </c>
      <c r="I505" s="2" t="s">
        <v>1374</v>
      </c>
      <c r="J505" s="2" t="s">
        <v>3180</v>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row>
    <row r="506" customFormat="false" ht="15" hidden="false" customHeight="false" outlineLevel="0" collapsed="false">
      <c r="A506" s="2" t="n">
        <v>67</v>
      </c>
      <c r="B506" s="2" t="s">
        <v>865</v>
      </c>
      <c r="C506" s="2" t="s">
        <v>871</v>
      </c>
      <c r="D506" s="2" t="s">
        <v>3181</v>
      </c>
      <c r="E506" s="2" t="s">
        <v>1395</v>
      </c>
      <c r="F506" s="2" t="s">
        <v>1396</v>
      </c>
      <c r="G506" s="2" t="s">
        <v>1562</v>
      </c>
      <c r="H506" s="2" t="s">
        <v>3182</v>
      </c>
      <c r="I506" s="2" t="s">
        <v>1374</v>
      </c>
      <c r="J506" s="2" t="s">
        <v>3183</v>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row>
    <row r="507" customFormat="false" ht="15" hidden="false" customHeight="false" outlineLevel="0" collapsed="false">
      <c r="A507" s="2" t="n">
        <v>67</v>
      </c>
      <c r="B507" s="2" t="s">
        <v>865</v>
      </c>
      <c r="C507" s="2" t="s">
        <v>871</v>
      </c>
      <c r="D507" s="2" t="s">
        <v>3184</v>
      </c>
      <c r="E507" s="2" t="s">
        <v>1395</v>
      </c>
      <c r="F507" s="2" t="s">
        <v>1396</v>
      </c>
      <c r="G507" s="2" t="s">
        <v>3185</v>
      </c>
      <c r="H507" s="2" t="s">
        <v>3186</v>
      </c>
      <c r="I507" s="2" t="s">
        <v>1374</v>
      </c>
      <c r="J507" s="2" t="s">
        <v>3187</v>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row>
    <row r="508" customFormat="false" ht="15" hidden="false" customHeight="false" outlineLevel="0" collapsed="false">
      <c r="A508" s="2" t="n">
        <v>67</v>
      </c>
      <c r="B508" s="2" t="s">
        <v>865</v>
      </c>
      <c r="C508" s="2" t="s">
        <v>871</v>
      </c>
      <c r="D508" s="2" t="s">
        <v>3188</v>
      </c>
      <c r="E508" s="2" t="s">
        <v>1401</v>
      </c>
      <c r="F508" s="2" t="s">
        <v>1402</v>
      </c>
      <c r="G508" s="2" t="s">
        <v>3189</v>
      </c>
      <c r="H508" s="2" t="s">
        <v>3190</v>
      </c>
      <c r="I508" s="2" t="s">
        <v>1374</v>
      </c>
      <c r="J508" s="2" t="s">
        <v>3191</v>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0</v>
      </c>
      <c r="Z508" s="2" t="n">
        <v>27</v>
      </c>
      <c r="AA508" s="2" t="n">
        <v>7</v>
      </c>
      <c r="AB508" s="2" t="n">
        <v>22</v>
      </c>
      <c r="AC508" s="2"/>
    </row>
    <row r="509" customFormat="false" ht="15" hidden="false" customHeight="false" outlineLevel="0" collapsed="false">
      <c r="A509" s="2" t="n">
        <v>67</v>
      </c>
      <c r="B509" s="2" t="s">
        <v>865</v>
      </c>
      <c r="C509" s="2" t="s">
        <v>871</v>
      </c>
      <c r="D509" s="2" t="s">
        <v>3192</v>
      </c>
      <c r="E509" s="2" t="s">
        <v>1395</v>
      </c>
      <c r="F509" s="2" t="s">
        <v>1396</v>
      </c>
      <c r="G509" s="2" t="s">
        <v>850</v>
      </c>
      <c r="H509" s="2" t="s">
        <v>3193</v>
      </c>
      <c r="I509" s="2" t="s">
        <v>1374</v>
      </c>
      <c r="J509" s="2" t="s">
        <v>3194</v>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41</v>
      </c>
      <c r="Z509" s="2" t="n">
        <v>10</v>
      </c>
      <c r="AA509" s="2" t="n">
        <v>8</v>
      </c>
      <c r="AB509" s="2" t="n">
        <v>11</v>
      </c>
      <c r="AC509" s="2"/>
    </row>
    <row r="510" customFormat="false" ht="15" hidden="false" customHeight="false" outlineLevel="0" collapsed="false">
      <c r="A510" s="2" t="n">
        <v>67</v>
      </c>
      <c r="B510" s="2" t="s">
        <v>865</v>
      </c>
      <c r="C510" s="2" t="s">
        <v>871</v>
      </c>
      <c r="D510" s="2" t="s">
        <v>3195</v>
      </c>
      <c r="E510" s="2" t="s">
        <v>1395</v>
      </c>
      <c r="F510" s="2" t="s">
        <v>1396</v>
      </c>
      <c r="G510" s="2" t="s">
        <v>3004</v>
      </c>
      <c r="H510" s="2" t="s">
        <v>3196</v>
      </c>
      <c r="I510" s="2" t="s">
        <v>1374</v>
      </c>
      <c r="J510" s="2" t="s">
        <v>3197</v>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row>
    <row r="511" customFormat="false" ht="15" hidden="false" customHeight="false" outlineLevel="0" collapsed="false">
      <c r="A511" s="2" t="n">
        <v>67</v>
      </c>
      <c r="B511" s="2" t="s">
        <v>865</v>
      </c>
      <c r="C511" s="2" t="s">
        <v>871</v>
      </c>
      <c r="D511" s="2" t="s">
        <v>3198</v>
      </c>
      <c r="E511" s="2" t="s">
        <v>1370</v>
      </c>
      <c r="F511" s="2" t="s">
        <v>1410</v>
      </c>
      <c r="G511" s="2" t="s">
        <v>3199</v>
      </c>
      <c r="H511" s="2" t="s">
        <v>3200</v>
      </c>
      <c r="I511" s="2" t="s">
        <v>1374</v>
      </c>
      <c r="J511" s="2" t="s">
        <v>3201</v>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38</v>
      </c>
      <c r="Z511" s="2" t="n">
        <v>1</v>
      </c>
      <c r="AA511" s="2" t="n">
        <v>2</v>
      </c>
      <c r="AB511" s="2" t="n">
        <v>106</v>
      </c>
      <c r="AC511" s="2" t="s">
        <v>1376</v>
      </c>
    </row>
    <row r="512" customFormat="false" ht="15" hidden="false" customHeight="false" outlineLevel="0" collapsed="false">
      <c r="A512" s="2" t="n">
        <v>67</v>
      </c>
      <c r="B512" s="2" t="s">
        <v>865</v>
      </c>
      <c r="C512" s="2" t="s">
        <v>871</v>
      </c>
      <c r="D512" s="2" t="s">
        <v>3202</v>
      </c>
      <c r="E512" s="2" t="s">
        <v>1370</v>
      </c>
      <c r="F512" s="2" t="s">
        <v>1410</v>
      </c>
      <c r="G512" s="2" t="s">
        <v>3199</v>
      </c>
      <c r="H512" s="2" t="s">
        <v>3203</v>
      </c>
      <c r="I512" s="2" t="s">
        <v>1374</v>
      </c>
      <c r="J512" s="2" t="s">
        <v>3204</v>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27</v>
      </c>
      <c r="Z512" s="2" t="n">
        <v>2</v>
      </c>
      <c r="AA512" s="2" t="n">
        <v>1</v>
      </c>
      <c r="AB512" s="2" t="n">
        <v>4</v>
      </c>
      <c r="AC512" s="2" t="s">
        <v>1376</v>
      </c>
    </row>
    <row r="513" customFormat="false" ht="15" hidden="false" customHeight="false" outlineLevel="0" collapsed="false">
      <c r="A513" s="2" t="n">
        <v>69</v>
      </c>
      <c r="B513" s="2" t="s">
        <v>889</v>
      </c>
      <c r="C513" s="2" t="s">
        <v>895</v>
      </c>
      <c r="D513" s="2" t="s">
        <v>3205</v>
      </c>
      <c r="E513" s="2" t="s">
        <v>1370</v>
      </c>
      <c r="F513" s="2" t="s">
        <v>3138</v>
      </c>
      <c r="G513" s="2" t="s">
        <v>3206</v>
      </c>
      <c r="H513" s="2" t="s">
        <v>3207</v>
      </c>
      <c r="I513" s="2" t="s">
        <v>1374</v>
      </c>
      <c r="J513" s="2" t="s">
        <v>3208</v>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68</v>
      </c>
      <c r="Z513" s="2" t="n">
        <v>4</v>
      </c>
      <c r="AA513" s="2" t="n">
        <v>9</v>
      </c>
      <c r="AB513" s="2" t="n">
        <v>98</v>
      </c>
      <c r="AC513" s="2" t="s">
        <v>1376</v>
      </c>
    </row>
    <row r="514" customFormat="false" ht="15" hidden="false" customHeight="false" outlineLevel="0" collapsed="false">
      <c r="A514" s="2" t="n">
        <v>70</v>
      </c>
      <c r="B514" s="2" t="s">
        <v>901</v>
      </c>
      <c r="C514" s="2" t="s">
        <v>906</v>
      </c>
      <c r="D514" s="2" t="s">
        <v>3209</v>
      </c>
      <c r="E514" s="2" t="s">
        <v>1395</v>
      </c>
      <c r="F514" s="2" t="s">
        <v>1419</v>
      </c>
      <c r="G514" s="2" t="s">
        <v>3210</v>
      </c>
      <c r="H514" s="2" t="s">
        <v>3211</v>
      </c>
      <c r="I514" s="2" t="s">
        <v>1374</v>
      </c>
      <c r="J514" s="2" t="s">
        <v>3212</v>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1</v>
      </c>
      <c r="AB514" s="2" t="n">
        <v>3</v>
      </c>
      <c r="AC514" s="2"/>
    </row>
    <row r="515" customFormat="false" ht="15" hidden="false" customHeight="false" outlineLevel="0" collapsed="false">
      <c r="A515" s="2" t="n">
        <v>70</v>
      </c>
      <c r="B515" s="2" t="s">
        <v>901</v>
      </c>
      <c r="C515" s="2" t="s">
        <v>906</v>
      </c>
      <c r="D515" s="2" t="s">
        <v>3213</v>
      </c>
      <c r="E515" s="2" t="s">
        <v>1370</v>
      </c>
      <c r="F515" s="2" t="s">
        <v>1410</v>
      </c>
      <c r="G515" s="2" t="s">
        <v>3210</v>
      </c>
      <c r="H515" s="2" t="s">
        <v>3214</v>
      </c>
      <c r="I515" s="2" t="s">
        <v>1374</v>
      </c>
      <c r="J515" s="2" t="s">
        <v>3215</v>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11</v>
      </c>
      <c r="AA515" s="2" t="n">
        <v>1</v>
      </c>
      <c r="AB515" s="2" t="n">
        <v>1</v>
      </c>
      <c r="AC515" s="2" t="s">
        <v>1376</v>
      </c>
    </row>
    <row r="516" customFormat="false" ht="15" hidden="false" customHeight="false" outlineLevel="0" collapsed="false">
      <c r="A516" s="2" t="n">
        <v>70</v>
      </c>
      <c r="B516" s="2" t="s">
        <v>901</v>
      </c>
      <c r="C516" s="2" t="s">
        <v>906</v>
      </c>
      <c r="D516" s="2" t="s">
        <v>3216</v>
      </c>
      <c r="E516" s="2" t="s">
        <v>1395</v>
      </c>
      <c r="F516" s="2" t="s">
        <v>1419</v>
      </c>
      <c r="G516" s="2" t="s">
        <v>3217</v>
      </c>
      <c r="H516" s="2" t="s">
        <v>3218</v>
      </c>
      <c r="I516" s="2" t="s">
        <v>1374</v>
      </c>
      <c r="J516" s="2" t="s">
        <v>3219</v>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0</v>
      </c>
      <c r="Z516" s="2" t="n">
        <v>0</v>
      </c>
      <c r="AA516" s="2" t="n">
        <v>0</v>
      </c>
      <c r="AB516" s="2" t="n">
        <v>9</v>
      </c>
      <c r="AC516" s="2"/>
    </row>
    <row r="517" customFormat="false" ht="15" hidden="false" customHeight="false" outlineLevel="0" collapsed="false">
      <c r="A517" s="2" t="n">
        <v>70</v>
      </c>
      <c r="B517" s="2" t="s">
        <v>901</v>
      </c>
      <c r="C517" s="2" t="s">
        <v>906</v>
      </c>
      <c r="D517" s="2" t="s">
        <v>3220</v>
      </c>
      <c r="E517" s="2" t="s">
        <v>1395</v>
      </c>
      <c r="F517" s="2" t="s">
        <v>1419</v>
      </c>
      <c r="G517" s="2" t="s">
        <v>3217</v>
      </c>
      <c r="H517" s="2" t="s">
        <v>3221</v>
      </c>
      <c r="I517" s="2" t="s">
        <v>1374</v>
      </c>
      <c r="J517" s="2" t="s">
        <v>3222</v>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0</v>
      </c>
      <c r="Z517" s="2" t="n">
        <v>0</v>
      </c>
      <c r="AA517" s="2" t="n">
        <v>0</v>
      </c>
      <c r="AB517" s="2" t="n">
        <v>7</v>
      </c>
      <c r="AC517" s="2"/>
    </row>
    <row r="518" customFormat="false" ht="15" hidden="false" customHeight="false" outlineLevel="0" collapsed="false">
      <c r="A518" s="2" t="n">
        <v>70</v>
      </c>
      <c r="B518" s="2" t="s">
        <v>901</v>
      </c>
      <c r="C518" s="2" t="s">
        <v>906</v>
      </c>
      <c r="D518" s="2" t="s">
        <v>3223</v>
      </c>
      <c r="E518" s="2" t="s">
        <v>1395</v>
      </c>
      <c r="F518" s="2" t="s">
        <v>1419</v>
      </c>
      <c r="G518" s="2" t="s">
        <v>3224</v>
      </c>
      <c r="H518" s="2" t="s">
        <v>3225</v>
      </c>
      <c r="I518" s="2" t="s">
        <v>1374</v>
      </c>
      <c r="J518" s="2" t="s">
        <v>3226</v>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0</v>
      </c>
      <c r="Z518" s="2" t="n">
        <v>0</v>
      </c>
      <c r="AA518" s="2" t="n">
        <v>0</v>
      </c>
      <c r="AB518" s="2" t="n">
        <v>11</v>
      </c>
      <c r="AC518" s="2"/>
    </row>
    <row r="519" customFormat="false" ht="15" hidden="false" customHeight="false" outlineLevel="0" collapsed="false">
      <c r="A519" s="2" t="n">
        <v>70</v>
      </c>
      <c r="B519" s="2" t="s">
        <v>901</v>
      </c>
      <c r="C519" s="2" t="s">
        <v>906</v>
      </c>
      <c r="D519" s="2" t="s">
        <v>3227</v>
      </c>
      <c r="E519" s="2" t="s">
        <v>1395</v>
      </c>
      <c r="F519" s="2" t="s">
        <v>1419</v>
      </c>
      <c r="G519" s="2" t="s">
        <v>3228</v>
      </c>
      <c r="H519" s="2" t="s">
        <v>3229</v>
      </c>
      <c r="I519" s="2" t="s">
        <v>1374</v>
      </c>
      <c r="J519" s="2" t="s">
        <v>3230</v>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0</v>
      </c>
      <c r="Z519" s="2" t="n">
        <v>0</v>
      </c>
      <c r="AA519" s="2" t="n">
        <v>0</v>
      </c>
      <c r="AB519" s="2" t="n">
        <v>8</v>
      </c>
      <c r="AC519" s="2"/>
    </row>
    <row r="520" customFormat="false" ht="15" hidden="false" customHeight="false" outlineLevel="0" collapsed="false">
      <c r="A520" s="2" t="n">
        <v>70</v>
      </c>
      <c r="B520" s="2" t="s">
        <v>901</v>
      </c>
      <c r="C520" s="2" t="s">
        <v>906</v>
      </c>
      <c r="D520" s="2" t="s">
        <v>3231</v>
      </c>
      <c r="E520" s="2" t="s">
        <v>1395</v>
      </c>
      <c r="F520" s="2" t="s">
        <v>1419</v>
      </c>
      <c r="G520" s="2" t="s">
        <v>1585</v>
      </c>
      <c r="H520" s="2" t="s">
        <v>3232</v>
      </c>
      <c r="I520" s="2" t="s">
        <v>1374</v>
      </c>
      <c r="J520" s="2" t="s">
        <v>3233</v>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1</v>
      </c>
      <c r="Z520" s="2" t="n">
        <v>0</v>
      </c>
      <c r="AA520" s="2" t="n">
        <v>0</v>
      </c>
      <c r="AB520" s="2" t="n">
        <v>10</v>
      </c>
      <c r="AC520" s="2"/>
    </row>
    <row r="521" customFormat="false" ht="15" hidden="false" customHeight="false" outlineLevel="0" collapsed="false">
      <c r="A521" s="2" t="n">
        <v>70</v>
      </c>
      <c r="B521" s="2" t="s">
        <v>901</v>
      </c>
      <c r="C521" s="2" t="s">
        <v>906</v>
      </c>
      <c r="D521" s="2" t="s">
        <v>3234</v>
      </c>
      <c r="E521" s="2" t="s">
        <v>1395</v>
      </c>
      <c r="F521" s="2" t="s">
        <v>1419</v>
      </c>
      <c r="G521" s="2" t="s">
        <v>3235</v>
      </c>
      <c r="H521" s="2" t="s">
        <v>3236</v>
      </c>
      <c r="I521" s="2" t="s">
        <v>1374</v>
      </c>
      <c r="J521" s="2" t="s">
        <v>3237</v>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0</v>
      </c>
      <c r="Z521" s="2" t="n">
        <v>0</v>
      </c>
      <c r="AA521" s="2" t="n">
        <v>0</v>
      </c>
      <c r="AB521" s="2" t="n">
        <v>9</v>
      </c>
      <c r="AC521" s="2"/>
    </row>
    <row r="522" customFormat="false" ht="15" hidden="false" customHeight="false" outlineLevel="0" collapsed="false">
      <c r="A522" s="2" t="n">
        <v>70</v>
      </c>
      <c r="B522" s="2" t="s">
        <v>901</v>
      </c>
      <c r="C522" s="2" t="s">
        <v>906</v>
      </c>
      <c r="D522" s="2" t="s">
        <v>3238</v>
      </c>
      <c r="E522" s="2" t="s">
        <v>1395</v>
      </c>
      <c r="F522" s="2" t="s">
        <v>1419</v>
      </c>
      <c r="G522" s="2" t="s">
        <v>3239</v>
      </c>
      <c r="H522" s="2" t="s">
        <v>3240</v>
      </c>
      <c r="I522" s="2" t="s">
        <v>1374</v>
      </c>
      <c r="J522" s="2" t="s">
        <v>3241</v>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0</v>
      </c>
      <c r="Z522" s="2" t="n">
        <v>0</v>
      </c>
      <c r="AA522" s="2" t="n">
        <v>0</v>
      </c>
      <c r="AB522" s="2" t="n">
        <v>9</v>
      </c>
      <c r="AC522" s="2"/>
    </row>
    <row r="523" customFormat="false" ht="15" hidden="false" customHeight="false" outlineLevel="0" collapsed="false">
      <c r="A523" s="2" t="n">
        <v>71</v>
      </c>
      <c r="B523" s="2" t="s">
        <v>911</v>
      </c>
      <c r="C523" s="2" t="s">
        <v>916</v>
      </c>
      <c r="D523" s="2" t="s">
        <v>3242</v>
      </c>
      <c r="E523" s="2" t="s">
        <v>1395</v>
      </c>
      <c r="F523" s="2" t="s">
        <v>1396</v>
      </c>
      <c r="G523" s="2" t="s">
        <v>3243</v>
      </c>
      <c r="H523" s="2" t="s">
        <v>3244</v>
      </c>
      <c r="I523" s="2" t="s">
        <v>1374</v>
      </c>
      <c r="J523" s="2" t="s">
        <v>3245</v>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10</v>
      </c>
      <c r="Z523" s="2" t="n">
        <v>0</v>
      </c>
      <c r="AA523" s="2" t="n">
        <v>0</v>
      </c>
      <c r="AB523" s="2" t="n">
        <v>38</v>
      </c>
      <c r="AC523" s="2"/>
    </row>
    <row r="524" customFormat="false" ht="15" hidden="false" customHeight="false" outlineLevel="0" collapsed="false">
      <c r="A524" s="2" t="n">
        <v>71</v>
      </c>
      <c r="B524" s="2" t="s">
        <v>911</v>
      </c>
      <c r="C524" s="2" t="s">
        <v>916</v>
      </c>
      <c r="D524" s="2" t="s">
        <v>3246</v>
      </c>
      <c r="E524" s="2" t="s">
        <v>1370</v>
      </c>
      <c r="F524" s="2" t="s">
        <v>1410</v>
      </c>
      <c r="G524" s="2" t="s">
        <v>3134</v>
      </c>
      <c r="H524" s="2" t="s">
        <v>3247</v>
      </c>
      <c r="I524" s="2" t="s">
        <v>1374</v>
      </c>
      <c r="J524" s="2" t="s">
        <v>3248</v>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60</v>
      </c>
      <c r="Z524" s="2" t="n">
        <v>9</v>
      </c>
      <c r="AA524" s="2" t="n">
        <v>2</v>
      </c>
      <c r="AB524" s="2" t="n">
        <v>21</v>
      </c>
      <c r="AC524" s="2" t="s">
        <v>1376</v>
      </c>
    </row>
    <row r="525" customFormat="false" ht="15" hidden="false" customHeight="false" outlineLevel="0" collapsed="false">
      <c r="A525" s="2" t="n">
        <v>71</v>
      </c>
      <c r="B525" s="2" t="s">
        <v>911</v>
      </c>
      <c r="C525" s="2" t="s">
        <v>916</v>
      </c>
      <c r="D525" s="2" t="s">
        <v>3249</v>
      </c>
      <c r="E525" s="2" t="s">
        <v>1395</v>
      </c>
      <c r="F525" s="2" t="s">
        <v>1396</v>
      </c>
      <c r="G525" s="2" t="s">
        <v>3250</v>
      </c>
      <c r="H525" s="2" t="s">
        <v>3251</v>
      </c>
      <c r="I525" s="2" t="s">
        <v>1374</v>
      </c>
      <c r="J525" s="2" t="s">
        <v>3252</v>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6</v>
      </c>
      <c r="Z525" s="2" t="n">
        <v>0</v>
      </c>
      <c r="AA525" s="2" t="n">
        <v>0</v>
      </c>
      <c r="AB525" s="2" t="n">
        <v>16</v>
      </c>
      <c r="AC525" s="2"/>
    </row>
    <row r="526" customFormat="false" ht="15" hidden="false" customHeight="false" outlineLevel="0" collapsed="false">
      <c r="A526" s="2" t="n">
        <v>72</v>
      </c>
      <c r="B526" s="2" t="s">
        <v>922</v>
      </c>
      <c r="C526" s="2" t="s">
        <v>927</v>
      </c>
      <c r="D526" s="2" t="s">
        <v>3253</v>
      </c>
      <c r="E526" s="2" t="s">
        <v>1395</v>
      </c>
      <c r="F526" s="2" t="s">
        <v>1396</v>
      </c>
      <c r="G526" s="2" t="s">
        <v>1403</v>
      </c>
      <c r="H526" s="2" t="s">
        <v>3254</v>
      </c>
      <c r="I526" s="2" t="s">
        <v>1374</v>
      </c>
      <c r="J526" s="2" t="s">
        <v>3255</v>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38</v>
      </c>
      <c r="Z526" s="2" t="n">
        <v>17</v>
      </c>
      <c r="AA526" s="2" t="n">
        <v>6</v>
      </c>
      <c r="AB526" s="2" t="n">
        <v>138</v>
      </c>
      <c r="AC526" s="2"/>
    </row>
    <row r="527" customFormat="false" ht="15" hidden="false" customHeight="false" outlineLevel="0" collapsed="false">
      <c r="A527" s="2" t="n">
        <v>72</v>
      </c>
      <c r="B527" s="2" t="s">
        <v>922</v>
      </c>
      <c r="C527" s="2" t="s">
        <v>927</v>
      </c>
      <c r="D527" s="2" t="s">
        <v>3256</v>
      </c>
      <c r="E527" s="2" t="s">
        <v>1395</v>
      </c>
      <c r="F527" s="2" t="s">
        <v>1396</v>
      </c>
      <c r="G527" s="2" t="s">
        <v>1403</v>
      </c>
      <c r="H527" s="2" t="s">
        <v>3257</v>
      </c>
      <c r="I527" s="2" t="s">
        <v>1374</v>
      </c>
      <c r="J527" s="2" t="s">
        <v>3258</v>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1</v>
      </c>
      <c r="Z527" s="2" t="n">
        <v>0</v>
      </c>
      <c r="AA527" s="2" t="n">
        <v>3</v>
      </c>
      <c r="AB527" s="2" t="n">
        <v>11</v>
      </c>
      <c r="AC527" s="2"/>
    </row>
    <row r="528" customFormat="false" ht="15" hidden="false" customHeight="false" outlineLevel="0" collapsed="false">
      <c r="A528" s="2" t="n">
        <v>74</v>
      </c>
      <c r="B528" s="2" t="s">
        <v>944</v>
      </c>
      <c r="C528" s="2" t="s">
        <v>949</v>
      </c>
      <c r="D528" s="2" t="s">
        <v>3259</v>
      </c>
      <c r="E528" s="2" t="s">
        <v>1370</v>
      </c>
      <c r="F528" s="2" t="s">
        <v>1601</v>
      </c>
      <c r="G528" s="2" t="s">
        <v>3260</v>
      </c>
      <c r="H528" s="2" t="s">
        <v>3261</v>
      </c>
      <c r="I528" s="2" t="s">
        <v>1374</v>
      </c>
      <c r="J528" s="2" t="s">
        <v>3262</v>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9</v>
      </c>
      <c r="Z528" s="2" t="n">
        <v>0</v>
      </c>
      <c r="AA528" s="2" t="n">
        <v>6</v>
      </c>
      <c r="AB528" s="2" t="n">
        <v>17</v>
      </c>
      <c r="AC528" s="2" t="s">
        <v>1376</v>
      </c>
    </row>
    <row r="529" customFormat="false" ht="15" hidden="false" customHeight="false" outlineLevel="0" collapsed="false">
      <c r="A529" s="2" t="n">
        <v>75</v>
      </c>
      <c r="B529" s="2" t="s">
        <v>954</v>
      </c>
      <c r="C529" s="2" t="s">
        <v>960</v>
      </c>
      <c r="D529" s="2" t="s">
        <v>3263</v>
      </c>
      <c r="E529" s="2" t="s">
        <v>1395</v>
      </c>
      <c r="F529" s="2" t="s">
        <v>1419</v>
      </c>
      <c r="G529" s="2" t="s">
        <v>3264</v>
      </c>
      <c r="H529" s="2" t="s">
        <v>3265</v>
      </c>
      <c r="I529" s="2" t="s">
        <v>1374</v>
      </c>
      <c r="J529" s="2" t="s">
        <v>3266</v>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1</v>
      </c>
      <c r="Z529" s="2" t="n">
        <v>0</v>
      </c>
      <c r="AA529" s="2" t="n">
        <v>7</v>
      </c>
      <c r="AB529" s="2" t="n">
        <v>7</v>
      </c>
      <c r="AC529" s="2"/>
    </row>
    <row r="530" customFormat="false" ht="15" hidden="false" customHeight="false" outlineLevel="0" collapsed="false">
      <c r="A530" s="2" t="n">
        <v>75</v>
      </c>
      <c r="B530" s="2" t="s">
        <v>954</v>
      </c>
      <c r="C530" s="2" t="s">
        <v>960</v>
      </c>
      <c r="D530" s="2" t="s">
        <v>3267</v>
      </c>
      <c r="E530" s="2" t="s">
        <v>1395</v>
      </c>
      <c r="F530" s="2" t="s">
        <v>1419</v>
      </c>
      <c r="G530" s="2" t="s">
        <v>3268</v>
      </c>
      <c r="H530" s="2" t="s">
        <v>3269</v>
      </c>
      <c r="I530" s="2" t="s">
        <v>1374</v>
      </c>
      <c r="J530" s="2" t="s">
        <v>3270</v>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row>
    <row r="531" customFormat="false" ht="15" hidden="false" customHeight="false" outlineLevel="0" collapsed="false">
      <c r="A531" s="2" t="n">
        <v>76</v>
      </c>
      <c r="B531" s="2" t="s">
        <v>965</v>
      </c>
      <c r="C531" s="2" t="s">
        <v>970</v>
      </c>
      <c r="D531" s="2" t="s">
        <v>3271</v>
      </c>
      <c r="E531" s="2" t="s">
        <v>1370</v>
      </c>
      <c r="F531" s="2" t="s">
        <v>1410</v>
      </c>
      <c r="G531" s="2" t="s">
        <v>3272</v>
      </c>
      <c r="H531" s="2" t="s">
        <v>3273</v>
      </c>
      <c r="I531" s="2" t="s">
        <v>1374</v>
      </c>
      <c r="J531" s="2" t="s">
        <v>3274</v>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9</v>
      </c>
      <c r="Z531" s="2" t="n">
        <v>0</v>
      </c>
      <c r="AA531" s="2" t="n">
        <v>0</v>
      </c>
      <c r="AB531" s="2" t="n">
        <v>4</v>
      </c>
      <c r="AC531" s="2" t="s">
        <v>1376</v>
      </c>
    </row>
    <row r="532" customFormat="false" ht="15" hidden="false" customHeight="false" outlineLevel="0" collapsed="false">
      <c r="A532" s="2" t="n">
        <v>80</v>
      </c>
      <c r="B532" s="2" t="s">
        <v>1007</v>
      </c>
      <c r="C532" s="2" t="s">
        <v>1012</v>
      </c>
      <c r="D532" s="2" t="s">
        <v>3275</v>
      </c>
      <c r="E532" s="2" t="s">
        <v>1395</v>
      </c>
      <c r="F532" s="2" t="s">
        <v>1396</v>
      </c>
      <c r="G532" s="2" t="s">
        <v>1589</v>
      </c>
      <c r="H532" s="2" t="s">
        <v>3276</v>
      </c>
      <c r="I532" s="2" t="s">
        <v>1374</v>
      </c>
      <c r="J532" s="2" t="s">
        <v>3277</v>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12</v>
      </c>
      <c r="Z532" s="2" t="n">
        <v>2</v>
      </c>
      <c r="AA532" s="2" t="n">
        <v>2</v>
      </c>
      <c r="AB532" s="2" t="n">
        <v>11</v>
      </c>
      <c r="AC532" s="2"/>
    </row>
    <row r="533" customFormat="false" ht="15" hidden="false" customHeight="false" outlineLevel="0" collapsed="false">
      <c r="A533" s="2" t="n">
        <v>80</v>
      </c>
      <c r="B533" s="2" t="s">
        <v>1007</v>
      </c>
      <c r="C533" s="2" t="s">
        <v>1012</v>
      </c>
      <c r="D533" s="2" t="s">
        <v>3278</v>
      </c>
      <c r="E533" s="2" t="s">
        <v>1401</v>
      </c>
      <c r="F533" s="2" t="s">
        <v>1402</v>
      </c>
      <c r="G533" s="2" t="s">
        <v>1589</v>
      </c>
      <c r="H533" s="2" t="s">
        <v>3279</v>
      </c>
      <c r="I533" s="2" t="s">
        <v>1374</v>
      </c>
      <c r="J533" s="2" t="s">
        <v>3280</v>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2</v>
      </c>
      <c r="Z533" s="2" t="n">
        <v>0</v>
      </c>
      <c r="AA533" s="2" t="n">
        <v>2</v>
      </c>
      <c r="AB533" s="2" t="n">
        <v>1</v>
      </c>
      <c r="AC533" s="2"/>
    </row>
    <row r="534" customFormat="false" ht="15" hidden="false" customHeight="false" outlineLevel="0" collapsed="false">
      <c r="A534" s="2" t="n">
        <v>80</v>
      </c>
      <c r="B534" s="2" t="s">
        <v>1007</v>
      </c>
      <c r="C534" s="2" t="s">
        <v>1012</v>
      </c>
      <c r="D534" s="2" t="s">
        <v>3281</v>
      </c>
      <c r="E534" s="2" t="s">
        <v>1395</v>
      </c>
      <c r="F534" s="2" t="s">
        <v>1396</v>
      </c>
      <c r="G534" s="2" t="s">
        <v>3282</v>
      </c>
      <c r="H534" s="2" t="s">
        <v>3283</v>
      </c>
      <c r="I534" s="2" t="s">
        <v>1374</v>
      </c>
      <c r="J534" s="2" t="s">
        <v>3284</v>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32</v>
      </c>
      <c r="Z534" s="2" t="n">
        <v>11</v>
      </c>
      <c r="AA534" s="2" t="n">
        <v>29</v>
      </c>
      <c r="AB534" s="2" t="n">
        <v>41</v>
      </c>
      <c r="AC534" s="2"/>
    </row>
    <row r="535" customFormat="false" ht="15" hidden="false" customHeight="false" outlineLevel="0" collapsed="false">
      <c r="A535" s="2" t="n">
        <v>81</v>
      </c>
      <c r="B535" s="2" t="s">
        <v>1018</v>
      </c>
      <c r="C535" s="2" t="s">
        <v>1024</v>
      </c>
      <c r="D535" s="2" t="s">
        <v>3285</v>
      </c>
      <c r="E535" s="2" t="s">
        <v>1395</v>
      </c>
      <c r="F535" s="2" t="s">
        <v>1396</v>
      </c>
      <c r="G535" s="2" t="s">
        <v>2645</v>
      </c>
      <c r="H535" s="2" t="s">
        <v>3286</v>
      </c>
      <c r="I535" s="2" t="s">
        <v>1374</v>
      </c>
      <c r="J535" s="2" t="s">
        <v>3287</v>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11</v>
      </c>
      <c r="AB535" s="2" t="n">
        <v>6</v>
      </c>
      <c r="AC535" s="2"/>
    </row>
    <row r="536" customFormat="false" ht="15" hidden="false" customHeight="false" outlineLevel="0" collapsed="false">
      <c r="A536" s="2" t="n">
        <v>81</v>
      </c>
      <c r="B536" s="2" t="s">
        <v>1018</v>
      </c>
      <c r="C536" s="2" t="s">
        <v>1024</v>
      </c>
      <c r="D536" s="2" t="s">
        <v>3288</v>
      </c>
      <c r="E536" s="2" t="s">
        <v>1395</v>
      </c>
      <c r="F536" s="2" t="s">
        <v>1396</v>
      </c>
      <c r="G536" s="2" t="s">
        <v>3289</v>
      </c>
      <c r="H536" s="2" t="s">
        <v>3290</v>
      </c>
      <c r="I536" s="2" t="s">
        <v>1374</v>
      </c>
      <c r="J536" s="2" t="s">
        <v>3291</v>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24</v>
      </c>
      <c r="AA536" s="2" t="n">
        <v>36</v>
      </c>
      <c r="AB536" s="2" t="n">
        <v>22</v>
      </c>
      <c r="AC536" s="2"/>
    </row>
    <row r="537" customFormat="false" ht="15" hidden="false" customHeight="false" outlineLevel="0" collapsed="false">
      <c r="A537" s="2" t="n">
        <v>81</v>
      </c>
      <c r="B537" s="2" t="s">
        <v>1018</v>
      </c>
      <c r="C537" s="2" t="s">
        <v>1024</v>
      </c>
      <c r="D537" s="2" t="s">
        <v>3292</v>
      </c>
      <c r="E537" s="2" t="s">
        <v>1395</v>
      </c>
      <c r="F537" s="2" t="s">
        <v>1396</v>
      </c>
      <c r="G537" s="2" t="s">
        <v>3289</v>
      </c>
      <c r="H537" s="2" t="s">
        <v>3293</v>
      </c>
      <c r="I537" s="2" t="s">
        <v>1374</v>
      </c>
      <c r="J537" s="2" t="s">
        <v>3294</v>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4</v>
      </c>
      <c r="Z537" s="2" t="n">
        <v>0</v>
      </c>
      <c r="AA537" s="2" t="n">
        <v>0</v>
      </c>
      <c r="AB537" s="2" t="n">
        <v>4</v>
      </c>
      <c r="AC537" s="2"/>
    </row>
    <row r="538" customFormat="false" ht="15" hidden="false" customHeight="false" outlineLevel="0" collapsed="false">
      <c r="A538" s="2" t="n">
        <v>81</v>
      </c>
      <c r="B538" s="2" t="s">
        <v>1018</v>
      </c>
      <c r="C538" s="2" t="s">
        <v>1024</v>
      </c>
      <c r="D538" s="2" t="s">
        <v>3295</v>
      </c>
      <c r="E538" s="2" t="s">
        <v>1395</v>
      </c>
      <c r="F538" s="2" t="s">
        <v>1396</v>
      </c>
      <c r="G538" s="2" t="s">
        <v>3296</v>
      </c>
      <c r="H538" s="2" t="s">
        <v>3297</v>
      </c>
      <c r="I538" s="2" t="s">
        <v>1374</v>
      </c>
      <c r="J538" s="2" t="s">
        <v>3298</v>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8</v>
      </c>
      <c r="Z538" s="2" t="n">
        <v>6</v>
      </c>
      <c r="AA538" s="2" t="n">
        <v>3</v>
      </c>
      <c r="AB538" s="2" t="n">
        <v>10</v>
      </c>
      <c r="AC538" s="2"/>
    </row>
    <row r="539" customFormat="false" ht="15" hidden="false" customHeight="false" outlineLevel="0" collapsed="false">
      <c r="A539" s="2" t="n">
        <v>83</v>
      </c>
      <c r="B539" s="2" t="s">
        <v>1037</v>
      </c>
      <c r="C539" s="2" t="s">
        <v>1042</v>
      </c>
      <c r="D539" s="2" t="s">
        <v>3299</v>
      </c>
      <c r="E539" s="2" t="s">
        <v>1401</v>
      </c>
      <c r="F539" s="2" t="s">
        <v>1402</v>
      </c>
      <c r="G539" s="2" t="s">
        <v>2578</v>
      </c>
      <c r="H539" s="2" t="s">
        <v>3300</v>
      </c>
      <c r="I539" s="2" t="s">
        <v>1374</v>
      </c>
      <c r="J539" s="2" t="s">
        <v>3301</v>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1</v>
      </c>
      <c r="AC539" s="2"/>
    </row>
    <row r="540" customFormat="false" ht="15" hidden="false" customHeight="false" outlineLevel="0" collapsed="false">
      <c r="A540" s="2" t="n">
        <v>83</v>
      </c>
      <c r="B540" s="2" t="s">
        <v>1037</v>
      </c>
      <c r="C540" s="2" t="s">
        <v>1042</v>
      </c>
      <c r="D540" s="2" t="s">
        <v>3302</v>
      </c>
      <c r="E540" s="2" t="s">
        <v>1395</v>
      </c>
      <c r="F540" s="2" t="s">
        <v>1396</v>
      </c>
      <c r="G540" s="2" t="s">
        <v>3303</v>
      </c>
      <c r="H540" s="2" t="s">
        <v>3304</v>
      </c>
      <c r="I540" s="2" t="s">
        <v>1374</v>
      </c>
      <c r="J540" s="2" t="s">
        <v>3305</v>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0</v>
      </c>
      <c r="Z540" s="2" t="n">
        <v>0</v>
      </c>
      <c r="AA540" s="2" t="n">
        <v>0</v>
      </c>
      <c r="AB540" s="2" t="n">
        <v>2</v>
      </c>
      <c r="AC540" s="2"/>
    </row>
    <row r="541" customFormat="false" ht="15" hidden="false" customHeight="false" outlineLevel="0" collapsed="false">
      <c r="A541" s="2" t="n">
        <v>83</v>
      </c>
      <c r="B541" s="2" t="s">
        <v>1037</v>
      </c>
      <c r="C541" s="2" t="s">
        <v>1042</v>
      </c>
      <c r="D541" s="2" t="s">
        <v>3306</v>
      </c>
      <c r="E541" s="2" t="s">
        <v>1401</v>
      </c>
      <c r="F541" s="2" t="s">
        <v>1402</v>
      </c>
      <c r="G541" s="2" t="s">
        <v>3307</v>
      </c>
      <c r="H541" s="2" t="s">
        <v>3308</v>
      </c>
      <c r="I541" s="2" t="s">
        <v>1374</v>
      </c>
      <c r="J541" s="2" t="s">
        <v>3309</v>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row>
    <row r="542" customFormat="false" ht="15" hidden="false" customHeight="false" outlineLevel="0" collapsed="false">
      <c r="A542" s="2" t="n">
        <v>84</v>
      </c>
      <c r="B542" s="2" t="s">
        <v>1048</v>
      </c>
      <c r="C542" s="2" t="s">
        <v>1053</v>
      </c>
      <c r="D542" s="2" t="s">
        <v>3310</v>
      </c>
      <c r="E542" s="2" t="s">
        <v>1370</v>
      </c>
      <c r="F542" s="2" t="s">
        <v>1410</v>
      </c>
      <c r="G542" s="2" t="s">
        <v>3311</v>
      </c>
      <c r="H542" s="2" t="s">
        <v>3312</v>
      </c>
      <c r="I542" s="2" t="s">
        <v>1374</v>
      </c>
      <c r="J542" s="2" t="s">
        <v>3313</v>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4</v>
      </c>
      <c r="Z542" s="2" t="n">
        <v>0</v>
      </c>
      <c r="AA542" s="2" t="n">
        <v>0</v>
      </c>
      <c r="AB542" s="2" t="n">
        <v>6</v>
      </c>
      <c r="AC542" s="2" t="s">
        <v>1376</v>
      </c>
    </row>
    <row r="543" customFormat="false" ht="15" hidden="false" customHeight="false" outlineLevel="0" collapsed="false">
      <c r="A543" s="2" t="n">
        <v>88</v>
      </c>
      <c r="B543" s="2" t="s">
        <v>1092</v>
      </c>
      <c r="C543" s="2" t="s">
        <v>1096</v>
      </c>
      <c r="D543" s="2" t="s">
        <v>3314</v>
      </c>
      <c r="E543" s="2" t="s">
        <v>1395</v>
      </c>
      <c r="F543" s="2" t="s">
        <v>1396</v>
      </c>
      <c r="G543" s="2" t="s">
        <v>3315</v>
      </c>
      <c r="H543" s="2" t="s">
        <v>3316</v>
      </c>
      <c r="I543" s="2" t="s">
        <v>1374</v>
      </c>
      <c r="J543" s="2" t="s">
        <v>3317</v>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26</v>
      </c>
      <c r="AA543" s="2" t="n">
        <v>8</v>
      </c>
      <c r="AB543" s="2" t="n">
        <v>11</v>
      </c>
      <c r="AC543" s="2"/>
    </row>
    <row r="544" customFormat="false" ht="15" hidden="false" customHeight="false" outlineLevel="0" collapsed="false">
      <c r="A544" s="2" t="n">
        <v>92</v>
      </c>
      <c r="B544" s="2" t="s">
        <v>1132</v>
      </c>
      <c r="C544" s="2" t="s">
        <v>1137</v>
      </c>
      <c r="D544" s="2" t="s">
        <v>3318</v>
      </c>
      <c r="E544" s="2" t="s">
        <v>1395</v>
      </c>
      <c r="F544" s="2" t="s">
        <v>1396</v>
      </c>
      <c r="G544" s="2" t="s">
        <v>3319</v>
      </c>
      <c r="H544" s="2" t="s">
        <v>3320</v>
      </c>
      <c r="I544" s="2" t="s">
        <v>1374</v>
      </c>
      <c r="J544" s="2" t="s">
        <v>3321</v>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0</v>
      </c>
      <c r="Z544" s="2" t="n">
        <v>0</v>
      </c>
      <c r="AA544" s="2" t="n">
        <v>0</v>
      </c>
      <c r="AB544" s="2" t="n">
        <v>1</v>
      </c>
      <c r="AC544" s="2"/>
    </row>
    <row r="545" customFormat="false" ht="15" hidden="false" customHeight="false" outlineLevel="0" collapsed="false">
      <c r="A545" s="2" t="n">
        <v>92</v>
      </c>
      <c r="B545" s="2" t="s">
        <v>1132</v>
      </c>
      <c r="C545" s="2" t="s">
        <v>1137</v>
      </c>
      <c r="D545" s="2" t="s">
        <v>3322</v>
      </c>
      <c r="E545" s="2" t="s">
        <v>1395</v>
      </c>
      <c r="F545" s="2" t="s">
        <v>1396</v>
      </c>
      <c r="G545" s="2" t="s">
        <v>3323</v>
      </c>
      <c r="H545" s="2" t="s">
        <v>3324</v>
      </c>
      <c r="I545" s="2" t="s">
        <v>1374</v>
      </c>
      <c r="J545" s="2" t="s">
        <v>3325</v>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row>
    <row r="546" customFormat="false" ht="15" hidden="false" customHeight="false" outlineLevel="0" collapsed="false">
      <c r="A546" s="2" t="n">
        <v>93</v>
      </c>
      <c r="B546" s="2" t="s">
        <v>1143</v>
      </c>
      <c r="C546" s="2" t="s">
        <v>1146</v>
      </c>
      <c r="D546" s="2" t="s">
        <v>3326</v>
      </c>
      <c r="E546" s="2" t="s">
        <v>1401</v>
      </c>
      <c r="F546" s="2" t="s">
        <v>1402</v>
      </c>
      <c r="G546" s="2" t="s">
        <v>3327</v>
      </c>
      <c r="H546" s="2" t="s">
        <v>3328</v>
      </c>
      <c r="I546" s="2" t="s">
        <v>1374</v>
      </c>
      <c r="J546" s="2" t="s">
        <v>3329</v>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1</v>
      </c>
      <c r="Z546" s="2" t="n">
        <v>1</v>
      </c>
      <c r="AA546" s="2" t="n">
        <v>0</v>
      </c>
      <c r="AB546" s="2" t="n">
        <v>5</v>
      </c>
      <c r="AC546" s="2"/>
    </row>
    <row r="547" customFormat="false" ht="15" hidden="false" customHeight="false" outlineLevel="0" collapsed="false">
      <c r="A547" s="2" t="n">
        <v>93</v>
      </c>
      <c r="B547" s="2" t="s">
        <v>1143</v>
      </c>
      <c r="C547" s="2" t="s">
        <v>1146</v>
      </c>
      <c r="D547" s="2" t="s">
        <v>3330</v>
      </c>
      <c r="E547" s="2" t="s">
        <v>1395</v>
      </c>
      <c r="F547" s="2" t="s">
        <v>1419</v>
      </c>
      <c r="G547" s="2" t="s">
        <v>1149</v>
      </c>
      <c r="H547" s="2" t="s">
        <v>3331</v>
      </c>
      <c r="I547" s="2" t="s">
        <v>1374</v>
      </c>
      <c r="J547" s="2" t="s">
        <v>3332</v>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2</v>
      </c>
      <c r="AA547" s="2" t="n">
        <v>1</v>
      </c>
      <c r="AB547" s="2" t="n">
        <v>5</v>
      </c>
      <c r="AC547" s="2"/>
    </row>
    <row r="548" customFormat="false" ht="15" hidden="false" customHeight="false" outlineLevel="0" collapsed="false">
      <c r="A548" s="2" t="n">
        <v>93</v>
      </c>
      <c r="B548" s="2" t="s">
        <v>1143</v>
      </c>
      <c r="C548" s="2" t="s">
        <v>1146</v>
      </c>
      <c r="D548" s="2" t="s">
        <v>3333</v>
      </c>
      <c r="E548" s="2" t="s">
        <v>1395</v>
      </c>
      <c r="F548" s="2" t="s">
        <v>1396</v>
      </c>
      <c r="G548" s="2" t="s">
        <v>1149</v>
      </c>
      <c r="H548" s="2" t="s">
        <v>3334</v>
      </c>
      <c r="I548" s="2" t="s">
        <v>1374</v>
      </c>
      <c r="J548" s="2" t="s">
        <v>3335</v>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4</v>
      </c>
      <c r="Z548" s="2" t="n">
        <v>25</v>
      </c>
      <c r="AA548" s="2" t="n">
        <v>0</v>
      </c>
      <c r="AB548" s="2" t="n">
        <v>41</v>
      </c>
      <c r="AC548" s="2"/>
    </row>
    <row r="549" customFormat="false" ht="15" hidden="false" customHeight="false" outlineLevel="0" collapsed="false">
      <c r="A549" s="2" t="n">
        <v>93</v>
      </c>
      <c r="B549" s="2" t="s">
        <v>1143</v>
      </c>
      <c r="C549" s="2" t="s">
        <v>1146</v>
      </c>
      <c r="D549" s="2" t="s">
        <v>3336</v>
      </c>
      <c r="E549" s="2" t="s">
        <v>1395</v>
      </c>
      <c r="F549" s="2" t="s">
        <v>1396</v>
      </c>
      <c r="G549" s="2" t="s">
        <v>1149</v>
      </c>
      <c r="H549" s="2" t="s">
        <v>3337</v>
      </c>
      <c r="I549" s="2" t="s">
        <v>1374</v>
      </c>
      <c r="J549" s="2" t="s">
        <v>3338</v>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row>
    <row r="550" customFormat="false" ht="15" hidden="false" customHeight="false" outlineLevel="0" collapsed="false">
      <c r="A550" s="2" t="n">
        <v>93</v>
      </c>
      <c r="B550" s="2" t="s">
        <v>1143</v>
      </c>
      <c r="C550" s="2" t="s">
        <v>1146</v>
      </c>
      <c r="D550" s="2" t="s">
        <v>3339</v>
      </c>
      <c r="E550" s="2" t="s">
        <v>1401</v>
      </c>
      <c r="F550" s="2" t="s">
        <v>1402</v>
      </c>
      <c r="G550" s="2" t="s">
        <v>1149</v>
      </c>
      <c r="H550" s="2" t="s">
        <v>3340</v>
      </c>
      <c r="I550" s="2" t="s">
        <v>1374</v>
      </c>
      <c r="J550" s="2" t="s">
        <v>3341</v>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row>
    <row r="551" customFormat="false" ht="15" hidden="false" customHeight="false" outlineLevel="0" collapsed="false">
      <c r="A551" s="2" t="n">
        <v>93</v>
      </c>
      <c r="B551" s="2" t="s">
        <v>1143</v>
      </c>
      <c r="C551" s="2" t="s">
        <v>1146</v>
      </c>
      <c r="D551" s="2" t="s">
        <v>3342</v>
      </c>
      <c r="E551" s="2" t="s">
        <v>1370</v>
      </c>
      <c r="F551" s="2" t="s">
        <v>1410</v>
      </c>
      <c r="G551" s="2" t="s">
        <v>3343</v>
      </c>
      <c r="H551" s="2" t="s">
        <v>3344</v>
      </c>
      <c r="I551" s="2" t="s">
        <v>1374</v>
      </c>
      <c r="J551" s="2" t="s">
        <v>3345</v>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0</v>
      </c>
      <c r="Z551" s="2" t="n">
        <v>2</v>
      </c>
      <c r="AA551" s="2" t="n">
        <v>2</v>
      </c>
      <c r="AB551" s="2" t="n">
        <v>11</v>
      </c>
      <c r="AC551" s="2" t="s">
        <v>1376</v>
      </c>
    </row>
    <row r="552" customFormat="false" ht="15" hidden="false" customHeight="false" outlineLevel="0" collapsed="false">
      <c r="A552" s="2" t="n">
        <v>93</v>
      </c>
      <c r="B552" s="2" t="s">
        <v>1143</v>
      </c>
      <c r="C552" s="2" t="s">
        <v>1146</v>
      </c>
      <c r="D552" s="2" t="s">
        <v>3346</v>
      </c>
      <c r="E552" s="2" t="s">
        <v>1395</v>
      </c>
      <c r="F552" s="2" t="s">
        <v>1396</v>
      </c>
      <c r="G552" s="2" t="s">
        <v>3347</v>
      </c>
      <c r="H552" s="2" t="s">
        <v>3348</v>
      </c>
      <c r="I552" s="2" t="s">
        <v>1374</v>
      </c>
      <c r="J552" s="2" t="s">
        <v>3349</v>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0</v>
      </c>
      <c r="Z552" s="2" t="n">
        <v>0</v>
      </c>
      <c r="AA552" s="2" t="n">
        <v>0</v>
      </c>
      <c r="AB552" s="2" t="n">
        <v>3</v>
      </c>
      <c r="AC552" s="2"/>
    </row>
    <row r="553" customFormat="false" ht="15" hidden="false" customHeight="false" outlineLevel="0" collapsed="false">
      <c r="A553" s="2" t="n">
        <v>93</v>
      </c>
      <c r="B553" s="2" t="s">
        <v>1143</v>
      </c>
      <c r="C553" s="2" t="s">
        <v>1146</v>
      </c>
      <c r="D553" s="2" t="s">
        <v>3350</v>
      </c>
      <c r="E553" s="2" t="s">
        <v>1370</v>
      </c>
      <c r="F553" s="2" t="s">
        <v>1410</v>
      </c>
      <c r="G553" s="2" t="s">
        <v>3351</v>
      </c>
      <c r="H553" s="2" t="s">
        <v>3352</v>
      </c>
      <c r="I553" s="2" t="s">
        <v>1374</v>
      </c>
      <c r="J553" s="2" t="s">
        <v>3353</v>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19</v>
      </c>
      <c r="Z553" s="2" t="n">
        <v>17</v>
      </c>
      <c r="AA553" s="2" t="n">
        <v>0</v>
      </c>
      <c r="AB553" s="2" t="n">
        <v>19</v>
      </c>
      <c r="AC553" s="2" t="s">
        <v>1376</v>
      </c>
    </row>
    <row r="554" customFormat="false" ht="15" hidden="false" customHeight="false" outlineLevel="0" collapsed="false">
      <c r="A554" s="2" t="n">
        <v>93</v>
      </c>
      <c r="B554" s="2" t="s">
        <v>1143</v>
      </c>
      <c r="C554" s="2" t="s">
        <v>1146</v>
      </c>
      <c r="D554" s="2" t="s">
        <v>3354</v>
      </c>
      <c r="E554" s="2" t="s">
        <v>1370</v>
      </c>
      <c r="F554" s="2" t="s">
        <v>1410</v>
      </c>
      <c r="G554" s="2" t="s">
        <v>3355</v>
      </c>
      <c r="H554" s="2" t="s">
        <v>3356</v>
      </c>
      <c r="I554" s="2" t="s">
        <v>1374</v>
      </c>
      <c r="J554" s="2" t="s">
        <v>3357</v>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1</v>
      </c>
      <c r="Z554" s="2" t="n">
        <v>9</v>
      </c>
      <c r="AA554" s="2" t="n">
        <v>0</v>
      </c>
      <c r="AB554" s="2" t="n">
        <v>30</v>
      </c>
      <c r="AC554" s="2" t="s">
        <v>1376</v>
      </c>
    </row>
    <row r="555" customFormat="false" ht="15" hidden="false" customHeight="false" outlineLevel="0" collapsed="false">
      <c r="A555" s="2" t="n">
        <v>94</v>
      </c>
      <c r="B555" s="2" t="s">
        <v>1153</v>
      </c>
      <c r="C555" s="2" t="s">
        <v>1158</v>
      </c>
      <c r="D555" s="2" t="s">
        <v>3358</v>
      </c>
      <c r="E555" s="2" t="s">
        <v>1401</v>
      </c>
      <c r="F555" s="2" t="s">
        <v>3359</v>
      </c>
      <c r="G555" s="2" t="s">
        <v>1161</v>
      </c>
      <c r="H555" s="2" t="s">
        <v>3360</v>
      </c>
      <c r="I555" s="2" t="s">
        <v>1374</v>
      </c>
      <c r="J555" s="2" t="s">
        <v>3361</v>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row>
    <row r="556" customFormat="false" ht="15" hidden="false" customHeight="false" outlineLevel="0" collapsed="false">
      <c r="A556" s="2" t="n">
        <v>95</v>
      </c>
      <c r="B556" s="2" t="s">
        <v>1165</v>
      </c>
      <c r="C556" s="2" t="s">
        <v>1170</v>
      </c>
      <c r="D556" s="2" t="s">
        <v>3362</v>
      </c>
      <c r="E556" s="2" t="s">
        <v>1395</v>
      </c>
      <c r="F556" s="2" t="s">
        <v>1419</v>
      </c>
      <c r="G556" s="2" t="s">
        <v>3363</v>
      </c>
      <c r="H556" s="2" t="s">
        <v>3364</v>
      </c>
      <c r="I556" s="2" t="s">
        <v>1647</v>
      </c>
      <c r="J556" s="2" t="s">
        <v>3365</v>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row>
    <row r="557" customFormat="false" ht="15" hidden="false" customHeight="false" outlineLevel="0" collapsed="false">
      <c r="A557" s="2" t="n">
        <v>95</v>
      </c>
      <c r="B557" s="2" t="s">
        <v>1165</v>
      </c>
      <c r="C557" s="2" t="s">
        <v>1170</v>
      </c>
      <c r="D557" s="2" t="s">
        <v>3366</v>
      </c>
      <c r="E557" s="2" t="s">
        <v>1395</v>
      </c>
      <c r="F557" s="2" t="s">
        <v>1419</v>
      </c>
      <c r="G557" s="2" t="s">
        <v>2299</v>
      </c>
      <c r="H557" s="2" t="s">
        <v>3367</v>
      </c>
      <c r="I557" s="2" t="s">
        <v>1647</v>
      </c>
      <c r="J557" s="2" t="s">
        <v>3368</v>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row>
    <row r="558" customFormat="false" ht="15" hidden="false" customHeight="false" outlineLevel="0" collapsed="false">
      <c r="A558" s="2" t="n">
        <v>97</v>
      </c>
      <c r="B558" s="2" t="s">
        <v>1187</v>
      </c>
      <c r="C558" s="2" t="s">
        <v>1191</v>
      </c>
      <c r="D558" s="2" t="s">
        <v>3369</v>
      </c>
      <c r="E558" s="2" t="s">
        <v>1370</v>
      </c>
      <c r="F558" s="2" t="s">
        <v>1410</v>
      </c>
      <c r="G558" s="2" t="s">
        <v>3370</v>
      </c>
      <c r="H558" s="2" t="s">
        <v>3371</v>
      </c>
      <c r="I558" s="2" t="s">
        <v>1374</v>
      </c>
      <c r="J558" s="2" t="s">
        <v>3372</v>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0</v>
      </c>
      <c r="AB558" s="2" t="n">
        <v>3</v>
      </c>
      <c r="AC558" s="2" t="s">
        <v>1376</v>
      </c>
    </row>
    <row r="559" customFormat="false" ht="15" hidden="false" customHeight="false" outlineLevel="0" collapsed="false">
      <c r="A559" s="2" t="n">
        <v>97</v>
      </c>
      <c r="B559" s="2" t="s">
        <v>1187</v>
      </c>
      <c r="C559" s="2" t="s">
        <v>1191</v>
      </c>
      <c r="D559" s="2" t="s">
        <v>3373</v>
      </c>
      <c r="E559" s="2" t="s">
        <v>1370</v>
      </c>
      <c r="F559" s="2" t="s">
        <v>1410</v>
      </c>
      <c r="G559" s="2" t="s">
        <v>3374</v>
      </c>
      <c r="H559" s="2" t="s">
        <v>3375</v>
      </c>
      <c r="I559" s="2" t="s">
        <v>1374</v>
      </c>
      <c r="J559" s="2" t="s">
        <v>3376</v>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0</v>
      </c>
      <c r="AA559" s="2" t="n">
        <v>0</v>
      </c>
      <c r="AB559" s="2" t="n">
        <v>9</v>
      </c>
      <c r="AC559" s="2" t="s">
        <v>1376</v>
      </c>
    </row>
    <row r="560" customFormat="false" ht="15" hidden="false" customHeight="false" outlineLevel="0" collapsed="false">
      <c r="A560" s="2" t="n">
        <v>108</v>
      </c>
      <c r="B560" s="2" t="s">
        <v>1275</v>
      </c>
      <c r="C560" s="2" t="s">
        <v>1280</v>
      </c>
      <c r="D560" s="2" t="s">
        <v>3377</v>
      </c>
      <c r="E560" s="2" t="s">
        <v>1395</v>
      </c>
      <c r="F560" s="2" t="s">
        <v>1419</v>
      </c>
      <c r="G560" s="2" t="s">
        <v>3378</v>
      </c>
      <c r="H560" s="2" t="s">
        <v>3379</v>
      </c>
      <c r="I560" s="2" t="s">
        <v>1374</v>
      </c>
      <c r="J560" s="2" t="s">
        <v>3380</v>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row>
    <row r="561" customFormat="false" ht="15" hidden="false" customHeight="false" outlineLevel="0" collapsed="false">
      <c r="A561" s="2" t="n">
        <v>108</v>
      </c>
      <c r="B561" s="2" t="s">
        <v>1275</v>
      </c>
      <c r="C561" s="2" t="s">
        <v>1280</v>
      </c>
      <c r="D561" s="2" t="s">
        <v>3381</v>
      </c>
      <c r="E561" s="2" t="s">
        <v>1395</v>
      </c>
      <c r="F561" s="2" t="s">
        <v>1419</v>
      </c>
      <c r="G561" s="2" t="s">
        <v>3382</v>
      </c>
      <c r="H561" s="2" t="s">
        <v>3383</v>
      </c>
      <c r="I561" s="2" t="s">
        <v>1374</v>
      </c>
      <c r="J561" s="2" t="s">
        <v>3384</v>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0</v>
      </c>
      <c r="AB561" s="2" t="n">
        <v>1</v>
      </c>
      <c r="AC561" s="2"/>
    </row>
    <row r="562" customFormat="false" ht="15" hidden="false" customHeight="false" outlineLevel="0" collapsed="false">
      <c r="A562" s="2" t="n">
        <v>108</v>
      </c>
      <c r="B562" s="2" t="s">
        <v>1275</v>
      </c>
      <c r="C562" s="2" t="s">
        <v>1280</v>
      </c>
      <c r="D562" s="2" t="s">
        <v>3385</v>
      </c>
      <c r="E562" s="2" t="s">
        <v>1395</v>
      </c>
      <c r="F562" s="2" t="s">
        <v>1419</v>
      </c>
      <c r="G562" s="2" t="s">
        <v>3386</v>
      </c>
      <c r="H562" s="2" t="s">
        <v>3387</v>
      </c>
      <c r="I562" s="2" t="s">
        <v>1374</v>
      </c>
      <c r="J562" s="2" t="s">
        <v>3388</v>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row>
    <row r="563" customFormat="false" ht="15" hidden="false" customHeight="false" outlineLevel="0" collapsed="false">
      <c r="A563" s="2" t="n">
        <v>108</v>
      </c>
      <c r="B563" s="2" t="s">
        <v>1275</v>
      </c>
      <c r="C563" s="2" t="s">
        <v>1280</v>
      </c>
      <c r="D563" s="2" t="s">
        <v>3389</v>
      </c>
      <c r="E563" s="2" t="s">
        <v>1395</v>
      </c>
      <c r="F563" s="2" t="s">
        <v>1419</v>
      </c>
      <c r="G563" s="2" t="s">
        <v>3390</v>
      </c>
      <c r="H563" s="2" t="s">
        <v>3391</v>
      </c>
      <c r="I563" s="2" t="s">
        <v>1374</v>
      </c>
      <c r="J563" s="2" t="s">
        <v>3392</v>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0</v>
      </c>
      <c r="Z563" s="2" t="n">
        <v>0</v>
      </c>
      <c r="AA563" s="2" t="n">
        <v>0</v>
      </c>
      <c r="AB563" s="2" t="n">
        <v>1</v>
      </c>
      <c r="AC563" s="2"/>
    </row>
    <row r="564" customFormat="false" ht="15" hidden="false" customHeight="false" outlineLevel="0" collapsed="false">
      <c r="A564" s="2" t="n">
        <v>108</v>
      </c>
      <c r="B564" s="2" t="s">
        <v>1275</v>
      </c>
      <c r="C564" s="2" t="s">
        <v>1280</v>
      </c>
      <c r="D564" s="2" t="s">
        <v>3393</v>
      </c>
      <c r="E564" s="2" t="s">
        <v>1395</v>
      </c>
      <c r="F564" s="2" t="s">
        <v>1419</v>
      </c>
      <c r="G564" s="2" t="s">
        <v>3394</v>
      </c>
      <c r="H564" s="2" t="s">
        <v>3395</v>
      </c>
      <c r="I564" s="2" t="s">
        <v>1374</v>
      </c>
      <c r="J564" s="2" t="s">
        <v>3396</v>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0</v>
      </c>
      <c r="AB564" s="2" t="n">
        <v>1</v>
      </c>
      <c r="AC564" s="2"/>
    </row>
    <row r="565" customFormat="false" ht="15" hidden="false" customHeight="false" outlineLevel="0" collapsed="false">
      <c r="A565" s="2" t="n">
        <v>108</v>
      </c>
      <c r="B565" s="2" t="s">
        <v>1275</v>
      </c>
      <c r="C565" s="2" t="s">
        <v>1280</v>
      </c>
      <c r="D565" s="2" t="s">
        <v>3397</v>
      </c>
      <c r="E565" s="2" t="s">
        <v>1395</v>
      </c>
      <c r="F565" s="2" t="s">
        <v>1419</v>
      </c>
      <c r="G565" s="2" t="s">
        <v>3398</v>
      </c>
      <c r="H565" s="2" t="s">
        <v>3399</v>
      </c>
      <c r="I565" s="2" t="s">
        <v>1374</v>
      </c>
      <c r="J565" s="2" t="s">
        <v>3400</v>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1</v>
      </c>
      <c r="Z565" s="2" t="n">
        <v>0</v>
      </c>
      <c r="AA565" s="2" t="n">
        <v>0</v>
      </c>
      <c r="AB565" s="2" t="n">
        <v>1</v>
      </c>
      <c r="AC565" s="2"/>
    </row>
    <row r="566" customFormat="false" ht="15" hidden="false" customHeight="false" outlineLevel="0" collapsed="false">
      <c r="A566" s="2" t="n">
        <v>108</v>
      </c>
      <c r="B566" s="2" t="s">
        <v>1275</v>
      </c>
      <c r="C566" s="2" t="s">
        <v>1280</v>
      </c>
      <c r="D566" s="2" t="s">
        <v>3401</v>
      </c>
      <c r="E566" s="2" t="s">
        <v>1395</v>
      </c>
      <c r="F566" s="2" t="s">
        <v>1419</v>
      </c>
      <c r="G566" s="2" t="s">
        <v>3402</v>
      </c>
      <c r="H566" s="2" t="s">
        <v>3403</v>
      </c>
      <c r="I566" s="2" t="s">
        <v>1374</v>
      </c>
      <c r="J566" s="2" t="s">
        <v>3404</v>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row>
    <row r="567" customFormat="false" ht="15" hidden="false" customHeight="false" outlineLevel="0" collapsed="false">
      <c r="A567" s="2" t="n">
        <v>108</v>
      </c>
      <c r="B567" s="2" t="s">
        <v>1275</v>
      </c>
      <c r="C567" s="2" t="s">
        <v>1280</v>
      </c>
      <c r="D567" s="2" t="s">
        <v>3405</v>
      </c>
      <c r="E567" s="2" t="s">
        <v>1395</v>
      </c>
      <c r="F567" s="2" t="s">
        <v>1419</v>
      </c>
      <c r="G567" s="2" t="s">
        <v>3406</v>
      </c>
      <c r="H567" s="2" t="s">
        <v>3407</v>
      </c>
      <c r="I567" s="2" t="s">
        <v>1374</v>
      </c>
      <c r="J567" s="2" t="s">
        <v>3408</v>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v>
      </c>
      <c r="Z567" s="2" t="n">
        <v>0</v>
      </c>
      <c r="AA567" s="2" t="n">
        <v>1</v>
      </c>
      <c r="AB567" s="2" t="n">
        <v>26</v>
      </c>
      <c r="AC567" s="2"/>
    </row>
    <row r="568" customFormat="false" ht="15" hidden="false" customHeight="false" outlineLevel="0" collapsed="false">
      <c r="A568" s="2" t="n">
        <v>108</v>
      </c>
      <c r="B568" s="2" t="s">
        <v>1275</v>
      </c>
      <c r="C568" s="2" t="s">
        <v>1280</v>
      </c>
      <c r="D568" s="2" t="s">
        <v>3409</v>
      </c>
      <c r="E568" s="2" t="s">
        <v>1395</v>
      </c>
      <c r="F568" s="2" t="s">
        <v>1419</v>
      </c>
      <c r="G568" s="2" t="s">
        <v>3410</v>
      </c>
      <c r="H568" s="2" t="s">
        <v>3411</v>
      </c>
      <c r="I568" s="2" t="s">
        <v>1374</v>
      </c>
      <c r="J568" s="2" t="s">
        <v>3412</v>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row>
    <row r="569" customFormat="false" ht="15" hidden="false" customHeight="false" outlineLevel="0" collapsed="false">
      <c r="A569" s="2" t="n">
        <v>108</v>
      </c>
      <c r="B569" s="2" t="s">
        <v>1275</v>
      </c>
      <c r="C569" s="2" t="s">
        <v>1280</v>
      </c>
      <c r="D569" s="2" t="s">
        <v>3413</v>
      </c>
      <c r="E569" s="2" t="s">
        <v>1395</v>
      </c>
      <c r="F569" s="2" t="s">
        <v>1419</v>
      </c>
      <c r="G569" s="2" t="s">
        <v>3414</v>
      </c>
      <c r="H569" s="2" t="s">
        <v>3415</v>
      </c>
      <c r="I569" s="2" t="s">
        <v>1374</v>
      </c>
      <c r="J569" s="2" t="s">
        <v>3416</v>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row>
    <row r="570" customFormat="false" ht="15" hidden="false" customHeight="false" outlineLevel="0" collapsed="false">
      <c r="A570" s="2" t="n">
        <v>108</v>
      </c>
      <c r="B570" s="2" t="s">
        <v>1275</v>
      </c>
      <c r="C570" s="2" t="s">
        <v>1280</v>
      </c>
      <c r="D570" s="2" t="s">
        <v>3417</v>
      </c>
      <c r="E570" s="2" t="s">
        <v>1395</v>
      </c>
      <c r="F570" s="2" t="s">
        <v>1419</v>
      </c>
      <c r="G570" s="2" t="s">
        <v>3418</v>
      </c>
      <c r="H570" s="2" t="s">
        <v>3419</v>
      </c>
      <c r="I570" s="2" t="s">
        <v>1374</v>
      </c>
      <c r="J570" s="2" t="s">
        <v>3420</v>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0</v>
      </c>
      <c r="Z570" s="2" t="n">
        <v>0</v>
      </c>
      <c r="AA570" s="2" t="n">
        <v>0</v>
      </c>
      <c r="AB570" s="2" t="n">
        <v>1</v>
      </c>
      <c r="AC570" s="2"/>
    </row>
    <row r="571" customFormat="false" ht="15" hidden="false" customHeight="false" outlineLevel="0" collapsed="false">
      <c r="A571" s="2" t="n">
        <v>108</v>
      </c>
      <c r="B571" s="2" t="s">
        <v>1275</v>
      </c>
      <c r="C571" s="2" t="s">
        <v>1280</v>
      </c>
      <c r="D571" s="2" t="s">
        <v>3421</v>
      </c>
      <c r="E571" s="2" t="s">
        <v>1395</v>
      </c>
      <c r="F571" s="2" t="s">
        <v>1419</v>
      </c>
      <c r="G571" s="2" t="s">
        <v>445</v>
      </c>
      <c r="H571" s="2" t="s">
        <v>3422</v>
      </c>
      <c r="I571" s="2" t="s">
        <v>1374</v>
      </c>
      <c r="J571" s="2" t="s">
        <v>3423</v>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row>
    <row r="572" customFormat="false" ht="15" hidden="false" customHeight="false" outlineLevel="0" collapsed="false">
      <c r="A572" s="2" t="n">
        <v>108</v>
      </c>
      <c r="B572" s="2" t="s">
        <v>1275</v>
      </c>
      <c r="C572" s="2" t="s">
        <v>1280</v>
      </c>
      <c r="D572" s="2" t="s">
        <v>3424</v>
      </c>
      <c r="E572" s="2" t="s">
        <v>1395</v>
      </c>
      <c r="F572" s="2" t="s">
        <v>1419</v>
      </c>
      <c r="G572" s="2" t="s">
        <v>3425</v>
      </c>
      <c r="H572" s="2" t="s">
        <v>3426</v>
      </c>
      <c r="I572" s="2" t="s">
        <v>1374</v>
      </c>
      <c r="J572" s="2" t="s">
        <v>3427</v>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row>
    <row r="573" customFormat="false" ht="15" hidden="false" customHeight="false" outlineLevel="0" collapsed="false">
      <c r="A573" s="2" t="n">
        <v>108</v>
      </c>
      <c r="B573" s="2" t="s">
        <v>1275</v>
      </c>
      <c r="C573" s="2" t="s">
        <v>1280</v>
      </c>
      <c r="D573" s="2" t="s">
        <v>3428</v>
      </c>
      <c r="E573" s="2" t="s">
        <v>1395</v>
      </c>
      <c r="F573" s="2" t="s">
        <v>1419</v>
      </c>
      <c r="G573" s="2" t="s">
        <v>481</v>
      </c>
      <c r="H573" s="2" t="s">
        <v>3429</v>
      </c>
      <c r="I573" s="2" t="s">
        <v>1374</v>
      </c>
      <c r="J573" s="2" t="s">
        <v>3430</v>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row>
    <row r="574" customFormat="false" ht="15" hidden="false" customHeight="false" outlineLevel="0" collapsed="false">
      <c r="A574" s="2" t="n">
        <v>108</v>
      </c>
      <c r="B574" s="2" t="s">
        <v>1275</v>
      </c>
      <c r="C574" s="2" t="s">
        <v>1280</v>
      </c>
      <c r="D574" s="2" t="s">
        <v>3431</v>
      </c>
      <c r="E574" s="2" t="s">
        <v>1395</v>
      </c>
      <c r="F574" s="2" t="s">
        <v>1419</v>
      </c>
      <c r="G574" s="2" t="s">
        <v>3432</v>
      </c>
      <c r="H574" s="2" t="s">
        <v>3433</v>
      </c>
      <c r="I574" s="2" t="s">
        <v>1374</v>
      </c>
      <c r="J574" s="2" t="s">
        <v>3434</v>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row>
    <row r="575" customFormat="false" ht="15" hidden="false" customHeight="false" outlineLevel="0" collapsed="false">
      <c r="A575" s="2" t="n">
        <v>108</v>
      </c>
      <c r="B575" s="2" t="s">
        <v>1275</v>
      </c>
      <c r="C575" s="2" t="s">
        <v>1280</v>
      </c>
      <c r="D575" s="2" t="s">
        <v>3435</v>
      </c>
      <c r="E575" s="2" t="s">
        <v>1395</v>
      </c>
      <c r="F575" s="2" t="s">
        <v>1419</v>
      </c>
      <c r="G575" s="2" t="s">
        <v>3436</v>
      </c>
      <c r="H575" s="2" t="s">
        <v>3437</v>
      </c>
      <c r="I575" s="2" t="s">
        <v>1374</v>
      </c>
      <c r="J575" s="2" t="s">
        <v>3438</v>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row>
    <row r="576" customFormat="false" ht="15" hidden="false" customHeight="false" outlineLevel="0" collapsed="false">
      <c r="A576" s="2" t="n">
        <v>108</v>
      </c>
      <c r="B576" s="2" t="s">
        <v>1275</v>
      </c>
      <c r="C576" s="2" t="s">
        <v>1280</v>
      </c>
      <c r="D576" s="2" t="s">
        <v>3439</v>
      </c>
      <c r="E576" s="2" t="s">
        <v>1395</v>
      </c>
      <c r="F576" s="2" t="s">
        <v>1419</v>
      </c>
      <c r="G576" s="2" t="s">
        <v>3440</v>
      </c>
      <c r="H576" s="2" t="s">
        <v>3441</v>
      </c>
      <c r="I576" s="2" t="s">
        <v>1374</v>
      </c>
      <c r="J576" s="2" t="s">
        <v>3442</v>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row>
    <row r="577" customFormat="false" ht="15" hidden="false" customHeight="false" outlineLevel="0" collapsed="false">
      <c r="A577" s="2" t="n">
        <v>108</v>
      </c>
      <c r="B577" s="2" t="s">
        <v>1275</v>
      </c>
      <c r="C577" s="2" t="s">
        <v>1280</v>
      </c>
      <c r="D577" s="2" t="s">
        <v>3443</v>
      </c>
      <c r="E577" s="2" t="s">
        <v>1395</v>
      </c>
      <c r="F577" s="2" t="s">
        <v>1419</v>
      </c>
      <c r="G577" s="2" t="s">
        <v>3444</v>
      </c>
      <c r="H577" s="2" t="s">
        <v>3445</v>
      </c>
      <c r="I577" s="2" t="s">
        <v>1374</v>
      </c>
      <c r="J577" s="2" t="s">
        <v>3446</v>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row>
    <row r="578" customFormat="false" ht="15" hidden="false" customHeight="false" outlineLevel="0" collapsed="false">
      <c r="A578" s="2" t="n">
        <v>108</v>
      </c>
      <c r="B578" s="2" t="s">
        <v>1275</v>
      </c>
      <c r="C578" s="2" t="s">
        <v>1280</v>
      </c>
      <c r="D578" s="2" t="s">
        <v>3447</v>
      </c>
      <c r="E578" s="2" t="s">
        <v>1395</v>
      </c>
      <c r="F578" s="2" t="s">
        <v>1419</v>
      </c>
      <c r="G578" s="2" t="s">
        <v>3448</v>
      </c>
      <c r="H578" s="2" t="s">
        <v>3449</v>
      </c>
      <c r="I578" s="2" t="s">
        <v>1374</v>
      </c>
      <c r="J578" s="2" t="s">
        <v>3450</v>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row>
    <row r="579" customFormat="false" ht="15" hidden="false" customHeight="false" outlineLevel="0" collapsed="false">
      <c r="A579" s="2" t="n">
        <v>108</v>
      </c>
      <c r="B579" s="2" t="s">
        <v>1275</v>
      </c>
      <c r="C579" s="2" t="s">
        <v>1280</v>
      </c>
      <c r="D579" s="2" t="s">
        <v>3451</v>
      </c>
      <c r="E579" s="2" t="s">
        <v>1395</v>
      </c>
      <c r="F579" s="2" t="s">
        <v>1419</v>
      </c>
      <c r="G579" s="2" t="s">
        <v>3452</v>
      </c>
      <c r="H579" s="2" t="s">
        <v>3453</v>
      </c>
      <c r="I579" s="2" t="s">
        <v>1374</v>
      </c>
      <c r="J579" s="2" t="s">
        <v>3454</v>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row>
    <row r="580" customFormat="false" ht="15" hidden="false" customHeight="false" outlineLevel="0" collapsed="false">
      <c r="A580" s="2" t="n">
        <v>108</v>
      </c>
      <c r="B580" s="2" t="s">
        <v>1275</v>
      </c>
      <c r="C580" s="2" t="s">
        <v>1280</v>
      </c>
      <c r="D580" s="2" t="s">
        <v>3455</v>
      </c>
      <c r="E580" s="2" t="s">
        <v>1395</v>
      </c>
      <c r="F580" s="2" t="s">
        <v>1419</v>
      </c>
      <c r="G580" s="2" t="s">
        <v>1372</v>
      </c>
      <c r="H580" s="2" t="s">
        <v>3456</v>
      </c>
      <c r="I580" s="2" t="s">
        <v>1374</v>
      </c>
      <c r="J580" s="2" t="s">
        <v>3457</v>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row>
    <row r="581" customFormat="false" ht="15" hidden="false" customHeight="false" outlineLevel="0" collapsed="false">
      <c r="A581" s="2" t="n">
        <v>108</v>
      </c>
      <c r="B581" s="2" t="s">
        <v>1275</v>
      </c>
      <c r="C581" s="2" t="s">
        <v>1280</v>
      </c>
      <c r="D581" s="2" t="s">
        <v>3458</v>
      </c>
      <c r="E581" s="2" t="s">
        <v>1395</v>
      </c>
      <c r="F581" s="2" t="s">
        <v>1419</v>
      </c>
      <c r="G581" s="2" t="s">
        <v>3459</v>
      </c>
      <c r="H581" s="2" t="s">
        <v>3460</v>
      </c>
      <c r="I581" s="2" t="s">
        <v>1374</v>
      </c>
      <c r="J581" s="2" t="s">
        <v>3461</v>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row>
    <row r="582" customFormat="false" ht="15" hidden="false" customHeight="false" outlineLevel="0" collapsed="false">
      <c r="A582" s="2" t="n">
        <v>108</v>
      </c>
      <c r="B582" s="2" t="s">
        <v>1275</v>
      </c>
      <c r="C582" s="2" t="s">
        <v>1280</v>
      </c>
      <c r="D582" s="2" t="s">
        <v>3462</v>
      </c>
      <c r="E582" s="2" t="s">
        <v>1395</v>
      </c>
      <c r="F582" s="2" t="s">
        <v>1419</v>
      </c>
      <c r="G582" s="2" t="s">
        <v>3463</v>
      </c>
      <c r="H582" s="2" t="s">
        <v>3464</v>
      </c>
      <c r="I582" s="2" t="s">
        <v>1374</v>
      </c>
      <c r="J582" s="2" t="s">
        <v>3465</v>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row>
    <row r="583" customFormat="false" ht="15" hidden="false" customHeight="false" outlineLevel="0" collapsed="false">
      <c r="A583" s="2" t="n">
        <v>108</v>
      </c>
      <c r="B583" s="2" t="s">
        <v>1275</v>
      </c>
      <c r="C583" s="2" t="s">
        <v>1280</v>
      </c>
      <c r="D583" s="2" t="s">
        <v>3466</v>
      </c>
      <c r="E583" s="2" t="s">
        <v>1395</v>
      </c>
      <c r="F583" s="2" t="s">
        <v>1419</v>
      </c>
      <c r="G583" s="2" t="s">
        <v>3463</v>
      </c>
      <c r="H583" s="2" t="s">
        <v>3467</v>
      </c>
      <c r="I583" s="2" t="s">
        <v>1374</v>
      </c>
      <c r="J583" s="2" t="s">
        <v>3468</v>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row>
    <row r="584" customFormat="false" ht="15" hidden="false" customHeight="false" outlineLevel="0" collapsed="false">
      <c r="A584" s="2" t="n">
        <v>108</v>
      </c>
      <c r="B584" s="2" t="s">
        <v>1275</v>
      </c>
      <c r="C584" s="2" t="s">
        <v>1280</v>
      </c>
      <c r="D584" s="2" t="s">
        <v>3469</v>
      </c>
      <c r="E584" s="2" t="s">
        <v>1395</v>
      </c>
      <c r="F584" s="2" t="s">
        <v>1419</v>
      </c>
      <c r="G584" s="2" t="s">
        <v>3470</v>
      </c>
      <c r="H584" s="2" t="s">
        <v>3471</v>
      </c>
      <c r="I584" s="2" t="s">
        <v>1374</v>
      </c>
      <c r="J584" s="2" t="s">
        <v>3472</v>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row>
    <row r="585" customFormat="false" ht="15" hidden="false" customHeight="false" outlineLevel="0" collapsed="false">
      <c r="A585" s="2" t="n">
        <v>108</v>
      </c>
      <c r="B585" s="2" t="s">
        <v>1275</v>
      </c>
      <c r="C585" s="2" t="s">
        <v>1280</v>
      </c>
      <c r="D585" s="2" t="s">
        <v>3473</v>
      </c>
      <c r="E585" s="2" t="s">
        <v>1395</v>
      </c>
      <c r="F585" s="2" t="s">
        <v>1419</v>
      </c>
      <c r="G585" s="2" t="s">
        <v>2370</v>
      </c>
      <c r="H585" s="2" t="s">
        <v>3474</v>
      </c>
      <c r="I585" s="2" t="s">
        <v>1374</v>
      </c>
      <c r="J585" s="2" t="s">
        <v>3475</v>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row>
    <row r="586" customFormat="false" ht="15" hidden="false" customHeight="false" outlineLevel="0" collapsed="false">
      <c r="A586" s="2" t="n">
        <v>108</v>
      </c>
      <c r="B586" s="2" t="s">
        <v>1275</v>
      </c>
      <c r="C586" s="2" t="s">
        <v>1280</v>
      </c>
      <c r="D586" s="2" t="s">
        <v>3476</v>
      </c>
      <c r="E586" s="2" t="s">
        <v>1395</v>
      </c>
      <c r="F586" s="2" t="s">
        <v>1419</v>
      </c>
      <c r="G586" s="2" t="s">
        <v>3477</v>
      </c>
      <c r="H586" s="2" t="s">
        <v>3478</v>
      </c>
      <c r="I586" s="2" t="s">
        <v>1374</v>
      </c>
      <c r="J586" s="2" t="s">
        <v>3479</v>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row>
    <row r="587" customFormat="false" ht="15" hidden="false" customHeight="false" outlineLevel="0" collapsed="false">
      <c r="A587" s="2" t="n">
        <v>108</v>
      </c>
      <c r="B587" s="2" t="s">
        <v>1275</v>
      </c>
      <c r="C587" s="2" t="s">
        <v>1280</v>
      </c>
      <c r="D587" s="2" t="s">
        <v>3480</v>
      </c>
      <c r="E587" s="2" t="s">
        <v>1395</v>
      </c>
      <c r="F587" s="2" t="s">
        <v>1419</v>
      </c>
      <c r="G587" s="2" t="s">
        <v>3481</v>
      </c>
      <c r="H587" s="2" t="s">
        <v>3482</v>
      </c>
      <c r="I587" s="2" t="s">
        <v>1374</v>
      </c>
      <c r="J587" s="2" t="s">
        <v>3483</v>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row>
    <row r="588" customFormat="false" ht="15" hidden="false" customHeight="false" outlineLevel="0" collapsed="false">
      <c r="A588" s="2" t="n">
        <v>108</v>
      </c>
      <c r="B588" s="2" t="s">
        <v>1275</v>
      </c>
      <c r="C588" s="2" t="s">
        <v>1280</v>
      </c>
      <c r="D588" s="2" t="s">
        <v>3484</v>
      </c>
      <c r="E588" s="2" t="s">
        <v>1395</v>
      </c>
      <c r="F588" s="2" t="s">
        <v>1419</v>
      </c>
      <c r="G588" s="2" t="s">
        <v>3485</v>
      </c>
      <c r="H588" s="2" t="s">
        <v>3486</v>
      </c>
      <c r="I588" s="2" t="s">
        <v>1374</v>
      </c>
      <c r="J588" s="2" t="s">
        <v>3487</v>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1</v>
      </c>
      <c r="Z588" s="2" t="n">
        <v>0</v>
      </c>
      <c r="AA588" s="2" t="n">
        <v>0</v>
      </c>
      <c r="AB588" s="2" t="n">
        <v>3</v>
      </c>
      <c r="AC588" s="2"/>
    </row>
    <row r="589" customFormat="false" ht="15" hidden="false" customHeight="false" outlineLevel="0" collapsed="false">
      <c r="A589" s="2" t="n">
        <v>108</v>
      </c>
      <c r="B589" s="2" t="s">
        <v>1275</v>
      </c>
      <c r="C589" s="2" t="s">
        <v>1280</v>
      </c>
      <c r="D589" s="2" t="s">
        <v>3488</v>
      </c>
      <c r="E589" s="2" t="s">
        <v>1395</v>
      </c>
      <c r="F589" s="2" t="s">
        <v>1419</v>
      </c>
      <c r="G589" s="2" t="s">
        <v>3489</v>
      </c>
      <c r="H589" s="2" t="s">
        <v>3490</v>
      </c>
      <c r="I589" s="2" t="s">
        <v>1374</v>
      </c>
      <c r="J589" s="2" t="s">
        <v>3491</v>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row>
    <row r="590" customFormat="false" ht="15" hidden="false" customHeight="false" outlineLevel="0" collapsed="false">
      <c r="A590" s="2" t="n">
        <v>108</v>
      </c>
      <c r="B590" s="2" t="s">
        <v>1275</v>
      </c>
      <c r="C590" s="2" t="s">
        <v>1280</v>
      </c>
      <c r="D590" s="2" t="s">
        <v>3492</v>
      </c>
      <c r="E590" s="2" t="s">
        <v>1395</v>
      </c>
      <c r="F590" s="2" t="s">
        <v>1419</v>
      </c>
      <c r="G590" s="2" t="s">
        <v>3493</v>
      </c>
      <c r="H590" s="2" t="s">
        <v>3494</v>
      </c>
      <c r="I590" s="2" t="s">
        <v>1374</v>
      </c>
      <c r="J590" s="2" t="s">
        <v>3495</v>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0</v>
      </c>
      <c r="Z590" s="2" t="n">
        <v>0</v>
      </c>
      <c r="AA590" s="2" t="n">
        <v>0</v>
      </c>
      <c r="AB590" s="2" t="n">
        <v>1</v>
      </c>
      <c r="AC590" s="2"/>
    </row>
    <row r="591" customFormat="false" ht="15" hidden="false" customHeight="false" outlineLevel="0" collapsed="false">
      <c r="A591" s="2" t="n">
        <v>108</v>
      </c>
      <c r="B591" s="2" t="s">
        <v>1275</v>
      </c>
      <c r="C591" s="2" t="s">
        <v>1280</v>
      </c>
      <c r="D591" s="2" t="s">
        <v>3496</v>
      </c>
      <c r="E591" s="2" t="s">
        <v>1395</v>
      </c>
      <c r="F591" s="2" t="s">
        <v>1419</v>
      </c>
      <c r="G591" s="2" t="s">
        <v>3493</v>
      </c>
      <c r="H591" s="2" t="s">
        <v>3497</v>
      </c>
      <c r="I591" s="2" t="s">
        <v>1374</v>
      </c>
      <c r="J591" s="2" t="s">
        <v>3498</v>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0</v>
      </c>
      <c r="Z591" s="2" t="n">
        <v>0</v>
      </c>
      <c r="AA591" s="2" t="n">
        <v>0</v>
      </c>
      <c r="AB591" s="2" t="n">
        <v>1</v>
      </c>
      <c r="AC591" s="2"/>
    </row>
    <row r="592" customFormat="false" ht="15" hidden="false" customHeight="false" outlineLevel="0" collapsed="false">
      <c r="A592" s="2" t="n">
        <v>108</v>
      </c>
      <c r="B592" s="2" t="s">
        <v>1275</v>
      </c>
      <c r="C592" s="2" t="s">
        <v>1280</v>
      </c>
      <c r="D592" s="2" t="s">
        <v>3499</v>
      </c>
      <c r="E592" s="2" t="s">
        <v>1395</v>
      </c>
      <c r="F592" s="2" t="s">
        <v>1419</v>
      </c>
      <c r="G592" s="2" t="s">
        <v>3493</v>
      </c>
      <c r="H592" s="2" t="s">
        <v>3500</v>
      </c>
      <c r="I592" s="2" t="s">
        <v>1374</v>
      </c>
      <c r="J592" s="2" t="s">
        <v>3501</v>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0</v>
      </c>
      <c r="Z592" s="2" t="n">
        <v>0</v>
      </c>
      <c r="AA592" s="2" t="n">
        <v>0</v>
      </c>
      <c r="AB592" s="2" t="n">
        <v>1</v>
      </c>
      <c r="AC592" s="2"/>
    </row>
    <row r="593" customFormat="false" ht="15" hidden="false" customHeight="false" outlineLevel="0" collapsed="false">
      <c r="A593" s="2" t="n">
        <v>108</v>
      </c>
      <c r="B593" s="2" t="s">
        <v>1275</v>
      </c>
      <c r="C593" s="2" t="s">
        <v>1280</v>
      </c>
      <c r="D593" s="2" t="s">
        <v>3502</v>
      </c>
      <c r="E593" s="2" t="s">
        <v>1395</v>
      </c>
      <c r="F593" s="2" t="s">
        <v>1419</v>
      </c>
      <c r="G593" s="2" t="s">
        <v>3503</v>
      </c>
      <c r="H593" s="2" t="s">
        <v>3504</v>
      </c>
      <c r="I593" s="2" t="s">
        <v>1374</v>
      </c>
      <c r="J593" s="2" t="s">
        <v>3505</v>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1</v>
      </c>
      <c r="AC593" s="2"/>
    </row>
    <row r="594" customFormat="false" ht="15" hidden="false" customHeight="false" outlineLevel="0" collapsed="false">
      <c r="A594" s="2" t="n">
        <v>108</v>
      </c>
      <c r="B594" s="2" t="s">
        <v>1275</v>
      </c>
      <c r="C594" s="2" t="s">
        <v>1280</v>
      </c>
      <c r="D594" s="2" t="s">
        <v>3506</v>
      </c>
      <c r="E594" s="2" t="s">
        <v>1395</v>
      </c>
      <c r="F594" s="2" t="s">
        <v>1419</v>
      </c>
      <c r="G594" s="2" t="s">
        <v>3507</v>
      </c>
      <c r="H594" s="2" t="s">
        <v>3508</v>
      </c>
      <c r="I594" s="2" t="s">
        <v>1374</v>
      </c>
      <c r="J594" s="2" t="s">
        <v>3509</v>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row>
    <row r="595" customFormat="false" ht="15" hidden="false" customHeight="false" outlineLevel="0" collapsed="false">
      <c r="A595" s="2" t="n">
        <v>108</v>
      </c>
      <c r="B595" s="2" t="s">
        <v>1275</v>
      </c>
      <c r="C595" s="2" t="s">
        <v>1280</v>
      </c>
      <c r="D595" s="2" t="s">
        <v>3510</v>
      </c>
      <c r="E595" s="2" t="s">
        <v>1395</v>
      </c>
      <c r="F595" s="2" t="s">
        <v>1419</v>
      </c>
      <c r="G595" s="2" t="s">
        <v>3511</v>
      </c>
      <c r="H595" s="2" t="s">
        <v>3512</v>
      </c>
      <c r="I595" s="2" t="s">
        <v>1374</v>
      </c>
      <c r="J595" s="2" t="s">
        <v>3513</v>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row>
    <row r="596" customFormat="false" ht="15" hidden="false" customHeight="false" outlineLevel="0" collapsed="false">
      <c r="A596" s="2" t="n">
        <v>108</v>
      </c>
      <c r="B596" s="2" t="s">
        <v>1275</v>
      </c>
      <c r="C596" s="2" t="s">
        <v>1280</v>
      </c>
      <c r="D596" s="2" t="s">
        <v>3514</v>
      </c>
      <c r="E596" s="2" t="s">
        <v>1395</v>
      </c>
      <c r="F596" s="2" t="s">
        <v>1419</v>
      </c>
      <c r="G596" s="2" t="s">
        <v>3515</v>
      </c>
      <c r="H596" s="2" t="s">
        <v>3516</v>
      </c>
      <c r="I596" s="2" t="s">
        <v>1374</v>
      </c>
      <c r="J596" s="2" t="s">
        <v>3517</v>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row>
    <row r="597" customFormat="false" ht="15" hidden="false" customHeight="false" outlineLevel="0" collapsed="false">
      <c r="A597" s="2" t="n">
        <v>108</v>
      </c>
      <c r="B597" s="2" t="s">
        <v>1275</v>
      </c>
      <c r="C597" s="2" t="s">
        <v>1280</v>
      </c>
      <c r="D597" s="2" t="s">
        <v>3518</v>
      </c>
      <c r="E597" s="2" t="s">
        <v>1395</v>
      </c>
      <c r="F597" s="2" t="s">
        <v>1419</v>
      </c>
      <c r="G597" s="2" t="s">
        <v>3519</v>
      </c>
      <c r="H597" s="2" t="s">
        <v>3520</v>
      </c>
      <c r="I597" s="2" t="s">
        <v>1374</v>
      </c>
      <c r="J597" s="2" t="s">
        <v>3521</v>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row>
    <row r="598" customFormat="false" ht="15" hidden="false" customHeight="false" outlineLevel="0" collapsed="false">
      <c r="A598" s="2" t="n">
        <v>108</v>
      </c>
      <c r="B598" s="2" t="s">
        <v>1275</v>
      </c>
      <c r="C598" s="2" t="s">
        <v>1280</v>
      </c>
      <c r="D598" s="2" t="s">
        <v>3522</v>
      </c>
      <c r="E598" s="2" t="s">
        <v>1395</v>
      </c>
      <c r="F598" s="2" t="s">
        <v>1419</v>
      </c>
      <c r="G598" s="2" t="s">
        <v>3519</v>
      </c>
      <c r="H598" s="2" t="s">
        <v>3523</v>
      </c>
      <c r="I598" s="2" t="s">
        <v>1374</v>
      </c>
      <c r="J598" s="2" t="s">
        <v>3524</v>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row>
    <row r="599" customFormat="false" ht="15" hidden="false" customHeight="false" outlineLevel="0" collapsed="false">
      <c r="A599" s="2" t="n">
        <v>108</v>
      </c>
      <c r="B599" s="2" t="s">
        <v>1275</v>
      </c>
      <c r="C599" s="2" t="s">
        <v>1280</v>
      </c>
      <c r="D599" s="2" t="s">
        <v>3525</v>
      </c>
      <c r="E599" s="2" t="s">
        <v>1395</v>
      </c>
      <c r="F599" s="2" t="s">
        <v>1419</v>
      </c>
      <c r="G599" s="2" t="s">
        <v>3526</v>
      </c>
      <c r="H599" s="2" t="s">
        <v>3527</v>
      </c>
      <c r="I599" s="2" t="s">
        <v>1374</v>
      </c>
      <c r="J599" s="2" t="s">
        <v>3528</v>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row>
    <row r="600" customFormat="false" ht="15" hidden="false" customHeight="false" outlineLevel="0" collapsed="false">
      <c r="A600" s="2" t="n">
        <v>108</v>
      </c>
      <c r="B600" s="2" t="s">
        <v>1275</v>
      </c>
      <c r="C600" s="2" t="s">
        <v>1280</v>
      </c>
      <c r="D600" s="2" t="s">
        <v>3529</v>
      </c>
      <c r="E600" s="2" t="s">
        <v>1395</v>
      </c>
      <c r="F600" s="2" t="s">
        <v>1419</v>
      </c>
      <c r="G600" s="2" t="s">
        <v>3530</v>
      </c>
      <c r="H600" s="2" t="s">
        <v>3531</v>
      </c>
      <c r="I600" s="2" t="s">
        <v>1374</v>
      </c>
      <c r="J600" s="2" t="s">
        <v>3532</v>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row>
    <row r="601" customFormat="false" ht="15" hidden="false" customHeight="false" outlineLevel="0" collapsed="false">
      <c r="A601" s="2" t="n">
        <v>108</v>
      </c>
      <c r="B601" s="2" t="s">
        <v>1275</v>
      </c>
      <c r="C601" s="2" t="s">
        <v>1280</v>
      </c>
      <c r="D601" s="2" t="s">
        <v>3533</v>
      </c>
      <c r="E601" s="2" t="s">
        <v>1395</v>
      </c>
      <c r="F601" s="2" t="s">
        <v>1419</v>
      </c>
      <c r="G601" s="2" t="s">
        <v>3534</v>
      </c>
      <c r="H601" s="2" t="s">
        <v>3535</v>
      </c>
      <c r="I601" s="2" t="s">
        <v>1374</v>
      </c>
      <c r="J601" s="2" t="s">
        <v>3536</v>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row>
    <row r="602" customFormat="false" ht="15" hidden="false" customHeight="false" outlineLevel="0" collapsed="false">
      <c r="A602" s="2" t="n">
        <v>108</v>
      </c>
      <c r="B602" s="2" t="s">
        <v>1275</v>
      </c>
      <c r="C602" s="2" t="s">
        <v>1280</v>
      </c>
      <c r="D602" s="2" t="s">
        <v>3537</v>
      </c>
      <c r="E602" s="2" t="s">
        <v>1395</v>
      </c>
      <c r="F602" s="2" t="s">
        <v>1419</v>
      </c>
      <c r="G602" s="2" t="s">
        <v>2093</v>
      </c>
      <c r="H602" s="2" t="s">
        <v>3538</v>
      </c>
      <c r="I602" s="2" t="s">
        <v>1374</v>
      </c>
      <c r="J602" s="2" t="s">
        <v>3539</v>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row>
    <row r="603" customFormat="false" ht="15" hidden="false" customHeight="false" outlineLevel="0" collapsed="false">
      <c r="A603" s="2" t="n">
        <v>108</v>
      </c>
      <c r="B603" s="2" t="s">
        <v>1275</v>
      </c>
      <c r="C603" s="2" t="s">
        <v>1280</v>
      </c>
      <c r="D603" s="2" t="s">
        <v>3540</v>
      </c>
      <c r="E603" s="2" t="s">
        <v>1395</v>
      </c>
      <c r="F603" s="2" t="s">
        <v>1419</v>
      </c>
      <c r="G603" s="2" t="s">
        <v>3541</v>
      </c>
      <c r="H603" s="2" t="s">
        <v>3542</v>
      </c>
      <c r="I603" s="2" t="s">
        <v>1374</v>
      </c>
      <c r="J603" s="2" t="s">
        <v>3543</v>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row>
    <row r="604" customFormat="false" ht="15" hidden="false" customHeight="false" outlineLevel="0" collapsed="false">
      <c r="A604" s="2" t="n">
        <v>108</v>
      </c>
      <c r="B604" s="2" t="s">
        <v>1275</v>
      </c>
      <c r="C604" s="2" t="s">
        <v>1280</v>
      </c>
      <c r="D604" s="2" t="s">
        <v>3544</v>
      </c>
      <c r="E604" s="2" t="s">
        <v>1395</v>
      </c>
      <c r="F604" s="2" t="s">
        <v>1419</v>
      </c>
      <c r="G604" s="2" t="s">
        <v>3545</v>
      </c>
      <c r="H604" s="2" t="s">
        <v>3546</v>
      </c>
      <c r="I604" s="2" t="s">
        <v>1374</v>
      </c>
      <c r="J604" s="2" t="s">
        <v>3547</v>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row>
    <row r="605" customFormat="false" ht="15" hidden="false" customHeight="false" outlineLevel="0" collapsed="false">
      <c r="A605" s="2" t="n">
        <v>108</v>
      </c>
      <c r="B605" s="2" t="s">
        <v>1275</v>
      </c>
      <c r="C605" s="2" t="s">
        <v>1280</v>
      </c>
      <c r="D605" s="2" t="s">
        <v>3548</v>
      </c>
      <c r="E605" s="2" t="s">
        <v>1395</v>
      </c>
      <c r="F605" s="2" t="s">
        <v>1419</v>
      </c>
      <c r="G605" s="2" t="s">
        <v>3549</v>
      </c>
      <c r="H605" s="2" t="s">
        <v>3550</v>
      </c>
      <c r="I605" s="2" t="s">
        <v>1374</v>
      </c>
      <c r="J605" s="2" t="s">
        <v>3551</v>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row>
    <row r="606" customFormat="false" ht="15" hidden="false" customHeight="false" outlineLevel="0" collapsed="false">
      <c r="A606" s="2" t="n">
        <v>108</v>
      </c>
      <c r="B606" s="2" t="s">
        <v>1275</v>
      </c>
      <c r="C606" s="2" t="s">
        <v>1280</v>
      </c>
      <c r="D606" s="2" t="s">
        <v>3552</v>
      </c>
      <c r="E606" s="2" t="s">
        <v>1395</v>
      </c>
      <c r="F606" s="2" t="s">
        <v>1419</v>
      </c>
      <c r="G606" s="2" t="s">
        <v>3553</v>
      </c>
      <c r="H606" s="2" t="s">
        <v>3554</v>
      </c>
      <c r="I606" s="2" t="s">
        <v>1374</v>
      </c>
      <c r="J606" s="2" t="s">
        <v>3555</v>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row>
    <row r="607" customFormat="false" ht="15" hidden="false" customHeight="false" outlineLevel="0" collapsed="false">
      <c r="A607" s="2" t="n">
        <v>108</v>
      </c>
      <c r="B607" s="2" t="s">
        <v>1275</v>
      </c>
      <c r="C607" s="2" t="s">
        <v>1280</v>
      </c>
      <c r="D607" s="2" t="s">
        <v>3556</v>
      </c>
      <c r="E607" s="2" t="s">
        <v>1395</v>
      </c>
      <c r="F607" s="2" t="s">
        <v>1419</v>
      </c>
      <c r="G607" s="2" t="s">
        <v>3557</v>
      </c>
      <c r="H607" s="2" t="s">
        <v>3558</v>
      </c>
      <c r="I607" s="2" t="s">
        <v>1374</v>
      </c>
      <c r="J607" s="2" t="s">
        <v>3559</v>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row>
    <row r="608" customFormat="false" ht="15" hidden="false" customHeight="false" outlineLevel="0" collapsed="false">
      <c r="A608" s="2" t="n">
        <v>108</v>
      </c>
      <c r="B608" s="2" t="s">
        <v>1275</v>
      </c>
      <c r="C608" s="2" t="s">
        <v>1280</v>
      </c>
      <c r="D608" s="2" t="s">
        <v>3560</v>
      </c>
      <c r="E608" s="2" t="s">
        <v>1395</v>
      </c>
      <c r="F608" s="2" t="s">
        <v>1419</v>
      </c>
      <c r="G608" s="2" t="s">
        <v>3561</v>
      </c>
      <c r="H608" s="2" t="s">
        <v>3562</v>
      </c>
      <c r="I608" s="2" t="s">
        <v>1374</v>
      </c>
      <c r="J608" s="2" t="s">
        <v>3563</v>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row>
    <row r="609" customFormat="false" ht="15" hidden="false" customHeight="false" outlineLevel="0" collapsed="false">
      <c r="A609" s="2" t="n">
        <v>108</v>
      </c>
      <c r="B609" s="2" t="s">
        <v>1275</v>
      </c>
      <c r="C609" s="2" t="s">
        <v>1280</v>
      </c>
      <c r="D609" s="2" t="s">
        <v>3564</v>
      </c>
      <c r="E609" s="2" t="s">
        <v>1395</v>
      </c>
      <c r="F609" s="2" t="s">
        <v>1419</v>
      </c>
      <c r="G609" s="2" t="s">
        <v>3565</v>
      </c>
      <c r="H609" s="2" t="s">
        <v>3566</v>
      </c>
      <c r="I609" s="2" t="s">
        <v>1374</v>
      </c>
      <c r="J609" s="2" t="s">
        <v>3567</v>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row>
    <row r="610" customFormat="false" ht="15" hidden="false" customHeight="false" outlineLevel="0" collapsed="false">
      <c r="A610" s="2" t="n">
        <v>108</v>
      </c>
      <c r="B610" s="2" t="s">
        <v>1275</v>
      </c>
      <c r="C610" s="2" t="s">
        <v>1280</v>
      </c>
      <c r="D610" s="2" t="s">
        <v>3568</v>
      </c>
      <c r="E610" s="2" t="s">
        <v>1395</v>
      </c>
      <c r="F610" s="2" t="s">
        <v>1419</v>
      </c>
      <c r="G610" s="2" t="s">
        <v>3569</v>
      </c>
      <c r="H610" s="2" t="s">
        <v>3570</v>
      </c>
      <c r="I610" s="2" t="s">
        <v>1374</v>
      </c>
      <c r="J610" s="2" t="s">
        <v>3571</v>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row>
    <row r="611" customFormat="false" ht="15" hidden="false" customHeight="false" outlineLevel="0" collapsed="false">
      <c r="A611" s="2" t="n">
        <v>108</v>
      </c>
      <c r="B611" s="2" t="s">
        <v>1275</v>
      </c>
      <c r="C611" s="2" t="s">
        <v>1280</v>
      </c>
      <c r="D611" s="2" t="s">
        <v>3572</v>
      </c>
      <c r="E611" s="2" t="s">
        <v>1395</v>
      </c>
      <c r="F611" s="2" t="s">
        <v>1419</v>
      </c>
      <c r="G611" s="2" t="s">
        <v>2856</v>
      </c>
      <c r="H611" s="2" t="s">
        <v>3573</v>
      </c>
      <c r="I611" s="2" t="s">
        <v>1374</v>
      </c>
      <c r="J611" s="2" t="s">
        <v>3574</v>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row>
    <row r="612" customFormat="false" ht="15" hidden="false" customHeight="false" outlineLevel="0" collapsed="false">
      <c r="A612" s="2" t="n">
        <v>108</v>
      </c>
      <c r="B612" s="2" t="s">
        <v>1275</v>
      </c>
      <c r="C612" s="2" t="s">
        <v>1280</v>
      </c>
      <c r="D612" s="2" t="s">
        <v>3575</v>
      </c>
      <c r="E612" s="2" t="s">
        <v>1395</v>
      </c>
      <c r="F612" s="2" t="s">
        <v>1419</v>
      </c>
      <c r="G612" s="2" t="s">
        <v>2856</v>
      </c>
      <c r="H612" s="2" t="s">
        <v>3576</v>
      </c>
      <c r="I612" s="2" t="s">
        <v>1374</v>
      </c>
      <c r="J612" s="2" t="s">
        <v>3577</v>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row>
    <row r="613" customFormat="false" ht="15" hidden="false" customHeight="false" outlineLevel="0" collapsed="false">
      <c r="A613" s="2" t="n">
        <v>108</v>
      </c>
      <c r="B613" s="2" t="s">
        <v>1275</v>
      </c>
      <c r="C613" s="2" t="s">
        <v>1280</v>
      </c>
      <c r="D613" s="2" t="s">
        <v>3578</v>
      </c>
      <c r="E613" s="2" t="s">
        <v>1395</v>
      </c>
      <c r="F613" s="2" t="s">
        <v>1419</v>
      </c>
      <c r="G613" s="2" t="s">
        <v>2856</v>
      </c>
      <c r="H613" s="2" t="s">
        <v>3579</v>
      </c>
      <c r="I613" s="2" t="s">
        <v>1374</v>
      </c>
      <c r="J613" s="2" t="s">
        <v>3580</v>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row>
    <row r="614" customFormat="false" ht="15" hidden="false" customHeight="false" outlineLevel="0" collapsed="false">
      <c r="A614" s="2" t="n">
        <v>108</v>
      </c>
      <c r="B614" s="2" t="s">
        <v>1275</v>
      </c>
      <c r="C614" s="2" t="s">
        <v>1280</v>
      </c>
      <c r="D614" s="2" t="s">
        <v>3581</v>
      </c>
      <c r="E614" s="2" t="s">
        <v>1395</v>
      </c>
      <c r="F614" s="2" t="s">
        <v>1419</v>
      </c>
      <c r="G614" s="2" t="s">
        <v>3582</v>
      </c>
      <c r="H614" s="2" t="s">
        <v>3583</v>
      </c>
      <c r="I614" s="2" t="s">
        <v>1374</v>
      </c>
      <c r="J614" s="2" t="s">
        <v>3584</v>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row>
    <row r="615" customFormat="false" ht="15" hidden="false" customHeight="false" outlineLevel="0" collapsed="false">
      <c r="A615" s="2" t="n">
        <v>108</v>
      </c>
      <c r="B615" s="2" t="s">
        <v>1275</v>
      </c>
      <c r="C615" s="2" t="s">
        <v>1280</v>
      </c>
      <c r="D615" s="2" t="s">
        <v>3585</v>
      </c>
      <c r="E615" s="2" t="s">
        <v>1395</v>
      </c>
      <c r="F615" s="2" t="s">
        <v>1419</v>
      </c>
      <c r="G615" s="2" t="s">
        <v>3586</v>
      </c>
      <c r="H615" s="2" t="s">
        <v>3587</v>
      </c>
      <c r="I615" s="2" t="s">
        <v>1374</v>
      </c>
      <c r="J615" s="2" t="s">
        <v>3588</v>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row>
    <row r="616" customFormat="false" ht="15" hidden="false" customHeight="false" outlineLevel="0" collapsed="false">
      <c r="A616" s="2" t="n">
        <v>108</v>
      </c>
      <c r="B616" s="2" t="s">
        <v>1275</v>
      </c>
      <c r="C616" s="2" t="s">
        <v>1280</v>
      </c>
      <c r="D616" s="2" t="s">
        <v>3589</v>
      </c>
      <c r="E616" s="2" t="s">
        <v>1395</v>
      </c>
      <c r="F616" s="2" t="s">
        <v>1419</v>
      </c>
      <c r="G616" s="2" t="s">
        <v>2385</v>
      </c>
      <c r="H616" s="2" t="s">
        <v>3590</v>
      </c>
      <c r="I616" s="2" t="s">
        <v>1374</v>
      </c>
      <c r="J616" s="2" t="s">
        <v>3591</v>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row>
    <row r="617" customFormat="false" ht="15" hidden="false" customHeight="false" outlineLevel="0" collapsed="false">
      <c r="A617" s="2" t="n">
        <v>108</v>
      </c>
      <c r="B617" s="2" t="s">
        <v>1275</v>
      </c>
      <c r="C617" s="2" t="s">
        <v>1280</v>
      </c>
      <c r="D617" s="2" t="s">
        <v>3592</v>
      </c>
      <c r="E617" s="2" t="s">
        <v>1395</v>
      </c>
      <c r="F617" s="2" t="s">
        <v>1419</v>
      </c>
      <c r="G617" s="2" t="s">
        <v>2385</v>
      </c>
      <c r="H617" s="2" t="s">
        <v>3593</v>
      </c>
      <c r="I617" s="2" t="s">
        <v>1374</v>
      </c>
      <c r="J617" s="2" t="s">
        <v>3594</v>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row>
    <row r="618" customFormat="false" ht="15" hidden="false" customHeight="false" outlineLevel="0" collapsed="false">
      <c r="A618" s="2" t="n">
        <v>108</v>
      </c>
      <c r="B618" s="2" t="s">
        <v>1275</v>
      </c>
      <c r="C618" s="2" t="s">
        <v>1280</v>
      </c>
      <c r="D618" s="2" t="s">
        <v>3595</v>
      </c>
      <c r="E618" s="2" t="s">
        <v>1395</v>
      </c>
      <c r="F618" s="2" t="s">
        <v>1419</v>
      </c>
      <c r="G618" s="2" t="s">
        <v>1530</v>
      </c>
      <c r="H618" s="2" t="s">
        <v>3596</v>
      </c>
      <c r="I618" s="2" t="s">
        <v>1374</v>
      </c>
      <c r="J618" s="2" t="s">
        <v>3597</v>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row>
    <row r="619" customFormat="false" ht="15" hidden="false" customHeight="false" outlineLevel="0" collapsed="false">
      <c r="A619" s="2" t="n">
        <v>108</v>
      </c>
      <c r="B619" s="2" t="s">
        <v>1275</v>
      </c>
      <c r="C619" s="2" t="s">
        <v>1280</v>
      </c>
      <c r="D619" s="2" t="s">
        <v>3598</v>
      </c>
      <c r="E619" s="2" t="s">
        <v>1395</v>
      </c>
      <c r="F619" s="2" t="s">
        <v>1419</v>
      </c>
      <c r="G619" s="2" t="s">
        <v>3599</v>
      </c>
      <c r="H619" s="2" t="s">
        <v>3600</v>
      </c>
      <c r="I619" s="2" t="s">
        <v>1374</v>
      </c>
      <c r="J619" s="2" t="s">
        <v>3601</v>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row>
    <row r="620" customFormat="false" ht="15" hidden="false" customHeight="false" outlineLevel="0" collapsed="false">
      <c r="A620" s="2" t="n">
        <v>108</v>
      </c>
      <c r="B620" s="2" t="s">
        <v>1275</v>
      </c>
      <c r="C620" s="2" t="s">
        <v>1280</v>
      </c>
      <c r="D620" s="2" t="s">
        <v>3602</v>
      </c>
      <c r="E620" s="2" t="s">
        <v>1395</v>
      </c>
      <c r="F620" s="2" t="s">
        <v>1419</v>
      </c>
      <c r="G620" s="2" t="s">
        <v>3599</v>
      </c>
      <c r="H620" s="2" t="s">
        <v>3603</v>
      </c>
      <c r="I620" s="2" t="s">
        <v>1374</v>
      </c>
      <c r="J620" s="2" t="s">
        <v>3604</v>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row>
    <row r="621" customFormat="false" ht="15" hidden="false" customHeight="false" outlineLevel="0" collapsed="false">
      <c r="A621" s="2" t="n">
        <v>108</v>
      </c>
      <c r="B621" s="2" t="s">
        <v>1275</v>
      </c>
      <c r="C621" s="2" t="s">
        <v>1280</v>
      </c>
      <c r="D621" s="2" t="s">
        <v>3605</v>
      </c>
      <c r="E621" s="2" t="s">
        <v>1395</v>
      </c>
      <c r="F621" s="2" t="s">
        <v>1419</v>
      </c>
      <c r="G621" s="2" t="s">
        <v>723</v>
      </c>
      <c r="H621" s="2" t="s">
        <v>3606</v>
      </c>
      <c r="I621" s="2" t="s">
        <v>1374</v>
      </c>
      <c r="J621" s="2" t="s">
        <v>3607</v>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row>
    <row r="622" customFormat="false" ht="15" hidden="false" customHeight="false" outlineLevel="0" collapsed="false">
      <c r="A622" s="2" t="n">
        <v>108</v>
      </c>
      <c r="B622" s="2" t="s">
        <v>1275</v>
      </c>
      <c r="C622" s="2" t="s">
        <v>1280</v>
      </c>
      <c r="D622" s="2" t="s">
        <v>3608</v>
      </c>
      <c r="E622" s="2" t="s">
        <v>1395</v>
      </c>
      <c r="F622" s="2" t="s">
        <v>1419</v>
      </c>
      <c r="G622" s="2" t="s">
        <v>723</v>
      </c>
      <c r="H622" s="2" t="s">
        <v>3609</v>
      </c>
      <c r="I622" s="2" t="s">
        <v>1374</v>
      </c>
      <c r="J622" s="2" t="s">
        <v>3610</v>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2</v>
      </c>
      <c r="AC622" s="2"/>
    </row>
    <row r="623" customFormat="false" ht="15" hidden="false" customHeight="false" outlineLevel="0" collapsed="false">
      <c r="A623" s="2" t="n">
        <v>108</v>
      </c>
      <c r="B623" s="2" t="s">
        <v>1275</v>
      </c>
      <c r="C623" s="2" t="s">
        <v>1280</v>
      </c>
      <c r="D623" s="2" t="s">
        <v>3611</v>
      </c>
      <c r="E623" s="2" t="s">
        <v>1395</v>
      </c>
      <c r="F623" s="2" t="s">
        <v>1419</v>
      </c>
      <c r="G623" s="2" t="s">
        <v>3612</v>
      </c>
      <c r="H623" s="2" t="s">
        <v>3613</v>
      </c>
      <c r="I623" s="2" t="s">
        <v>1374</v>
      </c>
      <c r="J623" s="2" t="s">
        <v>3614</v>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row>
    <row r="624" customFormat="false" ht="15" hidden="false" customHeight="false" outlineLevel="0" collapsed="false">
      <c r="A624" s="2" t="n">
        <v>108</v>
      </c>
      <c r="B624" s="2" t="s">
        <v>1275</v>
      </c>
      <c r="C624" s="2" t="s">
        <v>1280</v>
      </c>
      <c r="D624" s="2" t="s">
        <v>3615</v>
      </c>
      <c r="E624" s="2" t="s">
        <v>1395</v>
      </c>
      <c r="F624" s="2" t="s">
        <v>1419</v>
      </c>
      <c r="G624" s="2" t="s">
        <v>3616</v>
      </c>
      <c r="H624" s="2" t="s">
        <v>3617</v>
      </c>
      <c r="I624" s="2" t="s">
        <v>1374</v>
      </c>
      <c r="J624" s="2" t="s">
        <v>3618</v>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row>
    <row r="625" customFormat="false" ht="15" hidden="false" customHeight="false" outlineLevel="0" collapsed="false">
      <c r="A625" s="2" t="n">
        <v>108</v>
      </c>
      <c r="B625" s="2" t="s">
        <v>1275</v>
      </c>
      <c r="C625" s="2" t="s">
        <v>1280</v>
      </c>
      <c r="D625" s="2" t="s">
        <v>3619</v>
      </c>
      <c r="E625" s="2" t="s">
        <v>1395</v>
      </c>
      <c r="F625" s="2" t="s">
        <v>1419</v>
      </c>
      <c r="G625" s="2" t="s">
        <v>3620</v>
      </c>
      <c r="H625" s="2" t="s">
        <v>3621</v>
      </c>
      <c r="I625" s="2" t="s">
        <v>1374</v>
      </c>
      <c r="J625" s="2" t="s">
        <v>3622</v>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row>
    <row r="626" customFormat="false" ht="15" hidden="false" customHeight="false" outlineLevel="0" collapsed="false">
      <c r="A626" s="2" t="n">
        <v>108</v>
      </c>
      <c r="B626" s="2" t="s">
        <v>1275</v>
      </c>
      <c r="C626" s="2" t="s">
        <v>1280</v>
      </c>
      <c r="D626" s="2" t="s">
        <v>3623</v>
      </c>
      <c r="E626" s="2" t="s">
        <v>1395</v>
      </c>
      <c r="F626" s="2" t="s">
        <v>1419</v>
      </c>
      <c r="G626" s="2" t="s">
        <v>3620</v>
      </c>
      <c r="H626" s="2" t="s">
        <v>3624</v>
      </c>
      <c r="I626" s="2" t="s">
        <v>1374</v>
      </c>
      <c r="J626" s="2" t="s">
        <v>3625</v>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row>
    <row r="627" customFormat="false" ht="15" hidden="false" customHeight="false" outlineLevel="0" collapsed="false">
      <c r="A627" s="2" t="n">
        <v>108</v>
      </c>
      <c r="B627" s="2" t="s">
        <v>1275</v>
      </c>
      <c r="C627" s="2" t="s">
        <v>1280</v>
      </c>
      <c r="D627" s="2" t="s">
        <v>3626</v>
      </c>
      <c r="E627" s="2" t="s">
        <v>1395</v>
      </c>
      <c r="F627" s="2" t="s">
        <v>1419</v>
      </c>
      <c r="G627" s="2" t="s">
        <v>3627</v>
      </c>
      <c r="H627" s="2" t="s">
        <v>3628</v>
      </c>
      <c r="I627" s="2" t="s">
        <v>1374</v>
      </c>
      <c r="J627" s="2" t="s">
        <v>3629</v>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row>
    <row r="628" customFormat="false" ht="15" hidden="false" customHeight="false" outlineLevel="0" collapsed="false">
      <c r="A628" s="2" t="n">
        <v>108</v>
      </c>
      <c r="B628" s="2" t="s">
        <v>1275</v>
      </c>
      <c r="C628" s="2" t="s">
        <v>1280</v>
      </c>
      <c r="D628" s="2" t="s">
        <v>3630</v>
      </c>
      <c r="E628" s="2" t="s">
        <v>1395</v>
      </c>
      <c r="F628" s="2" t="s">
        <v>1419</v>
      </c>
      <c r="G628" s="2" t="s">
        <v>3631</v>
      </c>
      <c r="H628" s="2" t="s">
        <v>3632</v>
      </c>
      <c r="I628" s="2" t="s">
        <v>1374</v>
      </c>
      <c r="J628" s="2" t="s">
        <v>3633</v>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row>
    <row r="629" customFormat="false" ht="15" hidden="false" customHeight="false" outlineLevel="0" collapsed="false">
      <c r="A629" s="2" t="n">
        <v>108</v>
      </c>
      <c r="B629" s="2" t="s">
        <v>1275</v>
      </c>
      <c r="C629" s="2" t="s">
        <v>1280</v>
      </c>
      <c r="D629" s="2" t="s">
        <v>3634</v>
      </c>
      <c r="E629" s="2" t="s">
        <v>1395</v>
      </c>
      <c r="F629" s="2" t="s">
        <v>1419</v>
      </c>
      <c r="G629" s="2" t="s">
        <v>3635</v>
      </c>
      <c r="H629" s="2" t="s">
        <v>3636</v>
      </c>
      <c r="I629" s="2" t="s">
        <v>1374</v>
      </c>
      <c r="J629" s="2" t="s">
        <v>3637</v>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row>
    <row r="630" customFormat="false" ht="15" hidden="false" customHeight="false" outlineLevel="0" collapsed="false">
      <c r="A630" s="2" t="n">
        <v>108</v>
      </c>
      <c r="B630" s="2" t="s">
        <v>1275</v>
      </c>
      <c r="C630" s="2" t="s">
        <v>1280</v>
      </c>
      <c r="D630" s="2" t="s">
        <v>3638</v>
      </c>
      <c r="E630" s="2" t="s">
        <v>1395</v>
      </c>
      <c r="F630" s="2" t="s">
        <v>1419</v>
      </c>
      <c r="G630" s="2" t="s">
        <v>3639</v>
      </c>
      <c r="H630" s="2" t="s">
        <v>3640</v>
      </c>
      <c r="I630" s="2" t="s">
        <v>1374</v>
      </c>
      <c r="J630" s="2" t="s">
        <v>3641</v>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row>
    <row r="631" customFormat="false" ht="15" hidden="false" customHeight="false" outlineLevel="0" collapsed="false">
      <c r="A631" s="2" t="n">
        <v>108</v>
      </c>
      <c r="B631" s="2" t="s">
        <v>1275</v>
      </c>
      <c r="C631" s="2" t="s">
        <v>1280</v>
      </c>
      <c r="D631" s="2" t="s">
        <v>3642</v>
      </c>
      <c r="E631" s="2" t="s">
        <v>1395</v>
      </c>
      <c r="F631" s="2" t="s">
        <v>1419</v>
      </c>
      <c r="G631" s="2" t="s">
        <v>2147</v>
      </c>
      <c r="H631" s="2" t="s">
        <v>3643</v>
      </c>
      <c r="I631" s="2" t="s">
        <v>1374</v>
      </c>
      <c r="J631" s="2" t="s">
        <v>3644</v>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row>
    <row r="632" customFormat="false" ht="15" hidden="false" customHeight="false" outlineLevel="0" collapsed="false">
      <c r="A632" s="2" t="n">
        <v>108</v>
      </c>
      <c r="B632" s="2" t="s">
        <v>1275</v>
      </c>
      <c r="C632" s="2" t="s">
        <v>1280</v>
      </c>
      <c r="D632" s="2" t="s">
        <v>3645</v>
      </c>
      <c r="E632" s="2" t="s">
        <v>1395</v>
      </c>
      <c r="F632" s="2" t="s">
        <v>1419</v>
      </c>
      <c r="G632" s="2" t="s">
        <v>3646</v>
      </c>
      <c r="H632" s="2" t="s">
        <v>3647</v>
      </c>
      <c r="I632" s="2" t="s">
        <v>1374</v>
      </c>
      <c r="J632" s="2" t="s">
        <v>3648</v>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row>
    <row r="633" customFormat="false" ht="15" hidden="false" customHeight="false" outlineLevel="0" collapsed="false">
      <c r="A633" s="2" t="n">
        <v>108</v>
      </c>
      <c r="B633" s="2" t="s">
        <v>1275</v>
      </c>
      <c r="C633" s="2" t="s">
        <v>1280</v>
      </c>
      <c r="D633" s="2" t="s">
        <v>3649</v>
      </c>
      <c r="E633" s="2" t="s">
        <v>1395</v>
      </c>
      <c r="F633" s="2" t="s">
        <v>1419</v>
      </c>
      <c r="G633" s="2" t="s">
        <v>3650</v>
      </c>
      <c r="H633" s="2" t="s">
        <v>3651</v>
      </c>
      <c r="I633" s="2" t="s">
        <v>1374</v>
      </c>
      <c r="J633" s="2" t="s">
        <v>3652</v>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row>
    <row r="634" customFormat="false" ht="15" hidden="false" customHeight="false" outlineLevel="0" collapsed="false">
      <c r="A634" s="2" t="n">
        <v>108</v>
      </c>
      <c r="B634" s="2" t="s">
        <v>1275</v>
      </c>
      <c r="C634" s="2" t="s">
        <v>1280</v>
      </c>
      <c r="D634" s="2" t="s">
        <v>3653</v>
      </c>
      <c r="E634" s="2" t="s">
        <v>1395</v>
      </c>
      <c r="F634" s="2" t="s">
        <v>1419</v>
      </c>
      <c r="G634" s="2" t="s">
        <v>3650</v>
      </c>
      <c r="H634" s="2" t="s">
        <v>3654</v>
      </c>
      <c r="I634" s="2" t="s">
        <v>1374</v>
      </c>
      <c r="J634" s="2" t="s">
        <v>3655</v>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row>
    <row r="635" customFormat="false" ht="15" hidden="false" customHeight="false" outlineLevel="0" collapsed="false">
      <c r="A635" s="2" t="n">
        <v>108</v>
      </c>
      <c r="B635" s="2" t="s">
        <v>1275</v>
      </c>
      <c r="C635" s="2" t="s">
        <v>1280</v>
      </c>
      <c r="D635" s="2" t="s">
        <v>3656</v>
      </c>
      <c r="E635" s="2" t="s">
        <v>1395</v>
      </c>
      <c r="F635" s="2" t="s">
        <v>1419</v>
      </c>
      <c r="G635" s="2" t="s">
        <v>3657</v>
      </c>
      <c r="H635" s="2" t="s">
        <v>3658</v>
      </c>
      <c r="I635" s="2" t="s">
        <v>1374</v>
      </c>
      <c r="J635" s="2" t="s">
        <v>3659</v>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row>
    <row r="636" customFormat="false" ht="15" hidden="false" customHeight="false" outlineLevel="0" collapsed="false">
      <c r="A636" s="2" t="n">
        <v>108</v>
      </c>
      <c r="B636" s="2" t="s">
        <v>1275</v>
      </c>
      <c r="C636" s="2" t="s">
        <v>1280</v>
      </c>
      <c r="D636" s="2" t="s">
        <v>3660</v>
      </c>
      <c r="E636" s="2" t="s">
        <v>1395</v>
      </c>
      <c r="F636" s="2" t="s">
        <v>1419</v>
      </c>
      <c r="G636" s="2" t="s">
        <v>3661</v>
      </c>
      <c r="H636" s="2" t="s">
        <v>3662</v>
      </c>
      <c r="I636" s="2" t="s">
        <v>1374</v>
      </c>
      <c r="J636" s="2" t="s">
        <v>3663</v>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row>
    <row r="637" customFormat="false" ht="15" hidden="false" customHeight="false" outlineLevel="0" collapsed="false">
      <c r="A637" s="2" t="n">
        <v>108</v>
      </c>
      <c r="B637" s="2" t="s">
        <v>1275</v>
      </c>
      <c r="C637" s="2" t="s">
        <v>1280</v>
      </c>
      <c r="D637" s="2" t="s">
        <v>3664</v>
      </c>
      <c r="E637" s="2" t="s">
        <v>1395</v>
      </c>
      <c r="F637" s="2" t="s">
        <v>1419</v>
      </c>
      <c r="G637" s="2" t="s">
        <v>3665</v>
      </c>
      <c r="H637" s="2" t="s">
        <v>3666</v>
      </c>
      <c r="I637" s="2" t="s">
        <v>1374</v>
      </c>
      <c r="J637" s="2" t="s">
        <v>3667</v>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row>
    <row r="638" customFormat="false" ht="15" hidden="false" customHeight="false" outlineLevel="0" collapsed="false">
      <c r="A638" s="2" t="n">
        <v>108</v>
      </c>
      <c r="B638" s="2" t="s">
        <v>1275</v>
      </c>
      <c r="C638" s="2" t="s">
        <v>1280</v>
      </c>
      <c r="D638" s="2" t="s">
        <v>3668</v>
      </c>
      <c r="E638" s="2" t="s">
        <v>1395</v>
      </c>
      <c r="F638" s="2" t="s">
        <v>1419</v>
      </c>
      <c r="G638" s="2" t="s">
        <v>3665</v>
      </c>
      <c r="H638" s="2" t="s">
        <v>3669</v>
      </c>
      <c r="I638" s="2" t="s">
        <v>1374</v>
      </c>
      <c r="J638" s="2" t="s">
        <v>3670</v>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row>
    <row r="639" customFormat="false" ht="15" hidden="false" customHeight="false" outlineLevel="0" collapsed="false">
      <c r="A639" s="2" t="n">
        <v>108</v>
      </c>
      <c r="B639" s="2" t="s">
        <v>1275</v>
      </c>
      <c r="C639" s="2" t="s">
        <v>1280</v>
      </c>
      <c r="D639" s="2" t="s">
        <v>3671</v>
      </c>
      <c r="E639" s="2" t="s">
        <v>1395</v>
      </c>
      <c r="F639" s="2" t="s">
        <v>1419</v>
      </c>
      <c r="G639" s="2" t="s">
        <v>3665</v>
      </c>
      <c r="H639" s="2" t="s">
        <v>3672</v>
      </c>
      <c r="I639" s="2" t="s">
        <v>1374</v>
      </c>
      <c r="J639" s="2" t="s">
        <v>3673</v>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row>
    <row r="640" customFormat="false" ht="15" hidden="false" customHeight="false" outlineLevel="0" collapsed="false">
      <c r="A640" s="2" t="n">
        <v>108</v>
      </c>
      <c r="B640" s="2" t="s">
        <v>1275</v>
      </c>
      <c r="C640" s="2" t="s">
        <v>1280</v>
      </c>
      <c r="D640" s="2" t="s">
        <v>3674</v>
      </c>
      <c r="E640" s="2" t="s">
        <v>1395</v>
      </c>
      <c r="F640" s="2" t="s">
        <v>1419</v>
      </c>
      <c r="G640" s="2" t="s">
        <v>988</v>
      </c>
      <c r="H640" s="2" t="s">
        <v>3675</v>
      </c>
      <c r="I640" s="2" t="s">
        <v>1374</v>
      </c>
      <c r="J640" s="2" t="s">
        <v>3676</v>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0</v>
      </c>
      <c r="Z640" s="2" t="n">
        <v>0</v>
      </c>
      <c r="AA640" s="2" t="n">
        <v>0</v>
      </c>
      <c r="AB640" s="2" t="n">
        <v>8</v>
      </c>
      <c r="AC640" s="2"/>
    </row>
    <row r="641" customFormat="false" ht="15" hidden="false" customHeight="false" outlineLevel="0" collapsed="false">
      <c r="A641" s="2" t="n">
        <v>108</v>
      </c>
      <c r="B641" s="2" t="s">
        <v>1275</v>
      </c>
      <c r="C641" s="2" t="s">
        <v>1280</v>
      </c>
      <c r="D641" s="2" t="s">
        <v>3677</v>
      </c>
      <c r="E641" s="2" t="s">
        <v>1395</v>
      </c>
      <c r="F641" s="2" t="s">
        <v>1419</v>
      </c>
      <c r="G641" s="2" t="s">
        <v>3678</v>
      </c>
      <c r="H641" s="2" t="s">
        <v>3679</v>
      </c>
      <c r="I641" s="2" t="s">
        <v>1374</v>
      </c>
      <c r="J641" s="2" t="s">
        <v>3680</v>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row>
    <row r="642" customFormat="false" ht="15" hidden="false" customHeight="false" outlineLevel="0" collapsed="false">
      <c r="A642" s="2" t="n">
        <v>108</v>
      </c>
      <c r="B642" s="2" t="s">
        <v>1275</v>
      </c>
      <c r="C642" s="2" t="s">
        <v>1280</v>
      </c>
      <c r="D642" s="2" t="s">
        <v>3681</v>
      </c>
      <c r="E642" s="2" t="s">
        <v>1395</v>
      </c>
      <c r="F642" s="2" t="s">
        <v>1419</v>
      </c>
      <c r="G642" s="2" t="s">
        <v>3678</v>
      </c>
      <c r="H642" s="2" t="s">
        <v>3682</v>
      </c>
      <c r="I642" s="2" t="s">
        <v>1374</v>
      </c>
      <c r="J642" s="2" t="s">
        <v>3683</v>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row>
    <row r="643" customFormat="false" ht="15" hidden="false" customHeight="false" outlineLevel="0" collapsed="false">
      <c r="A643" s="2" t="n">
        <v>108</v>
      </c>
      <c r="B643" s="2" t="s">
        <v>1275</v>
      </c>
      <c r="C643" s="2" t="s">
        <v>1280</v>
      </c>
      <c r="D643" s="2" t="s">
        <v>3684</v>
      </c>
      <c r="E643" s="2" t="s">
        <v>1395</v>
      </c>
      <c r="F643" s="2" t="s">
        <v>1419</v>
      </c>
      <c r="G643" s="2" t="s">
        <v>3685</v>
      </c>
      <c r="H643" s="2" t="s">
        <v>3686</v>
      </c>
      <c r="I643" s="2" t="s">
        <v>1374</v>
      </c>
      <c r="J643" s="2" t="s">
        <v>3687</v>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row>
    <row r="644" customFormat="false" ht="15" hidden="false" customHeight="false" outlineLevel="0" collapsed="false">
      <c r="A644" s="2" t="n">
        <v>108</v>
      </c>
      <c r="B644" s="2" t="s">
        <v>1275</v>
      </c>
      <c r="C644" s="2" t="s">
        <v>1280</v>
      </c>
      <c r="D644" s="2" t="s">
        <v>3688</v>
      </c>
      <c r="E644" s="2" t="s">
        <v>1395</v>
      </c>
      <c r="F644" s="2" t="s">
        <v>1419</v>
      </c>
      <c r="G644" s="2" t="s">
        <v>893</v>
      </c>
      <c r="H644" s="2" t="s">
        <v>3689</v>
      </c>
      <c r="I644" s="2" t="s">
        <v>1374</v>
      </c>
      <c r="J644" s="2" t="s">
        <v>3690</v>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row>
    <row r="645" customFormat="false" ht="15" hidden="false" customHeight="false" outlineLevel="0" collapsed="false">
      <c r="A645" s="2" t="n">
        <v>108</v>
      </c>
      <c r="B645" s="2" t="s">
        <v>1275</v>
      </c>
      <c r="C645" s="2" t="s">
        <v>1280</v>
      </c>
      <c r="D645" s="2" t="s">
        <v>3691</v>
      </c>
      <c r="E645" s="2" t="s">
        <v>1395</v>
      </c>
      <c r="F645" s="2" t="s">
        <v>1419</v>
      </c>
      <c r="G645" s="2" t="s">
        <v>893</v>
      </c>
      <c r="H645" s="2" t="s">
        <v>3692</v>
      </c>
      <c r="I645" s="2" t="s">
        <v>1374</v>
      </c>
      <c r="J645" s="2" t="s">
        <v>3693</v>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row>
    <row r="646" customFormat="false" ht="15" hidden="false" customHeight="false" outlineLevel="0" collapsed="false">
      <c r="A646" s="2" t="n">
        <v>108</v>
      </c>
      <c r="B646" s="2" t="s">
        <v>1275</v>
      </c>
      <c r="C646" s="2" t="s">
        <v>1280</v>
      </c>
      <c r="D646" s="2" t="s">
        <v>3694</v>
      </c>
      <c r="E646" s="2" t="s">
        <v>1395</v>
      </c>
      <c r="F646" s="2" t="s">
        <v>1419</v>
      </c>
      <c r="G646" s="2" t="s">
        <v>3695</v>
      </c>
      <c r="H646" s="2" t="s">
        <v>3696</v>
      </c>
      <c r="I646" s="2" t="s">
        <v>1374</v>
      </c>
      <c r="J646" s="2" t="s">
        <v>3697</v>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row>
    <row r="647" customFormat="false" ht="15" hidden="false" customHeight="false" outlineLevel="0" collapsed="false">
      <c r="A647" s="2" t="n">
        <v>108</v>
      </c>
      <c r="B647" s="2" t="s">
        <v>1275</v>
      </c>
      <c r="C647" s="2" t="s">
        <v>1280</v>
      </c>
      <c r="D647" s="2" t="s">
        <v>3698</v>
      </c>
      <c r="E647" s="2" t="s">
        <v>1395</v>
      </c>
      <c r="F647" s="2" t="s">
        <v>1419</v>
      </c>
      <c r="G647" s="2" t="s">
        <v>3699</v>
      </c>
      <c r="H647" s="2" t="s">
        <v>3700</v>
      </c>
      <c r="I647" s="2" t="s">
        <v>1374</v>
      </c>
      <c r="J647" s="2" t="s">
        <v>3701</v>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row>
    <row r="648" customFormat="false" ht="15" hidden="false" customHeight="false" outlineLevel="0" collapsed="false">
      <c r="A648" s="2" t="n">
        <v>108</v>
      </c>
      <c r="B648" s="2" t="s">
        <v>1275</v>
      </c>
      <c r="C648" s="2" t="s">
        <v>1280</v>
      </c>
      <c r="D648" s="2" t="s">
        <v>3702</v>
      </c>
      <c r="E648" s="2" t="s">
        <v>1395</v>
      </c>
      <c r="F648" s="2" t="s">
        <v>1419</v>
      </c>
      <c r="G648" s="2" t="s">
        <v>3703</v>
      </c>
      <c r="H648" s="2" t="s">
        <v>3704</v>
      </c>
      <c r="I648" s="2" t="s">
        <v>1374</v>
      </c>
      <c r="J648" s="2" t="s">
        <v>3705</v>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row>
    <row r="649" customFormat="false" ht="15" hidden="false" customHeight="false" outlineLevel="0" collapsed="false">
      <c r="A649" s="2" t="n">
        <v>108</v>
      </c>
      <c r="B649" s="2" t="s">
        <v>1275</v>
      </c>
      <c r="C649" s="2" t="s">
        <v>1280</v>
      </c>
      <c r="D649" s="2" t="s">
        <v>3706</v>
      </c>
      <c r="E649" s="2" t="s">
        <v>1395</v>
      </c>
      <c r="F649" s="2" t="s">
        <v>1419</v>
      </c>
      <c r="G649" s="2" t="s">
        <v>3707</v>
      </c>
      <c r="H649" s="2" t="s">
        <v>3708</v>
      </c>
      <c r="I649" s="2" t="s">
        <v>1374</v>
      </c>
      <c r="J649" s="2" t="s">
        <v>3709</v>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row>
    <row r="650" customFormat="false" ht="15" hidden="false" customHeight="false" outlineLevel="0" collapsed="false">
      <c r="A650" s="2" t="n">
        <v>108</v>
      </c>
      <c r="B650" s="2" t="s">
        <v>1275</v>
      </c>
      <c r="C650" s="2" t="s">
        <v>1280</v>
      </c>
      <c r="D650" s="2" t="s">
        <v>3710</v>
      </c>
      <c r="E650" s="2" t="s">
        <v>1395</v>
      </c>
      <c r="F650" s="2" t="s">
        <v>1419</v>
      </c>
      <c r="G650" s="2" t="s">
        <v>1072</v>
      </c>
      <c r="H650" s="2" t="s">
        <v>3711</v>
      </c>
      <c r="I650" s="2" t="s">
        <v>1374</v>
      </c>
      <c r="J650" s="2" t="s">
        <v>3712</v>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row>
    <row r="651" customFormat="false" ht="15" hidden="false" customHeight="false" outlineLevel="0" collapsed="false">
      <c r="A651" s="2" t="n">
        <v>108</v>
      </c>
      <c r="B651" s="2" t="s">
        <v>1275</v>
      </c>
      <c r="C651" s="2" t="s">
        <v>1280</v>
      </c>
      <c r="D651" s="2" t="s">
        <v>3713</v>
      </c>
      <c r="E651" s="2" t="s">
        <v>1395</v>
      </c>
      <c r="F651" s="2" t="s">
        <v>1419</v>
      </c>
      <c r="G651" s="2" t="s">
        <v>1072</v>
      </c>
      <c r="H651" s="2" t="s">
        <v>3714</v>
      </c>
      <c r="I651" s="2" t="s">
        <v>1374</v>
      </c>
      <c r="J651" s="2" t="s">
        <v>3715</v>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row>
    <row r="652" customFormat="false" ht="15" hidden="false" customHeight="false" outlineLevel="0" collapsed="false">
      <c r="A652" s="2" t="n">
        <v>108</v>
      </c>
      <c r="B652" s="2" t="s">
        <v>1275</v>
      </c>
      <c r="C652" s="2" t="s">
        <v>1280</v>
      </c>
      <c r="D652" s="2" t="s">
        <v>3716</v>
      </c>
      <c r="E652" s="2" t="s">
        <v>1395</v>
      </c>
      <c r="F652" s="2" t="s">
        <v>1419</v>
      </c>
      <c r="G652" s="2" t="s">
        <v>3717</v>
      </c>
      <c r="H652" s="2" t="s">
        <v>3718</v>
      </c>
      <c r="I652" s="2" t="s">
        <v>1374</v>
      </c>
      <c r="J652" s="2" t="s">
        <v>3719</v>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row>
    <row r="653" customFormat="false" ht="15" hidden="false" customHeight="false" outlineLevel="0" collapsed="false">
      <c r="A653" s="2" t="n">
        <v>108</v>
      </c>
      <c r="B653" s="2" t="s">
        <v>1275</v>
      </c>
      <c r="C653" s="2" t="s">
        <v>1280</v>
      </c>
      <c r="D653" s="2" t="s">
        <v>3720</v>
      </c>
      <c r="E653" s="2" t="s">
        <v>1395</v>
      </c>
      <c r="F653" s="2" t="s">
        <v>1419</v>
      </c>
      <c r="G653" s="2" t="s">
        <v>781</v>
      </c>
      <c r="H653" s="2" t="s">
        <v>3721</v>
      </c>
      <c r="I653" s="2" t="s">
        <v>1374</v>
      </c>
      <c r="J653" s="2" t="s">
        <v>3722</v>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row>
    <row r="654" customFormat="false" ht="15" hidden="false" customHeight="false" outlineLevel="0" collapsed="false">
      <c r="A654" s="2" t="n">
        <v>108</v>
      </c>
      <c r="B654" s="2" t="s">
        <v>1275</v>
      </c>
      <c r="C654" s="2" t="s">
        <v>1280</v>
      </c>
      <c r="D654" s="2" t="s">
        <v>3723</v>
      </c>
      <c r="E654" s="2" t="s">
        <v>1395</v>
      </c>
      <c r="F654" s="2" t="s">
        <v>1419</v>
      </c>
      <c r="G654" s="2" t="s">
        <v>3724</v>
      </c>
      <c r="H654" s="2" t="s">
        <v>3725</v>
      </c>
      <c r="I654" s="2" t="s">
        <v>1374</v>
      </c>
      <c r="J654" s="2" t="s">
        <v>3726</v>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1</v>
      </c>
      <c r="Z654" s="2" t="n">
        <v>0</v>
      </c>
      <c r="AA654" s="2" t="n">
        <v>0</v>
      </c>
      <c r="AB654" s="2" t="n">
        <v>13</v>
      </c>
      <c r="AC654" s="2"/>
    </row>
    <row r="655" customFormat="false" ht="15" hidden="false" customHeight="false" outlineLevel="0" collapsed="false">
      <c r="A655" s="2" t="n">
        <v>108</v>
      </c>
      <c r="B655" s="2" t="s">
        <v>1275</v>
      </c>
      <c r="C655" s="2" t="s">
        <v>1280</v>
      </c>
      <c r="D655" s="2" t="s">
        <v>3727</v>
      </c>
      <c r="E655" s="2" t="s">
        <v>1395</v>
      </c>
      <c r="F655" s="2" t="s">
        <v>1419</v>
      </c>
      <c r="G655" s="2" t="s">
        <v>2200</v>
      </c>
      <c r="H655" s="2" t="s">
        <v>3728</v>
      </c>
      <c r="I655" s="2" t="s">
        <v>1374</v>
      </c>
      <c r="J655" s="2" t="s">
        <v>3729</v>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row>
    <row r="656" customFormat="false" ht="15" hidden="false" customHeight="false" outlineLevel="0" collapsed="false">
      <c r="A656" s="2" t="n">
        <v>108</v>
      </c>
      <c r="B656" s="2" t="s">
        <v>1275</v>
      </c>
      <c r="C656" s="2" t="s">
        <v>1280</v>
      </c>
      <c r="D656" s="2" t="s">
        <v>3730</v>
      </c>
      <c r="E656" s="2" t="s">
        <v>1395</v>
      </c>
      <c r="F656" s="2" t="s">
        <v>1419</v>
      </c>
      <c r="G656" s="2" t="s">
        <v>3731</v>
      </c>
      <c r="H656" s="2" t="s">
        <v>3732</v>
      </c>
      <c r="I656" s="2" t="s">
        <v>1374</v>
      </c>
      <c r="J656" s="2" t="s">
        <v>3733</v>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row>
    <row r="657" customFormat="false" ht="15" hidden="false" customHeight="false" outlineLevel="0" collapsed="false">
      <c r="A657" s="2" t="n">
        <v>108</v>
      </c>
      <c r="B657" s="2" t="s">
        <v>1275</v>
      </c>
      <c r="C657" s="2" t="s">
        <v>1280</v>
      </c>
      <c r="D657" s="2" t="s">
        <v>3734</v>
      </c>
      <c r="E657" s="2" t="s">
        <v>1395</v>
      </c>
      <c r="F657" s="2" t="s">
        <v>1419</v>
      </c>
      <c r="G657" s="2" t="s">
        <v>3735</v>
      </c>
      <c r="H657" s="2" t="s">
        <v>3736</v>
      </c>
      <c r="I657" s="2" t="s">
        <v>1374</v>
      </c>
      <c r="J657" s="2" t="s">
        <v>3737</v>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row>
    <row r="658" customFormat="false" ht="15" hidden="false" customHeight="false" outlineLevel="0" collapsed="false">
      <c r="A658" s="2" t="n">
        <v>108</v>
      </c>
      <c r="B658" s="2" t="s">
        <v>1275</v>
      </c>
      <c r="C658" s="2" t="s">
        <v>1280</v>
      </c>
      <c r="D658" s="2" t="s">
        <v>3738</v>
      </c>
      <c r="E658" s="2" t="s">
        <v>1395</v>
      </c>
      <c r="F658" s="2" t="s">
        <v>1419</v>
      </c>
      <c r="G658" s="2" t="s">
        <v>3735</v>
      </c>
      <c r="H658" s="2" t="s">
        <v>3739</v>
      </c>
      <c r="I658" s="2" t="s">
        <v>1374</v>
      </c>
      <c r="J658" s="2" t="s">
        <v>3740</v>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row>
    <row r="659" customFormat="false" ht="15" hidden="false" customHeight="false" outlineLevel="0" collapsed="false">
      <c r="A659" s="2" t="n">
        <v>108</v>
      </c>
      <c r="B659" s="2" t="s">
        <v>1275</v>
      </c>
      <c r="C659" s="2" t="s">
        <v>1280</v>
      </c>
      <c r="D659" s="2" t="s">
        <v>3741</v>
      </c>
      <c r="E659" s="2" t="s">
        <v>1395</v>
      </c>
      <c r="F659" s="2" t="s">
        <v>1419</v>
      </c>
      <c r="G659" s="2" t="s">
        <v>3742</v>
      </c>
      <c r="H659" s="2" t="s">
        <v>3743</v>
      </c>
      <c r="I659" s="2" t="s">
        <v>1374</v>
      </c>
      <c r="J659" s="2" t="s">
        <v>3744</v>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row>
    <row r="660" customFormat="false" ht="15" hidden="false" customHeight="false" outlineLevel="0" collapsed="false">
      <c r="A660" s="2" t="n">
        <v>108</v>
      </c>
      <c r="B660" s="2" t="s">
        <v>1275</v>
      </c>
      <c r="C660" s="2" t="s">
        <v>1280</v>
      </c>
      <c r="D660" s="2" t="s">
        <v>3745</v>
      </c>
      <c r="E660" s="2" t="s">
        <v>1395</v>
      </c>
      <c r="F660" s="2" t="s">
        <v>1419</v>
      </c>
      <c r="G660" s="2" t="s">
        <v>3746</v>
      </c>
      <c r="H660" s="2" t="s">
        <v>3747</v>
      </c>
      <c r="I660" s="2" t="s">
        <v>1374</v>
      </c>
      <c r="J660" s="2" t="s">
        <v>3748</v>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0</v>
      </c>
      <c r="Z660" s="2" t="n">
        <v>0</v>
      </c>
      <c r="AA660" s="2" t="n">
        <v>0</v>
      </c>
      <c r="AB660" s="2" t="n">
        <v>1</v>
      </c>
      <c r="AC660" s="2"/>
    </row>
    <row r="661" customFormat="false" ht="15" hidden="false" customHeight="false" outlineLevel="0" collapsed="false">
      <c r="A661" s="2" t="n">
        <v>108</v>
      </c>
      <c r="B661" s="2" t="s">
        <v>1275</v>
      </c>
      <c r="C661" s="2" t="s">
        <v>1280</v>
      </c>
      <c r="D661" s="2" t="s">
        <v>3749</v>
      </c>
      <c r="E661" s="2" t="s">
        <v>1395</v>
      </c>
      <c r="F661" s="2" t="s">
        <v>1419</v>
      </c>
      <c r="G661" s="2" t="s">
        <v>3264</v>
      </c>
      <c r="H661" s="2" t="s">
        <v>3750</v>
      </c>
      <c r="I661" s="2" t="s">
        <v>1374</v>
      </c>
      <c r="J661" s="2" t="s">
        <v>3751</v>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row>
    <row r="662" customFormat="false" ht="15" hidden="false" customHeight="false" outlineLevel="0" collapsed="false">
      <c r="A662" s="2" t="n">
        <v>108</v>
      </c>
      <c r="B662" s="2" t="s">
        <v>1275</v>
      </c>
      <c r="C662" s="2" t="s">
        <v>1280</v>
      </c>
      <c r="D662" s="2" t="s">
        <v>3752</v>
      </c>
      <c r="E662" s="2" t="s">
        <v>1395</v>
      </c>
      <c r="F662" s="2" t="s">
        <v>1419</v>
      </c>
      <c r="G662" s="2" t="s">
        <v>1227</v>
      </c>
      <c r="H662" s="2" t="s">
        <v>3753</v>
      </c>
      <c r="I662" s="2" t="s">
        <v>1374</v>
      </c>
      <c r="J662" s="2" t="s">
        <v>3754</v>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row>
    <row r="663" customFormat="false" ht="15" hidden="false" customHeight="false" outlineLevel="0" collapsed="false">
      <c r="A663" s="2" t="n">
        <v>108</v>
      </c>
      <c r="B663" s="2" t="s">
        <v>1275</v>
      </c>
      <c r="C663" s="2" t="s">
        <v>1280</v>
      </c>
      <c r="D663" s="2" t="s">
        <v>3755</v>
      </c>
      <c r="E663" s="2" t="s">
        <v>1395</v>
      </c>
      <c r="F663" s="2" t="s">
        <v>1419</v>
      </c>
      <c r="G663" s="2" t="s">
        <v>1227</v>
      </c>
      <c r="H663" s="2" t="s">
        <v>3756</v>
      </c>
      <c r="I663" s="2" t="s">
        <v>1374</v>
      </c>
      <c r="J663" s="2" t="s">
        <v>3757</v>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row>
    <row r="664" customFormat="false" ht="15" hidden="false" customHeight="false" outlineLevel="0" collapsed="false">
      <c r="A664" s="2" t="n">
        <v>108</v>
      </c>
      <c r="B664" s="2" t="s">
        <v>1275</v>
      </c>
      <c r="C664" s="2" t="s">
        <v>1280</v>
      </c>
      <c r="D664" s="2" t="s">
        <v>3758</v>
      </c>
      <c r="E664" s="2" t="s">
        <v>1395</v>
      </c>
      <c r="F664" s="2" t="s">
        <v>1419</v>
      </c>
      <c r="G664" s="2" t="s">
        <v>3759</v>
      </c>
      <c r="H664" s="2" t="s">
        <v>3760</v>
      </c>
      <c r="I664" s="2" t="s">
        <v>1374</v>
      </c>
      <c r="J664" s="2" t="s">
        <v>3761</v>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0</v>
      </c>
      <c r="Z664" s="2" t="n">
        <v>0</v>
      </c>
      <c r="AA664" s="2" t="n">
        <v>0</v>
      </c>
      <c r="AB664" s="2" t="n">
        <v>2</v>
      </c>
      <c r="AC664" s="2"/>
    </row>
    <row r="665" customFormat="false" ht="15" hidden="false" customHeight="false" outlineLevel="0" collapsed="false">
      <c r="A665" s="2" t="n">
        <v>108</v>
      </c>
      <c r="B665" s="2" t="s">
        <v>1275</v>
      </c>
      <c r="C665" s="2" t="s">
        <v>1280</v>
      </c>
      <c r="D665" s="2" t="s">
        <v>3762</v>
      </c>
      <c r="E665" s="2" t="s">
        <v>1395</v>
      </c>
      <c r="F665" s="2" t="s">
        <v>1419</v>
      </c>
      <c r="G665" s="2" t="s">
        <v>3763</v>
      </c>
      <c r="H665" s="2" t="s">
        <v>3764</v>
      </c>
      <c r="I665" s="2" t="s">
        <v>1374</v>
      </c>
      <c r="J665" s="2" t="s">
        <v>3765</v>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row>
    <row r="666" customFormat="false" ht="15" hidden="false" customHeight="false" outlineLevel="0" collapsed="false">
      <c r="A666" s="2" t="n">
        <v>108</v>
      </c>
      <c r="B666" s="2" t="s">
        <v>1275</v>
      </c>
      <c r="C666" s="2" t="s">
        <v>1280</v>
      </c>
      <c r="D666" s="2" t="s">
        <v>3766</v>
      </c>
      <c r="E666" s="2" t="s">
        <v>1395</v>
      </c>
      <c r="F666" s="2" t="s">
        <v>1419</v>
      </c>
      <c r="G666" s="2" t="s">
        <v>589</v>
      </c>
      <c r="H666" s="2" t="s">
        <v>3767</v>
      </c>
      <c r="I666" s="2" t="s">
        <v>1374</v>
      </c>
      <c r="J666" s="2" t="s">
        <v>3768</v>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row>
    <row r="667" customFormat="false" ht="15" hidden="false" customHeight="false" outlineLevel="0" collapsed="false">
      <c r="A667" s="2" t="n">
        <v>108</v>
      </c>
      <c r="B667" s="2" t="s">
        <v>1275</v>
      </c>
      <c r="C667" s="2" t="s">
        <v>1280</v>
      </c>
      <c r="D667" s="2" t="s">
        <v>3769</v>
      </c>
      <c r="E667" s="2" t="s">
        <v>1395</v>
      </c>
      <c r="F667" s="2" t="s">
        <v>1419</v>
      </c>
      <c r="G667" s="2" t="s">
        <v>3770</v>
      </c>
      <c r="H667" s="2" t="s">
        <v>3771</v>
      </c>
      <c r="I667" s="2" t="s">
        <v>1374</v>
      </c>
      <c r="J667" s="2" t="s">
        <v>3772</v>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row>
    <row r="668" customFormat="false" ht="15" hidden="false" customHeight="false" outlineLevel="0" collapsed="false">
      <c r="A668" s="2" t="n">
        <v>108</v>
      </c>
      <c r="B668" s="2" t="s">
        <v>1275</v>
      </c>
      <c r="C668" s="2" t="s">
        <v>1280</v>
      </c>
      <c r="D668" s="2" t="s">
        <v>3773</v>
      </c>
      <c r="E668" s="2" t="s">
        <v>1395</v>
      </c>
      <c r="F668" s="2" t="s">
        <v>1419</v>
      </c>
      <c r="G668" s="2" t="s">
        <v>3774</v>
      </c>
      <c r="H668" s="2" t="s">
        <v>3775</v>
      </c>
      <c r="I668" s="2" t="s">
        <v>1374</v>
      </c>
      <c r="J668" s="2" t="s">
        <v>3776</v>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row>
    <row r="669" customFormat="false" ht="15" hidden="false" customHeight="false" outlineLevel="0" collapsed="false">
      <c r="A669" s="2" t="n">
        <v>108</v>
      </c>
      <c r="B669" s="2" t="s">
        <v>1275</v>
      </c>
      <c r="C669" s="2" t="s">
        <v>1280</v>
      </c>
      <c r="D669" s="2" t="s">
        <v>3777</v>
      </c>
      <c r="E669" s="2" t="s">
        <v>1395</v>
      </c>
      <c r="F669" s="2" t="s">
        <v>1419</v>
      </c>
      <c r="G669" s="2" t="s">
        <v>3778</v>
      </c>
      <c r="H669" s="2" t="s">
        <v>3779</v>
      </c>
      <c r="I669" s="2" t="s">
        <v>1374</v>
      </c>
      <c r="J669" s="2" t="s">
        <v>3780</v>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1</v>
      </c>
      <c r="AC669" s="2"/>
    </row>
    <row r="670" customFormat="false" ht="15" hidden="false" customHeight="false" outlineLevel="0" collapsed="false">
      <c r="A670" s="2" t="n">
        <v>108</v>
      </c>
      <c r="B670" s="2" t="s">
        <v>1275</v>
      </c>
      <c r="C670" s="2" t="s">
        <v>1280</v>
      </c>
      <c r="D670" s="2" t="s">
        <v>3781</v>
      </c>
      <c r="E670" s="2" t="s">
        <v>1395</v>
      </c>
      <c r="F670" s="2" t="s">
        <v>1419</v>
      </c>
      <c r="G670" s="2" t="s">
        <v>3782</v>
      </c>
      <c r="H670" s="2" t="s">
        <v>3783</v>
      </c>
      <c r="I670" s="2" t="s">
        <v>1374</v>
      </c>
      <c r="J670" s="2" t="s">
        <v>3784</v>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row>
    <row r="671" customFormat="false" ht="15" hidden="false" customHeight="false" outlineLevel="0" collapsed="false">
      <c r="A671" s="2" t="n">
        <v>108</v>
      </c>
      <c r="B671" s="2" t="s">
        <v>1275</v>
      </c>
      <c r="C671" s="2" t="s">
        <v>1280</v>
      </c>
      <c r="D671" s="2" t="s">
        <v>3785</v>
      </c>
      <c r="E671" s="2" t="s">
        <v>1395</v>
      </c>
      <c r="F671" s="2" t="s">
        <v>1419</v>
      </c>
      <c r="G671" s="2" t="s">
        <v>3786</v>
      </c>
      <c r="H671" s="2" t="s">
        <v>3787</v>
      </c>
      <c r="I671" s="2" t="s">
        <v>1374</v>
      </c>
      <c r="J671" s="2" t="s">
        <v>3788</v>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row>
    <row r="672" customFormat="false" ht="15" hidden="false" customHeight="false" outlineLevel="0" collapsed="false">
      <c r="A672" s="2" t="n">
        <v>108</v>
      </c>
      <c r="B672" s="2" t="s">
        <v>1275</v>
      </c>
      <c r="C672" s="2" t="s">
        <v>1280</v>
      </c>
      <c r="D672" s="2" t="s">
        <v>3789</v>
      </c>
      <c r="E672" s="2" t="s">
        <v>1395</v>
      </c>
      <c r="F672" s="2" t="s">
        <v>1419</v>
      </c>
      <c r="G672" s="2" t="s">
        <v>3790</v>
      </c>
      <c r="H672" s="2" t="s">
        <v>3791</v>
      </c>
      <c r="I672" s="2" t="s">
        <v>1374</v>
      </c>
      <c r="J672" s="2" t="s">
        <v>3792</v>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row>
    <row r="673" customFormat="false" ht="15" hidden="false" customHeight="false" outlineLevel="0" collapsed="false">
      <c r="A673" s="2" t="n">
        <v>108</v>
      </c>
      <c r="B673" s="2" t="s">
        <v>1275</v>
      </c>
      <c r="C673" s="2" t="s">
        <v>1280</v>
      </c>
      <c r="D673" s="2" t="s">
        <v>3793</v>
      </c>
      <c r="E673" s="2" t="s">
        <v>1395</v>
      </c>
      <c r="F673" s="2" t="s">
        <v>1419</v>
      </c>
      <c r="G673" s="2" t="s">
        <v>3794</v>
      </c>
      <c r="H673" s="2" t="s">
        <v>3795</v>
      </c>
      <c r="I673" s="2" t="s">
        <v>1374</v>
      </c>
      <c r="J673" s="2" t="s">
        <v>3796</v>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row>
    <row r="674" customFormat="false" ht="15" hidden="false" customHeight="false" outlineLevel="0" collapsed="false">
      <c r="A674" s="2" t="n">
        <v>108</v>
      </c>
      <c r="B674" s="2" t="s">
        <v>1275</v>
      </c>
      <c r="C674" s="2" t="s">
        <v>1280</v>
      </c>
      <c r="D674" s="2" t="s">
        <v>3797</v>
      </c>
      <c r="E674" s="2" t="s">
        <v>1395</v>
      </c>
      <c r="F674" s="2" t="s">
        <v>1419</v>
      </c>
      <c r="G674" s="2" t="s">
        <v>3794</v>
      </c>
      <c r="H674" s="2" t="s">
        <v>3798</v>
      </c>
      <c r="I674" s="2" t="s">
        <v>1374</v>
      </c>
      <c r="J674" s="2" t="s">
        <v>3799</v>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row>
    <row r="675" customFormat="false" ht="15" hidden="false" customHeight="false" outlineLevel="0" collapsed="false">
      <c r="A675" s="2" t="n">
        <v>108</v>
      </c>
      <c r="B675" s="2" t="s">
        <v>1275</v>
      </c>
      <c r="C675" s="2" t="s">
        <v>1280</v>
      </c>
      <c r="D675" s="2" t="s">
        <v>3800</v>
      </c>
      <c r="E675" s="2" t="s">
        <v>1395</v>
      </c>
      <c r="F675" s="2" t="s">
        <v>1419</v>
      </c>
      <c r="G675" s="2" t="s">
        <v>898</v>
      </c>
      <c r="H675" s="2" t="s">
        <v>3801</v>
      </c>
      <c r="I675" s="2" t="s">
        <v>1374</v>
      </c>
      <c r="J675" s="2" t="s">
        <v>3802</v>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row>
    <row r="676" customFormat="false" ht="15" hidden="false" customHeight="false" outlineLevel="0" collapsed="false">
      <c r="A676" s="2" t="n">
        <v>108</v>
      </c>
      <c r="B676" s="2" t="s">
        <v>1275</v>
      </c>
      <c r="C676" s="2" t="s">
        <v>1280</v>
      </c>
      <c r="D676" s="2" t="s">
        <v>3803</v>
      </c>
      <c r="E676" s="2" t="s">
        <v>1395</v>
      </c>
      <c r="F676" s="2" t="s">
        <v>1419</v>
      </c>
      <c r="G676" s="2" t="s">
        <v>3804</v>
      </c>
      <c r="H676" s="2" t="s">
        <v>3805</v>
      </c>
      <c r="I676" s="2" t="s">
        <v>1374</v>
      </c>
      <c r="J676" s="2" t="s">
        <v>3806</v>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row>
    <row r="677" customFormat="false" ht="15" hidden="false" customHeight="false" outlineLevel="0" collapsed="false">
      <c r="A677" s="2" t="n">
        <v>108</v>
      </c>
      <c r="B677" s="2" t="s">
        <v>1275</v>
      </c>
      <c r="C677" s="2" t="s">
        <v>1280</v>
      </c>
      <c r="D677" s="2" t="s">
        <v>3807</v>
      </c>
      <c r="E677" s="2" t="s">
        <v>1395</v>
      </c>
      <c r="F677" s="2" t="s">
        <v>1419</v>
      </c>
      <c r="G677" s="2" t="s">
        <v>3808</v>
      </c>
      <c r="H677" s="2" t="s">
        <v>3809</v>
      </c>
      <c r="I677" s="2" t="s">
        <v>1374</v>
      </c>
      <c r="J677" s="2" t="s">
        <v>3810</v>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row>
    <row r="678" customFormat="false" ht="15" hidden="false" customHeight="false" outlineLevel="0" collapsed="false">
      <c r="A678" s="2" t="n">
        <v>108</v>
      </c>
      <c r="B678" s="2" t="s">
        <v>1275</v>
      </c>
      <c r="C678" s="2" t="s">
        <v>1280</v>
      </c>
      <c r="D678" s="2" t="s">
        <v>3811</v>
      </c>
      <c r="E678" s="2" t="s">
        <v>1395</v>
      </c>
      <c r="F678" s="2" t="s">
        <v>1419</v>
      </c>
      <c r="G678" s="2" t="s">
        <v>3812</v>
      </c>
      <c r="H678" s="2" t="s">
        <v>3813</v>
      </c>
      <c r="I678" s="2" t="s">
        <v>1374</v>
      </c>
      <c r="J678" s="2" t="s">
        <v>3814</v>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row>
    <row r="679" customFormat="false" ht="15" hidden="false" customHeight="false" outlineLevel="0" collapsed="false">
      <c r="A679" s="2" t="n">
        <v>108</v>
      </c>
      <c r="B679" s="2" t="s">
        <v>1275</v>
      </c>
      <c r="C679" s="2" t="s">
        <v>1280</v>
      </c>
      <c r="D679" s="2" t="s">
        <v>3815</v>
      </c>
      <c r="E679" s="2" t="s">
        <v>1395</v>
      </c>
      <c r="F679" s="2" t="s">
        <v>1419</v>
      </c>
      <c r="G679" s="2" t="s">
        <v>3816</v>
      </c>
      <c r="H679" s="2" t="s">
        <v>3817</v>
      </c>
      <c r="I679" s="2" t="s">
        <v>1374</v>
      </c>
      <c r="J679" s="2" t="s">
        <v>3818</v>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row>
    <row r="680" customFormat="false" ht="15" hidden="false" customHeight="false" outlineLevel="0" collapsed="false">
      <c r="A680" s="2" t="n">
        <v>108</v>
      </c>
      <c r="B680" s="2" t="s">
        <v>1275</v>
      </c>
      <c r="C680" s="2" t="s">
        <v>1280</v>
      </c>
      <c r="D680" s="2" t="s">
        <v>3819</v>
      </c>
      <c r="E680" s="2" t="s">
        <v>1395</v>
      </c>
      <c r="F680" s="2" t="s">
        <v>1419</v>
      </c>
      <c r="G680" s="2" t="s">
        <v>3816</v>
      </c>
      <c r="H680" s="2" t="s">
        <v>3820</v>
      </c>
      <c r="I680" s="2" t="s">
        <v>1374</v>
      </c>
      <c r="J680" s="2" t="s">
        <v>3821</v>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row>
    <row r="681" customFormat="false" ht="15" hidden="false" customHeight="false" outlineLevel="0" collapsed="false">
      <c r="A681" s="2" t="n">
        <v>108</v>
      </c>
      <c r="B681" s="2" t="s">
        <v>1275</v>
      </c>
      <c r="C681" s="2" t="s">
        <v>1280</v>
      </c>
      <c r="D681" s="2" t="s">
        <v>3822</v>
      </c>
      <c r="E681" s="2" t="s">
        <v>1395</v>
      </c>
      <c r="F681" s="2" t="s">
        <v>1419</v>
      </c>
      <c r="G681" s="2" t="s">
        <v>3823</v>
      </c>
      <c r="H681" s="2" t="s">
        <v>3824</v>
      </c>
      <c r="I681" s="2" t="s">
        <v>1374</v>
      </c>
      <c r="J681" s="2" t="s">
        <v>3825</v>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row>
    <row r="682" customFormat="false" ht="15" hidden="false" customHeight="false" outlineLevel="0" collapsed="false">
      <c r="A682" s="2" t="n">
        <v>108</v>
      </c>
      <c r="B682" s="2" t="s">
        <v>1275</v>
      </c>
      <c r="C682" s="2" t="s">
        <v>1280</v>
      </c>
      <c r="D682" s="2" t="s">
        <v>3826</v>
      </c>
      <c r="E682" s="2" t="s">
        <v>1395</v>
      </c>
      <c r="F682" s="2" t="s">
        <v>1419</v>
      </c>
      <c r="G682" s="2" t="s">
        <v>3827</v>
      </c>
      <c r="H682" s="2" t="s">
        <v>3828</v>
      </c>
      <c r="I682" s="2" t="s">
        <v>1374</v>
      </c>
      <c r="J682" s="2" t="s">
        <v>3829</v>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row>
    <row r="683" customFormat="false" ht="15" hidden="false" customHeight="false" outlineLevel="0" collapsed="false">
      <c r="A683" s="2" t="n">
        <v>108</v>
      </c>
      <c r="B683" s="2" t="s">
        <v>1275</v>
      </c>
      <c r="C683" s="2" t="s">
        <v>1280</v>
      </c>
      <c r="D683" s="2" t="s">
        <v>3830</v>
      </c>
      <c r="E683" s="2" t="s">
        <v>1395</v>
      </c>
      <c r="F683" s="2" t="s">
        <v>1419</v>
      </c>
      <c r="G683" s="2" t="s">
        <v>3370</v>
      </c>
      <c r="H683" s="2" t="s">
        <v>3831</v>
      </c>
      <c r="I683" s="2" t="s">
        <v>1374</v>
      </c>
      <c r="J683" s="2" t="s">
        <v>3832</v>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0</v>
      </c>
      <c r="Z683" s="2" t="n">
        <v>0</v>
      </c>
      <c r="AA683" s="2" t="n">
        <v>0</v>
      </c>
      <c r="AB683" s="2" t="n">
        <v>1</v>
      </c>
      <c r="AC683" s="2"/>
    </row>
    <row r="684" customFormat="false" ht="15" hidden="false" customHeight="false" outlineLevel="0" collapsed="false">
      <c r="A684" s="2" t="n">
        <v>108</v>
      </c>
      <c r="B684" s="2" t="s">
        <v>1275</v>
      </c>
      <c r="C684" s="2" t="s">
        <v>1280</v>
      </c>
      <c r="D684" s="2" t="s">
        <v>3833</v>
      </c>
      <c r="E684" s="2" t="s">
        <v>1395</v>
      </c>
      <c r="F684" s="2" t="s">
        <v>1419</v>
      </c>
      <c r="G684" s="2" t="s">
        <v>3834</v>
      </c>
      <c r="H684" s="2" t="s">
        <v>3835</v>
      </c>
      <c r="I684" s="2" t="s">
        <v>1374</v>
      </c>
      <c r="J684" s="2" t="s">
        <v>3836</v>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row>
    <row r="685" customFormat="false" ht="15" hidden="false" customHeight="false" outlineLevel="0" collapsed="false">
      <c r="A685" s="2" t="n">
        <v>108</v>
      </c>
      <c r="B685" s="2" t="s">
        <v>1275</v>
      </c>
      <c r="C685" s="2" t="s">
        <v>1280</v>
      </c>
      <c r="D685" s="2" t="s">
        <v>3837</v>
      </c>
      <c r="E685" s="2" t="s">
        <v>1395</v>
      </c>
      <c r="F685" s="2" t="s">
        <v>1419</v>
      </c>
      <c r="G685" s="2" t="s">
        <v>1157</v>
      </c>
      <c r="H685" s="2" t="s">
        <v>3838</v>
      </c>
      <c r="I685" s="2" t="s">
        <v>1374</v>
      </c>
      <c r="J685" s="2" t="s">
        <v>3839</v>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row>
    <row r="686" customFormat="false" ht="15" hidden="false" customHeight="false" outlineLevel="0" collapsed="false">
      <c r="A686" s="2" t="n">
        <v>108</v>
      </c>
      <c r="B686" s="2" t="s">
        <v>1275</v>
      </c>
      <c r="C686" s="2" t="s">
        <v>1280</v>
      </c>
      <c r="D686" s="2" t="s">
        <v>3840</v>
      </c>
      <c r="E686" s="2" t="s">
        <v>1395</v>
      </c>
      <c r="F686" s="2" t="s">
        <v>1419</v>
      </c>
      <c r="G686" s="2" t="s">
        <v>3841</v>
      </c>
      <c r="H686" s="2" t="s">
        <v>3842</v>
      </c>
      <c r="I686" s="2" t="s">
        <v>1374</v>
      </c>
      <c r="J686" s="2" t="s">
        <v>3843</v>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row>
    <row r="687" customFormat="false" ht="15" hidden="false" customHeight="false" outlineLevel="0" collapsed="false">
      <c r="A687" s="2" t="n">
        <v>108</v>
      </c>
      <c r="B687" s="2" t="s">
        <v>1275</v>
      </c>
      <c r="C687" s="2" t="s">
        <v>1280</v>
      </c>
      <c r="D687" s="2" t="s">
        <v>3844</v>
      </c>
      <c r="E687" s="2" t="s">
        <v>1395</v>
      </c>
      <c r="F687" s="2" t="s">
        <v>1419</v>
      </c>
      <c r="G687" s="2" t="s">
        <v>3845</v>
      </c>
      <c r="H687" s="2" t="s">
        <v>3846</v>
      </c>
      <c r="I687" s="2" t="s">
        <v>1374</v>
      </c>
      <c r="J687" s="2" t="s">
        <v>3847</v>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row>
    <row r="688" customFormat="false" ht="15" hidden="false" customHeight="false" outlineLevel="0" collapsed="false">
      <c r="A688" s="2" t="n">
        <v>108</v>
      </c>
      <c r="B688" s="2" t="s">
        <v>1275</v>
      </c>
      <c r="C688" s="2" t="s">
        <v>1280</v>
      </c>
      <c r="D688" s="2" t="s">
        <v>3848</v>
      </c>
      <c r="E688" s="2" t="s">
        <v>1395</v>
      </c>
      <c r="F688" s="2" t="s">
        <v>1419</v>
      </c>
      <c r="G688" s="2" t="s">
        <v>3849</v>
      </c>
      <c r="H688" s="2" t="s">
        <v>3850</v>
      </c>
      <c r="I688" s="2" t="s">
        <v>1374</v>
      </c>
      <c r="J688" s="2" t="s">
        <v>3851</v>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row>
    <row r="689" customFormat="false" ht="15" hidden="false" customHeight="false" outlineLevel="0" collapsed="false">
      <c r="A689" s="2" t="n">
        <v>108</v>
      </c>
      <c r="B689" s="2" t="s">
        <v>1275</v>
      </c>
      <c r="C689" s="2" t="s">
        <v>1280</v>
      </c>
      <c r="D689" s="2" t="s">
        <v>3852</v>
      </c>
      <c r="E689" s="2" t="s">
        <v>1395</v>
      </c>
      <c r="F689" s="2" t="s">
        <v>1419</v>
      </c>
      <c r="G689" s="2" t="s">
        <v>2690</v>
      </c>
      <c r="H689" s="2" t="s">
        <v>3853</v>
      </c>
      <c r="I689" s="2" t="s">
        <v>1374</v>
      </c>
      <c r="J689" s="2" t="s">
        <v>3854</v>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row>
    <row r="690" customFormat="false" ht="15" hidden="false" customHeight="false" outlineLevel="0" collapsed="false">
      <c r="A690" s="2" t="n">
        <v>108</v>
      </c>
      <c r="B690" s="2" t="s">
        <v>1275</v>
      </c>
      <c r="C690" s="2" t="s">
        <v>1280</v>
      </c>
      <c r="D690" s="2" t="s">
        <v>3855</v>
      </c>
      <c r="E690" s="2" t="s">
        <v>1395</v>
      </c>
      <c r="F690" s="2" t="s">
        <v>1419</v>
      </c>
      <c r="G690" s="2" t="s">
        <v>3856</v>
      </c>
      <c r="H690" s="2" t="s">
        <v>3857</v>
      </c>
      <c r="I690" s="2" t="s">
        <v>1374</v>
      </c>
      <c r="J690" s="2" t="s">
        <v>3858</v>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row>
    <row r="691" customFormat="false" ht="15" hidden="false" customHeight="false" outlineLevel="0" collapsed="false">
      <c r="A691" s="2" t="n">
        <v>108</v>
      </c>
      <c r="B691" s="2" t="s">
        <v>1275</v>
      </c>
      <c r="C691" s="2" t="s">
        <v>1280</v>
      </c>
      <c r="D691" s="2" t="s">
        <v>3859</v>
      </c>
      <c r="E691" s="2" t="s">
        <v>1395</v>
      </c>
      <c r="F691" s="2" t="s">
        <v>1419</v>
      </c>
      <c r="G691" s="2" t="s">
        <v>1262</v>
      </c>
      <c r="H691" s="2" t="s">
        <v>3860</v>
      </c>
      <c r="I691" s="2" t="s">
        <v>1374</v>
      </c>
      <c r="J691" s="2" t="s">
        <v>3861</v>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row>
    <row r="692" customFormat="false" ht="15" hidden="false" customHeight="false" outlineLevel="0" collapsed="false">
      <c r="A692" s="2" t="n">
        <v>108</v>
      </c>
      <c r="B692" s="2" t="s">
        <v>1275</v>
      </c>
      <c r="C692" s="2" t="s">
        <v>1280</v>
      </c>
      <c r="D692" s="2" t="s">
        <v>3862</v>
      </c>
      <c r="E692" s="2" t="s">
        <v>1395</v>
      </c>
      <c r="F692" s="2" t="s">
        <v>1419</v>
      </c>
      <c r="G692" s="2" t="s">
        <v>1262</v>
      </c>
      <c r="H692" s="2" t="s">
        <v>3863</v>
      </c>
      <c r="I692" s="2" t="s">
        <v>1374</v>
      </c>
      <c r="J692" s="2" t="s">
        <v>3864</v>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row>
    <row r="693" customFormat="false" ht="15" hidden="false" customHeight="false" outlineLevel="0" collapsed="false">
      <c r="A693" s="2" t="n">
        <v>108</v>
      </c>
      <c r="B693" s="2" t="s">
        <v>1275</v>
      </c>
      <c r="C693" s="2" t="s">
        <v>1280</v>
      </c>
      <c r="D693" s="2" t="s">
        <v>3865</v>
      </c>
      <c r="E693" s="2" t="s">
        <v>1395</v>
      </c>
      <c r="F693" s="2" t="s">
        <v>1419</v>
      </c>
      <c r="G693" s="2" t="s">
        <v>850</v>
      </c>
      <c r="H693" s="2" t="s">
        <v>3866</v>
      </c>
      <c r="I693" s="2" t="s">
        <v>1374</v>
      </c>
      <c r="J693" s="2" t="s">
        <v>3867</v>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row>
    <row r="694" customFormat="false" ht="15" hidden="false" customHeight="false" outlineLevel="0" collapsed="false">
      <c r="A694" s="2" t="n">
        <v>108</v>
      </c>
      <c r="B694" s="2" t="s">
        <v>1275</v>
      </c>
      <c r="C694" s="2" t="s">
        <v>1280</v>
      </c>
      <c r="D694" s="2" t="s">
        <v>3868</v>
      </c>
      <c r="E694" s="2" t="s">
        <v>1395</v>
      </c>
      <c r="F694" s="2" t="s">
        <v>1419</v>
      </c>
      <c r="G694" s="2" t="s">
        <v>3869</v>
      </c>
      <c r="H694" s="2" t="s">
        <v>3870</v>
      </c>
      <c r="I694" s="2" t="s">
        <v>1374</v>
      </c>
      <c r="J694" s="2" t="s">
        <v>3871</v>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row>
    <row r="695" customFormat="false" ht="15" hidden="false" customHeight="false" outlineLevel="0" collapsed="false">
      <c r="A695" s="2" t="n">
        <v>108</v>
      </c>
      <c r="B695" s="2" t="s">
        <v>1275</v>
      </c>
      <c r="C695" s="2" t="s">
        <v>1280</v>
      </c>
      <c r="D695" s="2" t="s">
        <v>3872</v>
      </c>
      <c r="E695" s="2" t="s">
        <v>1395</v>
      </c>
      <c r="F695" s="2" t="s">
        <v>1419</v>
      </c>
      <c r="G695" s="2" t="s">
        <v>3873</v>
      </c>
      <c r="H695" s="2" t="s">
        <v>3874</v>
      </c>
      <c r="I695" s="2" t="s">
        <v>1374</v>
      </c>
      <c r="J695" s="2" t="s">
        <v>3875</v>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row>
    <row r="696" customFormat="false" ht="15" hidden="false" customHeight="false" outlineLevel="0" collapsed="false">
      <c r="A696" s="2" t="n">
        <v>108</v>
      </c>
      <c r="B696" s="2" t="s">
        <v>1275</v>
      </c>
      <c r="C696" s="2" t="s">
        <v>1280</v>
      </c>
      <c r="D696" s="2" t="s">
        <v>3876</v>
      </c>
      <c r="E696" s="2" t="s">
        <v>1395</v>
      </c>
      <c r="F696" s="2" t="s">
        <v>1419</v>
      </c>
      <c r="G696" s="2" t="s">
        <v>1063</v>
      </c>
      <c r="H696" s="2" t="s">
        <v>3877</v>
      </c>
      <c r="I696" s="2" t="s">
        <v>1374</v>
      </c>
      <c r="J696" s="2" t="s">
        <v>3878</v>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row>
    <row r="697" customFormat="false" ht="15" hidden="false" customHeight="false" outlineLevel="0" collapsed="false">
      <c r="A697" s="2" t="n">
        <v>108</v>
      </c>
      <c r="B697" s="2" t="s">
        <v>1275</v>
      </c>
      <c r="C697" s="2" t="s">
        <v>1280</v>
      </c>
      <c r="D697" s="2" t="s">
        <v>3879</v>
      </c>
      <c r="E697" s="2" t="s">
        <v>1395</v>
      </c>
      <c r="F697" s="2" t="s">
        <v>1419</v>
      </c>
      <c r="G697" s="2" t="s">
        <v>1168</v>
      </c>
      <c r="H697" s="2" t="s">
        <v>3880</v>
      </c>
      <c r="I697" s="2" t="s">
        <v>1374</v>
      </c>
      <c r="J697" s="2" t="s">
        <v>3881</v>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row>
    <row r="698" customFormat="false" ht="15" hidden="false" customHeight="false" outlineLevel="0" collapsed="false">
      <c r="A698" s="2" t="n">
        <v>108</v>
      </c>
      <c r="B698" s="2" t="s">
        <v>1275</v>
      </c>
      <c r="C698" s="2" t="s">
        <v>1280</v>
      </c>
      <c r="D698" s="2" t="s">
        <v>3882</v>
      </c>
      <c r="E698" s="2" t="s">
        <v>1395</v>
      </c>
      <c r="F698" s="2" t="s">
        <v>1419</v>
      </c>
      <c r="G698" s="2" t="s">
        <v>3883</v>
      </c>
      <c r="H698" s="2" t="s">
        <v>3884</v>
      </c>
      <c r="I698" s="2" t="s">
        <v>1374</v>
      </c>
      <c r="J698" s="2" t="s">
        <v>3885</v>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row>
    <row r="699" customFormat="false" ht="15" hidden="false" customHeight="false" outlineLevel="0" collapsed="false">
      <c r="A699" s="2" t="n">
        <v>108</v>
      </c>
      <c r="B699" s="2" t="s">
        <v>1275</v>
      </c>
      <c r="C699" s="2" t="s">
        <v>1280</v>
      </c>
      <c r="D699" s="2" t="s">
        <v>3886</v>
      </c>
      <c r="E699" s="2" t="s">
        <v>1395</v>
      </c>
      <c r="F699" s="2" t="s">
        <v>1419</v>
      </c>
      <c r="G699" s="2" t="s">
        <v>3887</v>
      </c>
      <c r="H699" s="2" t="s">
        <v>3888</v>
      </c>
      <c r="I699" s="2" t="s">
        <v>1374</v>
      </c>
      <c r="J699" s="2" t="s">
        <v>3889</v>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1</v>
      </c>
      <c r="AC699" s="2"/>
    </row>
    <row r="700" customFormat="false" ht="15" hidden="false" customHeight="false" outlineLevel="0" collapsed="false">
      <c r="A700" s="2" t="n">
        <v>108</v>
      </c>
      <c r="B700" s="2" t="s">
        <v>1275</v>
      </c>
      <c r="C700" s="2" t="s">
        <v>1280</v>
      </c>
      <c r="D700" s="2" t="s">
        <v>3890</v>
      </c>
      <c r="E700" s="2" t="s">
        <v>1395</v>
      </c>
      <c r="F700" s="2" t="s">
        <v>1419</v>
      </c>
      <c r="G700" s="2" t="s">
        <v>3090</v>
      </c>
      <c r="H700" s="2" t="s">
        <v>3891</v>
      </c>
      <c r="I700" s="2" t="s">
        <v>1374</v>
      </c>
      <c r="J700" s="2" t="s">
        <v>3892</v>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row>
    <row r="701" customFormat="false" ht="15" hidden="false" customHeight="false" outlineLevel="0" collapsed="false">
      <c r="A701" s="2" t="n">
        <v>108</v>
      </c>
      <c r="B701" s="2" t="s">
        <v>1275</v>
      </c>
      <c r="C701" s="2" t="s">
        <v>1280</v>
      </c>
      <c r="D701" s="2" t="s">
        <v>3893</v>
      </c>
      <c r="E701" s="2" t="s">
        <v>1395</v>
      </c>
      <c r="F701" s="2" t="s">
        <v>1419</v>
      </c>
      <c r="G701" s="2" t="s">
        <v>3894</v>
      </c>
      <c r="H701" s="2" t="s">
        <v>3895</v>
      </c>
      <c r="I701" s="2" t="s">
        <v>1374</v>
      </c>
      <c r="J701" s="2" t="s">
        <v>3896</v>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row>
    <row r="702" customFormat="false" ht="15" hidden="false" customHeight="false" outlineLevel="0" collapsed="false">
      <c r="A702" s="2" t="n">
        <v>108</v>
      </c>
      <c r="B702" s="2" t="s">
        <v>1275</v>
      </c>
      <c r="C702" s="2" t="s">
        <v>1280</v>
      </c>
      <c r="D702" s="2" t="s">
        <v>3897</v>
      </c>
      <c r="E702" s="2" t="s">
        <v>1395</v>
      </c>
      <c r="F702" s="2" t="s">
        <v>1419</v>
      </c>
      <c r="G702" s="2" t="s">
        <v>3898</v>
      </c>
      <c r="H702" s="2" t="s">
        <v>3899</v>
      </c>
      <c r="I702" s="2" t="s">
        <v>1374</v>
      </c>
      <c r="J702" s="2" t="s">
        <v>3900</v>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row>
    <row r="703" customFormat="false" ht="15" hidden="false" customHeight="false" outlineLevel="0" collapsed="false">
      <c r="A703" s="2" t="n">
        <v>108</v>
      </c>
      <c r="B703" s="2" t="s">
        <v>1275</v>
      </c>
      <c r="C703" s="2" t="s">
        <v>1280</v>
      </c>
      <c r="D703" s="2" t="s">
        <v>3901</v>
      </c>
      <c r="E703" s="2" t="s">
        <v>1395</v>
      </c>
      <c r="F703" s="2" t="s">
        <v>1419</v>
      </c>
      <c r="G703" s="2" t="s">
        <v>3902</v>
      </c>
      <c r="H703" s="2" t="s">
        <v>3903</v>
      </c>
      <c r="I703" s="2" t="s">
        <v>1374</v>
      </c>
      <c r="J703" s="2" t="s">
        <v>3904</v>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row>
    <row r="704" customFormat="false" ht="15" hidden="false" customHeight="false" outlineLevel="0" collapsed="false">
      <c r="A704" s="2" t="n">
        <v>108</v>
      </c>
      <c r="B704" s="2" t="s">
        <v>1275</v>
      </c>
      <c r="C704" s="2" t="s">
        <v>1280</v>
      </c>
      <c r="D704" s="2" t="s">
        <v>3905</v>
      </c>
      <c r="E704" s="2" t="s">
        <v>1395</v>
      </c>
      <c r="F704" s="2" t="s">
        <v>1419</v>
      </c>
      <c r="G704" s="2" t="s">
        <v>1023</v>
      </c>
      <c r="H704" s="2" t="s">
        <v>3906</v>
      </c>
      <c r="I704" s="2" t="s">
        <v>1374</v>
      </c>
      <c r="J704" s="2" t="s">
        <v>3907</v>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row>
    <row r="705" customFormat="false" ht="15" hidden="false" customHeight="false" outlineLevel="0" collapsed="false">
      <c r="A705" s="2" t="n">
        <v>108</v>
      </c>
      <c r="B705" s="2" t="s">
        <v>1275</v>
      </c>
      <c r="C705" s="2" t="s">
        <v>1280</v>
      </c>
      <c r="D705" s="2" t="s">
        <v>3908</v>
      </c>
      <c r="E705" s="2" t="s">
        <v>1395</v>
      </c>
      <c r="F705" s="2" t="s">
        <v>1419</v>
      </c>
      <c r="G705" s="2" t="s">
        <v>3909</v>
      </c>
      <c r="H705" s="2" t="s">
        <v>3910</v>
      </c>
      <c r="I705" s="2" t="s">
        <v>1374</v>
      </c>
      <c r="J705" s="2" t="s">
        <v>3911</v>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row>
    <row r="706" customFormat="false" ht="15" hidden="false" customHeight="false" outlineLevel="0" collapsed="false">
      <c r="A706" s="2" t="n">
        <v>108</v>
      </c>
      <c r="B706" s="2" t="s">
        <v>1275</v>
      </c>
      <c r="C706" s="2" t="s">
        <v>1280</v>
      </c>
      <c r="D706" s="2" t="s">
        <v>3912</v>
      </c>
      <c r="E706" s="2" t="s">
        <v>1395</v>
      </c>
      <c r="F706" s="2" t="s">
        <v>1419</v>
      </c>
      <c r="G706" s="2" t="s">
        <v>3913</v>
      </c>
      <c r="H706" s="2" t="s">
        <v>3914</v>
      </c>
      <c r="I706" s="2" t="s">
        <v>1374</v>
      </c>
      <c r="J706" s="2" t="s">
        <v>3915</v>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row>
    <row r="707" customFormat="false" ht="15" hidden="false" customHeight="false" outlineLevel="0" collapsed="false">
      <c r="A707" s="2" t="n">
        <v>108</v>
      </c>
      <c r="B707" s="2" t="s">
        <v>1275</v>
      </c>
      <c r="C707" s="2" t="s">
        <v>1280</v>
      </c>
      <c r="D707" s="2" t="s">
        <v>3916</v>
      </c>
      <c r="E707" s="2" t="s">
        <v>1395</v>
      </c>
      <c r="F707" s="2" t="s">
        <v>1419</v>
      </c>
      <c r="G707" s="2" t="s">
        <v>3913</v>
      </c>
      <c r="H707" s="2" t="s">
        <v>3917</v>
      </c>
      <c r="I707" s="2" t="s">
        <v>1374</v>
      </c>
      <c r="J707" s="2" t="s">
        <v>3918</v>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row>
    <row r="708" customFormat="false" ht="15" hidden="false" customHeight="false" outlineLevel="0" collapsed="false">
      <c r="A708" s="2" t="n">
        <v>108</v>
      </c>
      <c r="B708" s="2" t="s">
        <v>1275</v>
      </c>
      <c r="C708" s="2" t="s">
        <v>1280</v>
      </c>
      <c r="D708" s="2" t="s">
        <v>3919</v>
      </c>
      <c r="E708" s="2" t="s">
        <v>1395</v>
      </c>
      <c r="F708" s="2" t="s">
        <v>1419</v>
      </c>
      <c r="G708" s="2" t="s">
        <v>3920</v>
      </c>
      <c r="H708" s="2" t="s">
        <v>3921</v>
      </c>
      <c r="I708" s="2" t="s">
        <v>1374</v>
      </c>
      <c r="J708" s="2" t="s">
        <v>3922</v>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row>
    <row r="709" customFormat="false" ht="15" hidden="false" customHeight="false" outlineLevel="0" collapsed="false">
      <c r="A709" s="2" t="n">
        <v>108</v>
      </c>
      <c r="B709" s="2" t="s">
        <v>1275</v>
      </c>
      <c r="C709" s="2" t="s">
        <v>1280</v>
      </c>
      <c r="D709" s="2" t="s">
        <v>3923</v>
      </c>
      <c r="E709" s="2" t="s">
        <v>1395</v>
      </c>
      <c r="F709" s="2" t="s">
        <v>1419</v>
      </c>
      <c r="G709" s="2" t="s">
        <v>3920</v>
      </c>
      <c r="H709" s="2" t="s">
        <v>3924</v>
      </c>
      <c r="I709" s="2" t="s">
        <v>1374</v>
      </c>
      <c r="J709" s="2" t="s">
        <v>3925</v>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row>
    <row r="710" customFormat="false" ht="15" hidden="false" customHeight="false" outlineLevel="0" collapsed="false">
      <c r="A710" s="2" t="n">
        <v>108</v>
      </c>
      <c r="B710" s="2" t="s">
        <v>1275</v>
      </c>
      <c r="C710" s="2" t="s">
        <v>1280</v>
      </c>
      <c r="D710" s="2" t="s">
        <v>3926</v>
      </c>
      <c r="E710" s="2" t="s">
        <v>1395</v>
      </c>
      <c r="F710" s="2" t="s">
        <v>1419</v>
      </c>
      <c r="G710" s="2" t="s">
        <v>3927</v>
      </c>
      <c r="H710" s="2" t="s">
        <v>3928</v>
      </c>
      <c r="I710" s="2" t="s">
        <v>1374</v>
      </c>
      <c r="J710" s="2" t="s">
        <v>3929</v>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row>
    <row r="711" customFormat="false" ht="15" hidden="false" customHeight="false" outlineLevel="0" collapsed="false">
      <c r="A711" s="2" t="n">
        <v>108</v>
      </c>
      <c r="B711" s="2" t="s">
        <v>1275</v>
      </c>
      <c r="C711" s="2" t="s">
        <v>1280</v>
      </c>
      <c r="D711" s="2" t="s">
        <v>3930</v>
      </c>
      <c r="E711" s="2" t="s">
        <v>1395</v>
      </c>
      <c r="F711" s="2" t="s">
        <v>1419</v>
      </c>
      <c r="G711" s="2" t="s">
        <v>3315</v>
      </c>
      <c r="H711" s="2" t="s">
        <v>3931</v>
      </c>
      <c r="I711" s="2" t="s">
        <v>1374</v>
      </c>
      <c r="J711" s="2" t="s">
        <v>3932</v>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row>
    <row r="712" customFormat="false" ht="15" hidden="false" customHeight="false" outlineLevel="0" collapsed="false">
      <c r="A712" s="2" t="n">
        <v>108</v>
      </c>
      <c r="B712" s="2" t="s">
        <v>1275</v>
      </c>
      <c r="C712" s="2" t="s">
        <v>1280</v>
      </c>
      <c r="D712" s="2" t="s">
        <v>3933</v>
      </c>
      <c r="E712" s="2" t="s">
        <v>1395</v>
      </c>
      <c r="F712" s="2" t="s">
        <v>1419</v>
      </c>
      <c r="G712" s="2" t="s">
        <v>3934</v>
      </c>
      <c r="H712" s="2" t="s">
        <v>3935</v>
      </c>
      <c r="I712" s="2" t="s">
        <v>1374</v>
      </c>
      <c r="J712" s="2" t="s">
        <v>3936</v>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row>
    <row r="713" customFormat="false" ht="15" hidden="false" customHeight="false" outlineLevel="0" collapsed="false">
      <c r="A713" s="2" t="n">
        <v>108</v>
      </c>
      <c r="B713" s="2" t="s">
        <v>1275</v>
      </c>
      <c r="C713" s="2" t="s">
        <v>1280</v>
      </c>
      <c r="D713" s="2" t="s">
        <v>3937</v>
      </c>
      <c r="E713" s="2" t="s">
        <v>1395</v>
      </c>
      <c r="F713" s="2" t="s">
        <v>1419</v>
      </c>
      <c r="G713" s="2" t="s">
        <v>3938</v>
      </c>
      <c r="H713" s="2" t="s">
        <v>3939</v>
      </c>
      <c r="I713" s="2" t="s">
        <v>1374</v>
      </c>
      <c r="J713" s="2" t="s">
        <v>3940</v>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row>
    <row r="714" customFormat="false" ht="15" hidden="false" customHeight="false" outlineLevel="0" collapsed="false">
      <c r="A714" s="2" t="n">
        <v>108</v>
      </c>
      <c r="B714" s="2" t="s">
        <v>1275</v>
      </c>
      <c r="C714" s="2" t="s">
        <v>1280</v>
      </c>
      <c r="D714" s="2" t="s">
        <v>3941</v>
      </c>
      <c r="E714" s="2" t="s">
        <v>1395</v>
      </c>
      <c r="F714" s="2" t="s">
        <v>1419</v>
      </c>
      <c r="G714" s="2" t="s">
        <v>3938</v>
      </c>
      <c r="H714" s="2" t="s">
        <v>3942</v>
      </c>
      <c r="I714" s="2" t="s">
        <v>1374</v>
      </c>
      <c r="J714" s="2" t="s">
        <v>3943</v>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row>
    <row r="715" customFormat="false" ht="15" hidden="false" customHeight="false" outlineLevel="0" collapsed="false">
      <c r="A715" s="2" t="n">
        <v>108</v>
      </c>
      <c r="B715" s="2" t="s">
        <v>1275</v>
      </c>
      <c r="C715" s="2" t="s">
        <v>1280</v>
      </c>
      <c r="D715" s="2" t="s">
        <v>3944</v>
      </c>
      <c r="E715" s="2" t="s">
        <v>1395</v>
      </c>
      <c r="F715" s="2" t="s">
        <v>1419</v>
      </c>
      <c r="G715" s="2" t="s">
        <v>3945</v>
      </c>
      <c r="H715" s="2" t="s">
        <v>3946</v>
      </c>
      <c r="I715" s="2" t="s">
        <v>1374</v>
      </c>
      <c r="J715" s="2" t="s">
        <v>3947</v>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row>
    <row r="716" customFormat="false" ht="15" hidden="false" customHeight="false" outlineLevel="0" collapsed="false">
      <c r="A716" s="2" t="n">
        <v>108</v>
      </c>
      <c r="B716" s="2" t="s">
        <v>1275</v>
      </c>
      <c r="C716" s="2" t="s">
        <v>1280</v>
      </c>
      <c r="D716" s="2" t="s">
        <v>3948</v>
      </c>
      <c r="E716" s="2" t="s">
        <v>1395</v>
      </c>
      <c r="F716" s="2" t="s">
        <v>1419</v>
      </c>
      <c r="G716" s="2" t="s">
        <v>3949</v>
      </c>
      <c r="H716" s="2" t="s">
        <v>3950</v>
      </c>
      <c r="I716" s="2" t="s">
        <v>1374</v>
      </c>
      <c r="J716" s="2" t="s">
        <v>3951</v>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row>
    <row r="717" customFormat="false" ht="15" hidden="false" customHeight="false" outlineLevel="0" collapsed="false">
      <c r="A717" s="2" t="n">
        <v>108</v>
      </c>
      <c r="B717" s="2" t="s">
        <v>1275</v>
      </c>
      <c r="C717" s="2" t="s">
        <v>1280</v>
      </c>
      <c r="D717" s="2" t="s">
        <v>3952</v>
      </c>
      <c r="E717" s="2" t="s">
        <v>1395</v>
      </c>
      <c r="F717" s="2" t="s">
        <v>1419</v>
      </c>
      <c r="G717" s="2" t="s">
        <v>3953</v>
      </c>
      <c r="H717" s="2" t="s">
        <v>3954</v>
      </c>
      <c r="I717" s="2" t="s">
        <v>1374</v>
      </c>
      <c r="J717" s="2" t="s">
        <v>3955</v>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row>
    <row r="718" customFormat="false" ht="15" hidden="false" customHeight="false" outlineLevel="0" collapsed="false">
      <c r="A718" s="2" t="n">
        <v>108</v>
      </c>
      <c r="B718" s="2" t="s">
        <v>1275</v>
      </c>
      <c r="C718" s="2" t="s">
        <v>1280</v>
      </c>
      <c r="D718" s="2" t="s">
        <v>3956</v>
      </c>
      <c r="E718" s="2" t="s">
        <v>1395</v>
      </c>
      <c r="F718" s="2" t="s">
        <v>1419</v>
      </c>
      <c r="G718" s="2" t="s">
        <v>3957</v>
      </c>
      <c r="H718" s="2" t="s">
        <v>3958</v>
      </c>
      <c r="I718" s="2" t="s">
        <v>1374</v>
      </c>
      <c r="J718" s="2" t="s">
        <v>3959</v>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row>
    <row r="719" customFormat="false" ht="15" hidden="false" customHeight="false" outlineLevel="0" collapsed="false">
      <c r="A719" s="2" t="n">
        <v>108</v>
      </c>
      <c r="B719" s="2" t="s">
        <v>1275</v>
      </c>
      <c r="C719" s="2" t="s">
        <v>1280</v>
      </c>
      <c r="D719" s="2" t="s">
        <v>3960</v>
      </c>
      <c r="E719" s="2" t="s">
        <v>1395</v>
      </c>
      <c r="F719" s="2" t="s">
        <v>1419</v>
      </c>
      <c r="G719" s="2" t="s">
        <v>3961</v>
      </c>
      <c r="H719" s="2" t="s">
        <v>3962</v>
      </c>
      <c r="I719" s="2" t="s">
        <v>1374</v>
      </c>
      <c r="J719" s="2" t="s">
        <v>3963</v>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row>
    <row r="720" customFormat="false" ht="15" hidden="false" customHeight="false" outlineLevel="0" collapsed="false">
      <c r="A720" s="2" t="n">
        <v>108</v>
      </c>
      <c r="B720" s="2" t="s">
        <v>1275</v>
      </c>
      <c r="C720" s="2" t="s">
        <v>1280</v>
      </c>
      <c r="D720" s="2" t="s">
        <v>3964</v>
      </c>
      <c r="E720" s="2" t="s">
        <v>1395</v>
      </c>
      <c r="F720" s="2" t="s">
        <v>1419</v>
      </c>
      <c r="G720" s="2" t="s">
        <v>3965</v>
      </c>
      <c r="H720" s="2" t="s">
        <v>3966</v>
      </c>
      <c r="I720" s="2" t="s">
        <v>1374</v>
      </c>
      <c r="J720" s="2" t="s">
        <v>3967</v>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row>
    <row r="721" customFormat="false" ht="15" hidden="false" customHeight="false" outlineLevel="0" collapsed="false">
      <c r="A721" s="2" t="n">
        <v>108</v>
      </c>
      <c r="B721" s="2" t="s">
        <v>1275</v>
      </c>
      <c r="C721" s="2" t="s">
        <v>1280</v>
      </c>
      <c r="D721" s="2" t="s">
        <v>3968</v>
      </c>
      <c r="E721" s="2" t="s">
        <v>1395</v>
      </c>
      <c r="F721" s="2" t="s">
        <v>1419</v>
      </c>
      <c r="G721" s="2" t="s">
        <v>2783</v>
      </c>
      <c r="H721" s="2" t="s">
        <v>3969</v>
      </c>
      <c r="I721" s="2" t="s">
        <v>1374</v>
      </c>
      <c r="J721" s="2" t="s">
        <v>3970</v>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row>
    <row r="722" customFormat="false" ht="15" hidden="false" customHeight="false" outlineLevel="0" collapsed="false">
      <c r="A722" s="2" t="n">
        <v>108</v>
      </c>
      <c r="B722" s="2" t="s">
        <v>1275</v>
      </c>
      <c r="C722" s="2" t="s">
        <v>1280</v>
      </c>
      <c r="D722" s="2" t="s">
        <v>3971</v>
      </c>
      <c r="E722" s="2" t="s">
        <v>1395</v>
      </c>
      <c r="F722" s="2" t="s">
        <v>1419</v>
      </c>
      <c r="G722" s="2" t="s">
        <v>3972</v>
      </c>
      <c r="H722" s="2" t="s">
        <v>3973</v>
      </c>
      <c r="I722" s="2" t="s">
        <v>1374</v>
      </c>
      <c r="J722" s="2" t="s">
        <v>3974</v>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row>
    <row r="723" customFormat="false" ht="15" hidden="false" customHeight="false" outlineLevel="0" collapsed="false">
      <c r="A723" s="2" t="n">
        <v>108</v>
      </c>
      <c r="B723" s="2" t="s">
        <v>1275</v>
      </c>
      <c r="C723" s="2" t="s">
        <v>1280</v>
      </c>
      <c r="D723" s="2" t="s">
        <v>3975</v>
      </c>
      <c r="E723" s="2" t="s">
        <v>1395</v>
      </c>
      <c r="F723" s="2" t="s">
        <v>1419</v>
      </c>
      <c r="G723" s="2" t="s">
        <v>1161</v>
      </c>
      <c r="H723" s="2" t="s">
        <v>3976</v>
      </c>
      <c r="I723" s="2" t="s">
        <v>1374</v>
      </c>
      <c r="J723" s="2" t="s">
        <v>3977</v>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row>
    <row r="724" customFormat="false" ht="15" hidden="false" customHeight="false" outlineLevel="0" collapsed="false">
      <c r="A724" s="2" t="n">
        <v>108</v>
      </c>
      <c r="B724" s="2" t="s">
        <v>1275</v>
      </c>
      <c r="C724" s="2" t="s">
        <v>1280</v>
      </c>
      <c r="D724" s="2" t="s">
        <v>3978</v>
      </c>
      <c r="E724" s="2" t="s">
        <v>1395</v>
      </c>
      <c r="F724" s="2" t="s">
        <v>1419</v>
      </c>
      <c r="G724" s="2" t="s">
        <v>3175</v>
      </c>
      <c r="H724" s="2" t="s">
        <v>3979</v>
      </c>
      <c r="I724" s="2" t="s">
        <v>1374</v>
      </c>
      <c r="J724" s="2" t="s">
        <v>3980</v>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row>
    <row r="725" customFormat="false" ht="15" hidden="false" customHeight="false" outlineLevel="0" collapsed="false">
      <c r="A725" s="2" t="n">
        <v>108</v>
      </c>
      <c r="B725" s="2" t="s">
        <v>1275</v>
      </c>
      <c r="C725" s="2" t="s">
        <v>1280</v>
      </c>
      <c r="D725" s="2" t="s">
        <v>3981</v>
      </c>
      <c r="E725" s="2" t="s">
        <v>1395</v>
      </c>
      <c r="F725" s="2" t="s">
        <v>1419</v>
      </c>
      <c r="G725" s="2" t="s">
        <v>3982</v>
      </c>
      <c r="H725" s="2" t="s">
        <v>3983</v>
      </c>
      <c r="I725" s="2" t="s">
        <v>1374</v>
      </c>
      <c r="J725" s="2" t="s">
        <v>3984</v>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row>
    <row r="726" customFormat="false" ht="15" hidden="false" customHeight="false" outlineLevel="0" collapsed="false">
      <c r="A726" s="2" t="n">
        <v>108</v>
      </c>
      <c r="B726" s="2" t="s">
        <v>1275</v>
      </c>
      <c r="C726" s="2" t="s">
        <v>1280</v>
      </c>
      <c r="D726" s="2" t="s">
        <v>3985</v>
      </c>
      <c r="E726" s="2" t="s">
        <v>1395</v>
      </c>
      <c r="F726" s="2" t="s">
        <v>1419</v>
      </c>
      <c r="G726" s="2" t="s">
        <v>3982</v>
      </c>
      <c r="H726" s="2" t="s">
        <v>3986</v>
      </c>
      <c r="I726" s="2" t="s">
        <v>1374</v>
      </c>
      <c r="J726" s="2" t="s">
        <v>3987</v>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row>
    <row r="727" customFormat="false" ht="15" hidden="false" customHeight="false" outlineLevel="0" collapsed="false">
      <c r="A727" s="2" t="n">
        <v>108</v>
      </c>
      <c r="B727" s="2" t="s">
        <v>1275</v>
      </c>
      <c r="C727" s="2" t="s">
        <v>1280</v>
      </c>
      <c r="D727" s="2" t="s">
        <v>3988</v>
      </c>
      <c r="E727" s="2" t="s">
        <v>1395</v>
      </c>
      <c r="F727" s="2" t="s">
        <v>1419</v>
      </c>
      <c r="G727" s="2" t="s">
        <v>304</v>
      </c>
      <c r="H727" s="2" t="s">
        <v>3989</v>
      </c>
      <c r="I727" s="2" t="s">
        <v>1374</v>
      </c>
      <c r="J727" s="2" t="s">
        <v>3990</v>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row>
    <row r="728" customFormat="false" ht="15" hidden="false" customHeight="false" outlineLevel="0" collapsed="false">
      <c r="A728" s="2" t="n">
        <v>108</v>
      </c>
      <c r="B728" s="2" t="s">
        <v>1275</v>
      </c>
      <c r="C728" s="2" t="s">
        <v>1280</v>
      </c>
      <c r="D728" s="2" t="s">
        <v>3991</v>
      </c>
      <c r="E728" s="2" t="s">
        <v>1395</v>
      </c>
      <c r="F728" s="2" t="s">
        <v>1419</v>
      </c>
      <c r="G728" s="2" t="s">
        <v>304</v>
      </c>
      <c r="H728" s="2" t="s">
        <v>3992</v>
      </c>
      <c r="I728" s="2" t="s">
        <v>1374</v>
      </c>
      <c r="J728" s="2" t="s">
        <v>3993</v>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row>
    <row r="729" customFormat="false" ht="15" hidden="false" customHeight="false" outlineLevel="0" collapsed="false">
      <c r="A729" s="2" t="n">
        <v>108</v>
      </c>
      <c r="B729" s="2" t="s">
        <v>1275</v>
      </c>
      <c r="C729" s="2" t="s">
        <v>1280</v>
      </c>
      <c r="D729" s="2" t="s">
        <v>3994</v>
      </c>
      <c r="E729" s="2" t="s">
        <v>1395</v>
      </c>
      <c r="F729" s="2" t="s">
        <v>1419</v>
      </c>
      <c r="G729" s="2" t="s">
        <v>3995</v>
      </c>
      <c r="H729" s="2" t="s">
        <v>3996</v>
      </c>
      <c r="I729" s="2" t="s">
        <v>1374</v>
      </c>
      <c r="J729" s="2" t="s">
        <v>3997</v>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row>
    <row r="730" customFormat="false" ht="15" hidden="false" customHeight="false" outlineLevel="0" collapsed="false">
      <c r="A730" s="2" t="n">
        <v>108</v>
      </c>
      <c r="B730" s="2" t="s">
        <v>1275</v>
      </c>
      <c r="C730" s="2" t="s">
        <v>1280</v>
      </c>
      <c r="D730" s="2" t="s">
        <v>3998</v>
      </c>
      <c r="E730" s="2" t="s">
        <v>1395</v>
      </c>
      <c r="F730" s="2" t="s">
        <v>1419</v>
      </c>
      <c r="G730" s="2" t="s">
        <v>3999</v>
      </c>
      <c r="H730" s="2" t="s">
        <v>4000</v>
      </c>
      <c r="I730" s="2" t="s">
        <v>1374</v>
      </c>
      <c r="J730" s="2" t="s">
        <v>4001</v>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0</v>
      </c>
      <c r="Z730" s="2" t="n">
        <v>0</v>
      </c>
      <c r="AA730" s="2" t="n">
        <v>0</v>
      </c>
      <c r="AB730" s="2" t="n">
        <v>2</v>
      </c>
      <c r="AC730" s="2"/>
    </row>
    <row r="731" customFormat="false" ht="15" hidden="false" customHeight="false" outlineLevel="0" collapsed="false">
      <c r="A731" s="2" t="n">
        <v>108</v>
      </c>
      <c r="B731" s="2" t="s">
        <v>1275</v>
      </c>
      <c r="C731" s="2" t="s">
        <v>1280</v>
      </c>
      <c r="D731" s="2" t="s">
        <v>4002</v>
      </c>
      <c r="E731" s="2" t="s">
        <v>1395</v>
      </c>
      <c r="F731" s="2" t="s">
        <v>1419</v>
      </c>
      <c r="G731" s="2" t="s">
        <v>3999</v>
      </c>
      <c r="H731" s="2" t="s">
        <v>4003</v>
      </c>
      <c r="I731" s="2" t="s">
        <v>1374</v>
      </c>
      <c r="J731" s="2" t="s">
        <v>4004</v>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row>
    <row r="732" customFormat="false" ht="15" hidden="false" customHeight="false" outlineLevel="0" collapsed="false">
      <c r="A732" s="2" t="n">
        <v>108</v>
      </c>
      <c r="B732" s="2" t="s">
        <v>1275</v>
      </c>
      <c r="C732" s="2" t="s">
        <v>1280</v>
      </c>
      <c r="D732" s="2" t="s">
        <v>4005</v>
      </c>
      <c r="E732" s="2" t="s">
        <v>1395</v>
      </c>
      <c r="F732" s="2" t="s">
        <v>1419</v>
      </c>
      <c r="G732" s="2" t="s">
        <v>4006</v>
      </c>
      <c r="H732" s="2" t="s">
        <v>4007</v>
      </c>
      <c r="I732" s="2" t="s">
        <v>1374</v>
      </c>
      <c r="J732" s="2" t="s">
        <v>4008</v>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row>
    <row r="733" customFormat="false" ht="15" hidden="false" customHeight="false" outlineLevel="0" collapsed="false">
      <c r="A733" s="2" t="n">
        <v>108</v>
      </c>
      <c r="B733" s="2" t="s">
        <v>1275</v>
      </c>
      <c r="C733" s="2" t="s">
        <v>1280</v>
      </c>
      <c r="D733" s="2" t="s">
        <v>4009</v>
      </c>
      <c r="E733" s="2" t="s">
        <v>1395</v>
      </c>
      <c r="F733" s="2" t="s">
        <v>1419</v>
      </c>
      <c r="G733" s="2" t="s">
        <v>4010</v>
      </c>
      <c r="H733" s="2" t="s">
        <v>4011</v>
      </c>
      <c r="I733" s="2" t="s">
        <v>1374</v>
      </c>
      <c r="J733" s="2" t="s">
        <v>4012</v>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row>
    <row r="734" customFormat="false" ht="15" hidden="false" customHeight="false" outlineLevel="0" collapsed="false">
      <c r="A734" s="2" t="n">
        <v>108</v>
      </c>
      <c r="B734" s="2" t="s">
        <v>1275</v>
      </c>
      <c r="C734" s="2" t="s">
        <v>1280</v>
      </c>
      <c r="D734" s="2" t="s">
        <v>4013</v>
      </c>
      <c r="E734" s="2" t="s">
        <v>1395</v>
      </c>
      <c r="F734" s="2" t="s">
        <v>1419</v>
      </c>
      <c r="G734" s="2" t="s">
        <v>4014</v>
      </c>
      <c r="H734" s="2" t="s">
        <v>4015</v>
      </c>
      <c r="I734" s="2" t="s">
        <v>1374</v>
      </c>
      <c r="J734" s="2" t="s">
        <v>4016</v>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row>
    <row r="735" customFormat="false" ht="15" hidden="false" customHeight="false" outlineLevel="0" collapsed="false">
      <c r="A735" s="2" t="n">
        <v>108</v>
      </c>
      <c r="B735" s="2" t="s">
        <v>1275</v>
      </c>
      <c r="C735" s="2" t="s">
        <v>1280</v>
      </c>
      <c r="D735" s="2" t="s">
        <v>4017</v>
      </c>
      <c r="E735" s="2" t="s">
        <v>1395</v>
      </c>
      <c r="F735" s="2" t="s">
        <v>1419</v>
      </c>
      <c r="G735" s="2" t="s">
        <v>2926</v>
      </c>
      <c r="H735" s="2" t="s">
        <v>4018</v>
      </c>
      <c r="I735" s="2" t="s">
        <v>1374</v>
      </c>
      <c r="J735" s="2" t="s">
        <v>4019</v>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row>
    <row r="736" customFormat="false" ht="15" hidden="false" customHeight="false" outlineLevel="0" collapsed="false">
      <c r="A736" s="2" t="n">
        <v>108</v>
      </c>
      <c r="B736" s="2" t="s">
        <v>1275</v>
      </c>
      <c r="C736" s="2" t="s">
        <v>1280</v>
      </c>
      <c r="D736" s="2" t="s">
        <v>4020</v>
      </c>
      <c r="E736" s="2" t="s">
        <v>1395</v>
      </c>
      <c r="F736" s="2" t="s">
        <v>1419</v>
      </c>
      <c r="G736" s="2" t="s">
        <v>4021</v>
      </c>
      <c r="H736" s="2" t="s">
        <v>4022</v>
      </c>
      <c r="I736" s="2" t="s">
        <v>1374</v>
      </c>
      <c r="J736" s="2" t="s">
        <v>4023</v>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row>
    <row r="737" customFormat="false" ht="15" hidden="false" customHeight="false" outlineLevel="0" collapsed="false">
      <c r="A737" s="2" t="n">
        <v>108</v>
      </c>
      <c r="B737" s="2" t="s">
        <v>1275</v>
      </c>
      <c r="C737" s="2" t="s">
        <v>1280</v>
      </c>
      <c r="D737" s="2" t="s">
        <v>4024</v>
      </c>
      <c r="E737" s="2" t="s">
        <v>1395</v>
      </c>
      <c r="F737" s="2" t="s">
        <v>1419</v>
      </c>
      <c r="G737" s="2" t="s">
        <v>4025</v>
      </c>
      <c r="H737" s="2" t="s">
        <v>4026</v>
      </c>
      <c r="I737" s="2" t="s">
        <v>1374</v>
      </c>
      <c r="J737" s="2" t="s">
        <v>4027</v>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0</v>
      </c>
      <c r="Z737" s="2" t="n">
        <v>0</v>
      </c>
      <c r="AA737" s="2" t="n">
        <v>0</v>
      </c>
      <c r="AB737" s="2" t="n">
        <v>2</v>
      </c>
      <c r="AC737" s="2"/>
    </row>
    <row r="738" customFormat="false" ht="15" hidden="false" customHeight="false" outlineLevel="0" collapsed="false">
      <c r="A738" s="2" t="n">
        <v>108</v>
      </c>
      <c r="B738" s="2" t="s">
        <v>1275</v>
      </c>
      <c r="C738" s="2" t="s">
        <v>1280</v>
      </c>
      <c r="D738" s="2" t="s">
        <v>4028</v>
      </c>
      <c r="E738" s="2" t="s">
        <v>1395</v>
      </c>
      <c r="F738" s="2" t="s">
        <v>1419</v>
      </c>
      <c r="G738" s="2" t="s">
        <v>3363</v>
      </c>
      <c r="H738" s="2" t="s">
        <v>4029</v>
      </c>
      <c r="I738" s="2" t="s">
        <v>1374</v>
      </c>
      <c r="J738" s="2" t="s">
        <v>4030</v>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row>
    <row r="739" customFormat="false" ht="15" hidden="false" customHeight="false" outlineLevel="0" collapsed="false">
      <c r="A739" s="2" t="n">
        <v>108</v>
      </c>
      <c r="B739" s="2" t="s">
        <v>1275</v>
      </c>
      <c r="C739" s="2" t="s">
        <v>1280</v>
      </c>
      <c r="D739" s="2" t="s">
        <v>4031</v>
      </c>
      <c r="E739" s="2" t="s">
        <v>1395</v>
      </c>
      <c r="F739" s="2" t="s">
        <v>1419</v>
      </c>
      <c r="G739" s="2" t="s">
        <v>4032</v>
      </c>
      <c r="H739" s="2" t="s">
        <v>4033</v>
      </c>
      <c r="I739" s="2" t="s">
        <v>1374</v>
      </c>
      <c r="J739" s="2" t="s">
        <v>4034</v>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row>
    <row r="740" customFormat="false" ht="15" hidden="false" customHeight="false" outlineLevel="0" collapsed="false">
      <c r="A740" s="2" t="n">
        <v>108</v>
      </c>
      <c r="B740" s="2" t="s">
        <v>1275</v>
      </c>
      <c r="C740" s="2" t="s">
        <v>1280</v>
      </c>
      <c r="D740" s="2" t="s">
        <v>4035</v>
      </c>
      <c r="E740" s="2" t="s">
        <v>1395</v>
      </c>
      <c r="F740" s="2" t="s">
        <v>1419</v>
      </c>
      <c r="G740" s="2" t="s">
        <v>3157</v>
      </c>
      <c r="H740" s="2" t="s">
        <v>4036</v>
      </c>
      <c r="I740" s="2" t="s">
        <v>1374</v>
      </c>
      <c r="J740" s="2" t="s">
        <v>4037</v>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0</v>
      </c>
      <c r="AB740" s="2" t="n">
        <v>1</v>
      </c>
      <c r="AC740" s="2"/>
    </row>
    <row r="741" customFormat="false" ht="15" hidden="false" customHeight="false" outlineLevel="0" collapsed="false">
      <c r="A741" s="2" t="n">
        <v>108</v>
      </c>
      <c r="B741" s="2" t="s">
        <v>1275</v>
      </c>
      <c r="C741" s="2" t="s">
        <v>1280</v>
      </c>
      <c r="D741" s="2" t="s">
        <v>4038</v>
      </c>
      <c r="E741" s="2" t="s">
        <v>1395</v>
      </c>
      <c r="F741" s="2" t="s">
        <v>1419</v>
      </c>
      <c r="G741" s="2" t="s">
        <v>3157</v>
      </c>
      <c r="H741" s="2" t="s">
        <v>4039</v>
      </c>
      <c r="I741" s="2" t="s">
        <v>1374</v>
      </c>
      <c r="J741" s="2" t="s">
        <v>4040</v>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row>
    <row r="742" customFormat="false" ht="15" hidden="false" customHeight="false" outlineLevel="0" collapsed="false">
      <c r="A742" s="2" t="n">
        <v>108</v>
      </c>
      <c r="B742" s="2" t="s">
        <v>1275</v>
      </c>
      <c r="C742" s="2" t="s">
        <v>1280</v>
      </c>
      <c r="D742" s="2" t="s">
        <v>4041</v>
      </c>
      <c r="E742" s="2" t="s">
        <v>1395</v>
      </c>
      <c r="F742" s="2" t="s">
        <v>1419</v>
      </c>
      <c r="G742" s="2" t="s">
        <v>4042</v>
      </c>
      <c r="H742" s="2" t="s">
        <v>4043</v>
      </c>
      <c r="I742" s="2" t="s">
        <v>1374</v>
      </c>
      <c r="J742" s="2" t="s">
        <v>4044</v>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row>
    <row r="743" customFormat="false" ht="15" hidden="false" customHeight="false" outlineLevel="0" collapsed="false">
      <c r="A743" s="2" t="n">
        <v>108</v>
      </c>
      <c r="B743" s="2" t="s">
        <v>1275</v>
      </c>
      <c r="C743" s="2" t="s">
        <v>1280</v>
      </c>
      <c r="D743" s="2" t="s">
        <v>4045</v>
      </c>
      <c r="E743" s="2" t="s">
        <v>1395</v>
      </c>
      <c r="F743" s="2" t="s">
        <v>1419</v>
      </c>
      <c r="G743" s="2" t="s">
        <v>4042</v>
      </c>
      <c r="H743" s="2" t="s">
        <v>4046</v>
      </c>
      <c r="I743" s="2" t="s">
        <v>1374</v>
      </c>
      <c r="J743" s="2" t="s">
        <v>4047</v>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row>
    <row r="744" customFormat="false" ht="15" hidden="false" customHeight="false" outlineLevel="0" collapsed="false">
      <c r="A744" s="2" t="n">
        <v>108</v>
      </c>
      <c r="B744" s="2" t="s">
        <v>1275</v>
      </c>
      <c r="C744" s="2" t="s">
        <v>1280</v>
      </c>
      <c r="D744" s="2" t="s">
        <v>4048</v>
      </c>
      <c r="E744" s="2" t="s">
        <v>1395</v>
      </c>
      <c r="F744" s="2" t="s">
        <v>1419</v>
      </c>
      <c r="G744" s="2" t="s">
        <v>4049</v>
      </c>
      <c r="H744" s="2" t="s">
        <v>4050</v>
      </c>
      <c r="I744" s="2" t="s">
        <v>1374</v>
      </c>
      <c r="J744" s="2" t="s">
        <v>4051</v>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row>
    <row r="745" customFormat="false" ht="15" hidden="false" customHeight="false" outlineLevel="0" collapsed="false">
      <c r="A745" s="2" t="n">
        <v>108</v>
      </c>
      <c r="B745" s="2" t="s">
        <v>1275</v>
      </c>
      <c r="C745" s="2" t="s">
        <v>1280</v>
      </c>
      <c r="D745" s="2" t="s">
        <v>4052</v>
      </c>
      <c r="E745" s="2" t="s">
        <v>1395</v>
      </c>
      <c r="F745" s="2" t="s">
        <v>1419</v>
      </c>
      <c r="G745" s="2" t="s">
        <v>4049</v>
      </c>
      <c r="H745" s="2" t="s">
        <v>4053</v>
      </c>
      <c r="I745" s="2" t="s">
        <v>1374</v>
      </c>
      <c r="J745" s="2" t="s">
        <v>4054</v>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row>
    <row r="746" customFormat="false" ht="15" hidden="false" customHeight="false" outlineLevel="0" collapsed="false">
      <c r="A746" s="2" t="n">
        <v>108</v>
      </c>
      <c r="B746" s="2" t="s">
        <v>1275</v>
      </c>
      <c r="C746" s="2" t="s">
        <v>1280</v>
      </c>
      <c r="D746" s="2" t="s">
        <v>4055</v>
      </c>
      <c r="E746" s="2" t="s">
        <v>1395</v>
      </c>
      <c r="F746" s="2" t="s">
        <v>1419</v>
      </c>
      <c r="G746" s="2" t="s">
        <v>4056</v>
      </c>
      <c r="H746" s="2" t="s">
        <v>4057</v>
      </c>
      <c r="I746" s="2" t="s">
        <v>1374</v>
      </c>
      <c r="J746" s="2" t="s">
        <v>4058</v>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row>
    <row r="747" customFormat="false" ht="15" hidden="false" customHeight="false" outlineLevel="0" collapsed="false">
      <c r="A747" s="2" t="n">
        <v>108</v>
      </c>
      <c r="B747" s="2" t="s">
        <v>1275</v>
      </c>
      <c r="C747" s="2" t="s">
        <v>1280</v>
      </c>
      <c r="D747" s="2" t="s">
        <v>4059</v>
      </c>
      <c r="E747" s="2" t="s">
        <v>1395</v>
      </c>
      <c r="F747" s="2" t="s">
        <v>1419</v>
      </c>
      <c r="G747" s="2" t="s">
        <v>4060</v>
      </c>
      <c r="H747" s="2" t="s">
        <v>4061</v>
      </c>
      <c r="I747" s="2" t="s">
        <v>1374</v>
      </c>
      <c r="J747" s="2" t="s">
        <v>4062</v>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row>
    <row r="748" customFormat="false" ht="15" hidden="false" customHeight="false" outlineLevel="0" collapsed="false">
      <c r="A748" s="2" t="n">
        <v>108</v>
      </c>
      <c r="B748" s="2" t="s">
        <v>1275</v>
      </c>
      <c r="C748" s="2" t="s">
        <v>1280</v>
      </c>
      <c r="D748" s="2" t="s">
        <v>4063</v>
      </c>
      <c r="E748" s="2" t="s">
        <v>1395</v>
      </c>
      <c r="F748" s="2" t="s">
        <v>1419</v>
      </c>
      <c r="G748" s="2" t="s">
        <v>4064</v>
      </c>
      <c r="H748" s="2" t="s">
        <v>4065</v>
      </c>
      <c r="I748" s="2" t="s">
        <v>1374</v>
      </c>
      <c r="J748" s="2" t="s">
        <v>4066</v>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row>
    <row r="749" customFormat="false" ht="15" hidden="false" customHeight="false" outlineLevel="0" collapsed="false">
      <c r="A749" s="2" t="n">
        <v>110</v>
      </c>
      <c r="B749" s="2" t="s">
        <v>1300</v>
      </c>
      <c r="C749" s="2" t="s">
        <v>1306</v>
      </c>
      <c r="D749" s="2" t="s">
        <v>4067</v>
      </c>
      <c r="E749" s="2" t="s">
        <v>1395</v>
      </c>
      <c r="F749" s="2" t="s">
        <v>1396</v>
      </c>
      <c r="G749" s="2" t="s">
        <v>445</v>
      </c>
      <c r="H749" s="2" t="s">
        <v>4068</v>
      </c>
      <c r="I749" s="2" t="s">
        <v>1374</v>
      </c>
      <c r="J749" s="2" t="s">
        <v>4069</v>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1</v>
      </c>
      <c r="Z749" s="2" t="n">
        <v>1</v>
      </c>
      <c r="AA749" s="2" t="n">
        <v>0</v>
      </c>
      <c r="AB749" s="2" t="n">
        <v>3</v>
      </c>
      <c r="AC749" s="2"/>
    </row>
    <row r="750" customFormat="false" ht="15" hidden="false" customHeight="false" outlineLevel="0" collapsed="false">
      <c r="A750" s="2" t="n">
        <v>110</v>
      </c>
      <c r="B750" s="2" t="s">
        <v>1300</v>
      </c>
      <c r="C750" s="2" t="s">
        <v>1306</v>
      </c>
      <c r="D750" s="2" t="s">
        <v>4070</v>
      </c>
      <c r="E750" s="2" t="s">
        <v>1401</v>
      </c>
      <c r="F750" s="2" t="s">
        <v>1402</v>
      </c>
      <c r="G750" s="2" t="s">
        <v>4071</v>
      </c>
      <c r="H750" s="2" t="s">
        <v>4072</v>
      </c>
      <c r="I750" s="2" t="s">
        <v>1374</v>
      </c>
      <c r="J750" s="2" t="s">
        <v>4073</v>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0</v>
      </c>
      <c r="Z750" s="2" t="n">
        <v>0</v>
      </c>
      <c r="AA750" s="2" t="n">
        <v>0</v>
      </c>
      <c r="AB750" s="2" t="n">
        <v>1</v>
      </c>
      <c r="AC750" s="2"/>
    </row>
    <row r="751" customFormat="false" ht="15" hidden="false" customHeight="false" outlineLevel="0" collapsed="false">
      <c r="A751" s="2" t="n">
        <v>110</v>
      </c>
      <c r="B751" s="2" t="s">
        <v>1300</v>
      </c>
      <c r="C751" s="2" t="s">
        <v>1306</v>
      </c>
      <c r="D751" s="2" t="s">
        <v>4074</v>
      </c>
      <c r="E751" s="2" t="s">
        <v>1401</v>
      </c>
      <c r="F751" s="2" t="s">
        <v>1402</v>
      </c>
      <c r="G751" s="2" t="s">
        <v>4075</v>
      </c>
      <c r="H751" s="2" t="s">
        <v>4076</v>
      </c>
      <c r="I751" s="2" t="s">
        <v>1374</v>
      </c>
      <c r="J751" s="2" t="s">
        <v>4077</v>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row>
    <row r="752" customFormat="false" ht="15" hidden="false" customHeight="false" outlineLevel="0" collapsed="false">
      <c r="A752" s="2" t="n">
        <v>110</v>
      </c>
      <c r="B752" s="2" t="s">
        <v>1300</v>
      </c>
      <c r="C752" s="2" t="s">
        <v>1306</v>
      </c>
      <c r="D752" s="2" t="s">
        <v>4078</v>
      </c>
      <c r="E752" s="2" t="s">
        <v>1401</v>
      </c>
      <c r="F752" s="2" t="s">
        <v>1402</v>
      </c>
      <c r="G752" s="2" t="s">
        <v>4079</v>
      </c>
      <c r="H752" s="2" t="s">
        <v>4080</v>
      </c>
      <c r="I752" s="2" t="s">
        <v>1374</v>
      </c>
      <c r="J752" s="2" t="s">
        <v>4081</v>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row>
    <row r="753" customFormat="false" ht="15" hidden="false" customHeight="false" outlineLevel="0" collapsed="false">
      <c r="A753" s="2" t="n">
        <v>110</v>
      </c>
      <c r="B753" s="2" t="s">
        <v>1300</v>
      </c>
      <c r="C753" s="2" t="s">
        <v>1306</v>
      </c>
      <c r="D753" s="2" t="s">
        <v>4082</v>
      </c>
      <c r="E753" s="2" t="s">
        <v>1401</v>
      </c>
      <c r="F753" s="2" t="s">
        <v>1402</v>
      </c>
      <c r="G753" s="2" t="s">
        <v>4083</v>
      </c>
      <c r="H753" s="2" t="s">
        <v>4084</v>
      </c>
      <c r="I753" s="2" t="s">
        <v>1374</v>
      </c>
      <c r="J753" s="2" t="s">
        <v>4085</v>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row>
    <row r="754" customFormat="false" ht="15" hidden="false" customHeight="false" outlineLevel="0" collapsed="false">
      <c r="A754" s="2" t="n">
        <v>110</v>
      </c>
      <c r="B754" s="2" t="s">
        <v>1300</v>
      </c>
      <c r="C754" s="2" t="s">
        <v>1306</v>
      </c>
      <c r="D754" s="2" t="s">
        <v>4086</v>
      </c>
      <c r="E754" s="2" t="s">
        <v>1395</v>
      </c>
      <c r="F754" s="2" t="s">
        <v>1419</v>
      </c>
      <c r="G754" s="2" t="s">
        <v>4087</v>
      </c>
      <c r="H754" s="2" t="s">
        <v>4088</v>
      </c>
      <c r="I754" s="2" t="s">
        <v>1374</v>
      </c>
      <c r="J754" s="2" t="s">
        <v>4089</v>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row>
    <row r="755" customFormat="false" ht="15" hidden="false" customHeight="false" outlineLevel="0" collapsed="false">
      <c r="A755" s="2" t="n">
        <v>110</v>
      </c>
      <c r="B755" s="2" t="s">
        <v>1300</v>
      </c>
      <c r="C755" s="2" t="s">
        <v>1306</v>
      </c>
      <c r="D755" s="2" t="s">
        <v>4090</v>
      </c>
      <c r="E755" s="2" t="s">
        <v>1401</v>
      </c>
      <c r="F755" s="2" t="s">
        <v>1402</v>
      </c>
      <c r="G755" s="2" t="s">
        <v>4091</v>
      </c>
      <c r="H755" s="2" t="s">
        <v>4092</v>
      </c>
      <c r="I755" s="2" t="s">
        <v>1374</v>
      </c>
      <c r="J755" s="2" t="s">
        <v>4093</v>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row>
    <row r="756" customFormat="false" ht="15" hidden="false" customHeight="false" outlineLevel="0" collapsed="false">
      <c r="A756" s="2" t="n">
        <v>111</v>
      </c>
      <c r="B756" s="2" t="s">
        <v>1312</v>
      </c>
      <c r="C756" s="2" t="s">
        <v>1317</v>
      </c>
      <c r="D756" s="2" t="s">
        <v>4094</v>
      </c>
      <c r="E756" s="2" t="s">
        <v>1395</v>
      </c>
      <c r="F756" s="2" t="s">
        <v>1419</v>
      </c>
      <c r="G756" s="2" t="s">
        <v>4095</v>
      </c>
      <c r="H756" s="2" t="s">
        <v>4096</v>
      </c>
      <c r="I756" s="2" t="s">
        <v>1374</v>
      </c>
      <c r="J756" s="2" t="s">
        <v>4097</v>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row>
    <row r="757" customFormat="false" ht="15" hidden="false" customHeight="false" outlineLevel="0" collapsed="false">
      <c r="A757" s="2" t="n">
        <v>113</v>
      </c>
      <c r="B757" s="2" t="s">
        <v>1331</v>
      </c>
      <c r="C757" s="2" t="s">
        <v>1336</v>
      </c>
      <c r="D757" s="2" t="s">
        <v>4098</v>
      </c>
      <c r="E757" s="2" t="s">
        <v>1401</v>
      </c>
      <c r="F757" s="2" t="s">
        <v>1402</v>
      </c>
      <c r="G757" s="2" t="s">
        <v>4099</v>
      </c>
      <c r="H757" s="2" t="s">
        <v>4100</v>
      </c>
      <c r="I757" s="2" t="s">
        <v>1374</v>
      </c>
      <c r="J757" s="2" t="s">
        <v>4101</v>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20</v>
      </c>
      <c r="Z757" s="2" t="n">
        <v>0</v>
      </c>
      <c r="AA757" s="2" t="n">
        <v>15</v>
      </c>
      <c r="AB757" s="2" t="n">
        <v>7</v>
      </c>
      <c r="AC757" s="2"/>
    </row>
    <row r="758" customFormat="false" ht="15" hidden="false" customHeight="false" outlineLevel="0" collapsed="false">
      <c r="A758" s="2" t="n">
        <v>113</v>
      </c>
      <c r="B758" s="2" t="s">
        <v>1331</v>
      </c>
      <c r="C758" s="2" t="s">
        <v>1336</v>
      </c>
      <c r="D758" s="2" t="s">
        <v>4102</v>
      </c>
      <c r="E758" s="2" t="s">
        <v>1395</v>
      </c>
      <c r="F758" s="2" t="s">
        <v>1396</v>
      </c>
      <c r="G758" s="2" t="s">
        <v>4103</v>
      </c>
      <c r="H758" s="2" t="s">
        <v>4104</v>
      </c>
      <c r="I758" s="2" t="s">
        <v>1374</v>
      </c>
      <c r="J758" s="2" t="s">
        <v>4105</v>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52</v>
      </c>
      <c r="Z758" s="2" t="n">
        <v>0</v>
      </c>
      <c r="AA758" s="2" t="n">
        <v>0</v>
      </c>
      <c r="AB758" s="2" t="n">
        <v>3</v>
      </c>
      <c r="AC758" s="2"/>
    </row>
    <row r="759" customFormat="false" ht="15" hidden="false" customHeight="false" outlineLevel="0" collapsed="false">
      <c r="A759" s="2" t="n">
        <v>113</v>
      </c>
      <c r="B759" s="2" t="s">
        <v>1331</v>
      </c>
      <c r="C759" s="2" t="s">
        <v>1336</v>
      </c>
      <c r="D759" s="2" t="s">
        <v>4106</v>
      </c>
      <c r="E759" s="2" t="s">
        <v>1395</v>
      </c>
      <c r="F759" s="2" t="s">
        <v>1419</v>
      </c>
      <c r="G759" s="2" t="s">
        <v>4107</v>
      </c>
      <c r="H759" s="2" t="s">
        <v>4108</v>
      </c>
      <c r="I759" s="2" t="s">
        <v>1374</v>
      </c>
      <c r="J759" s="2" t="s">
        <v>4109</v>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1</v>
      </c>
      <c r="Z759" s="2" t="n">
        <v>0</v>
      </c>
      <c r="AA759" s="2" t="n">
        <v>1</v>
      </c>
      <c r="AB759" s="2" t="n">
        <v>1</v>
      </c>
      <c r="AC759" s="2"/>
    </row>
    <row r="760" customFormat="false" ht="15" hidden="false" customHeight="false" outlineLevel="0" collapsed="false">
      <c r="A760" s="2" t="n">
        <v>113</v>
      </c>
      <c r="B760" s="2" t="s">
        <v>1331</v>
      </c>
      <c r="C760" s="2" t="s">
        <v>1336</v>
      </c>
      <c r="D760" s="2" t="s">
        <v>4110</v>
      </c>
      <c r="E760" s="2" t="s">
        <v>1395</v>
      </c>
      <c r="F760" s="2" t="s">
        <v>1396</v>
      </c>
      <c r="G760" s="2" t="s">
        <v>4111</v>
      </c>
      <c r="H760" s="2" t="s">
        <v>4112</v>
      </c>
      <c r="I760" s="2" t="s">
        <v>1374</v>
      </c>
      <c r="J760" s="2" t="s">
        <v>4113</v>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0</v>
      </c>
      <c r="Z760" s="2" t="n">
        <v>0</v>
      </c>
      <c r="AA760" s="2" t="n">
        <v>0</v>
      </c>
      <c r="AB760" s="2" t="n">
        <v>3</v>
      </c>
      <c r="AC760" s="2"/>
    </row>
    <row r="761" customFormat="false" ht="15" hidden="false" customHeight="false" outlineLevel="0" collapsed="false">
      <c r="A761" s="2" t="n">
        <v>114</v>
      </c>
      <c r="B761" s="2" t="s">
        <v>1342</v>
      </c>
      <c r="C761" s="2" t="s">
        <v>1344</v>
      </c>
      <c r="D761" s="2" t="s">
        <v>4114</v>
      </c>
      <c r="E761" s="2" t="s">
        <v>1401</v>
      </c>
      <c r="F761" s="2" t="s">
        <v>1402</v>
      </c>
      <c r="G761" s="2" t="s">
        <v>4115</v>
      </c>
      <c r="H761" s="2" t="s">
        <v>4116</v>
      </c>
      <c r="I761" s="2" t="s">
        <v>1374</v>
      </c>
      <c r="J761" s="2" t="s">
        <v>4117</v>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4</v>
      </c>
      <c r="Z761" s="2" t="n">
        <v>4</v>
      </c>
      <c r="AA761" s="2" t="n">
        <v>9</v>
      </c>
      <c r="AB761" s="2" t="n">
        <v>32</v>
      </c>
      <c r="AC761" s="2"/>
    </row>
    <row r="762" customFormat="false" ht="15" hidden="false" customHeight="false" outlineLevel="0" collapsed="false">
      <c r="A762" s="2" t="n">
        <v>114</v>
      </c>
      <c r="B762" s="2" t="s">
        <v>1342</v>
      </c>
      <c r="C762" s="2" t="s">
        <v>1344</v>
      </c>
      <c r="D762" s="2" t="s">
        <v>4118</v>
      </c>
      <c r="E762" s="2" t="s">
        <v>1395</v>
      </c>
      <c r="F762" s="2" t="s">
        <v>1396</v>
      </c>
      <c r="G762" s="2" t="s">
        <v>4119</v>
      </c>
      <c r="H762" s="2" t="s">
        <v>4120</v>
      </c>
      <c r="I762" s="2" t="s">
        <v>1374</v>
      </c>
      <c r="J762" s="2" t="s">
        <v>4121</v>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0</v>
      </c>
      <c r="Z762" s="2" t="n">
        <v>0</v>
      </c>
      <c r="AA762" s="2" t="n">
        <v>14</v>
      </c>
      <c r="AB762" s="2" t="n">
        <v>39</v>
      </c>
      <c r="AC762" s="2"/>
    </row>
    <row r="763" customFormat="false" ht="15" hidden="false" customHeight="false" outlineLevel="0" collapsed="false">
      <c r="A763" s="2" t="n">
        <v>114</v>
      </c>
      <c r="B763" s="2" t="s">
        <v>1342</v>
      </c>
      <c r="C763" s="2" t="s">
        <v>1344</v>
      </c>
      <c r="D763" s="2" t="s">
        <v>4122</v>
      </c>
      <c r="E763" s="2" t="s">
        <v>1401</v>
      </c>
      <c r="F763" s="2" t="s">
        <v>1402</v>
      </c>
      <c r="G763" s="2" t="s">
        <v>4123</v>
      </c>
      <c r="H763" s="2" t="s">
        <v>4124</v>
      </c>
      <c r="I763" s="2" t="s">
        <v>1374</v>
      </c>
      <c r="J763" s="2" t="s">
        <v>4125</v>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3</v>
      </c>
      <c r="Z763" s="2" t="n">
        <v>1</v>
      </c>
      <c r="AA763" s="2" t="n">
        <v>5</v>
      </c>
      <c r="AB763" s="2" t="n">
        <v>34</v>
      </c>
      <c r="AC763" s="2"/>
    </row>
    <row r="764" customFormat="false" ht="15" hidden="false" customHeight="false" outlineLevel="0" collapsed="false">
      <c r="A764" s="2" t="n">
        <v>114</v>
      </c>
      <c r="B764" s="2" t="s">
        <v>1342</v>
      </c>
      <c r="C764" s="2" t="s">
        <v>1344</v>
      </c>
      <c r="D764" s="2" t="s">
        <v>4126</v>
      </c>
      <c r="E764" s="2" t="s">
        <v>1401</v>
      </c>
      <c r="F764" s="2" t="s">
        <v>1402</v>
      </c>
      <c r="G764" s="2" t="s">
        <v>3707</v>
      </c>
      <c r="H764" s="2" t="s">
        <v>4127</v>
      </c>
      <c r="I764" s="2" t="s">
        <v>1374</v>
      </c>
      <c r="J764" s="2" t="s">
        <v>4128</v>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5</v>
      </c>
      <c r="Z764" s="2" t="n">
        <v>0</v>
      </c>
      <c r="AA764" s="2" t="n">
        <v>2</v>
      </c>
      <c r="AB764" s="2" t="n">
        <v>9</v>
      </c>
      <c r="AC764" s="2"/>
    </row>
    <row r="765" customFormat="false" ht="15" hidden="false" customHeight="false" outlineLevel="0" collapsed="false">
      <c r="A765" s="2" t="n">
        <v>114</v>
      </c>
      <c r="B765" s="2" t="s">
        <v>1342</v>
      </c>
      <c r="C765" s="2" t="s">
        <v>1344</v>
      </c>
      <c r="D765" s="2" t="s">
        <v>4129</v>
      </c>
      <c r="E765" s="2" t="s">
        <v>1395</v>
      </c>
      <c r="F765" s="2" t="s">
        <v>1419</v>
      </c>
      <c r="G765" s="2" t="s">
        <v>4130</v>
      </c>
      <c r="H765" s="2" t="s">
        <v>4131</v>
      </c>
      <c r="I765" s="2" t="s">
        <v>1374</v>
      </c>
      <c r="J765" s="2" t="s">
        <v>4132</v>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1</v>
      </c>
      <c r="AA765" s="2" t="n">
        <v>0</v>
      </c>
      <c r="AB765" s="2" t="n">
        <v>6</v>
      </c>
      <c r="AC765" s="2"/>
    </row>
    <row r="766" customFormat="false" ht="15" hidden="false" customHeight="false" outlineLevel="0" collapsed="false">
      <c r="A766" s="2" t="n">
        <v>114</v>
      </c>
      <c r="B766" s="2" t="s">
        <v>1342</v>
      </c>
      <c r="C766" s="2" t="s">
        <v>1344</v>
      </c>
      <c r="D766" s="2" t="s">
        <v>4133</v>
      </c>
      <c r="E766" s="2" t="s">
        <v>1395</v>
      </c>
      <c r="F766" s="2" t="s">
        <v>1396</v>
      </c>
      <c r="G766" s="2" t="s">
        <v>4134</v>
      </c>
      <c r="H766" s="2" t="s">
        <v>4135</v>
      </c>
      <c r="I766" s="2" t="s">
        <v>1374</v>
      </c>
      <c r="J766" s="2" t="s">
        <v>4136</v>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row>
    <row r="767" customFormat="false" ht="15" hidden="false" customHeight="false" outlineLevel="0" collapsed="false">
      <c r="A767" s="2" t="n">
        <v>114</v>
      </c>
      <c r="B767" s="2" t="s">
        <v>1342</v>
      </c>
      <c r="C767" s="2" t="s">
        <v>1344</v>
      </c>
      <c r="D767" s="2" t="s">
        <v>4137</v>
      </c>
      <c r="E767" s="2" t="s">
        <v>1395</v>
      </c>
      <c r="F767" s="2" t="s">
        <v>1419</v>
      </c>
      <c r="G767" s="2" t="s">
        <v>4138</v>
      </c>
      <c r="H767" s="2" t="s">
        <v>4139</v>
      </c>
      <c r="I767" s="2" t="s">
        <v>1374</v>
      </c>
      <c r="J767" s="2" t="s">
        <v>4140</v>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1</v>
      </c>
      <c r="AC767" s="2"/>
    </row>
    <row r="768" customFormat="false" ht="15" hidden="false" customHeight="false" outlineLevel="0" collapsed="false">
      <c r="A768" s="2" t="n">
        <v>114</v>
      </c>
      <c r="B768" s="2" t="s">
        <v>1342</v>
      </c>
      <c r="C768" s="2" t="s">
        <v>1344</v>
      </c>
      <c r="D768" s="2" t="s">
        <v>4141</v>
      </c>
      <c r="E768" s="2" t="s">
        <v>1401</v>
      </c>
      <c r="F768" s="2" t="s">
        <v>1402</v>
      </c>
      <c r="G768" s="2" t="s">
        <v>4142</v>
      </c>
      <c r="H768" s="2" t="s">
        <v>4143</v>
      </c>
      <c r="I768" s="2" t="s">
        <v>1374</v>
      </c>
      <c r="J768" s="2" t="s">
        <v>4144</v>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row>
    <row r="769" customFormat="false" ht="15" hidden="false" customHeight="false" outlineLevel="0" collapsed="false">
      <c r="A769" s="2" t="n">
        <v>114</v>
      </c>
      <c r="B769" s="2" t="s">
        <v>1342</v>
      </c>
      <c r="C769" s="2" t="s">
        <v>1344</v>
      </c>
      <c r="D769" s="2" t="s">
        <v>4145</v>
      </c>
      <c r="E769" s="2" t="s">
        <v>1401</v>
      </c>
      <c r="F769" s="2" t="s">
        <v>1402</v>
      </c>
      <c r="G769" s="2" t="s">
        <v>3307</v>
      </c>
      <c r="H769" s="2" t="s">
        <v>4146</v>
      </c>
      <c r="I769" s="2" t="s">
        <v>1374</v>
      </c>
      <c r="J769" s="2" t="s">
        <v>4147</v>
      </c>
      <c r="K769" s="2" t="n">
        <v>5</v>
      </c>
      <c r="L769" s="2" t="n">
        <v>1933</v>
      </c>
      <c r="M769" s="2" t="n">
        <v>820</v>
      </c>
      <c r="N769" s="2" t="n">
        <v>663</v>
      </c>
      <c r="O769" s="2" t="n">
        <v>1113</v>
      </c>
      <c r="P769" s="2" t="n">
        <v>0</v>
      </c>
      <c r="Q769" s="2" t="n">
        <v>0</v>
      </c>
      <c r="R769" s="2" t="n">
        <v>0</v>
      </c>
      <c r="S769" s="2" t="n">
        <v>2</v>
      </c>
      <c r="T769" s="2" t="n">
        <v>2</v>
      </c>
      <c r="U769" s="2" t="n">
        <v>0</v>
      </c>
      <c r="V769" s="2" t="n">
        <v>0</v>
      </c>
      <c r="W769" s="2" t="n">
        <v>0</v>
      </c>
      <c r="X769" s="2" t="n">
        <v>0</v>
      </c>
      <c r="Y769" s="2" t="n">
        <v>0</v>
      </c>
      <c r="Z769" s="2" t="n">
        <v>0</v>
      </c>
      <c r="AA769" s="2" t="n">
        <v>0</v>
      </c>
      <c r="AB769" s="2" t="n">
        <v>2</v>
      </c>
      <c r="AC769" s="2"/>
    </row>
    <row r="770" customFormat="false" ht="15" hidden="false" customHeight="false" outlineLevel="0" collapsed="false">
      <c r="A770" s="2" t="n">
        <v>114</v>
      </c>
      <c r="B770" s="2" t="s">
        <v>1342</v>
      </c>
      <c r="C770" s="2" t="s">
        <v>1344</v>
      </c>
      <c r="D770" s="2" t="s">
        <v>4148</v>
      </c>
      <c r="E770" s="2" t="s">
        <v>1395</v>
      </c>
      <c r="F770" s="2" t="s">
        <v>1419</v>
      </c>
      <c r="G770" s="2" t="s">
        <v>4149</v>
      </c>
      <c r="H770" s="2" t="s">
        <v>4150</v>
      </c>
      <c r="I770" s="2" t="s">
        <v>1374</v>
      </c>
      <c r="J770" s="2" t="s">
        <v>4151</v>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1</v>
      </c>
      <c r="AC770" s="2"/>
    </row>
    <row r="771" customFormat="false" ht="15" hidden="false" customHeight="false" outlineLevel="0" collapsed="false">
      <c r="A771" s="2" t="n">
        <v>114</v>
      </c>
      <c r="B771" s="2" t="s">
        <v>1342</v>
      </c>
      <c r="C771" s="2" t="s">
        <v>1344</v>
      </c>
      <c r="D771" s="2" t="s">
        <v>4152</v>
      </c>
      <c r="E771" s="2" t="s">
        <v>1395</v>
      </c>
      <c r="F771" s="2" t="s">
        <v>1419</v>
      </c>
      <c r="G771" s="2" t="s">
        <v>4149</v>
      </c>
      <c r="H771" s="2" t="s">
        <v>4153</v>
      </c>
      <c r="I771" s="2" t="s">
        <v>1374</v>
      </c>
      <c r="J771" s="2" t="s">
        <v>4154</v>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row>
  </sheetData>
  <autoFilter ref="A1:AC7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8"/>
    <col collapsed="false" customWidth="true" hidden="false" outlineLevel="0" max="5" min="5" style="0" width="12"/>
    <col collapsed="false" customWidth="true" hidden="false" outlineLevel="0" max="6" min="6" style="0" width="11"/>
    <col collapsed="false" customWidth="true" hidden="false" outlineLevel="0" max="7" min="7" style="0" width="80"/>
    <col collapsed="false" customWidth="true" hidden="false" outlineLevel="0" max="8" min="8" style="0" width="40"/>
  </cols>
  <sheetData>
    <row r="1" customFormat="false" ht="45" hidden="false" customHeight="true" outlineLevel="0" collapsed="false">
      <c r="A1" s="1" t="s">
        <v>1360</v>
      </c>
      <c r="B1" s="1" t="s">
        <v>1361</v>
      </c>
      <c r="C1" s="1" t="s">
        <v>1362</v>
      </c>
      <c r="D1" s="1" t="s">
        <v>1363</v>
      </c>
      <c r="E1" s="1" t="s">
        <v>1364</v>
      </c>
      <c r="F1" s="1" t="s">
        <v>1366</v>
      </c>
      <c r="G1" s="1" t="s">
        <v>1367</v>
      </c>
      <c r="H1" s="1" t="s">
        <v>14</v>
      </c>
    </row>
    <row r="2" customFormat="false" ht="15" hidden="false" customHeight="false" outlineLevel="0" collapsed="false">
      <c r="A2" s="2" t="n">
        <v>1</v>
      </c>
      <c r="B2" s="2" t="s">
        <v>69</v>
      </c>
      <c r="C2" s="2" t="s">
        <v>78</v>
      </c>
      <c r="D2" s="2" t="s">
        <v>4155</v>
      </c>
      <c r="E2" s="2" t="s">
        <v>4156</v>
      </c>
      <c r="F2" s="2" t="s">
        <v>82</v>
      </c>
      <c r="G2" s="2" t="s">
        <v>4157</v>
      </c>
      <c r="H2" s="2" t="s">
        <v>4158</v>
      </c>
    </row>
    <row r="3" customFormat="false" ht="15" hidden="false" customHeight="false" outlineLevel="0" collapsed="false">
      <c r="A3" s="2" t="n">
        <v>1</v>
      </c>
      <c r="B3" s="2" t="s">
        <v>69</v>
      </c>
      <c r="C3" s="2" t="s">
        <v>78</v>
      </c>
      <c r="D3" s="2" t="s">
        <v>4159</v>
      </c>
      <c r="E3" s="2" t="s">
        <v>4160</v>
      </c>
      <c r="F3" s="2" t="s">
        <v>4161</v>
      </c>
      <c r="G3" s="2"/>
      <c r="H3" s="2" t="s">
        <v>4162</v>
      </c>
    </row>
    <row r="4" customFormat="false" ht="15" hidden="false" customHeight="false" outlineLevel="0" collapsed="false">
      <c r="A4" s="2" t="n">
        <v>1</v>
      </c>
      <c r="B4" s="2" t="s">
        <v>69</v>
      </c>
      <c r="C4" s="2" t="s">
        <v>78</v>
      </c>
      <c r="D4" s="2" t="s">
        <v>4163</v>
      </c>
      <c r="E4" s="2" t="s">
        <v>4160</v>
      </c>
      <c r="F4" s="2" t="s">
        <v>4164</v>
      </c>
      <c r="G4" s="2" t="s">
        <v>4165</v>
      </c>
      <c r="H4" s="2" t="s">
        <v>4166</v>
      </c>
    </row>
    <row r="5" customFormat="false" ht="15" hidden="false" customHeight="false" outlineLevel="0" collapsed="false">
      <c r="A5" s="2" t="n">
        <v>2</v>
      </c>
      <c r="B5" s="2" t="s">
        <v>88</v>
      </c>
      <c r="C5" s="2" t="s">
        <v>96</v>
      </c>
      <c r="D5" s="2" t="s">
        <v>313</v>
      </c>
      <c r="E5" s="2" t="s">
        <v>4156</v>
      </c>
      <c r="F5" s="2" t="s">
        <v>99</v>
      </c>
      <c r="G5" s="2" t="s">
        <v>4167</v>
      </c>
      <c r="H5" s="2" t="s">
        <v>314</v>
      </c>
    </row>
    <row r="6" customFormat="false" ht="15" hidden="false" customHeight="false" outlineLevel="0" collapsed="false">
      <c r="A6" s="2" t="n">
        <v>2</v>
      </c>
      <c r="B6" s="2" t="s">
        <v>88</v>
      </c>
      <c r="C6" s="2" t="s">
        <v>96</v>
      </c>
      <c r="D6" s="2" t="s">
        <v>4168</v>
      </c>
      <c r="E6" s="2" t="s">
        <v>4156</v>
      </c>
      <c r="F6" s="2" t="s">
        <v>100</v>
      </c>
      <c r="G6" s="2" t="s">
        <v>4169</v>
      </c>
      <c r="H6" s="2" t="s">
        <v>4170</v>
      </c>
    </row>
    <row r="7" customFormat="false" ht="15" hidden="false" customHeight="false" outlineLevel="0" collapsed="false">
      <c r="A7" s="2" t="n">
        <v>2</v>
      </c>
      <c r="B7" s="2" t="s">
        <v>88</v>
      </c>
      <c r="C7" s="2" t="s">
        <v>96</v>
      </c>
      <c r="D7" s="2" t="s">
        <v>4171</v>
      </c>
      <c r="E7" s="2" t="s">
        <v>4160</v>
      </c>
      <c r="F7" s="2" t="s">
        <v>4172</v>
      </c>
      <c r="G7" s="2"/>
      <c r="H7" s="2" t="s">
        <v>4173</v>
      </c>
    </row>
    <row r="8" customFormat="false" ht="15" hidden="false" customHeight="false" outlineLevel="0" collapsed="false">
      <c r="A8" s="2" t="n">
        <v>2</v>
      </c>
      <c r="B8" s="2" t="s">
        <v>88</v>
      </c>
      <c r="C8" s="2" t="s">
        <v>96</v>
      </c>
      <c r="D8" s="2" t="s">
        <v>4174</v>
      </c>
      <c r="E8" s="2" t="s">
        <v>4160</v>
      </c>
      <c r="F8" s="2" t="s">
        <v>4175</v>
      </c>
      <c r="G8" s="2"/>
      <c r="H8" s="2" t="s">
        <v>4176</v>
      </c>
    </row>
    <row r="9" customFormat="false" ht="15" hidden="false" customHeight="false" outlineLevel="0" collapsed="false">
      <c r="A9" s="2" t="n">
        <v>2</v>
      </c>
      <c r="B9" s="2" t="s">
        <v>88</v>
      </c>
      <c r="C9" s="2" t="s">
        <v>96</v>
      </c>
      <c r="D9" s="2" t="s">
        <v>4177</v>
      </c>
      <c r="E9" s="2" t="s">
        <v>4160</v>
      </c>
      <c r="F9" s="2" t="s">
        <v>4178</v>
      </c>
      <c r="G9" s="2"/>
      <c r="H9" s="2" t="s">
        <v>4179</v>
      </c>
    </row>
    <row r="10" customFormat="false" ht="15" hidden="false" customHeight="false" outlineLevel="0" collapsed="false">
      <c r="A10" s="2" t="n">
        <v>2</v>
      </c>
      <c r="B10" s="2" t="s">
        <v>88</v>
      </c>
      <c r="C10" s="2" t="s">
        <v>96</v>
      </c>
      <c r="D10" s="2" t="s">
        <v>4180</v>
      </c>
      <c r="E10" s="2" t="s">
        <v>4160</v>
      </c>
      <c r="F10" s="2" t="s">
        <v>4181</v>
      </c>
      <c r="G10" s="2"/>
      <c r="H10" s="2" t="s">
        <v>4182</v>
      </c>
    </row>
    <row r="11" customFormat="false" ht="15" hidden="false" customHeight="false" outlineLevel="0" collapsed="false">
      <c r="A11" s="2" t="n">
        <v>2</v>
      </c>
      <c r="B11" s="2" t="s">
        <v>88</v>
      </c>
      <c r="C11" s="2" t="s">
        <v>96</v>
      </c>
      <c r="D11" s="2" t="s">
        <v>4183</v>
      </c>
      <c r="E11" s="2" t="s">
        <v>4160</v>
      </c>
      <c r="F11" s="2" t="s">
        <v>4184</v>
      </c>
      <c r="G11" s="2"/>
      <c r="H11" s="2" t="s">
        <v>4185</v>
      </c>
    </row>
    <row r="12" customFormat="false" ht="15" hidden="false" customHeight="false" outlineLevel="0" collapsed="false">
      <c r="A12" s="2" t="n">
        <v>2</v>
      </c>
      <c r="B12" s="2" t="s">
        <v>88</v>
      </c>
      <c r="C12" s="2" t="s">
        <v>96</v>
      </c>
      <c r="D12" s="2" t="s">
        <v>4186</v>
      </c>
      <c r="E12" s="2" t="s">
        <v>4160</v>
      </c>
      <c r="F12" s="2" t="s">
        <v>4187</v>
      </c>
      <c r="G12" s="2"/>
      <c r="H12" s="2" t="s">
        <v>4188</v>
      </c>
    </row>
    <row r="13" customFormat="false" ht="15" hidden="false" customHeight="false" outlineLevel="0" collapsed="false">
      <c r="A13" s="2" t="n">
        <v>2</v>
      </c>
      <c r="B13" s="2" t="s">
        <v>88</v>
      </c>
      <c r="C13" s="2" t="s">
        <v>96</v>
      </c>
      <c r="D13" s="2" t="s">
        <v>4189</v>
      </c>
      <c r="E13" s="2" t="s">
        <v>4160</v>
      </c>
      <c r="F13" s="2" t="s">
        <v>4190</v>
      </c>
      <c r="G13" s="2"/>
      <c r="H13" s="2" t="s">
        <v>4191</v>
      </c>
    </row>
    <row r="14" customFormat="false" ht="15" hidden="false" customHeight="false" outlineLevel="0" collapsed="false">
      <c r="A14" s="2" t="n">
        <v>2</v>
      </c>
      <c r="B14" s="2" t="s">
        <v>88</v>
      </c>
      <c r="C14" s="2" t="s">
        <v>96</v>
      </c>
      <c r="D14" s="2" t="s">
        <v>4192</v>
      </c>
      <c r="E14" s="2" t="s">
        <v>4160</v>
      </c>
      <c r="F14" s="2" t="s">
        <v>4193</v>
      </c>
      <c r="G14" s="2"/>
      <c r="H14" s="2" t="s">
        <v>4194</v>
      </c>
    </row>
    <row r="15" customFormat="false" ht="15" hidden="false" customHeight="false" outlineLevel="0" collapsed="false">
      <c r="A15" s="2" t="n">
        <v>2</v>
      </c>
      <c r="B15" s="2" t="s">
        <v>88</v>
      </c>
      <c r="C15" s="2" t="s">
        <v>96</v>
      </c>
      <c r="D15" s="2" t="s">
        <v>4195</v>
      </c>
      <c r="E15" s="2" t="s">
        <v>4160</v>
      </c>
      <c r="F15" s="2" t="s">
        <v>4196</v>
      </c>
      <c r="G15" s="2"/>
      <c r="H15" s="2" t="s">
        <v>4197</v>
      </c>
    </row>
    <row r="16" customFormat="false" ht="15" hidden="false" customHeight="false" outlineLevel="0" collapsed="false">
      <c r="A16" s="2" t="n">
        <v>2</v>
      </c>
      <c r="B16" s="2" t="s">
        <v>88</v>
      </c>
      <c r="C16" s="2" t="s">
        <v>96</v>
      </c>
      <c r="D16" s="2" t="s">
        <v>4198</v>
      </c>
      <c r="E16" s="2" t="s">
        <v>4160</v>
      </c>
      <c r="F16" s="2" t="s">
        <v>4199</v>
      </c>
      <c r="G16" s="2"/>
      <c r="H16" s="2" t="s">
        <v>4200</v>
      </c>
    </row>
    <row r="17" customFormat="false" ht="15" hidden="false" customHeight="false" outlineLevel="0" collapsed="false">
      <c r="A17" s="2" t="n">
        <v>2</v>
      </c>
      <c r="B17" s="2" t="s">
        <v>88</v>
      </c>
      <c r="C17" s="2" t="s">
        <v>96</v>
      </c>
      <c r="D17" s="2" t="s">
        <v>4201</v>
      </c>
      <c r="E17" s="2" t="s">
        <v>4160</v>
      </c>
      <c r="F17" s="2" t="s">
        <v>4202</v>
      </c>
      <c r="G17" s="2"/>
      <c r="H17" s="2" t="s">
        <v>4203</v>
      </c>
    </row>
    <row r="18" customFormat="false" ht="15" hidden="false" customHeight="false" outlineLevel="0" collapsed="false">
      <c r="A18" s="2" t="n">
        <v>2</v>
      </c>
      <c r="B18" s="2" t="s">
        <v>88</v>
      </c>
      <c r="C18" s="2" t="s">
        <v>96</v>
      </c>
      <c r="D18" s="2" t="s">
        <v>4204</v>
      </c>
      <c r="E18" s="2" t="s">
        <v>4160</v>
      </c>
      <c r="F18" s="2" t="s">
        <v>1149</v>
      </c>
      <c r="G18" s="2"/>
      <c r="H18" s="2" t="s">
        <v>4205</v>
      </c>
    </row>
    <row r="19" customFormat="false" ht="15" hidden="false" customHeight="false" outlineLevel="0" collapsed="false">
      <c r="A19" s="2" t="n">
        <v>2</v>
      </c>
      <c r="B19" s="2" t="s">
        <v>88</v>
      </c>
      <c r="C19" s="2" t="s">
        <v>96</v>
      </c>
      <c r="D19" s="2" t="s">
        <v>4206</v>
      </c>
      <c r="E19" s="2" t="s">
        <v>4160</v>
      </c>
      <c r="F19" s="2" t="s">
        <v>4207</v>
      </c>
      <c r="G19" s="2"/>
      <c r="H19" s="2" t="s">
        <v>4208</v>
      </c>
    </row>
    <row r="20" customFormat="false" ht="15" hidden="false" customHeight="false" outlineLevel="0" collapsed="false">
      <c r="A20" s="2" t="n">
        <v>3</v>
      </c>
      <c r="B20" s="2" t="s">
        <v>104</v>
      </c>
      <c r="C20" s="2" t="s">
        <v>111</v>
      </c>
      <c r="D20" s="2" t="s">
        <v>500</v>
      </c>
      <c r="E20" s="2" t="s">
        <v>4156</v>
      </c>
      <c r="F20" s="2" t="s">
        <v>114</v>
      </c>
      <c r="G20" s="2" t="s">
        <v>4209</v>
      </c>
      <c r="H20" s="2" t="s">
        <v>501</v>
      </c>
    </row>
    <row r="21" customFormat="false" ht="15" hidden="false" customHeight="false" outlineLevel="0" collapsed="false">
      <c r="A21" s="2" t="n">
        <v>3</v>
      </c>
      <c r="B21" s="2" t="s">
        <v>104</v>
      </c>
      <c r="C21" s="2" t="s">
        <v>111</v>
      </c>
      <c r="D21" s="2" t="s">
        <v>4210</v>
      </c>
      <c r="E21" s="2" t="s">
        <v>4160</v>
      </c>
      <c r="F21" s="2" t="s">
        <v>4211</v>
      </c>
      <c r="G21" s="2"/>
      <c r="H21" s="2" t="s">
        <v>4212</v>
      </c>
    </row>
    <row r="22" customFormat="false" ht="15" hidden="false" customHeight="false" outlineLevel="0" collapsed="false">
      <c r="A22" s="2" t="n">
        <v>4</v>
      </c>
      <c r="B22" s="2" t="s">
        <v>119</v>
      </c>
      <c r="C22" s="2" t="s">
        <v>126</v>
      </c>
      <c r="D22" s="2" t="s">
        <v>492</v>
      </c>
      <c r="E22" s="2" t="s">
        <v>4156</v>
      </c>
      <c r="F22" s="2" t="s">
        <v>114</v>
      </c>
      <c r="G22" s="2" t="s">
        <v>4213</v>
      </c>
      <c r="H22" s="2" t="s">
        <v>493</v>
      </c>
    </row>
    <row r="23" customFormat="false" ht="15" hidden="false" customHeight="false" outlineLevel="0" collapsed="false">
      <c r="A23" s="2" t="n">
        <v>4</v>
      </c>
      <c r="B23" s="2" t="s">
        <v>119</v>
      </c>
      <c r="C23" s="2" t="s">
        <v>126</v>
      </c>
      <c r="D23" s="2" t="s">
        <v>4214</v>
      </c>
      <c r="E23" s="2" t="s">
        <v>4160</v>
      </c>
      <c r="F23" s="2" t="s">
        <v>4215</v>
      </c>
      <c r="G23" s="2"/>
      <c r="H23" s="2" t="s">
        <v>4216</v>
      </c>
    </row>
    <row r="24" customFormat="false" ht="15" hidden="false" customHeight="false" outlineLevel="0" collapsed="false">
      <c r="A24" s="2" t="n">
        <v>5</v>
      </c>
      <c r="B24" s="2" t="s">
        <v>132</v>
      </c>
      <c r="C24" s="2" t="s">
        <v>138</v>
      </c>
      <c r="D24" s="2" t="s">
        <v>4217</v>
      </c>
      <c r="E24" s="2" t="s">
        <v>4156</v>
      </c>
      <c r="F24" s="2" t="s">
        <v>141</v>
      </c>
      <c r="G24" s="2" t="s">
        <v>4218</v>
      </c>
      <c r="H24" s="2" t="s">
        <v>4219</v>
      </c>
    </row>
    <row r="25" customFormat="false" ht="15" hidden="false" customHeight="false" outlineLevel="0" collapsed="false">
      <c r="A25" s="2" t="n">
        <v>5</v>
      </c>
      <c r="B25" s="2" t="s">
        <v>132</v>
      </c>
      <c r="C25" s="2" t="s">
        <v>138</v>
      </c>
      <c r="D25" s="2" t="s">
        <v>4220</v>
      </c>
      <c r="E25" s="2" t="s">
        <v>4156</v>
      </c>
      <c r="F25" s="2" t="s">
        <v>142</v>
      </c>
      <c r="G25" s="2" t="s">
        <v>4221</v>
      </c>
      <c r="H25" s="2" t="s">
        <v>4222</v>
      </c>
    </row>
    <row r="26" customFormat="false" ht="15" hidden="false" customHeight="false" outlineLevel="0" collapsed="false">
      <c r="A26" s="2" t="n">
        <v>5</v>
      </c>
      <c r="B26" s="2" t="s">
        <v>132</v>
      </c>
      <c r="C26" s="2" t="s">
        <v>138</v>
      </c>
      <c r="D26" s="2" t="s">
        <v>4223</v>
      </c>
      <c r="E26" s="2" t="s">
        <v>4160</v>
      </c>
      <c r="F26" s="2" t="s">
        <v>4224</v>
      </c>
      <c r="G26" s="2"/>
      <c r="H26" s="2" t="s">
        <v>4225</v>
      </c>
    </row>
    <row r="27" customFormat="false" ht="15" hidden="false" customHeight="false" outlineLevel="0" collapsed="false">
      <c r="A27" s="2" t="n">
        <v>5</v>
      </c>
      <c r="B27" s="2" t="s">
        <v>132</v>
      </c>
      <c r="C27" s="2" t="s">
        <v>138</v>
      </c>
      <c r="D27" s="2" t="s">
        <v>4226</v>
      </c>
      <c r="E27" s="2" t="s">
        <v>4160</v>
      </c>
      <c r="F27" s="2" t="s">
        <v>4227</v>
      </c>
      <c r="G27" s="2"/>
      <c r="H27" s="2" t="s">
        <v>4228</v>
      </c>
    </row>
    <row r="28" customFormat="false" ht="15" hidden="false" customHeight="false" outlineLevel="0" collapsed="false">
      <c r="A28" s="2" t="n">
        <v>5</v>
      </c>
      <c r="B28" s="2" t="s">
        <v>132</v>
      </c>
      <c r="C28" s="2" t="s">
        <v>138</v>
      </c>
      <c r="D28" s="2" t="s">
        <v>4229</v>
      </c>
      <c r="E28" s="2" t="s">
        <v>4160</v>
      </c>
      <c r="F28" s="2" t="s">
        <v>4230</v>
      </c>
      <c r="G28" s="2"/>
      <c r="H28" s="2" t="s">
        <v>4231</v>
      </c>
    </row>
    <row r="29" customFormat="false" ht="15" hidden="false" customHeight="false" outlineLevel="0" collapsed="false">
      <c r="A29" s="2" t="n">
        <v>5</v>
      </c>
      <c r="B29" s="2" t="s">
        <v>132</v>
      </c>
      <c r="C29" s="2" t="s">
        <v>138</v>
      </c>
      <c r="D29" s="2" t="s">
        <v>4232</v>
      </c>
      <c r="E29" s="2" t="s">
        <v>4160</v>
      </c>
      <c r="F29" s="2" t="s">
        <v>4233</v>
      </c>
      <c r="G29" s="2"/>
      <c r="H29" s="2" t="s">
        <v>4234</v>
      </c>
    </row>
    <row r="30" customFormat="false" ht="15" hidden="false" customHeight="false" outlineLevel="0" collapsed="false">
      <c r="A30" s="2" t="n">
        <v>5</v>
      </c>
      <c r="B30" s="2" t="s">
        <v>132</v>
      </c>
      <c r="C30" s="2" t="s">
        <v>138</v>
      </c>
      <c r="D30" s="2" t="s">
        <v>4235</v>
      </c>
      <c r="E30" s="2" t="s">
        <v>4160</v>
      </c>
      <c r="F30" s="2" t="s">
        <v>4236</v>
      </c>
      <c r="G30" s="2"/>
      <c r="H30" s="2" t="s">
        <v>4237</v>
      </c>
    </row>
    <row r="31" customFormat="false" ht="15" hidden="false" customHeight="false" outlineLevel="0" collapsed="false">
      <c r="A31" s="2" t="n">
        <v>5</v>
      </c>
      <c r="B31" s="2" t="s">
        <v>132</v>
      </c>
      <c r="C31" s="2" t="s">
        <v>138</v>
      </c>
      <c r="D31" s="2" t="s">
        <v>4238</v>
      </c>
      <c r="E31" s="2" t="s">
        <v>4160</v>
      </c>
      <c r="F31" s="2" t="s">
        <v>4239</v>
      </c>
      <c r="G31" s="2"/>
      <c r="H31" s="2" t="s">
        <v>4240</v>
      </c>
    </row>
    <row r="32" customFormat="false" ht="15" hidden="false" customHeight="false" outlineLevel="0" collapsed="false">
      <c r="A32" s="2" t="n">
        <v>5</v>
      </c>
      <c r="B32" s="2" t="s">
        <v>132</v>
      </c>
      <c r="C32" s="2" t="s">
        <v>138</v>
      </c>
      <c r="D32" s="2" t="s">
        <v>4241</v>
      </c>
      <c r="E32" s="2" t="s">
        <v>4160</v>
      </c>
      <c r="F32" s="2" t="s">
        <v>2787</v>
      </c>
      <c r="G32" s="2"/>
      <c r="H32" s="2" t="s">
        <v>4242</v>
      </c>
    </row>
    <row r="33" customFormat="false" ht="15" hidden="false" customHeight="false" outlineLevel="0" collapsed="false">
      <c r="A33" s="2" t="n">
        <v>5</v>
      </c>
      <c r="B33" s="2" t="s">
        <v>132</v>
      </c>
      <c r="C33" s="2" t="s">
        <v>138</v>
      </c>
      <c r="D33" s="2" t="s">
        <v>4243</v>
      </c>
      <c r="E33" s="2" t="s">
        <v>4160</v>
      </c>
      <c r="F33" s="2" t="s">
        <v>4244</v>
      </c>
      <c r="G33" s="2"/>
      <c r="H33" s="2" t="s">
        <v>4245</v>
      </c>
    </row>
    <row r="34" customFormat="false" ht="15" hidden="false" customHeight="false" outlineLevel="0" collapsed="false">
      <c r="A34" s="2" t="n">
        <v>5</v>
      </c>
      <c r="B34" s="2" t="s">
        <v>132</v>
      </c>
      <c r="C34" s="2" t="s">
        <v>138</v>
      </c>
      <c r="D34" s="2" t="s">
        <v>4246</v>
      </c>
      <c r="E34" s="2" t="s">
        <v>4160</v>
      </c>
      <c r="F34" s="2" t="s">
        <v>4247</v>
      </c>
      <c r="G34" s="2"/>
      <c r="H34" s="2" t="s">
        <v>4248</v>
      </c>
    </row>
    <row r="35" customFormat="false" ht="15" hidden="false" customHeight="false" outlineLevel="0" collapsed="false">
      <c r="A35" s="2" t="n">
        <v>5</v>
      </c>
      <c r="B35" s="2" t="s">
        <v>132</v>
      </c>
      <c r="C35" s="2" t="s">
        <v>138</v>
      </c>
      <c r="D35" s="2" t="s">
        <v>4249</v>
      </c>
      <c r="E35" s="2" t="s">
        <v>4160</v>
      </c>
      <c r="F35" s="2" t="s">
        <v>4250</v>
      </c>
      <c r="G35" s="2"/>
      <c r="H35" s="2" t="s">
        <v>4251</v>
      </c>
    </row>
    <row r="36" customFormat="false" ht="15" hidden="false" customHeight="false" outlineLevel="0" collapsed="false">
      <c r="A36" s="2" t="n">
        <v>5</v>
      </c>
      <c r="B36" s="2" t="s">
        <v>132</v>
      </c>
      <c r="C36" s="2" t="s">
        <v>138</v>
      </c>
      <c r="D36" s="2" t="s">
        <v>4252</v>
      </c>
      <c r="E36" s="2" t="s">
        <v>4160</v>
      </c>
      <c r="F36" s="2" t="s">
        <v>2447</v>
      </c>
      <c r="G36" s="2"/>
      <c r="H36" s="2" t="s">
        <v>4253</v>
      </c>
    </row>
    <row r="37" customFormat="false" ht="15" hidden="false" customHeight="false" outlineLevel="0" collapsed="false">
      <c r="A37" s="2" t="n">
        <v>5</v>
      </c>
      <c r="B37" s="2" t="s">
        <v>132</v>
      </c>
      <c r="C37" s="2" t="s">
        <v>138</v>
      </c>
      <c r="D37" s="2" t="s">
        <v>4254</v>
      </c>
      <c r="E37" s="2" t="s">
        <v>4160</v>
      </c>
      <c r="F37" s="2" t="s">
        <v>4255</v>
      </c>
      <c r="G37" s="2"/>
      <c r="H37" s="2" t="s">
        <v>4256</v>
      </c>
    </row>
    <row r="38" customFormat="false" ht="15" hidden="false" customHeight="false" outlineLevel="0" collapsed="false">
      <c r="A38" s="2" t="n">
        <v>5</v>
      </c>
      <c r="B38" s="2" t="s">
        <v>132</v>
      </c>
      <c r="C38" s="2" t="s">
        <v>138</v>
      </c>
      <c r="D38" s="2" t="s">
        <v>4257</v>
      </c>
      <c r="E38" s="2" t="s">
        <v>4160</v>
      </c>
      <c r="F38" s="2" t="s">
        <v>3374</v>
      </c>
      <c r="G38" s="2"/>
      <c r="H38" s="2" t="s">
        <v>4258</v>
      </c>
    </row>
    <row r="39" customFormat="false" ht="15" hidden="false" customHeight="false" outlineLevel="0" collapsed="false">
      <c r="A39" s="2" t="n">
        <v>5</v>
      </c>
      <c r="B39" s="2" t="s">
        <v>132</v>
      </c>
      <c r="C39" s="2" t="s">
        <v>138</v>
      </c>
      <c r="D39" s="2" t="s">
        <v>4259</v>
      </c>
      <c r="E39" s="2" t="s">
        <v>4160</v>
      </c>
      <c r="F39" s="2" t="s">
        <v>4260</v>
      </c>
      <c r="G39" s="2"/>
      <c r="H39" s="2" t="s">
        <v>4261</v>
      </c>
    </row>
    <row r="40" customFormat="false" ht="15" hidden="false" customHeight="false" outlineLevel="0" collapsed="false">
      <c r="A40" s="2" t="n">
        <v>5</v>
      </c>
      <c r="B40" s="2" t="s">
        <v>132</v>
      </c>
      <c r="C40" s="2" t="s">
        <v>138</v>
      </c>
      <c r="D40" s="2" t="s">
        <v>4262</v>
      </c>
      <c r="E40" s="2" t="s">
        <v>4160</v>
      </c>
      <c r="F40" s="2" t="s">
        <v>4260</v>
      </c>
      <c r="G40" s="2"/>
      <c r="H40" s="2" t="s">
        <v>4263</v>
      </c>
    </row>
    <row r="41" customFormat="false" ht="15" hidden="false" customHeight="false" outlineLevel="0" collapsed="false">
      <c r="A41" s="2" t="n">
        <v>5</v>
      </c>
      <c r="B41" s="2" t="s">
        <v>132</v>
      </c>
      <c r="C41" s="2" t="s">
        <v>138</v>
      </c>
      <c r="D41" s="2" t="s">
        <v>4264</v>
      </c>
      <c r="E41" s="2" t="s">
        <v>4160</v>
      </c>
      <c r="F41" s="2" t="s">
        <v>4265</v>
      </c>
      <c r="G41" s="2"/>
      <c r="H41" s="2" t="s">
        <v>4266</v>
      </c>
    </row>
    <row r="42" customFormat="false" ht="15" hidden="false" customHeight="false" outlineLevel="0" collapsed="false">
      <c r="A42" s="2" t="n">
        <v>5</v>
      </c>
      <c r="B42" s="2" t="s">
        <v>132</v>
      </c>
      <c r="C42" s="2" t="s">
        <v>138</v>
      </c>
      <c r="D42" s="2" t="s">
        <v>4267</v>
      </c>
      <c r="E42" s="2" t="s">
        <v>4160</v>
      </c>
      <c r="F42" s="2" t="s">
        <v>4268</v>
      </c>
      <c r="G42" s="2"/>
      <c r="H42" s="2" t="s">
        <v>4269</v>
      </c>
    </row>
    <row r="43" customFormat="false" ht="15" hidden="false" customHeight="false" outlineLevel="0" collapsed="false">
      <c r="A43" s="2" t="n">
        <v>5</v>
      </c>
      <c r="B43" s="2" t="s">
        <v>132</v>
      </c>
      <c r="C43" s="2" t="s">
        <v>138</v>
      </c>
      <c r="D43" s="2" t="s">
        <v>4270</v>
      </c>
      <c r="E43" s="2" t="s">
        <v>4160</v>
      </c>
      <c r="F43" s="2" t="s">
        <v>1589</v>
      </c>
      <c r="G43" s="2"/>
      <c r="H43" s="2" t="s">
        <v>4271</v>
      </c>
    </row>
    <row r="44" customFormat="false" ht="15" hidden="false" customHeight="false" outlineLevel="0" collapsed="false">
      <c r="A44" s="2" t="n">
        <v>5</v>
      </c>
      <c r="B44" s="2" t="s">
        <v>132</v>
      </c>
      <c r="C44" s="2" t="s">
        <v>138</v>
      </c>
      <c r="D44" s="2" t="s">
        <v>4272</v>
      </c>
      <c r="E44" s="2" t="s">
        <v>4160</v>
      </c>
      <c r="F44" s="2" t="s">
        <v>4273</v>
      </c>
      <c r="G44" s="2"/>
      <c r="H44" s="2" t="s">
        <v>4274</v>
      </c>
    </row>
    <row r="45" customFormat="false" ht="15" hidden="false" customHeight="false" outlineLevel="0" collapsed="false">
      <c r="A45" s="2" t="n">
        <v>5</v>
      </c>
      <c r="B45" s="2" t="s">
        <v>132</v>
      </c>
      <c r="C45" s="2" t="s">
        <v>138</v>
      </c>
      <c r="D45" s="2" t="s">
        <v>4275</v>
      </c>
      <c r="E45" s="2" t="s">
        <v>4160</v>
      </c>
      <c r="F45" s="2" t="s">
        <v>4276</v>
      </c>
      <c r="G45" s="2"/>
      <c r="H45" s="2" t="s">
        <v>4277</v>
      </c>
    </row>
    <row r="46" customFormat="false" ht="15" hidden="false" customHeight="false" outlineLevel="0" collapsed="false">
      <c r="A46" s="2" t="n">
        <v>6</v>
      </c>
      <c r="B46" s="2" t="s">
        <v>147</v>
      </c>
      <c r="C46" s="2" t="s">
        <v>153</v>
      </c>
      <c r="D46" s="2" t="s">
        <v>4168</v>
      </c>
      <c r="E46" s="2" t="s">
        <v>4156</v>
      </c>
      <c r="F46" s="2" t="s">
        <v>100</v>
      </c>
      <c r="G46" s="2" t="s">
        <v>4169</v>
      </c>
      <c r="H46" s="2" t="s">
        <v>4170</v>
      </c>
    </row>
    <row r="47" customFormat="false" ht="15" hidden="false" customHeight="false" outlineLevel="0" collapsed="false">
      <c r="A47" s="2" t="n">
        <v>6</v>
      </c>
      <c r="B47" s="2" t="s">
        <v>147</v>
      </c>
      <c r="C47" s="2" t="s">
        <v>153</v>
      </c>
      <c r="D47" s="2" t="s">
        <v>4278</v>
      </c>
      <c r="E47" s="2" t="s">
        <v>4160</v>
      </c>
      <c r="F47" s="2" t="s">
        <v>4279</v>
      </c>
      <c r="G47" s="2"/>
      <c r="H47" s="2" t="s">
        <v>4280</v>
      </c>
    </row>
    <row r="48" customFormat="false" ht="15" hidden="false" customHeight="false" outlineLevel="0" collapsed="false">
      <c r="A48" s="2" t="n">
        <v>7</v>
      </c>
      <c r="B48" s="2" t="s">
        <v>160</v>
      </c>
      <c r="C48" s="2" t="s">
        <v>167</v>
      </c>
      <c r="D48" s="2" t="s">
        <v>4281</v>
      </c>
      <c r="E48" s="2" t="s">
        <v>4156</v>
      </c>
      <c r="F48" s="2" t="s">
        <v>170</v>
      </c>
      <c r="G48" s="2" t="s">
        <v>4282</v>
      </c>
      <c r="H48" s="2" t="s">
        <v>4283</v>
      </c>
    </row>
    <row r="49" customFormat="false" ht="15" hidden="false" customHeight="false" outlineLevel="0" collapsed="false">
      <c r="A49" s="2" t="n">
        <v>7</v>
      </c>
      <c r="B49" s="2" t="s">
        <v>160</v>
      </c>
      <c r="C49" s="2" t="s">
        <v>167</v>
      </c>
      <c r="D49" s="2" t="s">
        <v>492</v>
      </c>
      <c r="E49" s="2" t="s">
        <v>4156</v>
      </c>
      <c r="F49" s="2" t="s">
        <v>114</v>
      </c>
      <c r="G49" s="2" t="s">
        <v>4213</v>
      </c>
      <c r="H49" s="2" t="s">
        <v>493</v>
      </c>
    </row>
    <row r="50" customFormat="false" ht="15" hidden="false" customHeight="false" outlineLevel="0" collapsed="false">
      <c r="A50" s="2" t="n">
        <v>7</v>
      </c>
      <c r="B50" s="2" t="s">
        <v>160</v>
      </c>
      <c r="C50" s="2" t="s">
        <v>167</v>
      </c>
      <c r="D50" s="2" t="s">
        <v>4284</v>
      </c>
      <c r="E50" s="2" t="s">
        <v>4160</v>
      </c>
      <c r="F50" s="2" t="s">
        <v>4285</v>
      </c>
      <c r="G50" s="2"/>
      <c r="H50" s="2" t="s">
        <v>4286</v>
      </c>
    </row>
    <row r="51" customFormat="false" ht="15" hidden="false" customHeight="false" outlineLevel="0" collapsed="false">
      <c r="A51" s="2" t="n">
        <v>7</v>
      </c>
      <c r="B51" s="2" t="s">
        <v>160</v>
      </c>
      <c r="C51" s="2" t="s">
        <v>167</v>
      </c>
      <c r="D51" s="2" t="s">
        <v>4287</v>
      </c>
      <c r="E51" s="2" t="s">
        <v>4160</v>
      </c>
      <c r="F51" s="2" t="s">
        <v>4285</v>
      </c>
      <c r="G51" s="2" t="s">
        <v>4288</v>
      </c>
      <c r="H51" s="2" t="s">
        <v>4289</v>
      </c>
    </row>
    <row r="52" customFormat="false" ht="15" hidden="false" customHeight="false" outlineLevel="0" collapsed="false">
      <c r="A52" s="2" t="n">
        <v>7</v>
      </c>
      <c r="B52" s="2" t="s">
        <v>160</v>
      </c>
      <c r="C52" s="2" t="s">
        <v>167</v>
      </c>
      <c r="D52" s="2" t="s">
        <v>4290</v>
      </c>
      <c r="E52" s="2" t="s">
        <v>4160</v>
      </c>
      <c r="F52" s="2" t="s">
        <v>4291</v>
      </c>
      <c r="G52" s="2"/>
      <c r="H52" s="2" t="s">
        <v>4292</v>
      </c>
    </row>
    <row r="53" customFormat="false" ht="15" hidden="false" customHeight="false" outlineLevel="0" collapsed="false">
      <c r="A53" s="2" t="n">
        <v>7</v>
      </c>
      <c r="B53" s="2" t="s">
        <v>160</v>
      </c>
      <c r="C53" s="2" t="s">
        <v>167</v>
      </c>
      <c r="D53" s="2" t="s">
        <v>4293</v>
      </c>
      <c r="E53" s="2" t="s">
        <v>4160</v>
      </c>
      <c r="F53" s="2" t="s">
        <v>4294</v>
      </c>
      <c r="G53" s="2"/>
      <c r="H53" s="2" t="s">
        <v>4295</v>
      </c>
    </row>
    <row r="54" customFormat="false" ht="15" hidden="false" customHeight="false" outlineLevel="0" collapsed="false">
      <c r="A54" s="2" t="n">
        <v>7</v>
      </c>
      <c r="B54" s="2" t="s">
        <v>160</v>
      </c>
      <c r="C54" s="2" t="s">
        <v>167</v>
      </c>
      <c r="D54" s="2" t="s">
        <v>4296</v>
      </c>
      <c r="E54" s="2" t="s">
        <v>4160</v>
      </c>
      <c r="F54" s="2" t="s">
        <v>4297</v>
      </c>
      <c r="G54" s="2"/>
      <c r="H54" s="2" t="s">
        <v>4298</v>
      </c>
    </row>
    <row r="55" customFormat="false" ht="15" hidden="false" customHeight="false" outlineLevel="0" collapsed="false">
      <c r="A55" s="2" t="n">
        <v>7</v>
      </c>
      <c r="B55" s="2" t="s">
        <v>160</v>
      </c>
      <c r="C55" s="2" t="s">
        <v>167</v>
      </c>
      <c r="D55" s="2" t="s">
        <v>4299</v>
      </c>
      <c r="E55" s="2" t="s">
        <v>4160</v>
      </c>
      <c r="F55" s="2" t="s">
        <v>4300</v>
      </c>
      <c r="G55" s="2"/>
      <c r="H55" s="2" t="s">
        <v>4301</v>
      </c>
    </row>
    <row r="56" customFormat="false" ht="15" hidden="false" customHeight="false" outlineLevel="0" collapsed="false">
      <c r="A56" s="2" t="n">
        <v>7</v>
      </c>
      <c r="B56" s="2" t="s">
        <v>160</v>
      </c>
      <c r="C56" s="2" t="s">
        <v>167</v>
      </c>
      <c r="D56" s="2" t="s">
        <v>4302</v>
      </c>
      <c r="E56" s="2" t="s">
        <v>4160</v>
      </c>
      <c r="F56" s="2" t="s">
        <v>4303</v>
      </c>
      <c r="G56" s="2"/>
      <c r="H56" s="2" t="s">
        <v>4304</v>
      </c>
    </row>
    <row r="57" customFormat="false" ht="15" hidden="false" customHeight="false" outlineLevel="0" collapsed="false">
      <c r="A57" s="2" t="n">
        <v>7</v>
      </c>
      <c r="B57" s="2" t="s">
        <v>160</v>
      </c>
      <c r="C57" s="2" t="s">
        <v>167</v>
      </c>
      <c r="D57" s="2" t="s">
        <v>4305</v>
      </c>
      <c r="E57" s="2" t="s">
        <v>4160</v>
      </c>
      <c r="F57" s="2" t="s">
        <v>4306</v>
      </c>
      <c r="G57" s="2"/>
      <c r="H57" s="2" t="s">
        <v>4307</v>
      </c>
    </row>
    <row r="58" customFormat="false" ht="15" hidden="false" customHeight="false" outlineLevel="0" collapsed="false">
      <c r="A58" s="2" t="n">
        <v>8</v>
      </c>
      <c r="B58" s="2" t="s">
        <v>174</v>
      </c>
      <c r="C58" s="2" t="s">
        <v>179</v>
      </c>
      <c r="D58" s="2" t="s">
        <v>793</v>
      </c>
      <c r="E58" s="2" t="s">
        <v>4156</v>
      </c>
      <c r="F58" s="2" t="s">
        <v>182</v>
      </c>
      <c r="G58" s="2" t="s">
        <v>4308</v>
      </c>
      <c r="H58" s="2" t="s">
        <v>794</v>
      </c>
    </row>
    <row r="59" customFormat="false" ht="15" hidden="false" customHeight="false" outlineLevel="0" collapsed="false">
      <c r="A59" s="2" t="n">
        <v>8</v>
      </c>
      <c r="B59" s="2" t="s">
        <v>174</v>
      </c>
      <c r="C59" s="2" t="s">
        <v>179</v>
      </c>
      <c r="D59" s="2" t="s">
        <v>4309</v>
      </c>
      <c r="E59" s="2" t="s">
        <v>4160</v>
      </c>
      <c r="F59" s="2" t="s">
        <v>4310</v>
      </c>
      <c r="G59" s="2"/>
      <c r="H59" s="2" t="s">
        <v>4311</v>
      </c>
    </row>
    <row r="60" customFormat="false" ht="15" hidden="false" customHeight="false" outlineLevel="0" collapsed="false">
      <c r="A60" s="2" t="n">
        <v>8</v>
      </c>
      <c r="B60" s="2" t="s">
        <v>174</v>
      </c>
      <c r="C60" s="2" t="s">
        <v>179</v>
      </c>
      <c r="D60" s="2" t="s">
        <v>4312</v>
      </c>
      <c r="E60" s="2" t="s">
        <v>4160</v>
      </c>
      <c r="F60" s="2" t="s">
        <v>2116</v>
      </c>
      <c r="G60" s="2"/>
      <c r="H60" s="2" t="s">
        <v>4313</v>
      </c>
    </row>
    <row r="61" customFormat="false" ht="15" hidden="false" customHeight="false" outlineLevel="0" collapsed="false">
      <c r="A61" s="2" t="n">
        <v>8</v>
      </c>
      <c r="B61" s="2" t="s">
        <v>174</v>
      </c>
      <c r="C61" s="2" t="s">
        <v>179</v>
      </c>
      <c r="D61" s="2" t="s">
        <v>4314</v>
      </c>
      <c r="E61" s="2" t="s">
        <v>4160</v>
      </c>
      <c r="F61" s="2" t="s">
        <v>4315</v>
      </c>
      <c r="G61" s="2"/>
      <c r="H61" s="2" t="s">
        <v>4316</v>
      </c>
    </row>
    <row r="62" customFormat="false" ht="15" hidden="false" customHeight="false" outlineLevel="0" collapsed="false">
      <c r="A62" s="2" t="n">
        <v>8</v>
      </c>
      <c r="B62" s="2" t="s">
        <v>174</v>
      </c>
      <c r="C62" s="2" t="s">
        <v>179</v>
      </c>
      <c r="D62" s="2" t="s">
        <v>4317</v>
      </c>
      <c r="E62" s="2" t="s">
        <v>4160</v>
      </c>
      <c r="F62" s="2" t="s">
        <v>4318</v>
      </c>
      <c r="G62" s="2"/>
      <c r="H62" s="2" t="s">
        <v>4319</v>
      </c>
    </row>
    <row r="63" customFormat="false" ht="15" hidden="false" customHeight="false" outlineLevel="0" collapsed="false">
      <c r="A63" s="2" t="n">
        <v>9</v>
      </c>
      <c r="B63" s="2" t="s">
        <v>186</v>
      </c>
      <c r="C63" s="2" t="s">
        <v>193</v>
      </c>
      <c r="D63" s="2" t="s">
        <v>4320</v>
      </c>
      <c r="E63" s="2" t="s">
        <v>4156</v>
      </c>
      <c r="F63" s="2" t="s">
        <v>196</v>
      </c>
      <c r="G63" s="2" t="s">
        <v>4321</v>
      </c>
      <c r="H63" s="2" t="s">
        <v>4322</v>
      </c>
    </row>
    <row r="64" customFormat="false" ht="15" hidden="false" customHeight="false" outlineLevel="0" collapsed="false">
      <c r="A64" s="2" t="n">
        <v>9</v>
      </c>
      <c r="B64" s="2" t="s">
        <v>186</v>
      </c>
      <c r="C64" s="2" t="s">
        <v>193</v>
      </c>
      <c r="D64" s="2" t="s">
        <v>4323</v>
      </c>
      <c r="E64" s="2" t="s">
        <v>4156</v>
      </c>
      <c r="F64" s="2" t="s">
        <v>197</v>
      </c>
      <c r="G64" s="2" t="s">
        <v>4324</v>
      </c>
      <c r="H64" s="2" t="s">
        <v>4325</v>
      </c>
    </row>
    <row r="65" customFormat="false" ht="15" hidden="false" customHeight="false" outlineLevel="0" collapsed="false">
      <c r="A65" s="2" t="n">
        <v>9</v>
      </c>
      <c r="B65" s="2" t="s">
        <v>186</v>
      </c>
      <c r="C65" s="2" t="s">
        <v>193</v>
      </c>
      <c r="D65" s="2" t="s">
        <v>4326</v>
      </c>
      <c r="E65" s="2" t="s">
        <v>4160</v>
      </c>
      <c r="F65" s="2" t="s">
        <v>4327</v>
      </c>
      <c r="G65" s="2"/>
      <c r="H65" s="2" t="s">
        <v>4328</v>
      </c>
    </row>
    <row r="66" customFormat="false" ht="15" hidden="false" customHeight="false" outlineLevel="0" collapsed="false">
      <c r="A66" s="2" t="n">
        <v>9</v>
      </c>
      <c r="B66" s="2" t="s">
        <v>186</v>
      </c>
      <c r="C66" s="2" t="s">
        <v>193</v>
      </c>
      <c r="D66" s="2" t="s">
        <v>4329</v>
      </c>
      <c r="E66" s="2" t="s">
        <v>4160</v>
      </c>
      <c r="F66" s="2" t="s">
        <v>4330</v>
      </c>
      <c r="G66" s="2"/>
      <c r="H66" s="2" t="s">
        <v>4331</v>
      </c>
    </row>
    <row r="67" customFormat="false" ht="15" hidden="false" customHeight="false" outlineLevel="0" collapsed="false">
      <c r="A67" s="2" t="n">
        <v>9</v>
      </c>
      <c r="B67" s="2" t="s">
        <v>186</v>
      </c>
      <c r="C67" s="2" t="s">
        <v>193</v>
      </c>
      <c r="D67" s="2" t="s">
        <v>4332</v>
      </c>
      <c r="E67" s="2" t="s">
        <v>4160</v>
      </c>
      <c r="F67" s="2" t="s">
        <v>4333</v>
      </c>
      <c r="G67" s="2"/>
      <c r="H67" s="2" t="s">
        <v>4334</v>
      </c>
    </row>
    <row r="68" customFormat="false" ht="15" hidden="false" customHeight="false" outlineLevel="0" collapsed="false">
      <c r="A68" s="2" t="n">
        <v>9</v>
      </c>
      <c r="B68" s="2" t="s">
        <v>186</v>
      </c>
      <c r="C68" s="2" t="s">
        <v>193</v>
      </c>
      <c r="D68" s="2" t="s">
        <v>4335</v>
      </c>
      <c r="E68" s="2" t="s">
        <v>4160</v>
      </c>
      <c r="F68" s="2" t="s">
        <v>3778</v>
      </c>
      <c r="G68" s="2"/>
      <c r="H68" s="2" t="s">
        <v>4336</v>
      </c>
    </row>
    <row r="69" customFormat="false" ht="15" hidden="false" customHeight="false" outlineLevel="0" collapsed="false">
      <c r="A69" s="2" t="n">
        <v>10</v>
      </c>
      <c r="B69" s="2" t="s">
        <v>202</v>
      </c>
      <c r="C69" s="2" t="s">
        <v>207</v>
      </c>
      <c r="D69" s="2" t="s">
        <v>4337</v>
      </c>
      <c r="E69" s="2" t="s">
        <v>4160</v>
      </c>
      <c r="F69" s="2" t="s">
        <v>4338</v>
      </c>
      <c r="G69" s="2"/>
      <c r="H69" s="2" t="s">
        <v>4339</v>
      </c>
    </row>
    <row r="70" customFormat="false" ht="15" hidden="false" customHeight="false" outlineLevel="0" collapsed="false">
      <c r="A70" s="2" t="n">
        <v>11</v>
      </c>
      <c r="B70" s="2" t="s">
        <v>213</v>
      </c>
      <c r="C70" s="2" t="s">
        <v>220</v>
      </c>
      <c r="D70" s="2" t="s">
        <v>4340</v>
      </c>
      <c r="E70" s="2" t="s">
        <v>4160</v>
      </c>
      <c r="F70" s="2" t="s">
        <v>4341</v>
      </c>
      <c r="G70" s="2"/>
      <c r="H70" s="2" t="s">
        <v>4342</v>
      </c>
    </row>
    <row r="71" customFormat="false" ht="15" hidden="false" customHeight="false" outlineLevel="0" collapsed="false">
      <c r="A71" s="2" t="n">
        <v>11</v>
      </c>
      <c r="B71" s="2" t="s">
        <v>213</v>
      </c>
      <c r="C71" s="2" t="s">
        <v>220</v>
      </c>
      <c r="D71" s="2" t="s">
        <v>4343</v>
      </c>
      <c r="E71" s="2" t="s">
        <v>4160</v>
      </c>
      <c r="F71" s="2" t="s">
        <v>4344</v>
      </c>
      <c r="G71" s="2"/>
      <c r="H71" s="2" t="s">
        <v>4345</v>
      </c>
    </row>
    <row r="72" customFormat="false" ht="15" hidden="false" customHeight="false" outlineLevel="0" collapsed="false">
      <c r="A72" s="2" t="n">
        <v>11</v>
      </c>
      <c r="B72" s="2" t="s">
        <v>213</v>
      </c>
      <c r="C72" s="2" t="s">
        <v>220</v>
      </c>
      <c r="D72" s="2" t="s">
        <v>4346</v>
      </c>
      <c r="E72" s="2" t="s">
        <v>4160</v>
      </c>
      <c r="F72" s="2" t="s">
        <v>4347</v>
      </c>
      <c r="G72" s="2"/>
      <c r="H72" s="2" t="s">
        <v>4348</v>
      </c>
    </row>
    <row r="73" customFormat="false" ht="15" hidden="false" customHeight="false" outlineLevel="0" collapsed="false">
      <c r="A73" s="2" t="n">
        <v>11</v>
      </c>
      <c r="B73" s="2" t="s">
        <v>213</v>
      </c>
      <c r="C73" s="2" t="s">
        <v>220</v>
      </c>
      <c r="D73" s="2" t="s">
        <v>4349</v>
      </c>
      <c r="E73" s="2" t="s">
        <v>4160</v>
      </c>
      <c r="F73" s="2" t="s">
        <v>4350</v>
      </c>
      <c r="G73" s="2"/>
      <c r="H73" s="2" t="s">
        <v>4351</v>
      </c>
    </row>
    <row r="74" customFormat="false" ht="15" hidden="false" customHeight="false" outlineLevel="0" collapsed="false">
      <c r="A74" s="2" t="n">
        <v>11</v>
      </c>
      <c r="B74" s="2" t="s">
        <v>213</v>
      </c>
      <c r="C74" s="2" t="s">
        <v>220</v>
      </c>
      <c r="D74" s="2" t="s">
        <v>4352</v>
      </c>
      <c r="E74" s="2" t="s">
        <v>4160</v>
      </c>
      <c r="F74" s="2" t="s">
        <v>4353</v>
      </c>
      <c r="G74" s="2"/>
      <c r="H74" s="2" t="s">
        <v>4354</v>
      </c>
    </row>
    <row r="75" customFormat="false" ht="15" hidden="false" customHeight="false" outlineLevel="0" collapsed="false">
      <c r="A75" s="2" t="n">
        <v>11</v>
      </c>
      <c r="B75" s="2" t="s">
        <v>213</v>
      </c>
      <c r="C75" s="2" t="s">
        <v>220</v>
      </c>
      <c r="D75" s="2" t="s">
        <v>4355</v>
      </c>
      <c r="E75" s="2" t="s">
        <v>4160</v>
      </c>
      <c r="F75" s="2" t="s">
        <v>4356</v>
      </c>
      <c r="G75" s="2"/>
      <c r="H75" s="2" t="s">
        <v>4357</v>
      </c>
    </row>
    <row r="76" customFormat="false" ht="15" hidden="false" customHeight="false" outlineLevel="0" collapsed="false">
      <c r="A76" s="2" t="n">
        <v>11</v>
      </c>
      <c r="B76" s="2" t="s">
        <v>213</v>
      </c>
      <c r="C76" s="2" t="s">
        <v>220</v>
      </c>
      <c r="D76" s="2" t="s">
        <v>4358</v>
      </c>
      <c r="E76" s="2" t="s">
        <v>4160</v>
      </c>
      <c r="F76" s="2" t="s">
        <v>4359</v>
      </c>
      <c r="G76" s="2"/>
      <c r="H76" s="2" t="s">
        <v>4360</v>
      </c>
    </row>
    <row r="77" customFormat="false" ht="15" hidden="false" customHeight="false" outlineLevel="0" collapsed="false">
      <c r="A77" s="2" t="n">
        <v>11</v>
      </c>
      <c r="B77" s="2" t="s">
        <v>213</v>
      </c>
      <c r="C77" s="2" t="s">
        <v>220</v>
      </c>
      <c r="D77" s="2" t="s">
        <v>4361</v>
      </c>
      <c r="E77" s="2" t="s">
        <v>4160</v>
      </c>
      <c r="F77" s="2" t="s">
        <v>4362</v>
      </c>
      <c r="G77" s="2"/>
      <c r="H77" s="2" t="s">
        <v>4363</v>
      </c>
    </row>
    <row r="78" customFormat="false" ht="15" hidden="false" customHeight="false" outlineLevel="0" collapsed="false">
      <c r="A78" s="2" t="n">
        <v>12</v>
      </c>
      <c r="B78" s="2" t="s">
        <v>226</v>
      </c>
      <c r="C78" s="2" t="s">
        <v>232</v>
      </c>
      <c r="D78" s="2" t="s">
        <v>4364</v>
      </c>
      <c r="E78" s="2" t="s">
        <v>4160</v>
      </c>
      <c r="F78" s="2" t="s">
        <v>4365</v>
      </c>
      <c r="G78" s="2" t="s">
        <v>4366</v>
      </c>
      <c r="H78" s="2" t="s">
        <v>4367</v>
      </c>
    </row>
    <row r="79" customFormat="false" ht="15" hidden="false" customHeight="false" outlineLevel="0" collapsed="false">
      <c r="A79" s="2" t="n">
        <v>12</v>
      </c>
      <c r="B79" s="2" t="s">
        <v>226</v>
      </c>
      <c r="C79" s="2" t="s">
        <v>232</v>
      </c>
      <c r="D79" s="2" t="s">
        <v>4368</v>
      </c>
      <c r="E79" s="2" t="s">
        <v>4160</v>
      </c>
      <c r="F79" s="2" t="s">
        <v>4369</v>
      </c>
      <c r="G79" s="2"/>
      <c r="H79" s="2" t="s">
        <v>4370</v>
      </c>
    </row>
    <row r="80" customFormat="false" ht="15" hidden="false" customHeight="false" outlineLevel="0" collapsed="false">
      <c r="A80" s="2" t="n">
        <v>12</v>
      </c>
      <c r="B80" s="2" t="s">
        <v>226</v>
      </c>
      <c r="C80" s="2" t="s">
        <v>232</v>
      </c>
      <c r="D80" s="2" t="s">
        <v>4371</v>
      </c>
      <c r="E80" s="2" t="s">
        <v>4160</v>
      </c>
      <c r="F80" s="2" t="s">
        <v>4372</v>
      </c>
      <c r="G80" s="2" t="s">
        <v>4373</v>
      </c>
      <c r="H80" s="2" t="s">
        <v>4374</v>
      </c>
    </row>
    <row r="81" customFormat="false" ht="15" hidden="false" customHeight="false" outlineLevel="0" collapsed="false">
      <c r="A81" s="2" t="n">
        <v>12</v>
      </c>
      <c r="B81" s="2" t="s">
        <v>226</v>
      </c>
      <c r="C81" s="2" t="s">
        <v>232</v>
      </c>
      <c r="D81" s="2" t="s">
        <v>4375</v>
      </c>
      <c r="E81" s="2" t="s">
        <v>4160</v>
      </c>
      <c r="F81" s="2" t="s">
        <v>1180</v>
      </c>
      <c r="G81" s="2"/>
      <c r="H81" s="2" t="s">
        <v>4376</v>
      </c>
    </row>
    <row r="82" customFormat="false" ht="15" hidden="false" customHeight="false" outlineLevel="0" collapsed="false">
      <c r="A82" s="2" t="n">
        <v>13</v>
      </c>
      <c r="B82" s="2" t="s">
        <v>238</v>
      </c>
      <c r="C82" s="2" t="s">
        <v>244</v>
      </c>
      <c r="D82" s="2" t="s">
        <v>4168</v>
      </c>
      <c r="E82" s="2" t="s">
        <v>4156</v>
      </c>
      <c r="F82" s="2" t="s">
        <v>100</v>
      </c>
      <c r="G82" s="2" t="s">
        <v>4169</v>
      </c>
      <c r="H82" s="2" t="s">
        <v>4170</v>
      </c>
    </row>
    <row r="83" customFormat="false" ht="15" hidden="false" customHeight="false" outlineLevel="0" collapsed="false">
      <c r="A83" s="2" t="n">
        <v>13</v>
      </c>
      <c r="B83" s="2" t="s">
        <v>238</v>
      </c>
      <c r="C83" s="2" t="s">
        <v>244</v>
      </c>
      <c r="D83" s="2" t="s">
        <v>4377</v>
      </c>
      <c r="E83" s="2" t="s">
        <v>4156</v>
      </c>
      <c r="F83" s="2" t="s">
        <v>247</v>
      </c>
      <c r="G83" s="2" t="s">
        <v>4378</v>
      </c>
      <c r="H83" s="2" t="s">
        <v>4379</v>
      </c>
    </row>
    <row r="84" customFormat="false" ht="15" hidden="false" customHeight="false" outlineLevel="0" collapsed="false">
      <c r="A84" s="2" t="n">
        <v>13</v>
      </c>
      <c r="B84" s="2" t="s">
        <v>238</v>
      </c>
      <c r="C84" s="2" t="s">
        <v>244</v>
      </c>
      <c r="D84" s="2" t="s">
        <v>4380</v>
      </c>
      <c r="E84" s="2" t="s">
        <v>4160</v>
      </c>
      <c r="F84" s="2" t="s">
        <v>4381</v>
      </c>
      <c r="G84" s="2"/>
      <c r="H84" s="2" t="s">
        <v>4382</v>
      </c>
    </row>
    <row r="85" customFormat="false" ht="15" hidden="false" customHeight="false" outlineLevel="0" collapsed="false">
      <c r="A85" s="2" t="n">
        <v>13</v>
      </c>
      <c r="B85" s="2" t="s">
        <v>238</v>
      </c>
      <c r="C85" s="2" t="s">
        <v>244</v>
      </c>
      <c r="D85" s="2" t="s">
        <v>4383</v>
      </c>
      <c r="E85" s="2" t="s">
        <v>4160</v>
      </c>
      <c r="F85" s="2" t="s">
        <v>4384</v>
      </c>
      <c r="G85" s="2"/>
      <c r="H85" s="2" t="s">
        <v>4385</v>
      </c>
    </row>
    <row r="86" customFormat="false" ht="15" hidden="false" customHeight="false" outlineLevel="0" collapsed="false">
      <c r="A86" s="2" t="n">
        <v>13</v>
      </c>
      <c r="B86" s="2" t="s">
        <v>238</v>
      </c>
      <c r="C86" s="2" t="s">
        <v>244</v>
      </c>
      <c r="D86" s="2" t="s">
        <v>4386</v>
      </c>
      <c r="E86" s="2" t="s">
        <v>4160</v>
      </c>
      <c r="F86" s="2" t="s">
        <v>1778</v>
      </c>
      <c r="G86" s="2"/>
      <c r="H86" s="2" t="s">
        <v>4387</v>
      </c>
    </row>
    <row r="87" customFormat="false" ht="15" hidden="false" customHeight="false" outlineLevel="0" collapsed="false">
      <c r="A87" s="2" t="n">
        <v>13</v>
      </c>
      <c r="B87" s="2" t="s">
        <v>238</v>
      </c>
      <c r="C87" s="2" t="s">
        <v>244</v>
      </c>
      <c r="D87" s="2" t="s">
        <v>4388</v>
      </c>
      <c r="E87" s="2" t="s">
        <v>4160</v>
      </c>
      <c r="F87" s="2" t="s">
        <v>4389</v>
      </c>
      <c r="G87" s="2"/>
      <c r="H87" s="2" t="s">
        <v>4390</v>
      </c>
    </row>
    <row r="88" customFormat="false" ht="15" hidden="false" customHeight="false" outlineLevel="0" collapsed="false">
      <c r="A88" s="2" t="n">
        <v>14</v>
      </c>
      <c r="B88" s="2" t="s">
        <v>251</v>
      </c>
      <c r="C88" s="2" t="s">
        <v>258</v>
      </c>
      <c r="D88" s="2" t="s">
        <v>4391</v>
      </c>
      <c r="E88" s="2" t="s">
        <v>4156</v>
      </c>
      <c r="F88" s="2" t="s">
        <v>261</v>
      </c>
      <c r="G88" s="2" t="s">
        <v>4392</v>
      </c>
      <c r="H88" s="2" t="s">
        <v>4393</v>
      </c>
    </row>
    <row r="89" customFormat="false" ht="15" hidden="false" customHeight="false" outlineLevel="0" collapsed="false">
      <c r="A89" s="2" t="n">
        <v>14</v>
      </c>
      <c r="B89" s="2" t="s">
        <v>251</v>
      </c>
      <c r="C89" s="2" t="s">
        <v>258</v>
      </c>
      <c r="D89" s="2" t="s">
        <v>4394</v>
      </c>
      <c r="E89" s="2" t="s">
        <v>4156</v>
      </c>
      <c r="F89" s="2" t="s">
        <v>4395</v>
      </c>
      <c r="G89" s="2" t="s">
        <v>4396</v>
      </c>
      <c r="H89" s="2" t="s">
        <v>4397</v>
      </c>
    </row>
    <row r="90" customFormat="false" ht="15" hidden="false" customHeight="false" outlineLevel="0" collapsed="false">
      <c r="A90" s="2" t="n">
        <v>14</v>
      </c>
      <c r="B90" s="2" t="s">
        <v>251</v>
      </c>
      <c r="C90" s="2" t="s">
        <v>258</v>
      </c>
      <c r="D90" s="2" t="s">
        <v>4398</v>
      </c>
      <c r="E90" s="2" t="s">
        <v>4156</v>
      </c>
      <c r="F90" s="2" t="s">
        <v>4399</v>
      </c>
      <c r="G90" s="2" t="s">
        <v>4400</v>
      </c>
      <c r="H90" s="2" t="s">
        <v>4401</v>
      </c>
    </row>
    <row r="91" customFormat="false" ht="15" hidden="false" customHeight="false" outlineLevel="0" collapsed="false">
      <c r="A91" s="2" t="n">
        <v>14</v>
      </c>
      <c r="B91" s="2" t="s">
        <v>251</v>
      </c>
      <c r="C91" s="2" t="s">
        <v>258</v>
      </c>
      <c r="D91" s="2" t="s">
        <v>4402</v>
      </c>
      <c r="E91" s="2" t="s">
        <v>4156</v>
      </c>
      <c r="F91" s="2" t="s">
        <v>4403</v>
      </c>
      <c r="G91" s="2" t="s">
        <v>4404</v>
      </c>
      <c r="H91" s="2" t="s">
        <v>4405</v>
      </c>
    </row>
    <row r="92" customFormat="false" ht="15" hidden="false" customHeight="false" outlineLevel="0" collapsed="false">
      <c r="A92" s="2" t="n">
        <v>14</v>
      </c>
      <c r="B92" s="2" t="s">
        <v>251</v>
      </c>
      <c r="C92" s="2" t="s">
        <v>258</v>
      </c>
      <c r="D92" s="2" t="s">
        <v>4406</v>
      </c>
      <c r="E92" s="2" t="s">
        <v>4156</v>
      </c>
      <c r="F92" s="2" t="s">
        <v>4407</v>
      </c>
      <c r="G92" s="2" t="s">
        <v>4408</v>
      </c>
      <c r="H92" s="2" t="s">
        <v>4409</v>
      </c>
    </row>
    <row r="93" customFormat="false" ht="15" hidden="false" customHeight="false" outlineLevel="0" collapsed="false">
      <c r="A93" s="2" t="n">
        <v>14</v>
      </c>
      <c r="B93" s="2" t="s">
        <v>251</v>
      </c>
      <c r="C93" s="2" t="s">
        <v>258</v>
      </c>
      <c r="D93" s="2" t="s">
        <v>4410</v>
      </c>
      <c r="E93" s="2" t="s">
        <v>4156</v>
      </c>
      <c r="F93" s="2" t="s">
        <v>4411</v>
      </c>
      <c r="G93" s="2" t="s">
        <v>4412</v>
      </c>
      <c r="H93" s="2" t="s">
        <v>4413</v>
      </c>
    </row>
    <row r="94" customFormat="false" ht="15" hidden="false" customHeight="false" outlineLevel="0" collapsed="false">
      <c r="A94" s="2" t="n">
        <v>14</v>
      </c>
      <c r="B94" s="2" t="s">
        <v>251</v>
      </c>
      <c r="C94" s="2" t="s">
        <v>258</v>
      </c>
      <c r="D94" s="2" t="s">
        <v>1652</v>
      </c>
      <c r="E94" s="2" t="s">
        <v>4156</v>
      </c>
      <c r="F94" s="2" t="s">
        <v>1645</v>
      </c>
      <c r="G94" s="2" t="s">
        <v>1653</v>
      </c>
      <c r="H94" s="2" t="s">
        <v>1654</v>
      </c>
    </row>
    <row r="95" customFormat="false" ht="15" hidden="false" customHeight="false" outlineLevel="0" collapsed="false">
      <c r="A95" s="2" t="n">
        <v>14</v>
      </c>
      <c r="B95" s="2" t="s">
        <v>251</v>
      </c>
      <c r="C95" s="2" t="s">
        <v>258</v>
      </c>
      <c r="D95" s="2" t="s">
        <v>4414</v>
      </c>
      <c r="E95" s="2" t="s">
        <v>4156</v>
      </c>
      <c r="F95" s="2" t="s">
        <v>1660</v>
      </c>
      <c r="G95" s="2" t="s">
        <v>4415</v>
      </c>
      <c r="H95" s="2" t="s">
        <v>4416</v>
      </c>
    </row>
    <row r="96" customFormat="false" ht="15" hidden="false" customHeight="false" outlineLevel="0" collapsed="false">
      <c r="A96" s="2" t="n">
        <v>14</v>
      </c>
      <c r="B96" s="2" t="s">
        <v>251</v>
      </c>
      <c r="C96" s="2" t="s">
        <v>258</v>
      </c>
      <c r="D96" s="2" t="s">
        <v>4417</v>
      </c>
      <c r="E96" s="2" t="s">
        <v>4156</v>
      </c>
      <c r="F96" s="2" t="s">
        <v>4418</v>
      </c>
      <c r="G96" s="2" t="s">
        <v>4419</v>
      </c>
      <c r="H96" s="2" t="s">
        <v>4420</v>
      </c>
    </row>
    <row r="97" customFormat="false" ht="15" hidden="false" customHeight="false" outlineLevel="0" collapsed="false">
      <c r="A97" s="2" t="n">
        <v>14</v>
      </c>
      <c r="B97" s="2" t="s">
        <v>251</v>
      </c>
      <c r="C97" s="2" t="s">
        <v>258</v>
      </c>
      <c r="D97" s="2" t="s">
        <v>4421</v>
      </c>
      <c r="E97" s="2" t="s">
        <v>4156</v>
      </c>
      <c r="F97" s="2" t="s">
        <v>4422</v>
      </c>
      <c r="G97" s="2" t="s">
        <v>4423</v>
      </c>
      <c r="H97" s="2" t="s">
        <v>4424</v>
      </c>
    </row>
    <row r="98" customFormat="false" ht="15" hidden="false" customHeight="false" outlineLevel="0" collapsed="false">
      <c r="A98" s="2" t="n">
        <v>14</v>
      </c>
      <c r="B98" s="2" t="s">
        <v>251</v>
      </c>
      <c r="C98" s="2" t="s">
        <v>258</v>
      </c>
      <c r="D98" s="2" t="s">
        <v>4425</v>
      </c>
      <c r="E98" s="2" t="s">
        <v>4156</v>
      </c>
      <c r="F98" s="2" t="s">
        <v>4426</v>
      </c>
      <c r="G98" s="2" t="s">
        <v>4427</v>
      </c>
      <c r="H98" s="2" t="s">
        <v>4428</v>
      </c>
    </row>
    <row r="99" customFormat="false" ht="15" hidden="false" customHeight="false" outlineLevel="0" collapsed="false">
      <c r="A99" s="2" t="n">
        <v>14</v>
      </c>
      <c r="B99" s="2" t="s">
        <v>251</v>
      </c>
      <c r="C99" s="2" t="s">
        <v>258</v>
      </c>
      <c r="D99" s="2" t="s">
        <v>4429</v>
      </c>
      <c r="E99" s="2" t="s">
        <v>4156</v>
      </c>
      <c r="F99" s="2" t="s">
        <v>4430</v>
      </c>
      <c r="G99" s="2" t="s">
        <v>4431</v>
      </c>
      <c r="H99" s="2" t="s">
        <v>4432</v>
      </c>
    </row>
    <row r="100" customFormat="false" ht="15" hidden="false" customHeight="false" outlineLevel="0" collapsed="false">
      <c r="A100" s="2" t="n">
        <v>14</v>
      </c>
      <c r="B100" s="2" t="s">
        <v>251</v>
      </c>
      <c r="C100" s="2" t="s">
        <v>258</v>
      </c>
      <c r="D100" s="2" t="s">
        <v>4433</v>
      </c>
      <c r="E100" s="2" t="s">
        <v>4156</v>
      </c>
      <c r="F100" s="2" t="s">
        <v>4430</v>
      </c>
      <c r="G100" s="2" t="s">
        <v>4434</v>
      </c>
      <c r="H100" s="2" t="s">
        <v>4435</v>
      </c>
    </row>
    <row r="101" customFormat="false" ht="15" hidden="false" customHeight="false" outlineLevel="0" collapsed="false">
      <c r="A101" s="2" t="n">
        <v>14</v>
      </c>
      <c r="B101" s="2" t="s">
        <v>251</v>
      </c>
      <c r="C101" s="2" t="s">
        <v>258</v>
      </c>
      <c r="D101" s="2" t="s">
        <v>4436</v>
      </c>
      <c r="E101" s="2" t="s">
        <v>4156</v>
      </c>
      <c r="F101" s="2" t="s">
        <v>1808</v>
      </c>
      <c r="G101" s="2" t="s">
        <v>4437</v>
      </c>
      <c r="H101" s="2" t="s">
        <v>4438</v>
      </c>
    </row>
    <row r="102" customFormat="false" ht="15" hidden="false" customHeight="false" outlineLevel="0" collapsed="false">
      <c r="A102" s="2" t="n">
        <v>14</v>
      </c>
      <c r="B102" s="2" t="s">
        <v>251</v>
      </c>
      <c r="C102" s="2" t="s">
        <v>258</v>
      </c>
      <c r="D102" s="2" t="s">
        <v>4439</v>
      </c>
      <c r="E102" s="2" t="s">
        <v>4156</v>
      </c>
      <c r="F102" s="2" t="s">
        <v>456</v>
      </c>
      <c r="G102" s="2" t="s">
        <v>4440</v>
      </c>
      <c r="H102" s="2" t="s">
        <v>4441</v>
      </c>
    </row>
    <row r="103" customFormat="false" ht="15" hidden="false" customHeight="false" outlineLevel="0" collapsed="false">
      <c r="A103" s="2" t="n">
        <v>14</v>
      </c>
      <c r="B103" s="2" t="s">
        <v>251</v>
      </c>
      <c r="C103" s="2" t="s">
        <v>258</v>
      </c>
      <c r="D103" s="2" t="s">
        <v>4442</v>
      </c>
      <c r="E103" s="2" t="s">
        <v>4156</v>
      </c>
      <c r="F103" s="2" t="s">
        <v>4443</v>
      </c>
      <c r="G103" s="2" t="s">
        <v>4444</v>
      </c>
      <c r="H103" s="2" t="s">
        <v>4445</v>
      </c>
    </row>
    <row r="104" customFormat="false" ht="15" hidden="false" customHeight="false" outlineLevel="0" collapsed="false">
      <c r="A104" s="2" t="n">
        <v>14</v>
      </c>
      <c r="B104" s="2" t="s">
        <v>251</v>
      </c>
      <c r="C104" s="2" t="s">
        <v>258</v>
      </c>
      <c r="D104" s="2" t="s">
        <v>4446</v>
      </c>
      <c r="E104" s="2" t="s">
        <v>4156</v>
      </c>
      <c r="F104" s="2" t="s">
        <v>1937</v>
      </c>
      <c r="G104" s="2" t="s">
        <v>4447</v>
      </c>
      <c r="H104" s="2" t="s">
        <v>4448</v>
      </c>
    </row>
    <row r="105" customFormat="false" ht="15" hidden="false" customHeight="false" outlineLevel="0" collapsed="false">
      <c r="A105" s="2" t="n">
        <v>14</v>
      </c>
      <c r="B105" s="2" t="s">
        <v>251</v>
      </c>
      <c r="C105" s="2" t="s">
        <v>258</v>
      </c>
      <c r="D105" s="2" t="s">
        <v>4449</v>
      </c>
      <c r="E105" s="2" t="s">
        <v>4156</v>
      </c>
      <c r="F105" s="2" t="s">
        <v>1968</v>
      </c>
      <c r="G105" s="2" t="s">
        <v>4450</v>
      </c>
      <c r="H105" s="2" t="s">
        <v>4451</v>
      </c>
    </row>
    <row r="106" customFormat="false" ht="15" hidden="false" customHeight="false" outlineLevel="0" collapsed="false">
      <c r="A106" s="2" t="n">
        <v>14</v>
      </c>
      <c r="B106" s="2" t="s">
        <v>251</v>
      </c>
      <c r="C106" s="2" t="s">
        <v>258</v>
      </c>
      <c r="D106" s="2" t="s">
        <v>4452</v>
      </c>
      <c r="E106" s="2" t="s">
        <v>4156</v>
      </c>
      <c r="F106" s="2" t="s">
        <v>1984</v>
      </c>
      <c r="G106" s="2" t="s">
        <v>4453</v>
      </c>
      <c r="H106" s="2" t="s">
        <v>4454</v>
      </c>
    </row>
    <row r="107" customFormat="false" ht="15" hidden="false" customHeight="false" outlineLevel="0" collapsed="false">
      <c r="A107" s="2" t="n">
        <v>14</v>
      </c>
      <c r="B107" s="2" t="s">
        <v>251</v>
      </c>
      <c r="C107" s="2" t="s">
        <v>258</v>
      </c>
      <c r="D107" s="2" t="s">
        <v>4455</v>
      </c>
      <c r="E107" s="2" t="s">
        <v>4156</v>
      </c>
      <c r="F107" s="2" t="s">
        <v>1984</v>
      </c>
      <c r="G107" s="2" t="s">
        <v>4456</v>
      </c>
      <c r="H107" s="2" t="s">
        <v>4457</v>
      </c>
    </row>
    <row r="108" customFormat="false" ht="15" hidden="false" customHeight="false" outlineLevel="0" collapsed="false">
      <c r="A108" s="2" t="n">
        <v>14</v>
      </c>
      <c r="B108" s="2" t="s">
        <v>251</v>
      </c>
      <c r="C108" s="2" t="s">
        <v>258</v>
      </c>
      <c r="D108" s="2" t="s">
        <v>4458</v>
      </c>
      <c r="E108" s="2" t="s">
        <v>4156</v>
      </c>
      <c r="F108" s="2" t="s">
        <v>1988</v>
      </c>
      <c r="G108" s="2" t="s">
        <v>4459</v>
      </c>
      <c r="H108" s="2" t="s">
        <v>4460</v>
      </c>
    </row>
    <row r="109" customFormat="false" ht="15" hidden="false" customHeight="false" outlineLevel="0" collapsed="false">
      <c r="A109" s="2" t="n">
        <v>14</v>
      </c>
      <c r="B109" s="2" t="s">
        <v>251</v>
      </c>
      <c r="C109" s="2" t="s">
        <v>258</v>
      </c>
      <c r="D109" s="2" t="s">
        <v>4461</v>
      </c>
      <c r="E109" s="2" t="s">
        <v>4156</v>
      </c>
      <c r="F109" s="2" t="s">
        <v>481</v>
      </c>
      <c r="G109" s="2" t="s">
        <v>4462</v>
      </c>
      <c r="H109" s="2" t="s">
        <v>4463</v>
      </c>
    </row>
    <row r="110" customFormat="false" ht="15" hidden="false" customHeight="false" outlineLevel="0" collapsed="false">
      <c r="A110" s="2" t="n">
        <v>14</v>
      </c>
      <c r="B110" s="2" t="s">
        <v>251</v>
      </c>
      <c r="C110" s="2" t="s">
        <v>258</v>
      </c>
      <c r="D110" s="2" t="s">
        <v>4464</v>
      </c>
      <c r="E110" s="2" t="s">
        <v>4156</v>
      </c>
      <c r="F110" s="2" t="s">
        <v>2019</v>
      </c>
      <c r="G110" s="2" t="s">
        <v>4465</v>
      </c>
      <c r="H110" s="2" t="s">
        <v>4466</v>
      </c>
    </row>
    <row r="111" customFormat="false" ht="15" hidden="false" customHeight="false" outlineLevel="0" collapsed="false">
      <c r="A111" s="2" t="n">
        <v>14</v>
      </c>
      <c r="B111" s="2" t="s">
        <v>251</v>
      </c>
      <c r="C111" s="2" t="s">
        <v>258</v>
      </c>
      <c r="D111" s="2" t="s">
        <v>4467</v>
      </c>
      <c r="E111" s="2" t="s">
        <v>4156</v>
      </c>
      <c r="F111" s="2" t="s">
        <v>2040</v>
      </c>
      <c r="G111" s="2" t="s">
        <v>4468</v>
      </c>
      <c r="H111" s="2" t="s">
        <v>4469</v>
      </c>
    </row>
    <row r="112" customFormat="false" ht="15" hidden="false" customHeight="false" outlineLevel="0" collapsed="false">
      <c r="A112" s="2" t="n">
        <v>14</v>
      </c>
      <c r="B112" s="2" t="s">
        <v>251</v>
      </c>
      <c r="C112" s="2" t="s">
        <v>258</v>
      </c>
      <c r="D112" s="2" t="s">
        <v>4470</v>
      </c>
      <c r="E112" s="2" t="s">
        <v>4156</v>
      </c>
      <c r="F112" s="2" t="s">
        <v>2048</v>
      </c>
      <c r="G112" s="2" t="s">
        <v>4471</v>
      </c>
      <c r="H112" s="2" t="s">
        <v>4472</v>
      </c>
    </row>
    <row r="113" customFormat="false" ht="15" hidden="false" customHeight="false" outlineLevel="0" collapsed="false">
      <c r="A113" s="2" t="n">
        <v>14</v>
      </c>
      <c r="B113" s="2" t="s">
        <v>251</v>
      </c>
      <c r="C113" s="2" t="s">
        <v>258</v>
      </c>
      <c r="D113" s="2" t="s">
        <v>4473</v>
      </c>
      <c r="E113" s="2" t="s">
        <v>4156</v>
      </c>
      <c r="F113" s="2" t="s">
        <v>4474</v>
      </c>
      <c r="G113" s="2" t="s">
        <v>4475</v>
      </c>
      <c r="H113" s="2" t="s">
        <v>4476</v>
      </c>
    </row>
    <row r="114" customFormat="false" ht="15" hidden="false" customHeight="false" outlineLevel="0" collapsed="false">
      <c r="A114" s="2" t="n">
        <v>14</v>
      </c>
      <c r="B114" s="2" t="s">
        <v>251</v>
      </c>
      <c r="C114" s="2" t="s">
        <v>258</v>
      </c>
      <c r="D114" s="2" t="s">
        <v>4477</v>
      </c>
      <c r="E114" s="2" t="s">
        <v>4156</v>
      </c>
      <c r="F114" s="2" t="s">
        <v>4474</v>
      </c>
      <c r="G114" s="2" t="s">
        <v>4478</v>
      </c>
      <c r="H114" s="2" t="s">
        <v>4479</v>
      </c>
    </row>
    <row r="115" customFormat="false" ht="15" hidden="false" customHeight="false" outlineLevel="0" collapsed="false">
      <c r="A115" s="2" t="n">
        <v>14</v>
      </c>
      <c r="B115" s="2" t="s">
        <v>251</v>
      </c>
      <c r="C115" s="2" t="s">
        <v>258</v>
      </c>
      <c r="D115" s="2" t="s">
        <v>4480</v>
      </c>
      <c r="E115" s="2" t="s">
        <v>4156</v>
      </c>
      <c r="F115" s="2" t="s">
        <v>4481</v>
      </c>
      <c r="G115" s="2" t="s">
        <v>4482</v>
      </c>
      <c r="H115" s="2" t="s">
        <v>4483</v>
      </c>
    </row>
    <row r="116" customFormat="false" ht="15" hidden="false" customHeight="false" outlineLevel="0" collapsed="false">
      <c r="A116" s="2" t="n">
        <v>14</v>
      </c>
      <c r="B116" s="2" t="s">
        <v>251</v>
      </c>
      <c r="C116" s="2" t="s">
        <v>258</v>
      </c>
      <c r="D116" s="2" t="s">
        <v>4484</v>
      </c>
      <c r="E116" s="2" t="s">
        <v>4156</v>
      </c>
      <c r="F116" s="2" t="s">
        <v>4485</v>
      </c>
      <c r="G116" s="2" t="s">
        <v>4486</v>
      </c>
      <c r="H116" s="2" t="s">
        <v>4487</v>
      </c>
    </row>
    <row r="117" customFormat="false" ht="15" hidden="false" customHeight="false" outlineLevel="0" collapsed="false">
      <c r="A117" s="2" t="n">
        <v>14</v>
      </c>
      <c r="B117" s="2" t="s">
        <v>251</v>
      </c>
      <c r="C117" s="2" t="s">
        <v>258</v>
      </c>
      <c r="D117" s="2" t="s">
        <v>4488</v>
      </c>
      <c r="E117" s="2" t="s">
        <v>4156</v>
      </c>
      <c r="F117" s="2" t="s">
        <v>722</v>
      </c>
      <c r="G117" s="2" t="s">
        <v>4489</v>
      </c>
      <c r="H117" s="2" t="s">
        <v>4490</v>
      </c>
    </row>
    <row r="118" customFormat="false" ht="15" hidden="false" customHeight="false" outlineLevel="0" collapsed="false">
      <c r="A118" s="2" t="n">
        <v>14</v>
      </c>
      <c r="B118" s="2" t="s">
        <v>251</v>
      </c>
      <c r="C118" s="2" t="s">
        <v>258</v>
      </c>
      <c r="D118" s="2" t="s">
        <v>4491</v>
      </c>
      <c r="E118" s="2" t="s">
        <v>4156</v>
      </c>
      <c r="F118" s="2" t="s">
        <v>2180</v>
      </c>
      <c r="G118" s="2" t="s">
        <v>4492</v>
      </c>
      <c r="H118" s="2" t="s">
        <v>4493</v>
      </c>
    </row>
    <row r="119" customFormat="false" ht="15" hidden="false" customHeight="false" outlineLevel="0" collapsed="false">
      <c r="A119" s="2" t="n">
        <v>14</v>
      </c>
      <c r="B119" s="2" t="s">
        <v>251</v>
      </c>
      <c r="C119" s="2" t="s">
        <v>258</v>
      </c>
      <c r="D119" s="2" t="s">
        <v>4494</v>
      </c>
      <c r="E119" s="2" t="s">
        <v>4156</v>
      </c>
      <c r="F119" s="2" t="s">
        <v>769</v>
      </c>
      <c r="G119" s="2" t="s">
        <v>4495</v>
      </c>
      <c r="H119" s="2" t="s">
        <v>4496</v>
      </c>
    </row>
    <row r="120" customFormat="false" ht="15" hidden="false" customHeight="false" outlineLevel="0" collapsed="false">
      <c r="A120" s="2" t="n">
        <v>14</v>
      </c>
      <c r="B120" s="2" t="s">
        <v>251</v>
      </c>
      <c r="C120" s="2" t="s">
        <v>258</v>
      </c>
      <c r="D120" s="2" t="s">
        <v>4497</v>
      </c>
      <c r="E120" s="2" t="s">
        <v>4156</v>
      </c>
      <c r="F120" s="2" t="s">
        <v>2271</v>
      </c>
      <c r="G120" s="2" t="s">
        <v>4498</v>
      </c>
      <c r="H120" s="2" t="s">
        <v>4499</v>
      </c>
    </row>
    <row r="121" customFormat="false" ht="15" hidden="false" customHeight="false" outlineLevel="0" collapsed="false">
      <c r="A121" s="2" t="n">
        <v>14</v>
      </c>
      <c r="B121" s="2" t="s">
        <v>251</v>
      </c>
      <c r="C121" s="2" t="s">
        <v>258</v>
      </c>
      <c r="D121" s="2" t="s">
        <v>1114</v>
      </c>
      <c r="E121" s="2" t="s">
        <v>4156</v>
      </c>
      <c r="F121" s="2" t="s">
        <v>1113</v>
      </c>
      <c r="G121" s="2" t="s">
        <v>4500</v>
      </c>
      <c r="H121" s="2" t="s">
        <v>1115</v>
      </c>
    </row>
    <row r="122" customFormat="false" ht="15" hidden="false" customHeight="false" outlineLevel="0" collapsed="false">
      <c r="A122" s="2" t="n">
        <v>14</v>
      </c>
      <c r="B122" s="2" t="s">
        <v>251</v>
      </c>
      <c r="C122" s="2" t="s">
        <v>258</v>
      </c>
      <c r="D122" s="2" t="s">
        <v>4501</v>
      </c>
      <c r="E122" s="2" t="s">
        <v>4156</v>
      </c>
      <c r="F122" s="2" t="s">
        <v>262</v>
      </c>
      <c r="G122" s="2" t="s">
        <v>4502</v>
      </c>
      <c r="H122" s="2" t="s">
        <v>4503</v>
      </c>
    </row>
    <row r="123" customFormat="false" ht="15" hidden="false" customHeight="false" outlineLevel="0" collapsed="false">
      <c r="A123" s="2" t="n">
        <v>14</v>
      </c>
      <c r="B123" s="2" t="s">
        <v>251</v>
      </c>
      <c r="C123" s="2" t="s">
        <v>258</v>
      </c>
      <c r="D123" s="2" t="s">
        <v>4504</v>
      </c>
      <c r="E123" s="2" t="s">
        <v>4160</v>
      </c>
      <c r="F123" s="2" t="s">
        <v>4395</v>
      </c>
      <c r="G123" s="2"/>
      <c r="H123" s="2" t="s">
        <v>4505</v>
      </c>
    </row>
    <row r="124" customFormat="false" ht="15" hidden="false" customHeight="false" outlineLevel="0" collapsed="false">
      <c r="A124" s="2" t="n">
        <v>14</v>
      </c>
      <c r="B124" s="2" t="s">
        <v>251</v>
      </c>
      <c r="C124" s="2" t="s">
        <v>258</v>
      </c>
      <c r="D124" s="2" t="s">
        <v>4506</v>
      </c>
      <c r="E124" s="2" t="s">
        <v>4160</v>
      </c>
      <c r="F124" s="2" t="s">
        <v>4395</v>
      </c>
      <c r="G124" s="2"/>
      <c r="H124" s="2" t="s">
        <v>4507</v>
      </c>
    </row>
    <row r="125" customFormat="false" ht="15" hidden="false" customHeight="false" outlineLevel="0" collapsed="false">
      <c r="A125" s="2" t="n">
        <v>14</v>
      </c>
      <c r="B125" s="2" t="s">
        <v>251</v>
      </c>
      <c r="C125" s="2" t="s">
        <v>258</v>
      </c>
      <c r="D125" s="2" t="s">
        <v>4508</v>
      </c>
      <c r="E125" s="2" t="s">
        <v>4160</v>
      </c>
      <c r="F125" s="2" t="s">
        <v>4395</v>
      </c>
      <c r="G125" s="2"/>
      <c r="H125" s="2" t="s">
        <v>4509</v>
      </c>
    </row>
    <row r="126" customFormat="false" ht="15" hidden="false" customHeight="false" outlineLevel="0" collapsed="false">
      <c r="A126" s="2" t="n">
        <v>14</v>
      </c>
      <c r="B126" s="2" t="s">
        <v>251</v>
      </c>
      <c r="C126" s="2" t="s">
        <v>258</v>
      </c>
      <c r="D126" s="2" t="s">
        <v>4510</v>
      </c>
      <c r="E126" s="2" t="s">
        <v>4160</v>
      </c>
      <c r="F126" s="2" t="s">
        <v>4395</v>
      </c>
      <c r="G126" s="2"/>
      <c r="H126" s="2" t="s">
        <v>4511</v>
      </c>
    </row>
    <row r="127" customFormat="false" ht="15" hidden="false" customHeight="false" outlineLevel="0" collapsed="false">
      <c r="A127" s="2" t="n">
        <v>14</v>
      </c>
      <c r="B127" s="2" t="s">
        <v>251</v>
      </c>
      <c r="C127" s="2" t="s">
        <v>258</v>
      </c>
      <c r="D127" s="2" t="s">
        <v>4512</v>
      </c>
      <c r="E127" s="2" t="s">
        <v>4160</v>
      </c>
      <c r="F127" s="2" t="s">
        <v>4395</v>
      </c>
      <c r="G127" s="2"/>
      <c r="H127" s="2" t="s">
        <v>4513</v>
      </c>
    </row>
    <row r="128" customFormat="false" ht="15" hidden="false" customHeight="false" outlineLevel="0" collapsed="false">
      <c r="A128" s="2" t="n">
        <v>14</v>
      </c>
      <c r="B128" s="2" t="s">
        <v>251</v>
      </c>
      <c r="C128" s="2" t="s">
        <v>258</v>
      </c>
      <c r="D128" s="2" t="s">
        <v>4514</v>
      </c>
      <c r="E128" s="2" t="s">
        <v>4160</v>
      </c>
      <c r="F128" s="2" t="s">
        <v>4395</v>
      </c>
      <c r="G128" s="2" t="s">
        <v>4515</v>
      </c>
      <c r="H128" s="2" t="s">
        <v>4516</v>
      </c>
    </row>
    <row r="129" customFormat="false" ht="15" hidden="false" customHeight="false" outlineLevel="0" collapsed="false">
      <c r="A129" s="2" t="n">
        <v>14</v>
      </c>
      <c r="B129" s="2" t="s">
        <v>251</v>
      </c>
      <c r="C129" s="2" t="s">
        <v>258</v>
      </c>
      <c r="D129" s="2" t="s">
        <v>4517</v>
      </c>
      <c r="E129" s="2" t="s">
        <v>4160</v>
      </c>
      <c r="F129" s="2" t="s">
        <v>4518</v>
      </c>
      <c r="G129" s="2"/>
      <c r="H129" s="2" t="s">
        <v>4519</v>
      </c>
    </row>
    <row r="130" customFormat="false" ht="15" hidden="false" customHeight="false" outlineLevel="0" collapsed="false">
      <c r="A130" s="2" t="n">
        <v>14</v>
      </c>
      <c r="B130" s="2" t="s">
        <v>251</v>
      </c>
      <c r="C130" s="2" t="s">
        <v>258</v>
      </c>
      <c r="D130" s="2" t="s">
        <v>4520</v>
      </c>
      <c r="E130" s="2" t="s">
        <v>4160</v>
      </c>
      <c r="F130" s="2" t="s">
        <v>4521</v>
      </c>
      <c r="G130" s="2"/>
      <c r="H130" s="2" t="s">
        <v>4522</v>
      </c>
    </row>
    <row r="131" customFormat="false" ht="15" hidden="false" customHeight="false" outlineLevel="0" collapsed="false">
      <c r="A131" s="2" t="n">
        <v>14</v>
      </c>
      <c r="B131" s="2" t="s">
        <v>251</v>
      </c>
      <c r="C131" s="2" t="s">
        <v>258</v>
      </c>
      <c r="D131" s="2" t="s">
        <v>4523</v>
      </c>
      <c r="E131" s="2" t="s">
        <v>4160</v>
      </c>
      <c r="F131" s="2" t="s">
        <v>4521</v>
      </c>
      <c r="G131" s="2"/>
      <c r="H131" s="2" t="s">
        <v>4524</v>
      </c>
    </row>
    <row r="132" customFormat="false" ht="15" hidden="false" customHeight="false" outlineLevel="0" collapsed="false">
      <c r="A132" s="2" t="n">
        <v>14</v>
      </c>
      <c r="B132" s="2" t="s">
        <v>251</v>
      </c>
      <c r="C132" s="2" t="s">
        <v>258</v>
      </c>
      <c r="D132" s="2" t="s">
        <v>4525</v>
      </c>
      <c r="E132" s="2" t="s">
        <v>4160</v>
      </c>
      <c r="F132" s="2" t="s">
        <v>4526</v>
      </c>
      <c r="G132" s="2"/>
      <c r="H132" s="2" t="s">
        <v>4527</v>
      </c>
    </row>
    <row r="133" customFormat="false" ht="15" hidden="false" customHeight="false" outlineLevel="0" collapsed="false">
      <c r="A133" s="2" t="n">
        <v>14</v>
      </c>
      <c r="B133" s="2" t="s">
        <v>251</v>
      </c>
      <c r="C133" s="2" t="s">
        <v>258</v>
      </c>
      <c r="D133" s="2" t="s">
        <v>4528</v>
      </c>
      <c r="E133" s="2" t="s">
        <v>4160</v>
      </c>
      <c r="F133" s="2" t="s">
        <v>4526</v>
      </c>
      <c r="G133" s="2" t="s">
        <v>4529</v>
      </c>
      <c r="H133" s="2" t="s">
        <v>4530</v>
      </c>
    </row>
    <row r="134" customFormat="false" ht="15" hidden="false" customHeight="false" outlineLevel="0" collapsed="false">
      <c r="A134" s="2" t="n">
        <v>14</v>
      </c>
      <c r="B134" s="2" t="s">
        <v>251</v>
      </c>
      <c r="C134" s="2" t="s">
        <v>258</v>
      </c>
      <c r="D134" s="2" t="s">
        <v>4531</v>
      </c>
      <c r="E134" s="2" t="s">
        <v>4160</v>
      </c>
      <c r="F134" s="2" t="s">
        <v>421</v>
      </c>
      <c r="G134" s="2"/>
      <c r="H134" s="2" t="s">
        <v>4532</v>
      </c>
    </row>
    <row r="135" customFormat="false" ht="15" hidden="false" customHeight="false" outlineLevel="0" collapsed="false">
      <c r="A135" s="2" t="n">
        <v>14</v>
      </c>
      <c r="B135" s="2" t="s">
        <v>251</v>
      </c>
      <c r="C135" s="2" t="s">
        <v>258</v>
      </c>
      <c r="D135" s="2" t="s">
        <v>4533</v>
      </c>
      <c r="E135" s="2" t="s">
        <v>4160</v>
      </c>
      <c r="F135" s="2" t="s">
        <v>4534</v>
      </c>
      <c r="G135" s="2"/>
      <c r="H135" s="2" t="s">
        <v>4535</v>
      </c>
    </row>
    <row r="136" customFormat="false" ht="15" hidden="false" customHeight="false" outlineLevel="0" collapsed="false">
      <c r="A136" s="2" t="n">
        <v>14</v>
      </c>
      <c r="B136" s="2" t="s">
        <v>251</v>
      </c>
      <c r="C136" s="2" t="s">
        <v>258</v>
      </c>
      <c r="D136" s="2" t="s">
        <v>4536</v>
      </c>
      <c r="E136" s="2" t="s">
        <v>4160</v>
      </c>
      <c r="F136" s="2" t="s">
        <v>4537</v>
      </c>
      <c r="G136" s="2"/>
      <c r="H136" s="2" t="s">
        <v>4538</v>
      </c>
    </row>
    <row r="137" customFormat="false" ht="15" hidden="false" customHeight="false" outlineLevel="0" collapsed="false">
      <c r="A137" s="2" t="n">
        <v>14</v>
      </c>
      <c r="B137" s="2" t="s">
        <v>251</v>
      </c>
      <c r="C137" s="2" t="s">
        <v>258</v>
      </c>
      <c r="D137" s="2" t="s">
        <v>4539</v>
      </c>
      <c r="E137" s="2" t="s">
        <v>4160</v>
      </c>
      <c r="F137" s="2" t="s">
        <v>4537</v>
      </c>
      <c r="G137" s="2"/>
      <c r="H137" s="2" t="s">
        <v>4540</v>
      </c>
    </row>
    <row r="138" customFormat="false" ht="15" hidden="false" customHeight="false" outlineLevel="0" collapsed="false">
      <c r="A138" s="2" t="n">
        <v>14</v>
      </c>
      <c r="B138" s="2" t="s">
        <v>251</v>
      </c>
      <c r="C138" s="2" t="s">
        <v>258</v>
      </c>
      <c r="D138" s="2" t="s">
        <v>4541</v>
      </c>
      <c r="E138" s="2" t="s">
        <v>4160</v>
      </c>
      <c r="F138" s="2" t="s">
        <v>4542</v>
      </c>
      <c r="G138" s="2"/>
      <c r="H138" s="2" t="s">
        <v>4543</v>
      </c>
    </row>
    <row r="139" customFormat="false" ht="15" hidden="false" customHeight="false" outlineLevel="0" collapsed="false">
      <c r="A139" s="2" t="n">
        <v>14</v>
      </c>
      <c r="B139" s="2" t="s">
        <v>251</v>
      </c>
      <c r="C139" s="2" t="s">
        <v>258</v>
      </c>
      <c r="D139" s="2" t="s">
        <v>4544</v>
      </c>
      <c r="E139" s="2" t="s">
        <v>4160</v>
      </c>
      <c r="F139" s="2" t="s">
        <v>621</v>
      </c>
      <c r="G139" s="2"/>
      <c r="H139" s="2" t="s">
        <v>4545</v>
      </c>
    </row>
    <row r="140" customFormat="false" ht="15" hidden="false" customHeight="false" outlineLevel="0" collapsed="false">
      <c r="A140" s="2" t="n">
        <v>14</v>
      </c>
      <c r="B140" s="2" t="s">
        <v>251</v>
      </c>
      <c r="C140" s="2" t="s">
        <v>258</v>
      </c>
      <c r="D140" s="2" t="s">
        <v>4546</v>
      </c>
      <c r="E140" s="2" t="s">
        <v>4160</v>
      </c>
      <c r="F140" s="2" t="s">
        <v>4547</v>
      </c>
      <c r="G140" s="2"/>
      <c r="H140" s="2" t="s">
        <v>4548</v>
      </c>
    </row>
    <row r="141" customFormat="false" ht="15" hidden="false" customHeight="false" outlineLevel="0" collapsed="false">
      <c r="A141" s="2" t="n">
        <v>14</v>
      </c>
      <c r="B141" s="2" t="s">
        <v>251</v>
      </c>
      <c r="C141" s="2" t="s">
        <v>258</v>
      </c>
      <c r="D141" s="2" t="s">
        <v>4549</v>
      </c>
      <c r="E141" s="2" t="s">
        <v>4160</v>
      </c>
      <c r="F141" s="2" t="s">
        <v>4250</v>
      </c>
      <c r="G141" s="2"/>
      <c r="H141" s="2" t="s">
        <v>4550</v>
      </c>
    </row>
    <row r="142" customFormat="false" ht="15" hidden="false" customHeight="false" outlineLevel="0" collapsed="false">
      <c r="A142" s="2" t="n">
        <v>14</v>
      </c>
      <c r="B142" s="2" t="s">
        <v>251</v>
      </c>
      <c r="C142" s="2" t="s">
        <v>258</v>
      </c>
      <c r="D142" s="2" t="s">
        <v>4551</v>
      </c>
      <c r="E142" s="2" t="s">
        <v>4160</v>
      </c>
      <c r="F142" s="2" t="s">
        <v>4552</v>
      </c>
      <c r="G142" s="2"/>
      <c r="H142" s="2" t="s">
        <v>4553</v>
      </c>
    </row>
    <row r="143" customFormat="false" ht="15" hidden="false" customHeight="false" outlineLevel="0" collapsed="false">
      <c r="A143" s="2" t="n">
        <v>14</v>
      </c>
      <c r="B143" s="2" t="s">
        <v>251</v>
      </c>
      <c r="C143" s="2" t="s">
        <v>258</v>
      </c>
      <c r="D143" s="2" t="s">
        <v>4554</v>
      </c>
      <c r="E143" s="2" t="s">
        <v>4160</v>
      </c>
      <c r="F143" s="2" t="s">
        <v>4555</v>
      </c>
      <c r="G143" s="2"/>
      <c r="H143" s="2" t="s">
        <v>4556</v>
      </c>
    </row>
    <row r="144" customFormat="false" ht="15" hidden="false" customHeight="false" outlineLevel="0" collapsed="false">
      <c r="A144" s="2" t="n">
        <v>14</v>
      </c>
      <c r="B144" s="2" t="s">
        <v>251</v>
      </c>
      <c r="C144" s="2" t="s">
        <v>258</v>
      </c>
      <c r="D144" s="2" t="s">
        <v>4557</v>
      </c>
      <c r="E144" s="2" t="s">
        <v>4160</v>
      </c>
      <c r="F144" s="2" t="s">
        <v>2504</v>
      </c>
      <c r="G144" s="2"/>
      <c r="H144" s="2" t="s">
        <v>4558</v>
      </c>
    </row>
    <row r="145" customFormat="false" ht="15" hidden="false" customHeight="false" outlineLevel="0" collapsed="false">
      <c r="A145" s="2" t="n">
        <v>14</v>
      </c>
      <c r="B145" s="2" t="s">
        <v>251</v>
      </c>
      <c r="C145" s="2" t="s">
        <v>258</v>
      </c>
      <c r="D145" s="2" t="s">
        <v>4559</v>
      </c>
      <c r="E145" s="2" t="s">
        <v>4160</v>
      </c>
      <c r="F145" s="2" t="s">
        <v>4560</v>
      </c>
      <c r="G145" s="2"/>
      <c r="H145" s="2" t="s">
        <v>4561</v>
      </c>
    </row>
    <row r="146" customFormat="false" ht="15" hidden="false" customHeight="false" outlineLevel="0" collapsed="false">
      <c r="A146" s="2" t="n">
        <v>15</v>
      </c>
      <c r="B146" s="2" t="s">
        <v>267</v>
      </c>
      <c r="C146" s="2" t="s">
        <v>272</v>
      </c>
      <c r="D146" s="2" t="s">
        <v>4562</v>
      </c>
      <c r="E146" s="2" t="s">
        <v>4156</v>
      </c>
      <c r="F146" s="2" t="s">
        <v>275</v>
      </c>
      <c r="G146" s="2" t="s">
        <v>4563</v>
      </c>
      <c r="H146" s="2" t="s">
        <v>4564</v>
      </c>
    </row>
    <row r="147" customFormat="false" ht="15" hidden="false" customHeight="false" outlineLevel="0" collapsed="false">
      <c r="A147" s="2" t="n">
        <v>15</v>
      </c>
      <c r="B147" s="2" t="s">
        <v>267</v>
      </c>
      <c r="C147" s="2" t="s">
        <v>272</v>
      </c>
      <c r="D147" s="2" t="s">
        <v>1053</v>
      </c>
      <c r="E147" s="2" t="s">
        <v>4156</v>
      </c>
      <c r="F147" s="2" t="s">
        <v>276</v>
      </c>
      <c r="G147" s="2" t="s">
        <v>4565</v>
      </c>
      <c r="H147" s="2" t="s">
        <v>1054</v>
      </c>
    </row>
    <row r="148" customFormat="false" ht="15" hidden="false" customHeight="false" outlineLevel="0" collapsed="false">
      <c r="A148" s="2" t="n">
        <v>15</v>
      </c>
      <c r="B148" s="2" t="s">
        <v>267</v>
      </c>
      <c r="C148" s="2" t="s">
        <v>272</v>
      </c>
      <c r="D148" s="2" t="s">
        <v>4566</v>
      </c>
      <c r="E148" s="2" t="s">
        <v>4160</v>
      </c>
      <c r="F148" s="2" t="s">
        <v>4297</v>
      </c>
      <c r="G148" s="2" t="s">
        <v>4567</v>
      </c>
      <c r="H148" s="2" t="s">
        <v>4568</v>
      </c>
    </row>
    <row r="149" customFormat="false" ht="15" hidden="false" customHeight="false" outlineLevel="0" collapsed="false">
      <c r="A149" s="2" t="n">
        <v>15</v>
      </c>
      <c r="B149" s="2" t="s">
        <v>267</v>
      </c>
      <c r="C149" s="2" t="s">
        <v>272</v>
      </c>
      <c r="D149" s="2" t="s">
        <v>4569</v>
      </c>
      <c r="E149" s="2" t="s">
        <v>4160</v>
      </c>
      <c r="F149" s="2" t="s">
        <v>4570</v>
      </c>
      <c r="G149" s="2"/>
      <c r="H149" s="2" t="s">
        <v>4571</v>
      </c>
    </row>
    <row r="150" customFormat="false" ht="15" hidden="false" customHeight="false" outlineLevel="0" collapsed="false">
      <c r="A150" s="2" t="n">
        <v>15</v>
      </c>
      <c r="B150" s="2" t="s">
        <v>267</v>
      </c>
      <c r="C150" s="2" t="s">
        <v>272</v>
      </c>
      <c r="D150" s="2" t="s">
        <v>4572</v>
      </c>
      <c r="E150" s="2" t="s">
        <v>4160</v>
      </c>
      <c r="F150" s="2" t="s">
        <v>4573</v>
      </c>
      <c r="G150" s="2"/>
      <c r="H150" s="2" t="s">
        <v>4574</v>
      </c>
    </row>
    <row r="151" customFormat="false" ht="15" hidden="false" customHeight="false" outlineLevel="0" collapsed="false">
      <c r="A151" s="2" t="n">
        <v>16</v>
      </c>
      <c r="B151" s="2" t="s">
        <v>280</v>
      </c>
      <c r="C151" s="2" t="s">
        <v>286</v>
      </c>
      <c r="D151" s="2" t="s">
        <v>4575</v>
      </c>
      <c r="E151" s="2" t="s">
        <v>4156</v>
      </c>
      <c r="F151" s="2" t="s">
        <v>289</v>
      </c>
      <c r="G151" s="2" t="s">
        <v>4576</v>
      </c>
      <c r="H151" s="2" t="s">
        <v>4577</v>
      </c>
    </row>
    <row r="152" customFormat="false" ht="15" hidden="false" customHeight="false" outlineLevel="0" collapsed="false">
      <c r="A152" s="2" t="n">
        <v>16</v>
      </c>
      <c r="B152" s="2" t="s">
        <v>280</v>
      </c>
      <c r="C152" s="2" t="s">
        <v>286</v>
      </c>
      <c r="D152" s="2" t="s">
        <v>4578</v>
      </c>
      <c r="E152" s="2" t="s">
        <v>4156</v>
      </c>
      <c r="F152" s="2" t="s">
        <v>290</v>
      </c>
      <c r="G152" s="2" t="s">
        <v>4579</v>
      </c>
      <c r="H152" s="2" t="s">
        <v>4580</v>
      </c>
    </row>
    <row r="153" customFormat="false" ht="15" hidden="false" customHeight="false" outlineLevel="0" collapsed="false">
      <c r="A153" s="2" t="n">
        <v>16</v>
      </c>
      <c r="B153" s="2" t="s">
        <v>280</v>
      </c>
      <c r="C153" s="2" t="s">
        <v>286</v>
      </c>
      <c r="D153" s="2" t="s">
        <v>4581</v>
      </c>
      <c r="E153" s="2" t="s">
        <v>4160</v>
      </c>
      <c r="F153" s="2" t="s">
        <v>275</v>
      </c>
      <c r="G153" s="2"/>
      <c r="H153" s="2" t="s">
        <v>4582</v>
      </c>
    </row>
    <row r="154" customFormat="false" ht="15" hidden="false" customHeight="false" outlineLevel="0" collapsed="false">
      <c r="A154" s="2" t="n">
        <v>16</v>
      </c>
      <c r="B154" s="2" t="s">
        <v>280</v>
      </c>
      <c r="C154" s="2" t="s">
        <v>286</v>
      </c>
      <c r="D154" s="2" t="s">
        <v>4583</v>
      </c>
      <c r="E154" s="2" t="s">
        <v>4160</v>
      </c>
      <c r="F154" s="2" t="s">
        <v>4584</v>
      </c>
      <c r="G154" s="2"/>
      <c r="H154" s="2" t="s">
        <v>4585</v>
      </c>
    </row>
    <row r="155" customFormat="false" ht="15" hidden="false" customHeight="false" outlineLevel="0" collapsed="false">
      <c r="A155" s="2" t="n">
        <v>17</v>
      </c>
      <c r="B155" s="2" t="s">
        <v>294</v>
      </c>
      <c r="C155" s="2" t="s">
        <v>300</v>
      </c>
      <c r="D155" s="2" t="s">
        <v>2323</v>
      </c>
      <c r="E155" s="2" t="s">
        <v>4156</v>
      </c>
      <c r="F155" s="2" t="s">
        <v>303</v>
      </c>
      <c r="G155" s="2" t="s">
        <v>2325</v>
      </c>
      <c r="H155" s="2" t="s">
        <v>2326</v>
      </c>
    </row>
    <row r="156" customFormat="false" ht="15" hidden="false" customHeight="false" outlineLevel="0" collapsed="false">
      <c r="A156" s="2" t="n">
        <v>17</v>
      </c>
      <c r="B156" s="2" t="s">
        <v>294</v>
      </c>
      <c r="C156" s="2" t="s">
        <v>300</v>
      </c>
      <c r="D156" s="2" t="s">
        <v>2327</v>
      </c>
      <c r="E156" s="2" t="s">
        <v>4156</v>
      </c>
      <c r="F156" s="2" t="s">
        <v>2328</v>
      </c>
      <c r="G156" s="2" t="s">
        <v>2329</v>
      </c>
      <c r="H156" s="2" t="s">
        <v>2330</v>
      </c>
    </row>
    <row r="157" customFormat="false" ht="15" hidden="false" customHeight="false" outlineLevel="0" collapsed="false">
      <c r="A157" s="2" t="n">
        <v>17</v>
      </c>
      <c r="B157" s="2" t="s">
        <v>294</v>
      </c>
      <c r="C157" s="2" t="s">
        <v>300</v>
      </c>
      <c r="D157" s="2" t="s">
        <v>2331</v>
      </c>
      <c r="E157" s="2" t="s">
        <v>4156</v>
      </c>
      <c r="F157" s="2" t="s">
        <v>2332</v>
      </c>
      <c r="G157" s="2" t="s">
        <v>2333</v>
      </c>
      <c r="H157" s="2" t="s">
        <v>2334</v>
      </c>
    </row>
    <row r="158" customFormat="false" ht="15" hidden="false" customHeight="false" outlineLevel="0" collapsed="false">
      <c r="A158" s="2" t="n">
        <v>17</v>
      </c>
      <c r="B158" s="2" t="s">
        <v>294</v>
      </c>
      <c r="C158" s="2" t="s">
        <v>300</v>
      </c>
      <c r="D158" s="2" t="s">
        <v>2335</v>
      </c>
      <c r="E158" s="2" t="s">
        <v>4156</v>
      </c>
      <c r="F158" s="2" t="s">
        <v>2336</v>
      </c>
      <c r="G158" s="2" t="s">
        <v>2337</v>
      </c>
      <c r="H158" s="2" t="s">
        <v>2338</v>
      </c>
    </row>
    <row r="159" customFormat="false" ht="15" hidden="false" customHeight="false" outlineLevel="0" collapsed="false">
      <c r="A159" s="2" t="n">
        <v>17</v>
      </c>
      <c r="B159" s="2" t="s">
        <v>294</v>
      </c>
      <c r="C159" s="2" t="s">
        <v>300</v>
      </c>
      <c r="D159" s="2" t="s">
        <v>2339</v>
      </c>
      <c r="E159" s="2" t="s">
        <v>4156</v>
      </c>
      <c r="F159" s="2" t="s">
        <v>2340</v>
      </c>
      <c r="G159" s="2" t="s">
        <v>2341</v>
      </c>
      <c r="H159" s="2" t="s">
        <v>2342</v>
      </c>
    </row>
    <row r="160" customFormat="false" ht="15" hidden="false" customHeight="false" outlineLevel="0" collapsed="false">
      <c r="A160" s="2" t="n">
        <v>17</v>
      </c>
      <c r="B160" s="2" t="s">
        <v>294</v>
      </c>
      <c r="C160" s="2" t="s">
        <v>300</v>
      </c>
      <c r="D160" s="2" t="s">
        <v>2347</v>
      </c>
      <c r="E160" s="2" t="s">
        <v>4156</v>
      </c>
      <c r="F160" s="2" t="s">
        <v>2344</v>
      </c>
      <c r="G160" s="2" t="s">
        <v>2348</v>
      </c>
      <c r="H160" s="2" t="s">
        <v>2349</v>
      </c>
    </row>
    <row r="161" customFormat="false" ht="15" hidden="false" customHeight="false" outlineLevel="0" collapsed="false">
      <c r="A161" s="2" t="n">
        <v>17</v>
      </c>
      <c r="B161" s="2" t="s">
        <v>294</v>
      </c>
      <c r="C161" s="2" t="s">
        <v>300</v>
      </c>
      <c r="D161" s="2" t="s">
        <v>2350</v>
      </c>
      <c r="E161" s="2" t="s">
        <v>4156</v>
      </c>
      <c r="F161" s="2" t="s">
        <v>2344</v>
      </c>
      <c r="G161" s="2" t="s">
        <v>2351</v>
      </c>
      <c r="H161" s="2" t="s">
        <v>2352</v>
      </c>
    </row>
    <row r="162" customFormat="false" ht="15" hidden="false" customHeight="false" outlineLevel="0" collapsed="false">
      <c r="A162" s="2" t="n">
        <v>17</v>
      </c>
      <c r="B162" s="2" t="s">
        <v>294</v>
      </c>
      <c r="C162" s="2" t="s">
        <v>300</v>
      </c>
      <c r="D162" s="2" t="s">
        <v>2343</v>
      </c>
      <c r="E162" s="2" t="s">
        <v>4156</v>
      </c>
      <c r="F162" s="2" t="s">
        <v>2344</v>
      </c>
      <c r="G162" s="2" t="s">
        <v>2345</v>
      </c>
      <c r="H162" s="2" t="s">
        <v>2346</v>
      </c>
    </row>
    <row r="163" customFormat="false" ht="15" hidden="false" customHeight="false" outlineLevel="0" collapsed="false">
      <c r="A163" s="2" t="n">
        <v>17</v>
      </c>
      <c r="B163" s="2" t="s">
        <v>294</v>
      </c>
      <c r="C163" s="2" t="s">
        <v>300</v>
      </c>
      <c r="D163" s="2" t="s">
        <v>2353</v>
      </c>
      <c r="E163" s="2" t="s">
        <v>4156</v>
      </c>
      <c r="F163" s="2" t="s">
        <v>2354</v>
      </c>
      <c r="G163" s="2" t="s">
        <v>2355</v>
      </c>
      <c r="H163" s="2" t="s">
        <v>2356</v>
      </c>
    </row>
    <row r="164" customFormat="false" ht="15" hidden="false" customHeight="false" outlineLevel="0" collapsed="false">
      <c r="A164" s="2" t="n">
        <v>17</v>
      </c>
      <c r="B164" s="2" t="s">
        <v>294</v>
      </c>
      <c r="C164" s="2" t="s">
        <v>300</v>
      </c>
      <c r="D164" s="2" t="s">
        <v>2357</v>
      </c>
      <c r="E164" s="2" t="s">
        <v>4156</v>
      </c>
      <c r="F164" s="2" t="s">
        <v>2358</v>
      </c>
      <c r="G164" s="2" t="s">
        <v>2359</v>
      </c>
      <c r="H164" s="2" t="s">
        <v>2360</v>
      </c>
    </row>
    <row r="165" customFormat="false" ht="15" hidden="false" customHeight="false" outlineLevel="0" collapsed="false">
      <c r="A165" s="2" t="n">
        <v>17</v>
      </c>
      <c r="B165" s="2" t="s">
        <v>294</v>
      </c>
      <c r="C165" s="2" t="s">
        <v>300</v>
      </c>
      <c r="D165" s="2" t="s">
        <v>2361</v>
      </c>
      <c r="E165" s="2" t="s">
        <v>4156</v>
      </c>
      <c r="F165" s="2" t="s">
        <v>2362</v>
      </c>
      <c r="G165" s="2" t="s">
        <v>2363</v>
      </c>
      <c r="H165" s="2" t="s">
        <v>2364</v>
      </c>
    </row>
    <row r="166" customFormat="false" ht="15" hidden="false" customHeight="false" outlineLevel="0" collapsed="false">
      <c r="A166" s="2" t="n">
        <v>17</v>
      </c>
      <c r="B166" s="2" t="s">
        <v>294</v>
      </c>
      <c r="C166" s="2" t="s">
        <v>300</v>
      </c>
      <c r="D166" s="2" t="s">
        <v>2365</v>
      </c>
      <c r="E166" s="2" t="s">
        <v>4156</v>
      </c>
      <c r="F166" s="2" t="s">
        <v>2366</v>
      </c>
      <c r="G166" s="2" t="s">
        <v>2367</v>
      </c>
      <c r="H166" s="2" t="s">
        <v>2368</v>
      </c>
    </row>
    <row r="167" customFormat="false" ht="15" hidden="false" customHeight="false" outlineLevel="0" collapsed="false">
      <c r="A167" s="2" t="n">
        <v>17</v>
      </c>
      <c r="B167" s="2" t="s">
        <v>294</v>
      </c>
      <c r="C167" s="2" t="s">
        <v>300</v>
      </c>
      <c r="D167" s="2" t="s">
        <v>2369</v>
      </c>
      <c r="E167" s="2" t="s">
        <v>4156</v>
      </c>
      <c r="F167" s="2" t="s">
        <v>2370</v>
      </c>
      <c r="G167" s="2" t="s">
        <v>2371</v>
      </c>
      <c r="H167" s="2" t="s">
        <v>2372</v>
      </c>
    </row>
    <row r="168" customFormat="false" ht="15" hidden="false" customHeight="false" outlineLevel="0" collapsed="false">
      <c r="A168" s="2" t="n">
        <v>17</v>
      </c>
      <c r="B168" s="2" t="s">
        <v>294</v>
      </c>
      <c r="C168" s="2" t="s">
        <v>300</v>
      </c>
      <c r="D168" s="2" t="s">
        <v>2373</v>
      </c>
      <c r="E168" s="2" t="s">
        <v>4156</v>
      </c>
      <c r="F168" s="2" t="s">
        <v>2374</v>
      </c>
      <c r="G168" s="2" t="s">
        <v>2375</v>
      </c>
      <c r="H168" s="2" t="s">
        <v>2376</v>
      </c>
    </row>
    <row r="169" customFormat="false" ht="15" hidden="false" customHeight="false" outlineLevel="0" collapsed="false">
      <c r="A169" s="2" t="n">
        <v>17</v>
      </c>
      <c r="B169" s="2" t="s">
        <v>294</v>
      </c>
      <c r="C169" s="2" t="s">
        <v>300</v>
      </c>
      <c r="D169" s="2" t="s">
        <v>2377</v>
      </c>
      <c r="E169" s="2" t="s">
        <v>4156</v>
      </c>
      <c r="F169" s="2" t="s">
        <v>2378</v>
      </c>
      <c r="G169" s="2" t="s">
        <v>2379</v>
      </c>
      <c r="H169" s="2" t="s">
        <v>2380</v>
      </c>
    </row>
    <row r="170" customFormat="false" ht="15" hidden="false" customHeight="false" outlineLevel="0" collapsed="false">
      <c r="A170" s="2" t="n">
        <v>17</v>
      </c>
      <c r="B170" s="2" t="s">
        <v>294</v>
      </c>
      <c r="C170" s="2" t="s">
        <v>300</v>
      </c>
      <c r="D170" s="2" t="s">
        <v>2381</v>
      </c>
      <c r="E170" s="2" t="s">
        <v>4156</v>
      </c>
      <c r="F170" s="2" t="s">
        <v>2378</v>
      </c>
      <c r="G170" s="2" t="s">
        <v>2382</v>
      </c>
      <c r="H170" s="2" t="s">
        <v>2383</v>
      </c>
    </row>
    <row r="171" customFormat="false" ht="15" hidden="false" customHeight="false" outlineLevel="0" collapsed="false">
      <c r="A171" s="2" t="n">
        <v>17</v>
      </c>
      <c r="B171" s="2" t="s">
        <v>294</v>
      </c>
      <c r="C171" s="2" t="s">
        <v>300</v>
      </c>
      <c r="D171" s="2" t="s">
        <v>2384</v>
      </c>
      <c r="E171" s="2" t="s">
        <v>4156</v>
      </c>
      <c r="F171" s="2" t="s">
        <v>2385</v>
      </c>
      <c r="G171" s="2" t="s">
        <v>2386</v>
      </c>
      <c r="H171" s="2" t="s">
        <v>2387</v>
      </c>
    </row>
    <row r="172" customFormat="false" ht="15" hidden="false" customHeight="false" outlineLevel="0" collapsed="false">
      <c r="A172" s="2" t="n">
        <v>17</v>
      </c>
      <c r="B172" s="2" t="s">
        <v>294</v>
      </c>
      <c r="C172" s="2" t="s">
        <v>300</v>
      </c>
      <c r="D172" s="2" t="s">
        <v>2392</v>
      </c>
      <c r="E172" s="2" t="s">
        <v>4156</v>
      </c>
      <c r="F172" s="2" t="s">
        <v>304</v>
      </c>
      <c r="G172" s="2" t="s">
        <v>2393</v>
      </c>
      <c r="H172" s="2" t="s">
        <v>2394</v>
      </c>
    </row>
    <row r="173" customFormat="false" ht="15" hidden="false" customHeight="false" outlineLevel="0" collapsed="false">
      <c r="A173" s="2" t="n">
        <v>17</v>
      </c>
      <c r="B173" s="2" t="s">
        <v>294</v>
      </c>
      <c r="C173" s="2" t="s">
        <v>300</v>
      </c>
      <c r="D173" s="2" t="s">
        <v>4586</v>
      </c>
      <c r="E173" s="2" t="s">
        <v>4160</v>
      </c>
      <c r="F173" s="2" t="s">
        <v>4227</v>
      </c>
      <c r="G173" s="2" t="s">
        <v>4587</v>
      </c>
      <c r="H173" s="2" t="s">
        <v>4588</v>
      </c>
    </row>
    <row r="174" customFormat="false" ht="15" hidden="false" customHeight="false" outlineLevel="0" collapsed="false">
      <c r="A174" s="2" t="n">
        <v>17</v>
      </c>
      <c r="B174" s="2" t="s">
        <v>294</v>
      </c>
      <c r="C174" s="2" t="s">
        <v>300</v>
      </c>
      <c r="D174" s="2" t="s">
        <v>4589</v>
      </c>
      <c r="E174" s="2" t="s">
        <v>4160</v>
      </c>
      <c r="F174" s="2" t="s">
        <v>4590</v>
      </c>
      <c r="G174" s="2"/>
      <c r="H174" s="2" t="s">
        <v>4591</v>
      </c>
    </row>
    <row r="175" customFormat="false" ht="15" hidden="false" customHeight="false" outlineLevel="0" collapsed="false">
      <c r="A175" s="2" t="n">
        <v>17</v>
      </c>
      <c r="B175" s="2" t="s">
        <v>294</v>
      </c>
      <c r="C175" s="2" t="s">
        <v>300</v>
      </c>
      <c r="D175" s="2" t="s">
        <v>4592</v>
      </c>
      <c r="E175" s="2" t="s">
        <v>4160</v>
      </c>
      <c r="F175" s="2" t="s">
        <v>4593</v>
      </c>
      <c r="G175" s="2"/>
      <c r="H175" s="2" t="s">
        <v>4594</v>
      </c>
    </row>
    <row r="176" customFormat="false" ht="15" hidden="false" customHeight="false" outlineLevel="0" collapsed="false">
      <c r="A176" s="2" t="n">
        <v>17</v>
      </c>
      <c r="B176" s="2" t="s">
        <v>294</v>
      </c>
      <c r="C176" s="2" t="s">
        <v>300</v>
      </c>
      <c r="D176" s="2" t="s">
        <v>4595</v>
      </c>
      <c r="E176" s="2" t="s">
        <v>4160</v>
      </c>
      <c r="F176" s="2" t="s">
        <v>1530</v>
      </c>
      <c r="G176" s="2"/>
      <c r="H176" s="2" t="s">
        <v>4596</v>
      </c>
    </row>
    <row r="177" customFormat="false" ht="15" hidden="false" customHeight="false" outlineLevel="0" collapsed="false">
      <c r="A177" s="2" t="n">
        <v>17</v>
      </c>
      <c r="B177" s="2" t="s">
        <v>294</v>
      </c>
      <c r="C177" s="2" t="s">
        <v>300</v>
      </c>
      <c r="D177" s="2" t="s">
        <v>4597</v>
      </c>
      <c r="E177" s="2" t="s">
        <v>4160</v>
      </c>
      <c r="F177" s="2" t="s">
        <v>3206</v>
      </c>
      <c r="G177" s="2"/>
      <c r="H177" s="2" t="s">
        <v>4598</v>
      </c>
    </row>
    <row r="178" customFormat="false" ht="15" hidden="false" customHeight="false" outlineLevel="0" collapsed="false">
      <c r="A178" s="2" t="n">
        <v>18</v>
      </c>
      <c r="B178" s="2" t="s">
        <v>308</v>
      </c>
      <c r="C178" s="2" t="s">
        <v>313</v>
      </c>
      <c r="D178" s="2" t="s">
        <v>4599</v>
      </c>
      <c r="E178" s="2" t="s">
        <v>4156</v>
      </c>
      <c r="F178" s="2" t="s">
        <v>316</v>
      </c>
      <c r="G178" s="2" t="s">
        <v>4600</v>
      </c>
      <c r="H178" s="2" t="s">
        <v>4601</v>
      </c>
    </row>
    <row r="179" customFormat="false" ht="15" hidden="false" customHeight="false" outlineLevel="0" collapsed="false">
      <c r="A179" s="2" t="n">
        <v>18</v>
      </c>
      <c r="B179" s="2" t="s">
        <v>308</v>
      </c>
      <c r="C179" s="2" t="s">
        <v>313</v>
      </c>
      <c r="D179" s="2" t="s">
        <v>4168</v>
      </c>
      <c r="E179" s="2" t="s">
        <v>4156</v>
      </c>
      <c r="F179" s="2" t="s">
        <v>100</v>
      </c>
      <c r="G179" s="2" t="s">
        <v>4169</v>
      </c>
      <c r="H179" s="2" t="s">
        <v>4170</v>
      </c>
    </row>
    <row r="180" customFormat="false" ht="15" hidden="false" customHeight="false" outlineLevel="0" collapsed="false">
      <c r="A180" s="2" t="n">
        <v>18</v>
      </c>
      <c r="B180" s="2" t="s">
        <v>308</v>
      </c>
      <c r="C180" s="2" t="s">
        <v>313</v>
      </c>
      <c r="D180" s="2" t="s">
        <v>4602</v>
      </c>
      <c r="E180" s="2" t="s">
        <v>4156</v>
      </c>
      <c r="F180" s="2" t="s">
        <v>4603</v>
      </c>
      <c r="G180" s="2" t="s">
        <v>4604</v>
      </c>
      <c r="H180" s="2" t="s">
        <v>4605</v>
      </c>
    </row>
    <row r="181" customFormat="false" ht="15" hidden="false" customHeight="false" outlineLevel="0" collapsed="false">
      <c r="A181" s="2" t="n">
        <v>18</v>
      </c>
      <c r="B181" s="2" t="s">
        <v>308</v>
      </c>
      <c r="C181" s="2" t="s">
        <v>313</v>
      </c>
      <c r="D181" s="2" t="s">
        <v>4377</v>
      </c>
      <c r="E181" s="2" t="s">
        <v>4156</v>
      </c>
      <c r="F181" s="2" t="s">
        <v>247</v>
      </c>
      <c r="G181" s="2" t="s">
        <v>4378</v>
      </c>
      <c r="H181" s="2" t="s">
        <v>4379</v>
      </c>
    </row>
    <row r="182" customFormat="false" ht="15" hidden="false" customHeight="false" outlineLevel="0" collapsed="false">
      <c r="A182" s="2" t="n">
        <v>18</v>
      </c>
      <c r="B182" s="2" t="s">
        <v>308</v>
      </c>
      <c r="C182" s="2" t="s">
        <v>313</v>
      </c>
      <c r="D182" s="2" t="s">
        <v>4606</v>
      </c>
      <c r="E182" s="2" t="s">
        <v>4160</v>
      </c>
      <c r="F182" s="2" t="s">
        <v>4607</v>
      </c>
      <c r="G182" s="2"/>
      <c r="H182" s="2" t="s">
        <v>4608</v>
      </c>
    </row>
    <row r="183" customFormat="false" ht="15" hidden="false" customHeight="false" outlineLevel="0" collapsed="false">
      <c r="A183" s="2" t="n">
        <v>18</v>
      </c>
      <c r="B183" s="2" t="s">
        <v>308</v>
      </c>
      <c r="C183" s="2" t="s">
        <v>313</v>
      </c>
      <c r="D183" s="2" t="s">
        <v>4609</v>
      </c>
      <c r="E183" s="2" t="s">
        <v>4160</v>
      </c>
      <c r="F183" s="2" t="s">
        <v>4610</v>
      </c>
      <c r="G183" s="2"/>
      <c r="H183" s="2" t="s">
        <v>4611</v>
      </c>
    </row>
    <row r="184" customFormat="false" ht="15" hidden="false" customHeight="false" outlineLevel="0" collapsed="false">
      <c r="A184" s="2" t="n">
        <v>18</v>
      </c>
      <c r="B184" s="2" t="s">
        <v>308</v>
      </c>
      <c r="C184" s="2" t="s">
        <v>313</v>
      </c>
      <c r="D184" s="2" t="s">
        <v>4612</v>
      </c>
      <c r="E184" s="2" t="s">
        <v>4160</v>
      </c>
      <c r="F184" s="2" t="s">
        <v>4613</v>
      </c>
      <c r="G184" s="2"/>
      <c r="H184" s="2" t="s">
        <v>4614</v>
      </c>
    </row>
    <row r="185" customFormat="false" ht="15" hidden="false" customHeight="false" outlineLevel="0" collapsed="false">
      <c r="A185" s="2" t="n">
        <v>18</v>
      </c>
      <c r="B185" s="2" t="s">
        <v>308</v>
      </c>
      <c r="C185" s="2" t="s">
        <v>313</v>
      </c>
      <c r="D185" s="2" t="s">
        <v>4615</v>
      </c>
      <c r="E185" s="2" t="s">
        <v>4160</v>
      </c>
      <c r="F185" s="2" t="s">
        <v>4616</v>
      </c>
      <c r="G185" s="2"/>
      <c r="H185" s="2" t="s">
        <v>4617</v>
      </c>
    </row>
    <row r="186" customFormat="false" ht="15" hidden="false" customHeight="false" outlineLevel="0" collapsed="false">
      <c r="A186" s="2" t="n">
        <v>18</v>
      </c>
      <c r="B186" s="2" t="s">
        <v>308</v>
      </c>
      <c r="C186" s="2" t="s">
        <v>313</v>
      </c>
      <c r="D186" s="2" t="s">
        <v>4618</v>
      </c>
      <c r="E186" s="2" t="s">
        <v>4160</v>
      </c>
      <c r="F186" s="2" t="s">
        <v>4619</v>
      </c>
      <c r="G186" s="2"/>
      <c r="H186" s="2" t="s">
        <v>4620</v>
      </c>
    </row>
    <row r="187" customFormat="false" ht="15" hidden="false" customHeight="false" outlineLevel="0" collapsed="false">
      <c r="A187" s="2" t="n">
        <v>18</v>
      </c>
      <c r="B187" s="2" t="s">
        <v>308</v>
      </c>
      <c r="C187" s="2" t="s">
        <v>313</v>
      </c>
      <c r="D187" s="2" t="s">
        <v>4621</v>
      </c>
      <c r="E187" s="2" t="s">
        <v>4160</v>
      </c>
      <c r="F187" s="2" t="s">
        <v>3157</v>
      </c>
      <c r="G187" s="2"/>
      <c r="H187" s="2" t="s">
        <v>4622</v>
      </c>
    </row>
    <row r="188" customFormat="false" ht="15" hidden="false" customHeight="false" outlineLevel="0" collapsed="false">
      <c r="A188" s="2" t="n">
        <v>19</v>
      </c>
      <c r="B188" s="2" t="s">
        <v>320</v>
      </c>
      <c r="C188" s="2" t="s">
        <v>325</v>
      </c>
      <c r="D188" s="2" t="s">
        <v>4623</v>
      </c>
      <c r="E188" s="2" t="s">
        <v>4156</v>
      </c>
      <c r="F188" s="2" t="s">
        <v>328</v>
      </c>
      <c r="G188" s="2" t="s">
        <v>4624</v>
      </c>
      <c r="H188" s="2" t="s">
        <v>4625</v>
      </c>
    </row>
    <row r="189" customFormat="false" ht="15" hidden="false" customHeight="false" outlineLevel="0" collapsed="false">
      <c r="A189" s="2" t="n">
        <v>19</v>
      </c>
      <c r="B189" s="2" t="s">
        <v>320</v>
      </c>
      <c r="C189" s="2" t="s">
        <v>325</v>
      </c>
      <c r="D189" s="2" t="s">
        <v>4626</v>
      </c>
      <c r="E189" s="2" t="s">
        <v>4156</v>
      </c>
      <c r="F189" s="2" t="s">
        <v>4627</v>
      </c>
      <c r="G189" s="2" t="s">
        <v>4628</v>
      </c>
      <c r="H189" s="2" t="s">
        <v>4629</v>
      </c>
    </row>
    <row r="190" customFormat="false" ht="15" hidden="false" customHeight="false" outlineLevel="0" collapsed="false">
      <c r="A190" s="2" t="n">
        <v>19</v>
      </c>
      <c r="B190" s="2" t="s">
        <v>320</v>
      </c>
      <c r="C190" s="2" t="s">
        <v>325</v>
      </c>
      <c r="D190" s="2" t="s">
        <v>4630</v>
      </c>
      <c r="E190" s="2" t="s">
        <v>4156</v>
      </c>
      <c r="F190" s="2" t="s">
        <v>456</v>
      </c>
      <c r="G190" s="2" t="s">
        <v>4631</v>
      </c>
      <c r="H190" s="2" t="s">
        <v>4632</v>
      </c>
    </row>
    <row r="191" customFormat="false" ht="15" hidden="false" customHeight="false" outlineLevel="0" collapsed="false">
      <c r="A191" s="2" t="n">
        <v>19</v>
      </c>
      <c r="B191" s="2" t="s">
        <v>320</v>
      </c>
      <c r="C191" s="2" t="s">
        <v>325</v>
      </c>
      <c r="D191" s="2" t="s">
        <v>4633</v>
      </c>
      <c r="E191" s="2" t="s">
        <v>4156</v>
      </c>
      <c r="F191" s="2" t="s">
        <v>1891</v>
      </c>
      <c r="G191" s="2" t="s">
        <v>4634</v>
      </c>
      <c r="H191" s="2" t="s">
        <v>4635</v>
      </c>
    </row>
    <row r="192" customFormat="false" ht="15" hidden="false" customHeight="false" outlineLevel="0" collapsed="false">
      <c r="A192" s="2" t="n">
        <v>19</v>
      </c>
      <c r="B192" s="2" t="s">
        <v>320</v>
      </c>
      <c r="C192" s="2" t="s">
        <v>325</v>
      </c>
      <c r="D192" s="2" t="s">
        <v>4636</v>
      </c>
      <c r="E192" s="2" t="s">
        <v>4156</v>
      </c>
      <c r="F192" s="2" t="s">
        <v>1964</v>
      </c>
      <c r="G192" s="2" t="s">
        <v>4637</v>
      </c>
      <c r="H192" s="2" t="s">
        <v>4638</v>
      </c>
    </row>
    <row r="193" customFormat="false" ht="15" hidden="false" customHeight="false" outlineLevel="0" collapsed="false">
      <c r="A193" s="2" t="n">
        <v>19</v>
      </c>
      <c r="B193" s="2" t="s">
        <v>320</v>
      </c>
      <c r="C193" s="2" t="s">
        <v>325</v>
      </c>
      <c r="D193" s="2" t="s">
        <v>4639</v>
      </c>
      <c r="E193" s="2" t="s">
        <v>4156</v>
      </c>
      <c r="F193" s="2" t="s">
        <v>2467</v>
      </c>
      <c r="G193" s="2" t="s">
        <v>4640</v>
      </c>
      <c r="H193" s="2" t="s">
        <v>4641</v>
      </c>
    </row>
    <row r="194" customFormat="false" ht="15" hidden="false" customHeight="false" outlineLevel="0" collapsed="false">
      <c r="A194" s="2" t="n">
        <v>19</v>
      </c>
      <c r="B194" s="2" t="s">
        <v>320</v>
      </c>
      <c r="C194" s="2" t="s">
        <v>325</v>
      </c>
      <c r="D194" s="2" t="s">
        <v>4642</v>
      </c>
      <c r="E194" s="2" t="s">
        <v>4156</v>
      </c>
      <c r="F194" s="2" t="s">
        <v>2112</v>
      </c>
      <c r="G194" s="2" t="s">
        <v>4643</v>
      </c>
      <c r="H194" s="2" t="s">
        <v>4644</v>
      </c>
    </row>
    <row r="195" customFormat="false" ht="15" hidden="false" customHeight="false" outlineLevel="0" collapsed="false">
      <c r="A195" s="2" t="n">
        <v>19</v>
      </c>
      <c r="B195" s="2" t="s">
        <v>320</v>
      </c>
      <c r="C195" s="2" t="s">
        <v>325</v>
      </c>
      <c r="D195" s="2" t="s">
        <v>4645</v>
      </c>
      <c r="E195" s="2" t="s">
        <v>4156</v>
      </c>
      <c r="F195" s="2" t="s">
        <v>4646</v>
      </c>
      <c r="G195" s="2" t="s">
        <v>4647</v>
      </c>
      <c r="H195" s="2" t="s">
        <v>4648</v>
      </c>
    </row>
    <row r="196" customFormat="false" ht="15" hidden="false" customHeight="false" outlineLevel="0" collapsed="false">
      <c r="A196" s="2" t="n">
        <v>19</v>
      </c>
      <c r="B196" s="2" t="s">
        <v>320</v>
      </c>
      <c r="C196" s="2" t="s">
        <v>325</v>
      </c>
      <c r="D196" s="2" t="s">
        <v>4649</v>
      </c>
      <c r="E196" s="2" t="s">
        <v>4156</v>
      </c>
      <c r="F196" s="2" t="s">
        <v>329</v>
      </c>
      <c r="G196" s="2" t="s">
        <v>4650</v>
      </c>
      <c r="H196" s="2" t="s">
        <v>4651</v>
      </c>
    </row>
    <row r="197" customFormat="false" ht="15" hidden="false" customHeight="false" outlineLevel="0" collapsed="false">
      <c r="A197" s="2" t="n">
        <v>19</v>
      </c>
      <c r="B197" s="2" t="s">
        <v>320</v>
      </c>
      <c r="C197" s="2" t="s">
        <v>325</v>
      </c>
      <c r="D197" s="2" t="s">
        <v>4652</v>
      </c>
      <c r="E197" s="2" t="s">
        <v>4160</v>
      </c>
      <c r="F197" s="2" t="s">
        <v>4653</v>
      </c>
      <c r="G197" s="2"/>
      <c r="H197" s="2" t="s">
        <v>4654</v>
      </c>
    </row>
    <row r="198" customFormat="false" ht="15" hidden="false" customHeight="false" outlineLevel="0" collapsed="false">
      <c r="A198" s="2" t="n">
        <v>19</v>
      </c>
      <c r="B198" s="2" t="s">
        <v>320</v>
      </c>
      <c r="C198" s="2" t="s">
        <v>325</v>
      </c>
      <c r="D198" s="2" t="s">
        <v>4655</v>
      </c>
      <c r="E198" s="2" t="s">
        <v>4160</v>
      </c>
      <c r="F198" s="2" t="s">
        <v>4656</v>
      </c>
      <c r="G198" s="2"/>
      <c r="H198" s="2" t="s">
        <v>4657</v>
      </c>
    </row>
    <row r="199" customFormat="false" ht="15" hidden="false" customHeight="false" outlineLevel="0" collapsed="false">
      <c r="A199" s="2" t="n">
        <v>19</v>
      </c>
      <c r="B199" s="2" t="s">
        <v>320</v>
      </c>
      <c r="C199" s="2" t="s">
        <v>325</v>
      </c>
      <c r="D199" s="2" t="s">
        <v>4658</v>
      </c>
      <c r="E199" s="2" t="s">
        <v>4160</v>
      </c>
      <c r="F199" s="2" t="s">
        <v>1830</v>
      </c>
      <c r="G199" s="2"/>
      <c r="H199" s="2" t="s">
        <v>4659</v>
      </c>
    </row>
    <row r="200" customFormat="false" ht="15" hidden="false" customHeight="false" outlineLevel="0" collapsed="false">
      <c r="A200" s="2" t="n">
        <v>19</v>
      </c>
      <c r="B200" s="2" t="s">
        <v>320</v>
      </c>
      <c r="C200" s="2" t="s">
        <v>325</v>
      </c>
      <c r="D200" s="2" t="s">
        <v>4660</v>
      </c>
      <c r="E200" s="2" t="s">
        <v>4160</v>
      </c>
      <c r="F200" s="2" t="s">
        <v>4661</v>
      </c>
      <c r="G200" s="2"/>
      <c r="H200" s="2" t="s">
        <v>4662</v>
      </c>
    </row>
    <row r="201" customFormat="false" ht="15" hidden="false" customHeight="false" outlineLevel="0" collapsed="false">
      <c r="A201" s="2" t="n">
        <v>19</v>
      </c>
      <c r="B201" s="2" t="s">
        <v>320</v>
      </c>
      <c r="C201" s="2" t="s">
        <v>325</v>
      </c>
      <c r="D201" s="2" t="s">
        <v>4663</v>
      </c>
      <c r="E201" s="2" t="s">
        <v>4160</v>
      </c>
      <c r="F201" s="2" t="s">
        <v>4664</v>
      </c>
      <c r="G201" s="2"/>
      <c r="H201" s="2" t="s">
        <v>4665</v>
      </c>
    </row>
    <row r="202" customFormat="false" ht="15" hidden="false" customHeight="false" outlineLevel="0" collapsed="false">
      <c r="A202" s="2" t="n">
        <v>20</v>
      </c>
      <c r="B202" s="2" t="s">
        <v>333</v>
      </c>
      <c r="C202" s="2" t="s">
        <v>339</v>
      </c>
      <c r="D202" s="2" t="s">
        <v>4666</v>
      </c>
      <c r="E202" s="2" t="s">
        <v>4160</v>
      </c>
      <c r="F202" s="2" t="s">
        <v>4667</v>
      </c>
      <c r="G202" s="2"/>
      <c r="H202" s="2" t="s">
        <v>4668</v>
      </c>
    </row>
    <row r="203" customFormat="false" ht="15" hidden="false" customHeight="false" outlineLevel="0" collapsed="false">
      <c r="A203" s="2" t="n">
        <v>20</v>
      </c>
      <c r="B203" s="2" t="s">
        <v>333</v>
      </c>
      <c r="C203" s="2" t="s">
        <v>339</v>
      </c>
      <c r="D203" s="2" t="s">
        <v>4669</v>
      </c>
      <c r="E203" s="2" t="s">
        <v>4160</v>
      </c>
      <c r="F203" s="2" t="s">
        <v>4613</v>
      </c>
      <c r="G203" s="2" t="s">
        <v>4670</v>
      </c>
      <c r="H203" s="2" t="s">
        <v>4671</v>
      </c>
    </row>
    <row r="204" customFormat="false" ht="15" hidden="false" customHeight="false" outlineLevel="0" collapsed="false">
      <c r="A204" s="2" t="n">
        <v>20</v>
      </c>
      <c r="B204" s="2" t="s">
        <v>333</v>
      </c>
      <c r="C204" s="2" t="s">
        <v>339</v>
      </c>
      <c r="D204" s="2" t="s">
        <v>4672</v>
      </c>
      <c r="E204" s="2" t="s">
        <v>4160</v>
      </c>
      <c r="F204" s="2" t="s">
        <v>3565</v>
      </c>
      <c r="G204" s="2"/>
      <c r="H204" s="2" t="s">
        <v>4673</v>
      </c>
    </row>
    <row r="205" customFormat="false" ht="15" hidden="false" customHeight="false" outlineLevel="0" collapsed="false">
      <c r="A205" s="2" t="n">
        <v>21</v>
      </c>
      <c r="B205" s="2" t="s">
        <v>346</v>
      </c>
      <c r="C205" s="2" t="s">
        <v>350</v>
      </c>
      <c r="D205" s="2" t="s">
        <v>4674</v>
      </c>
      <c r="E205" s="2" t="s">
        <v>4160</v>
      </c>
      <c r="F205" s="2" t="s">
        <v>4613</v>
      </c>
      <c r="G205" s="2" t="s">
        <v>4675</v>
      </c>
      <c r="H205" s="2" t="s">
        <v>4676</v>
      </c>
    </row>
    <row r="206" customFormat="false" ht="15" hidden="false" customHeight="false" outlineLevel="0" collapsed="false">
      <c r="A206" s="2" t="n">
        <v>21</v>
      </c>
      <c r="B206" s="2" t="s">
        <v>346</v>
      </c>
      <c r="C206" s="2" t="s">
        <v>350</v>
      </c>
      <c r="D206" s="2" t="s">
        <v>4677</v>
      </c>
      <c r="E206" s="2" t="s">
        <v>4160</v>
      </c>
      <c r="F206" s="2" t="s">
        <v>4678</v>
      </c>
      <c r="G206" s="2"/>
      <c r="H206" s="2" t="s">
        <v>4679</v>
      </c>
    </row>
    <row r="207" customFormat="false" ht="15" hidden="false" customHeight="false" outlineLevel="0" collapsed="false">
      <c r="A207" s="2" t="n">
        <v>21</v>
      </c>
      <c r="B207" s="2" t="s">
        <v>346</v>
      </c>
      <c r="C207" s="2" t="s">
        <v>350</v>
      </c>
      <c r="D207" s="2" t="s">
        <v>4680</v>
      </c>
      <c r="E207" s="2" t="s">
        <v>4160</v>
      </c>
      <c r="F207" s="2" t="s">
        <v>3565</v>
      </c>
      <c r="G207" s="2"/>
      <c r="H207" s="2" t="s">
        <v>4681</v>
      </c>
    </row>
    <row r="208" customFormat="false" ht="15" hidden="false" customHeight="false" outlineLevel="0" collapsed="false">
      <c r="A208" s="2" t="n">
        <v>22</v>
      </c>
      <c r="B208" s="2" t="s">
        <v>356</v>
      </c>
      <c r="C208" s="2" t="s">
        <v>362</v>
      </c>
      <c r="D208" s="2" t="s">
        <v>802</v>
      </c>
      <c r="E208" s="2" t="s">
        <v>4156</v>
      </c>
      <c r="F208" s="2" t="s">
        <v>365</v>
      </c>
      <c r="G208" s="2" t="s">
        <v>4682</v>
      </c>
      <c r="H208" s="2" t="s">
        <v>803</v>
      </c>
    </row>
    <row r="209" customFormat="false" ht="15" hidden="false" customHeight="false" outlineLevel="0" collapsed="false">
      <c r="A209" s="2" t="n">
        <v>22</v>
      </c>
      <c r="B209" s="2" t="s">
        <v>356</v>
      </c>
      <c r="C209" s="2" t="s">
        <v>362</v>
      </c>
      <c r="D209" s="2" t="s">
        <v>4683</v>
      </c>
      <c r="E209" s="2" t="s">
        <v>4156</v>
      </c>
      <c r="F209" s="2" t="s">
        <v>276</v>
      </c>
      <c r="G209" s="2" t="s">
        <v>4684</v>
      </c>
      <c r="H209" s="2" t="s">
        <v>4685</v>
      </c>
    </row>
    <row r="210" customFormat="false" ht="15" hidden="false" customHeight="false" outlineLevel="0" collapsed="false">
      <c r="A210" s="2" t="n">
        <v>22</v>
      </c>
      <c r="B210" s="2" t="s">
        <v>356</v>
      </c>
      <c r="C210" s="2" t="s">
        <v>362</v>
      </c>
      <c r="D210" s="2" t="s">
        <v>4686</v>
      </c>
      <c r="E210" s="2" t="s">
        <v>4160</v>
      </c>
      <c r="F210" s="2" t="s">
        <v>4687</v>
      </c>
      <c r="G210" s="2"/>
      <c r="H210" s="2" t="s">
        <v>4688</v>
      </c>
    </row>
    <row r="211" customFormat="false" ht="15" hidden="false" customHeight="false" outlineLevel="0" collapsed="false">
      <c r="A211" s="2" t="n">
        <v>22</v>
      </c>
      <c r="B211" s="2" t="s">
        <v>356</v>
      </c>
      <c r="C211" s="2" t="s">
        <v>362</v>
      </c>
      <c r="D211" s="2" t="s">
        <v>4689</v>
      </c>
      <c r="E211" s="2" t="s">
        <v>4160</v>
      </c>
      <c r="F211" s="2" t="s">
        <v>4690</v>
      </c>
      <c r="G211" s="2"/>
      <c r="H211" s="2" t="s">
        <v>4691</v>
      </c>
    </row>
    <row r="212" customFormat="false" ht="15" hidden="false" customHeight="false" outlineLevel="0" collapsed="false">
      <c r="A212" s="2" t="n">
        <v>22</v>
      </c>
      <c r="B212" s="2" t="s">
        <v>356</v>
      </c>
      <c r="C212" s="2" t="s">
        <v>362</v>
      </c>
      <c r="D212" s="2" t="s">
        <v>4692</v>
      </c>
      <c r="E212" s="2" t="s">
        <v>4160</v>
      </c>
      <c r="F212" s="2" t="s">
        <v>4693</v>
      </c>
      <c r="G212" s="2"/>
      <c r="H212" s="2" t="s">
        <v>4694</v>
      </c>
    </row>
    <row r="213" customFormat="false" ht="15" hidden="false" customHeight="false" outlineLevel="0" collapsed="false">
      <c r="A213" s="2" t="n">
        <v>22</v>
      </c>
      <c r="B213" s="2" t="s">
        <v>356</v>
      </c>
      <c r="C213" s="2" t="s">
        <v>362</v>
      </c>
      <c r="D213" s="2" t="s">
        <v>4695</v>
      </c>
      <c r="E213" s="2" t="s">
        <v>4160</v>
      </c>
      <c r="F213" s="2" t="s">
        <v>4696</v>
      </c>
      <c r="G213" s="2"/>
      <c r="H213" s="2" t="s">
        <v>4697</v>
      </c>
    </row>
    <row r="214" customFormat="false" ht="15" hidden="false" customHeight="false" outlineLevel="0" collapsed="false">
      <c r="A214" s="2" t="n">
        <v>22</v>
      </c>
      <c r="B214" s="2" t="s">
        <v>356</v>
      </c>
      <c r="C214" s="2" t="s">
        <v>362</v>
      </c>
      <c r="D214" s="2" t="s">
        <v>4698</v>
      </c>
      <c r="E214" s="2" t="s">
        <v>4160</v>
      </c>
      <c r="F214" s="2" t="s">
        <v>4699</v>
      </c>
      <c r="G214" s="2"/>
      <c r="H214" s="2" t="s">
        <v>4700</v>
      </c>
    </row>
    <row r="215" customFormat="false" ht="15" hidden="false" customHeight="false" outlineLevel="0" collapsed="false">
      <c r="A215" s="2" t="n">
        <v>22</v>
      </c>
      <c r="B215" s="2" t="s">
        <v>356</v>
      </c>
      <c r="C215" s="2" t="s">
        <v>362</v>
      </c>
      <c r="D215" s="2" t="s">
        <v>4701</v>
      </c>
      <c r="E215" s="2" t="s">
        <v>4160</v>
      </c>
      <c r="F215" s="2" t="s">
        <v>4702</v>
      </c>
      <c r="G215" s="2"/>
      <c r="H215" s="2" t="s">
        <v>4703</v>
      </c>
    </row>
    <row r="216" customFormat="false" ht="15" hidden="false" customHeight="false" outlineLevel="0" collapsed="false">
      <c r="A216" s="2" t="n">
        <v>22</v>
      </c>
      <c r="B216" s="2" t="s">
        <v>356</v>
      </c>
      <c r="C216" s="2" t="s">
        <v>362</v>
      </c>
      <c r="D216" s="2" t="s">
        <v>4704</v>
      </c>
      <c r="E216" s="2" t="s">
        <v>4160</v>
      </c>
      <c r="F216" s="2" t="s">
        <v>4705</v>
      </c>
      <c r="G216" s="2"/>
      <c r="H216" s="2" t="s">
        <v>4706</v>
      </c>
    </row>
    <row r="217" customFormat="false" ht="15" hidden="false" customHeight="false" outlineLevel="0" collapsed="false">
      <c r="A217" s="2" t="n">
        <v>22</v>
      </c>
      <c r="B217" s="2" t="s">
        <v>356</v>
      </c>
      <c r="C217" s="2" t="s">
        <v>362</v>
      </c>
      <c r="D217" s="2" t="s">
        <v>4707</v>
      </c>
      <c r="E217" s="2" t="s">
        <v>4160</v>
      </c>
      <c r="F217" s="2" t="s">
        <v>4708</v>
      </c>
      <c r="G217" s="2"/>
      <c r="H217" s="2" t="s">
        <v>4709</v>
      </c>
    </row>
    <row r="218" customFormat="false" ht="15" hidden="false" customHeight="false" outlineLevel="0" collapsed="false">
      <c r="A218" s="2" t="n">
        <v>22</v>
      </c>
      <c r="B218" s="2" t="s">
        <v>356</v>
      </c>
      <c r="C218" s="2" t="s">
        <v>362</v>
      </c>
      <c r="D218" s="2" t="s">
        <v>4710</v>
      </c>
      <c r="E218" s="2" t="s">
        <v>4160</v>
      </c>
      <c r="F218" s="2" t="s">
        <v>4711</v>
      </c>
      <c r="G218" s="2"/>
      <c r="H218" s="2" t="s">
        <v>4712</v>
      </c>
    </row>
    <row r="219" customFormat="false" ht="15" hidden="false" customHeight="false" outlineLevel="0" collapsed="false">
      <c r="A219" s="2" t="n">
        <v>22</v>
      </c>
      <c r="B219" s="2" t="s">
        <v>356</v>
      </c>
      <c r="C219" s="2" t="s">
        <v>362</v>
      </c>
      <c r="D219" s="2" t="s">
        <v>4713</v>
      </c>
      <c r="E219" s="2" t="s">
        <v>4160</v>
      </c>
      <c r="F219" s="2" t="s">
        <v>4714</v>
      </c>
      <c r="G219" s="2"/>
      <c r="H219" s="2" t="s">
        <v>4715</v>
      </c>
    </row>
    <row r="220" customFormat="false" ht="15" hidden="false" customHeight="false" outlineLevel="0" collapsed="false">
      <c r="A220" s="2" t="n">
        <v>22</v>
      </c>
      <c r="B220" s="2" t="s">
        <v>356</v>
      </c>
      <c r="C220" s="2" t="s">
        <v>362</v>
      </c>
      <c r="D220" s="2" t="s">
        <v>4716</v>
      </c>
      <c r="E220" s="2" t="s">
        <v>4160</v>
      </c>
      <c r="F220" s="2" t="s">
        <v>4717</v>
      </c>
      <c r="G220" s="2"/>
      <c r="H220" s="2" t="s">
        <v>4718</v>
      </c>
    </row>
    <row r="221" customFormat="false" ht="15" hidden="false" customHeight="false" outlineLevel="0" collapsed="false">
      <c r="A221" s="2" t="n">
        <v>22</v>
      </c>
      <c r="B221" s="2" t="s">
        <v>356</v>
      </c>
      <c r="C221" s="2" t="s">
        <v>362</v>
      </c>
      <c r="D221" s="2" t="s">
        <v>4719</v>
      </c>
      <c r="E221" s="2" t="s">
        <v>4160</v>
      </c>
      <c r="F221" s="2" t="s">
        <v>4720</v>
      </c>
      <c r="G221" s="2"/>
      <c r="H221" s="2" t="s">
        <v>4721</v>
      </c>
    </row>
    <row r="222" customFormat="false" ht="15" hidden="false" customHeight="false" outlineLevel="0" collapsed="false">
      <c r="A222" s="2" t="n">
        <v>23</v>
      </c>
      <c r="B222" s="2" t="s">
        <v>369</v>
      </c>
      <c r="C222" s="2" t="s">
        <v>374</v>
      </c>
      <c r="D222" s="2" t="s">
        <v>4722</v>
      </c>
      <c r="E222" s="2" t="s">
        <v>4156</v>
      </c>
      <c r="F222" s="2" t="s">
        <v>365</v>
      </c>
      <c r="G222" s="2" t="s">
        <v>4723</v>
      </c>
      <c r="H222" s="2" t="s">
        <v>4724</v>
      </c>
    </row>
    <row r="223" customFormat="false" ht="15" hidden="false" customHeight="false" outlineLevel="0" collapsed="false">
      <c r="A223" s="2" t="n">
        <v>23</v>
      </c>
      <c r="B223" s="2" t="s">
        <v>369</v>
      </c>
      <c r="C223" s="2" t="s">
        <v>374</v>
      </c>
      <c r="D223" s="2" t="s">
        <v>4725</v>
      </c>
      <c r="E223" s="2" t="s">
        <v>4156</v>
      </c>
      <c r="F223" s="2" t="s">
        <v>377</v>
      </c>
      <c r="G223" s="2" t="s">
        <v>4726</v>
      </c>
      <c r="H223" s="2" t="s">
        <v>4727</v>
      </c>
    </row>
    <row r="224" customFormat="false" ht="15" hidden="false" customHeight="false" outlineLevel="0" collapsed="false">
      <c r="A224" s="2" t="n">
        <v>23</v>
      </c>
      <c r="B224" s="2" t="s">
        <v>369</v>
      </c>
      <c r="C224" s="2" t="s">
        <v>374</v>
      </c>
      <c r="D224" s="2" t="s">
        <v>4728</v>
      </c>
      <c r="E224" s="2" t="s">
        <v>4160</v>
      </c>
      <c r="F224" s="2" t="s">
        <v>4729</v>
      </c>
      <c r="G224" s="2"/>
      <c r="H224" s="2" t="s">
        <v>4730</v>
      </c>
    </row>
    <row r="225" customFormat="false" ht="15" hidden="false" customHeight="false" outlineLevel="0" collapsed="false">
      <c r="A225" s="2" t="n">
        <v>23</v>
      </c>
      <c r="B225" s="2" t="s">
        <v>369</v>
      </c>
      <c r="C225" s="2" t="s">
        <v>374</v>
      </c>
      <c r="D225" s="2" t="s">
        <v>4731</v>
      </c>
      <c r="E225" s="2" t="s">
        <v>4160</v>
      </c>
      <c r="F225" s="2" t="s">
        <v>4732</v>
      </c>
      <c r="G225" s="2"/>
      <c r="H225" s="2" t="s">
        <v>4733</v>
      </c>
    </row>
    <row r="226" customFormat="false" ht="15" hidden="false" customHeight="false" outlineLevel="0" collapsed="false">
      <c r="A226" s="2" t="n">
        <v>23</v>
      </c>
      <c r="B226" s="2" t="s">
        <v>369</v>
      </c>
      <c r="C226" s="2" t="s">
        <v>374</v>
      </c>
      <c r="D226" s="2" t="s">
        <v>4734</v>
      </c>
      <c r="E226" s="2" t="s">
        <v>4160</v>
      </c>
      <c r="F226" s="2" t="s">
        <v>4735</v>
      </c>
      <c r="G226" s="2"/>
      <c r="H226" s="2" t="s">
        <v>4736</v>
      </c>
    </row>
    <row r="227" customFormat="false" ht="15" hidden="false" customHeight="false" outlineLevel="0" collapsed="false">
      <c r="A227" s="2" t="n">
        <v>23</v>
      </c>
      <c r="B227" s="2" t="s">
        <v>369</v>
      </c>
      <c r="C227" s="2" t="s">
        <v>374</v>
      </c>
      <c r="D227" s="2" t="s">
        <v>4737</v>
      </c>
      <c r="E227" s="2" t="s">
        <v>4160</v>
      </c>
      <c r="F227" s="2" t="s">
        <v>4738</v>
      </c>
      <c r="G227" s="2"/>
      <c r="H227" s="2" t="s">
        <v>4739</v>
      </c>
    </row>
    <row r="228" customFormat="false" ht="15" hidden="false" customHeight="false" outlineLevel="0" collapsed="false">
      <c r="A228" s="2" t="n">
        <v>23</v>
      </c>
      <c r="B228" s="2" t="s">
        <v>369</v>
      </c>
      <c r="C228" s="2" t="s">
        <v>374</v>
      </c>
      <c r="D228" s="2" t="s">
        <v>4740</v>
      </c>
      <c r="E228" s="2" t="s">
        <v>4160</v>
      </c>
      <c r="F228" s="2" t="s">
        <v>4741</v>
      </c>
      <c r="G228" s="2" t="s">
        <v>4742</v>
      </c>
      <c r="H228" s="2" t="s">
        <v>4743</v>
      </c>
    </row>
    <row r="229" customFormat="false" ht="15" hidden="false" customHeight="false" outlineLevel="0" collapsed="false">
      <c r="A229" s="2" t="n">
        <v>23</v>
      </c>
      <c r="B229" s="2" t="s">
        <v>369</v>
      </c>
      <c r="C229" s="2" t="s">
        <v>374</v>
      </c>
      <c r="D229" s="2" t="s">
        <v>4744</v>
      </c>
      <c r="E229" s="2" t="s">
        <v>4160</v>
      </c>
      <c r="F229" s="2" t="s">
        <v>4613</v>
      </c>
      <c r="G229" s="2"/>
      <c r="H229" s="2" t="s">
        <v>4745</v>
      </c>
    </row>
    <row r="230" customFormat="false" ht="15" hidden="false" customHeight="false" outlineLevel="0" collapsed="false">
      <c r="A230" s="2" t="n">
        <v>23</v>
      </c>
      <c r="B230" s="2" t="s">
        <v>369</v>
      </c>
      <c r="C230" s="2" t="s">
        <v>374</v>
      </c>
      <c r="D230" s="2" t="s">
        <v>4746</v>
      </c>
      <c r="E230" s="2" t="s">
        <v>4160</v>
      </c>
      <c r="F230" s="2" t="s">
        <v>4747</v>
      </c>
      <c r="G230" s="2"/>
      <c r="H230" s="2" t="s">
        <v>4748</v>
      </c>
    </row>
    <row r="231" customFormat="false" ht="15" hidden="false" customHeight="false" outlineLevel="0" collapsed="false">
      <c r="A231" s="2" t="n">
        <v>23</v>
      </c>
      <c r="B231" s="2" t="s">
        <v>369</v>
      </c>
      <c r="C231" s="2" t="s">
        <v>374</v>
      </c>
      <c r="D231" s="2" t="s">
        <v>4749</v>
      </c>
      <c r="E231" s="2" t="s">
        <v>4160</v>
      </c>
      <c r="F231" s="2" t="s">
        <v>4750</v>
      </c>
      <c r="G231" s="2"/>
      <c r="H231" s="2" t="s">
        <v>4751</v>
      </c>
    </row>
    <row r="232" customFormat="false" ht="15" hidden="false" customHeight="false" outlineLevel="0" collapsed="false">
      <c r="A232" s="2" t="n">
        <v>24</v>
      </c>
      <c r="B232" s="2" t="s">
        <v>381</v>
      </c>
      <c r="C232" s="2" t="s">
        <v>386</v>
      </c>
      <c r="D232" s="2" t="s">
        <v>4752</v>
      </c>
      <c r="E232" s="2" t="s">
        <v>4156</v>
      </c>
      <c r="F232" s="2" t="s">
        <v>389</v>
      </c>
      <c r="G232" s="2" t="s">
        <v>4753</v>
      </c>
      <c r="H232" s="2" t="s">
        <v>4754</v>
      </c>
    </row>
    <row r="233" customFormat="false" ht="15" hidden="false" customHeight="false" outlineLevel="0" collapsed="false">
      <c r="A233" s="2" t="n">
        <v>24</v>
      </c>
      <c r="B233" s="2" t="s">
        <v>381</v>
      </c>
      <c r="C233" s="2" t="s">
        <v>386</v>
      </c>
      <c r="D233" s="2" t="s">
        <v>1126</v>
      </c>
      <c r="E233" s="2" t="s">
        <v>4156</v>
      </c>
      <c r="F233" s="2" t="s">
        <v>390</v>
      </c>
      <c r="G233" s="2" t="s">
        <v>4755</v>
      </c>
      <c r="H233" s="2" t="s">
        <v>1127</v>
      </c>
    </row>
    <row r="234" customFormat="false" ht="15" hidden="false" customHeight="false" outlineLevel="0" collapsed="false">
      <c r="A234" s="2" t="n">
        <v>24</v>
      </c>
      <c r="B234" s="2" t="s">
        <v>381</v>
      </c>
      <c r="C234" s="2" t="s">
        <v>386</v>
      </c>
      <c r="D234" s="2" t="s">
        <v>4756</v>
      </c>
      <c r="E234" s="2" t="s">
        <v>4160</v>
      </c>
      <c r="F234" s="2" t="s">
        <v>4757</v>
      </c>
      <c r="G234" s="2"/>
      <c r="H234" s="2" t="s">
        <v>4758</v>
      </c>
    </row>
    <row r="235" customFormat="false" ht="15" hidden="false" customHeight="false" outlineLevel="0" collapsed="false">
      <c r="A235" s="2" t="n">
        <v>24</v>
      </c>
      <c r="B235" s="2" t="s">
        <v>381</v>
      </c>
      <c r="C235" s="2" t="s">
        <v>386</v>
      </c>
      <c r="D235" s="2" t="s">
        <v>4759</v>
      </c>
      <c r="E235" s="2" t="s">
        <v>4160</v>
      </c>
      <c r="F235" s="2" t="s">
        <v>3961</v>
      </c>
      <c r="G235" s="2"/>
      <c r="H235" s="2" t="s">
        <v>4760</v>
      </c>
    </row>
    <row r="236" customFormat="false" ht="15" hidden="false" customHeight="false" outlineLevel="0" collapsed="false">
      <c r="A236" s="2" t="n">
        <v>24</v>
      </c>
      <c r="B236" s="2" t="s">
        <v>381</v>
      </c>
      <c r="C236" s="2" t="s">
        <v>386</v>
      </c>
      <c r="D236" s="2" t="s">
        <v>4761</v>
      </c>
      <c r="E236" s="2" t="s">
        <v>4160</v>
      </c>
      <c r="F236" s="2" t="s">
        <v>4042</v>
      </c>
      <c r="G236" s="2"/>
      <c r="H236" s="2" t="s">
        <v>4762</v>
      </c>
    </row>
    <row r="237" customFormat="false" ht="15" hidden="false" customHeight="false" outlineLevel="0" collapsed="false">
      <c r="A237" s="2" t="n">
        <v>25</v>
      </c>
      <c r="B237" s="2" t="s">
        <v>394</v>
      </c>
      <c r="C237" s="2" t="s">
        <v>400</v>
      </c>
      <c r="D237" s="2" t="s">
        <v>4763</v>
      </c>
      <c r="E237" s="2" t="s">
        <v>4160</v>
      </c>
      <c r="F237" s="2" t="s">
        <v>4764</v>
      </c>
      <c r="G237" s="2"/>
      <c r="H237" s="2" t="s">
        <v>4765</v>
      </c>
    </row>
    <row r="238" customFormat="false" ht="15" hidden="false" customHeight="false" outlineLevel="0" collapsed="false">
      <c r="A238" s="2" t="n">
        <v>25</v>
      </c>
      <c r="B238" s="2" t="s">
        <v>394</v>
      </c>
      <c r="C238" s="2" t="s">
        <v>400</v>
      </c>
      <c r="D238" s="2" t="s">
        <v>4766</v>
      </c>
      <c r="E238" s="2" t="s">
        <v>4160</v>
      </c>
      <c r="F238" s="2" t="s">
        <v>4767</v>
      </c>
      <c r="G238" s="2"/>
      <c r="H238" s="2" t="s">
        <v>4768</v>
      </c>
    </row>
    <row r="239" customFormat="false" ht="15" hidden="false" customHeight="false" outlineLevel="0" collapsed="false">
      <c r="A239" s="2" t="n">
        <v>26</v>
      </c>
      <c r="B239" s="2" t="s">
        <v>407</v>
      </c>
      <c r="C239" s="2" t="s">
        <v>413</v>
      </c>
      <c r="D239" s="2" t="s">
        <v>4769</v>
      </c>
      <c r="E239" s="2" t="s">
        <v>4160</v>
      </c>
      <c r="F239" s="2" t="s">
        <v>1968</v>
      </c>
      <c r="G239" s="2"/>
      <c r="H239" s="2" t="s">
        <v>4770</v>
      </c>
    </row>
    <row r="240" customFormat="false" ht="15" hidden="false" customHeight="false" outlineLevel="0" collapsed="false">
      <c r="A240" s="2" t="n">
        <v>27</v>
      </c>
      <c r="B240" s="2" t="s">
        <v>419</v>
      </c>
      <c r="C240" s="2" t="s">
        <v>425</v>
      </c>
      <c r="D240" s="2" t="s">
        <v>4771</v>
      </c>
      <c r="E240" s="2" t="s">
        <v>4160</v>
      </c>
      <c r="F240" s="2" t="s">
        <v>3477</v>
      </c>
      <c r="G240" s="2"/>
      <c r="H240" s="2" t="s">
        <v>4772</v>
      </c>
    </row>
    <row r="241" customFormat="false" ht="15" hidden="false" customHeight="false" outlineLevel="0" collapsed="false">
      <c r="A241" s="2" t="n">
        <v>27</v>
      </c>
      <c r="B241" s="2" t="s">
        <v>419</v>
      </c>
      <c r="C241" s="2" t="s">
        <v>425</v>
      </c>
      <c r="D241" s="2" t="s">
        <v>4773</v>
      </c>
      <c r="E241" s="2" t="s">
        <v>4160</v>
      </c>
      <c r="F241" s="2" t="s">
        <v>4774</v>
      </c>
      <c r="G241" s="2"/>
      <c r="H241" s="2" t="s">
        <v>4775</v>
      </c>
    </row>
    <row r="242" customFormat="false" ht="15" hidden="false" customHeight="false" outlineLevel="0" collapsed="false">
      <c r="A242" s="2" t="n">
        <v>27</v>
      </c>
      <c r="B242" s="2" t="s">
        <v>419</v>
      </c>
      <c r="C242" s="2" t="s">
        <v>425</v>
      </c>
      <c r="D242" s="2" t="s">
        <v>4776</v>
      </c>
      <c r="E242" s="2" t="s">
        <v>4160</v>
      </c>
      <c r="F242" s="2" t="s">
        <v>4777</v>
      </c>
      <c r="G242" s="2"/>
      <c r="H242" s="2" t="s">
        <v>4778</v>
      </c>
    </row>
    <row r="243" customFormat="false" ht="15" hidden="false" customHeight="false" outlineLevel="0" collapsed="false">
      <c r="A243" s="2" t="n">
        <v>27</v>
      </c>
      <c r="B243" s="2" t="s">
        <v>419</v>
      </c>
      <c r="C243" s="2" t="s">
        <v>425</v>
      </c>
      <c r="D243" s="2" t="s">
        <v>4779</v>
      </c>
      <c r="E243" s="2" t="s">
        <v>4160</v>
      </c>
      <c r="F243" s="2" t="s">
        <v>4780</v>
      </c>
      <c r="G243" s="2"/>
      <c r="H243" s="2" t="s">
        <v>4781</v>
      </c>
    </row>
    <row r="244" customFormat="false" ht="15" hidden="false" customHeight="false" outlineLevel="0" collapsed="false">
      <c r="A244" s="2" t="n">
        <v>28</v>
      </c>
      <c r="B244" s="2" t="s">
        <v>432</v>
      </c>
      <c r="C244" s="2" t="s">
        <v>434</v>
      </c>
      <c r="D244" s="2" t="s">
        <v>1158</v>
      </c>
      <c r="E244" s="2" t="s">
        <v>4156</v>
      </c>
      <c r="F244" s="2" t="s">
        <v>437</v>
      </c>
      <c r="G244" s="2" t="s">
        <v>4782</v>
      </c>
      <c r="H244" s="2" t="s">
        <v>1159</v>
      </c>
    </row>
    <row r="245" customFormat="false" ht="15" hidden="false" customHeight="false" outlineLevel="0" collapsed="false">
      <c r="A245" s="2" t="n">
        <v>28</v>
      </c>
      <c r="B245" s="2" t="s">
        <v>432</v>
      </c>
      <c r="C245" s="2" t="s">
        <v>434</v>
      </c>
      <c r="D245" s="2" t="s">
        <v>4783</v>
      </c>
      <c r="E245" s="2" t="s">
        <v>4160</v>
      </c>
      <c r="F245" s="2" t="s">
        <v>3477</v>
      </c>
      <c r="G245" s="2"/>
      <c r="H245" s="2" t="s">
        <v>4784</v>
      </c>
    </row>
    <row r="246" customFormat="false" ht="15" hidden="false" customHeight="false" outlineLevel="0" collapsed="false">
      <c r="A246" s="2" t="n">
        <v>28</v>
      </c>
      <c r="B246" s="2" t="s">
        <v>432</v>
      </c>
      <c r="C246" s="2" t="s">
        <v>434</v>
      </c>
      <c r="D246" s="2" t="s">
        <v>4785</v>
      </c>
      <c r="E246" s="2" t="s">
        <v>4160</v>
      </c>
      <c r="F246" s="2" t="s">
        <v>4786</v>
      </c>
      <c r="G246" s="2"/>
      <c r="H246" s="2" t="s">
        <v>4787</v>
      </c>
    </row>
    <row r="247" customFormat="false" ht="15" hidden="false" customHeight="false" outlineLevel="0" collapsed="false">
      <c r="A247" s="2" t="n">
        <v>28</v>
      </c>
      <c r="B247" s="2" t="s">
        <v>432</v>
      </c>
      <c r="C247" s="2" t="s">
        <v>434</v>
      </c>
      <c r="D247" s="2" t="s">
        <v>4788</v>
      </c>
      <c r="E247" s="2" t="s">
        <v>4160</v>
      </c>
      <c r="F247" s="2" t="s">
        <v>4215</v>
      </c>
      <c r="G247" s="2"/>
      <c r="H247" s="2" t="s">
        <v>4789</v>
      </c>
    </row>
    <row r="248" customFormat="false" ht="15" hidden="false" customHeight="false" outlineLevel="0" collapsed="false">
      <c r="A248" s="2" t="n">
        <v>29</v>
      </c>
      <c r="B248" s="2" t="s">
        <v>440</v>
      </c>
      <c r="C248" s="2" t="s">
        <v>446</v>
      </c>
      <c r="D248" s="2" t="s">
        <v>4790</v>
      </c>
      <c r="E248" s="2" t="s">
        <v>4156</v>
      </c>
      <c r="F248" s="2" t="s">
        <v>449</v>
      </c>
      <c r="G248" s="2" t="s">
        <v>4791</v>
      </c>
      <c r="H248" s="2" t="s">
        <v>4792</v>
      </c>
    </row>
    <row r="249" customFormat="false" ht="15" hidden="false" customHeight="false" outlineLevel="0" collapsed="false">
      <c r="A249" s="2" t="n">
        <v>29</v>
      </c>
      <c r="B249" s="2" t="s">
        <v>440</v>
      </c>
      <c r="C249" s="2" t="s">
        <v>446</v>
      </c>
      <c r="D249" s="2" t="s">
        <v>4793</v>
      </c>
      <c r="E249" s="2" t="s">
        <v>4156</v>
      </c>
      <c r="F249" s="2" t="s">
        <v>449</v>
      </c>
      <c r="G249" s="2" t="s">
        <v>4794</v>
      </c>
      <c r="H249" s="2" t="s">
        <v>4795</v>
      </c>
    </row>
    <row r="250" customFormat="false" ht="15" hidden="false" customHeight="false" outlineLevel="0" collapsed="false">
      <c r="A250" s="2" t="n">
        <v>29</v>
      </c>
      <c r="B250" s="2" t="s">
        <v>440</v>
      </c>
      <c r="C250" s="2" t="s">
        <v>446</v>
      </c>
      <c r="D250" s="2" t="s">
        <v>4796</v>
      </c>
      <c r="E250" s="2" t="s">
        <v>4156</v>
      </c>
      <c r="F250" s="2" t="s">
        <v>100</v>
      </c>
      <c r="G250" s="2" t="s">
        <v>4797</v>
      </c>
      <c r="H250" s="2" t="s">
        <v>4798</v>
      </c>
    </row>
    <row r="251" customFormat="false" ht="15" hidden="false" customHeight="false" outlineLevel="0" collapsed="false">
      <c r="A251" s="2" t="n">
        <v>29</v>
      </c>
      <c r="B251" s="2" t="s">
        <v>440</v>
      </c>
      <c r="C251" s="2" t="s">
        <v>446</v>
      </c>
      <c r="D251" s="2" t="s">
        <v>4799</v>
      </c>
      <c r="E251" s="2" t="s">
        <v>4156</v>
      </c>
      <c r="F251" s="2" t="s">
        <v>801</v>
      </c>
      <c r="G251" s="2" t="s">
        <v>4800</v>
      </c>
      <c r="H251" s="2" t="s">
        <v>4801</v>
      </c>
    </row>
    <row r="252" customFormat="false" ht="15" hidden="false" customHeight="false" outlineLevel="0" collapsed="false">
      <c r="A252" s="2" t="n">
        <v>29</v>
      </c>
      <c r="B252" s="2" t="s">
        <v>440</v>
      </c>
      <c r="C252" s="2" t="s">
        <v>446</v>
      </c>
      <c r="D252" s="2" t="s">
        <v>4802</v>
      </c>
      <c r="E252" s="2" t="s">
        <v>4156</v>
      </c>
      <c r="F252" s="2" t="s">
        <v>290</v>
      </c>
      <c r="G252" s="2" t="s">
        <v>4803</v>
      </c>
      <c r="H252" s="2" t="s">
        <v>4804</v>
      </c>
    </row>
    <row r="253" customFormat="false" ht="15" hidden="false" customHeight="false" outlineLevel="0" collapsed="false">
      <c r="A253" s="2" t="n">
        <v>29</v>
      </c>
      <c r="B253" s="2" t="s">
        <v>440</v>
      </c>
      <c r="C253" s="2" t="s">
        <v>446</v>
      </c>
      <c r="D253" s="2" t="s">
        <v>4805</v>
      </c>
      <c r="E253" s="2" t="s">
        <v>4156</v>
      </c>
      <c r="F253" s="2" t="s">
        <v>450</v>
      </c>
      <c r="G253" s="2" t="s">
        <v>4806</v>
      </c>
      <c r="H253" s="2" t="s">
        <v>4807</v>
      </c>
    </row>
    <row r="254" customFormat="false" ht="15" hidden="false" customHeight="false" outlineLevel="0" collapsed="false">
      <c r="A254" s="2" t="n">
        <v>29</v>
      </c>
      <c r="B254" s="2" t="s">
        <v>440</v>
      </c>
      <c r="C254" s="2" t="s">
        <v>446</v>
      </c>
      <c r="D254" s="2" t="s">
        <v>4808</v>
      </c>
      <c r="E254" s="2" t="s">
        <v>4160</v>
      </c>
      <c r="F254" s="2" t="s">
        <v>4809</v>
      </c>
      <c r="G254" s="2"/>
      <c r="H254" s="2" t="s">
        <v>4810</v>
      </c>
    </row>
    <row r="255" customFormat="false" ht="15" hidden="false" customHeight="false" outlineLevel="0" collapsed="false">
      <c r="A255" s="2" t="n">
        <v>29</v>
      </c>
      <c r="B255" s="2" t="s">
        <v>440</v>
      </c>
      <c r="C255" s="2" t="s">
        <v>446</v>
      </c>
      <c r="D255" s="2" t="s">
        <v>4811</v>
      </c>
      <c r="E255" s="2" t="s">
        <v>4160</v>
      </c>
      <c r="F255" s="2" t="s">
        <v>2706</v>
      </c>
      <c r="G255" s="2"/>
      <c r="H255" s="2" t="s">
        <v>4812</v>
      </c>
    </row>
    <row r="256" customFormat="false" ht="15" hidden="false" customHeight="false" outlineLevel="0" collapsed="false">
      <c r="A256" s="2" t="n">
        <v>29</v>
      </c>
      <c r="B256" s="2" t="s">
        <v>440</v>
      </c>
      <c r="C256" s="2" t="s">
        <v>446</v>
      </c>
      <c r="D256" s="2" t="s">
        <v>4813</v>
      </c>
      <c r="E256" s="2" t="s">
        <v>4160</v>
      </c>
      <c r="F256" s="2" t="s">
        <v>4814</v>
      </c>
      <c r="G256" s="2"/>
      <c r="H256" s="2" t="s">
        <v>4815</v>
      </c>
    </row>
    <row r="257" customFormat="false" ht="15" hidden="false" customHeight="false" outlineLevel="0" collapsed="false">
      <c r="A257" s="2" t="n">
        <v>30</v>
      </c>
      <c r="B257" s="2" t="s">
        <v>454</v>
      </c>
      <c r="C257" s="2" t="s">
        <v>460</v>
      </c>
      <c r="D257" s="2" t="s">
        <v>4816</v>
      </c>
      <c r="E257" s="2" t="s">
        <v>4160</v>
      </c>
      <c r="F257" s="2" t="s">
        <v>4817</v>
      </c>
      <c r="G257" s="2" t="s">
        <v>4818</v>
      </c>
      <c r="H257" s="2" t="s">
        <v>4819</v>
      </c>
    </row>
    <row r="258" customFormat="false" ht="15" hidden="false" customHeight="false" outlineLevel="0" collapsed="false">
      <c r="A258" s="2" t="n">
        <v>30</v>
      </c>
      <c r="B258" s="2" t="s">
        <v>454</v>
      </c>
      <c r="C258" s="2" t="s">
        <v>460</v>
      </c>
      <c r="D258" s="2" t="s">
        <v>4820</v>
      </c>
      <c r="E258" s="2" t="s">
        <v>4160</v>
      </c>
      <c r="F258" s="2" t="s">
        <v>4821</v>
      </c>
      <c r="G258" s="2"/>
      <c r="H258" s="2" t="s">
        <v>4822</v>
      </c>
    </row>
    <row r="259" customFormat="false" ht="15" hidden="false" customHeight="false" outlineLevel="0" collapsed="false">
      <c r="A259" s="2" t="n">
        <v>30</v>
      </c>
      <c r="B259" s="2" t="s">
        <v>454</v>
      </c>
      <c r="C259" s="2" t="s">
        <v>460</v>
      </c>
      <c r="D259" s="2" t="s">
        <v>4823</v>
      </c>
      <c r="E259" s="2" t="s">
        <v>4160</v>
      </c>
      <c r="F259" s="2" t="s">
        <v>4824</v>
      </c>
      <c r="G259" s="2"/>
      <c r="H259" s="2" t="s">
        <v>4825</v>
      </c>
    </row>
    <row r="260" customFormat="false" ht="15" hidden="false" customHeight="false" outlineLevel="0" collapsed="false">
      <c r="A260" s="2" t="n">
        <v>31</v>
      </c>
      <c r="B260" s="2" t="s">
        <v>466</v>
      </c>
      <c r="C260" s="2" t="s">
        <v>471</v>
      </c>
      <c r="D260" s="2" t="s">
        <v>460</v>
      </c>
      <c r="E260" s="2" t="s">
        <v>4156</v>
      </c>
      <c r="F260" s="2" t="s">
        <v>457</v>
      </c>
      <c r="G260" s="2" t="s">
        <v>4826</v>
      </c>
      <c r="H260" s="2" t="s">
        <v>461</v>
      </c>
    </row>
    <row r="261" customFormat="false" ht="15" hidden="false" customHeight="false" outlineLevel="0" collapsed="false">
      <c r="A261" s="2" t="n">
        <v>31</v>
      </c>
      <c r="B261" s="2" t="s">
        <v>466</v>
      </c>
      <c r="C261" s="2" t="s">
        <v>471</v>
      </c>
      <c r="D261" s="2" t="s">
        <v>434</v>
      </c>
      <c r="E261" s="2" t="s">
        <v>4156</v>
      </c>
      <c r="F261" s="2" t="s">
        <v>422</v>
      </c>
      <c r="G261" s="2" t="s">
        <v>4827</v>
      </c>
      <c r="H261" s="2" t="s">
        <v>435</v>
      </c>
    </row>
    <row r="262" customFormat="false" ht="15" hidden="false" customHeight="false" outlineLevel="0" collapsed="false">
      <c r="A262" s="2" t="n">
        <v>31</v>
      </c>
      <c r="B262" s="2" t="s">
        <v>466</v>
      </c>
      <c r="C262" s="2" t="s">
        <v>471</v>
      </c>
      <c r="D262" s="2" t="s">
        <v>425</v>
      </c>
      <c r="E262" s="2" t="s">
        <v>4156</v>
      </c>
      <c r="F262" s="2" t="s">
        <v>422</v>
      </c>
      <c r="G262" s="2" t="s">
        <v>4828</v>
      </c>
      <c r="H262" s="2" t="s">
        <v>426</v>
      </c>
    </row>
    <row r="263" customFormat="false" ht="15" hidden="false" customHeight="false" outlineLevel="0" collapsed="false">
      <c r="A263" s="2" t="n">
        <v>31</v>
      </c>
      <c r="B263" s="2" t="s">
        <v>466</v>
      </c>
      <c r="C263" s="2" t="s">
        <v>471</v>
      </c>
      <c r="D263" s="2" t="s">
        <v>970</v>
      </c>
      <c r="E263" s="2" t="s">
        <v>4156</v>
      </c>
      <c r="F263" s="2" t="s">
        <v>752</v>
      </c>
      <c r="G263" s="2" t="s">
        <v>4829</v>
      </c>
      <c r="H263" s="2" t="s">
        <v>971</v>
      </c>
    </row>
    <row r="264" customFormat="false" ht="15" hidden="false" customHeight="false" outlineLevel="0" collapsed="false">
      <c r="A264" s="2" t="n">
        <v>31</v>
      </c>
      <c r="B264" s="2" t="s">
        <v>466</v>
      </c>
      <c r="C264" s="2" t="s">
        <v>471</v>
      </c>
      <c r="D264" s="2" t="s">
        <v>1158</v>
      </c>
      <c r="E264" s="2" t="s">
        <v>4156</v>
      </c>
      <c r="F264" s="2" t="s">
        <v>437</v>
      </c>
      <c r="G264" s="2" t="s">
        <v>4782</v>
      </c>
      <c r="H264" s="2" t="s">
        <v>1159</v>
      </c>
    </row>
    <row r="265" customFormat="false" ht="15" hidden="false" customHeight="false" outlineLevel="0" collapsed="false">
      <c r="A265" s="2" t="n">
        <v>31</v>
      </c>
      <c r="B265" s="2" t="s">
        <v>466</v>
      </c>
      <c r="C265" s="2" t="s">
        <v>471</v>
      </c>
      <c r="D265" s="2" t="s">
        <v>4830</v>
      </c>
      <c r="E265" s="2" t="s">
        <v>4156</v>
      </c>
      <c r="F265" s="2" t="s">
        <v>450</v>
      </c>
      <c r="G265" s="2" t="s">
        <v>4831</v>
      </c>
      <c r="H265" s="2" t="s">
        <v>4832</v>
      </c>
    </row>
    <row r="266" customFormat="false" ht="15" hidden="false" customHeight="false" outlineLevel="0" collapsed="false">
      <c r="A266" s="2" t="n">
        <v>32</v>
      </c>
      <c r="B266" s="2" t="s">
        <v>477</v>
      </c>
      <c r="C266" s="2" t="s">
        <v>482</v>
      </c>
      <c r="D266" s="2" t="s">
        <v>802</v>
      </c>
      <c r="E266" s="2" t="s">
        <v>4156</v>
      </c>
      <c r="F266" s="2" t="s">
        <v>365</v>
      </c>
      <c r="G266" s="2" t="s">
        <v>4682</v>
      </c>
      <c r="H266" s="2" t="s">
        <v>803</v>
      </c>
    </row>
    <row r="267" customFormat="false" ht="15" hidden="false" customHeight="false" outlineLevel="0" collapsed="false">
      <c r="A267" s="2" t="n">
        <v>32</v>
      </c>
      <c r="B267" s="2" t="s">
        <v>477</v>
      </c>
      <c r="C267" s="2" t="s">
        <v>482</v>
      </c>
      <c r="D267" s="2" t="s">
        <v>4833</v>
      </c>
      <c r="E267" s="2" t="s">
        <v>4160</v>
      </c>
      <c r="F267" s="2" t="s">
        <v>4834</v>
      </c>
      <c r="G267" s="2" t="s">
        <v>4835</v>
      </c>
      <c r="H267" s="2" t="s">
        <v>4836</v>
      </c>
    </row>
    <row r="268" customFormat="false" ht="15" hidden="false" customHeight="false" outlineLevel="0" collapsed="false">
      <c r="A268" s="2" t="n">
        <v>32</v>
      </c>
      <c r="B268" s="2" t="s">
        <v>477</v>
      </c>
      <c r="C268" s="2" t="s">
        <v>482</v>
      </c>
      <c r="D268" s="2" t="s">
        <v>4837</v>
      </c>
      <c r="E268" s="2" t="s">
        <v>4160</v>
      </c>
      <c r="F268" s="2" t="s">
        <v>4747</v>
      </c>
      <c r="G268" s="2"/>
      <c r="H268" s="2" t="s">
        <v>4838</v>
      </c>
    </row>
    <row r="269" customFormat="false" ht="15" hidden="false" customHeight="false" outlineLevel="0" collapsed="false">
      <c r="A269" s="2" t="n">
        <v>32</v>
      </c>
      <c r="B269" s="2" t="s">
        <v>477</v>
      </c>
      <c r="C269" s="2" t="s">
        <v>482</v>
      </c>
      <c r="D269" s="2" t="s">
        <v>4839</v>
      </c>
      <c r="E269" s="2" t="s">
        <v>4160</v>
      </c>
      <c r="F269" s="2" t="s">
        <v>4840</v>
      </c>
      <c r="G269" s="2"/>
      <c r="H269" s="2" t="s">
        <v>4841</v>
      </c>
    </row>
    <row r="270" customFormat="false" ht="15" hidden="false" customHeight="false" outlineLevel="0" collapsed="false">
      <c r="A270" s="2" t="n">
        <v>32</v>
      </c>
      <c r="B270" s="2" t="s">
        <v>477</v>
      </c>
      <c r="C270" s="2" t="s">
        <v>482</v>
      </c>
      <c r="D270" s="2" t="s">
        <v>4842</v>
      </c>
      <c r="E270" s="2" t="s">
        <v>4160</v>
      </c>
      <c r="F270" s="2" t="s">
        <v>4843</v>
      </c>
      <c r="G270" s="2"/>
      <c r="H270" s="2" t="s">
        <v>4844</v>
      </c>
    </row>
    <row r="271" customFormat="false" ht="15" hidden="false" customHeight="false" outlineLevel="0" collapsed="false">
      <c r="A271" s="2" t="n">
        <v>32</v>
      </c>
      <c r="B271" s="2" t="s">
        <v>477</v>
      </c>
      <c r="C271" s="2" t="s">
        <v>482</v>
      </c>
      <c r="D271" s="2" t="s">
        <v>4845</v>
      </c>
      <c r="E271" s="2" t="s">
        <v>4160</v>
      </c>
      <c r="F271" s="2" t="s">
        <v>2378</v>
      </c>
      <c r="G271" s="2" t="s">
        <v>4846</v>
      </c>
      <c r="H271" s="2" t="s">
        <v>4847</v>
      </c>
    </row>
    <row r="272" customFormat="false" ht="15" hidden="false" customHeight="false" outlineLevel="0" collapsed="false">
      <c r="A272" s="2" t="n">
        <v>32</v>
      </c>
      <c r="B272" s="2" t="s">
        <v>477</v>
      </c>
      <c r="C272" s="2" t="s">
        <v>482</v>
      </c>
      <c r="D272" s="2" t="s">
        <v>4848</v>
      </c>
      <c r="E272" s="2" t="s">
        <v>4160</v>
      </c>
      <c r="F272" s="2" t="s">
        <v>4849</v>
      </c>
      <c r="G272" s="2"/>
      <c r="H272" s="2" t="s">
        <v>4850</v>
      </c>
    </row>
    <row r="273" customFormat="false" ht="15" hidden="false" customHeight="false" outlineLevel="0" collapsed="false">
      <c r="A273" s="2" t="n">
        <v>32</v>
      </c>
      <c r="B273" s="2" t="s">
        <v>477</v>
      </c>
      <c r="C273" s="2" t="s">
        <v>482</v>
      </c>
      <c r="D273" s="2" t="s">
        <v>4851</v>
      </c>
      <c r="E273" s="2" t="s">
        <v>4160</v>
      </c>
      <c r="F273" s="2" t="s">
        <v>4852</v>
      </c>
      <c r="G273" s="2"/>
      <c r="H273" s="2" t="s">
        <v>4853</v>
      </c>
    </row>
    <row r="274" customFormat="false" ht="15" hidden="false" customHeight="false" outlineLevel="0" collapsed="false">
      <c r="A274" s="2" t="n">
        <v>33</v>
      </c>
      <c r="B274" s="2" t="s">
        <v>488</v>
      </c>
      <c r="C274" s="2" t="s">
        <v>492</v>
      </c>
      <c r="D274" s="2" t="s">
        <v>4854</v>
      </c>
      <c r="E274" s="2" t="s">
        <v>4160</v>
      </c>
      <c r="F274" s="2" t="s">
        <v>423</v>
      </c>
      <c r="G274" s="2"/>
      <c r="H274" s="2" t="s">
        <v>4855</v>
      </c>
    </row>
    <row r="275" customFormat="false" ht="15" hidden="false" customHeight="false" outlineLevel="0" collapsed="false">
      <c r="A275" s="2" t="n">
        <v>33</v>
      </c>
      <c r="B275" s="2" t="s">
        <v>488</v>
      </c>
      <c r="C275" s="2" t="s">
        <v>492</v>
      </c>
      <c r="D275" s="2" t="s">
        <v>4856</v>
      </c>
      <c r="E275" s="2" t="s">
        <v>4160</v>
      </c>
      <c r="F275" s="2" t="s">
        <v>4857</v>
      </c>
      <c r="G275" s="2"/>
      <c r="H275" s="2" t="s">
        <v>4858</v>
      </c>
    </row>
    <row r="276" customFormat="false" ht="15" hidden="false" customHeight="false" outlineLevel="0" collapsed="false">
      <c r="A276" s="2" t="n">
        <v>33</v>
      </c>
      <c r="B276" s="2" t="s">
        <v>488</v>
      </c>
      <c r="C276" s="2" t="s">
        <v>492</v>
      </c>
      <c r="D276" s="2" t="s">
        <v>4859</v>
      </c>
      <c r="E276" s="2" t="s">
        <v>4160</v>
      </c>
      <c r="F276" s="2" t="s">
        <v>4547</v>
      </c>
      <c r="G276" s="2"/>
      <c r="H276" s="2" t="s">
        <v>4860</v>
      </c>
    </row>
    <row r="277" customFormat="false" ht="15" hidden="false" customHeight="false" outlineLevel="0" collapsed="false">
      <c r="A277" s="2" t="n">
        <v>34</v>
      </c>
      <c r="B277" s="2" t="s">
        <v>498</v>
      </c>
      <c r="C277" s="2" t="s">
        <v>500</v>
      </c>
      <c r="D277" s="2" t="s">
        <v>4861</v>
      </c>
      <c r="E277" s="2" t="s">
        <v>4160</v>
      </c>
      <c r="F277" s="2" t="s">
        <v>4862</v>
      </c>
      <c r="G277" s="2"/>
      <c r="H277" s="2" t="s">
        <v>4863</v>
      </c>
    </row>
    <row r="278" customFormat="false" ht="15" hidden="false" customHeight="false" outlineLevel="0" collapsed="false">
      <c r="A278" s="2" t="n">
        <v>35</v>
      </c>
      <c r="B278" s="2" t="s">
        <v>507</v>
      </c>
      <c r="C278" s="2" t="s">
        <v>512</v>
      </c>
      <c r="D278" s="2" t="s">
        <v>4864</v>
      </c>
      <c r="E278" s="2" t="s">
        <v>4160</v>
      </c>
      <c r="F278" s="2" t="s">
        <v>4865</v>
      </c>
      <c r="G278" s="2"/>
      <c r="H278" s="2" t="s">
        <v>4866</v>
      </c>
    </row>
    <row r="279" customFormat="false" ht="15" hidden="false" customHeight="false" outlineLevel="0" collapsed="false">
      <c r="A279" s="2" t="n">
        <v>35</v>
      </c>
      <c r="B279" s="2" t="s">
        <v>507</v>
      </c>
      <c r="C279" s="2" t="s">
        <v>512</v>
      </c>
      <c r="D279" s="2" t="s">
        <v>4867</v>
      </c>
      <c r="E279" s="2" t="s">
        <v>4160</v>
      </c>
      <c r="F279" s="2" t="s">
        <v>4868</v>
      </c>
      <c r="G279" s="2"/>
      <c r="H279" s="2" t="s">
        <v>4869</v>
      </c>
    </row>
    <row r="280" customFormat="false" ht="15" hidden="false" customHeight="false" outlineLevel="0" collapsed="false">
      <c r="A280" s="2" t="n">
        <v>35</v>
      </c>
      <c r="B280" s="2" t="s">
        <v>507</v>
      </c>
      <c r="C280" s="2" t="s">
        <v>512</v>
      </c>
      <c r="D280" s="2" t="s">
        <v>4870</v>
      </c>
      <c r="E280" s="2" t="s">
        <v>4160</v>
      </c>
      <c r="F280" s="2" t="s">
        <v>4871</v>
      </c>
      <c r="G280" s="2"/>
      <c r="H280" s="2" t="s">
        <v>4872</v>
      </c>
    </row>
    <row r="281" customFormat="false" ht="15" hidden="false" customHeight="false" outlineLevel="0" collapsed="false">
      <c r="A281" s="2" t="n">
        <v>36</v>
      </c>
      <c r="B281" s="2" t="s">
        <v>518</v>
      </c>
      <c r="C281" s="2" t="s">
        <v>522</v>
      </c>
      <c r="D281" s="2" t="s">
        <v>771</v>
      </c>
      <c r="E281" s="2" t="s">
        <v>4156</v>
      </c>
      <c r="F281" s="2" t="s">
        <v>525</v>
      </c>
      <c r="G281" s="2" t="s">
        <v>4873</v>
      </c>
      <c r="H281" s="2" t="s">
        <v>772</v>
      </c>
    </row>
    <row r="282" customFormat="false" ht="15" hidden="false" customHeight="false" outlineLevel="0" collapsed="false">
      <c r="A282" s="2" t="n">
        <v>36</v>
      </c>
      <c r="B282" s="2" t="s">
        <v>518</v>
      </c>
      <c r="C282" s="2" t="s">
        <v>522</v>
      </c>
      <c r="D282" s="2" t="s">
        <v>1137</v>
      </c>
      <c r="E282" s="2" t="s">
        <v>4156</v>
      </c>
      <c r="F282" s="2" t="s">
        <v>276</v>
      </c>
      <c r="G282" s="2" t="s">
        <v>4874</v>
      </c>
      <c r="H282" s="2" t="s">
        <v>1138</v>
      </c>
    </row>
    <row r="283" customFormat="false" ht="15" hidden="false" customHeight="false" outlineLevel="0" collapsed="false">
      <c r="A283" s="2" t="n">
        <v>36</v>
      </c>
      <c r="B283" s="2" t="s">
        <v>518</v>
      </c>
      <c r="C283" s="2" t="s">
        <v>522</v>
      </c>
      <c r="D283" s="2" t="s">
        <v>1354</v>
      </c>
      <c r="E283" s="2" t="s">
        <v>4156</v>
      </c>
      <c r="F283" s="2" t="s">
        <v>276</v>
      </c>
      <c r="G283" s="2" t="s">
        <v>4875</v>
      </c>
      <c r="H283" s="2" t="s">
        <v>1355</v>
      </c>
    </row>
    <row r="284" customFormat="false" ht="15" hidden="false" customHeight="false" outlineLevel="0" collapsed="false">
      <c r="A284" s="2" t="n">
        <v>36</v>
      </c>
      <c r="B284" s="2" t="s">
        <v>518</v>
      </c>
      <c r="C284" s="2" t="s">
        <v>522</v>
      </c>
      <c r="D284" s="2" t="s">
        <v>1146</v>
      </c>
      <c r="E284" s="2" t="s">
        <v>4156</v>
      </c>
      <c r="F284" s="2" t="s">
        <v>437</v>
      </c>
      <c r="G284" s="2" t="s">
        <v>4876</v>
      </c>
      <c r="H284" s="2" t="s">
        <v>1147</v>
      </c>
    </row>
    <row r="285" customFormat="false" ht="15" hidden="false" customHeight="false" outlineLevel="0" collapsed="false">
      <c r="A285" s="2" t="n">
        <v>36</v>
      </c>
      <c r="B285" s="2" t="s">
        <v>518</v>
      </c>
      <c r="C285" s="2" t="s">
        <v>522</v>
      </c>
      <c r="D285" s="2" t="s">
        <v>4830</v>
      </c>
      <c r="E285" s="2" t="s">
        <v>4156</v>
      </c>
      <c r="F285" s="2" t="s">
        <v>450</v>
      </c>
      <c r="G285" s="2" t="s">
        <v>4831</v>
      </c>
      <c r="H285" s="2" t="s">
        <v>4832</v>
      </c>
    </row>
    <row r="286" customFormat="false" ht="15" hidden="false" customHeight="false" outlineLevel="0" collapsed="false">
      <c r="A286" s="2" t="n">
        <v>36</v>
      </c>
      <c r="B286" s="2" t="s">
        <v>518</v>
      </c>
      <c r="C286" s="2" t="s">
        <v>522</v>
      </c>
      <c r="D286" s="2" t="s">
        <v>4877</v>
      </c>
      <c r="E286" s="2" t="s">
        <v>4156</v>
      </c>
      <c r="F286" s="2" t="s">
        <v>526</v>
      </c>
      <c r="G286" s="2" t="s">
        <v>4878</v>
      </c>
      <c r="H286" s="2" t="s">
        <v>4879</v>
      </c>
    </row>
    <row r="287" customFormat="false" ht="15" hidden="false" customHeight="false" outlineLevel="0" collapsed="false">
      <c r="A287" s="2" t="n">
        <v>36</v>
      </c>
      <c r="B287" s="2" t="s">
        <v>518</v>
      </c>
      <c r="C287" s="2" t="s">
        <v>522</v>
      </c>
      <c r="D287" s="2" t="s">
        <v>4880</v>
      </c>
      <c r="E287" s="2" t="s">
        <v>4160</v>
      </c>
      <c r="F287" s="2" t="s">
        <v>4881</v>
      </c>
      <c r="G287" s="2"/>
      <c r="H287" s="2" t="s">
        <v>4882</v>
      </c>
    </row>
    <row r="288" customFormat="false" ht="15" hidden="false" customHeight="false" outlineLevel="0" collapsed="false">
      <c r="A288" s="2" t="n">
        <v>36</v>
      </c>
      <c r="B288" s="2" t="s">
        <v>518</v>
      </c>
      <c r="C288" s="2" t="s">
        <v>522</v>
      </c>
      <c r="D288" s="2" t="s">
        <v>4883</v>
      </c>
      <c r="E288" s="2" t="s">
        <v>4160</v>
      </c>
      <c r="F288" s="2" t="s">
        <v>3452</v>
      </c>
      <c r="G288" s="2"/>
      <c r="H288" s="2" t="s">
        <v>4884</v>
      </c>
    </row>
    <row r="289" customFormat="false" ht="15" hidden="false" customHeight="false" outlineLevel="0" collapsed="false">
      <c r="A289" s="2" t="n">
        <v>37</v>
      </c>
      <c r="B289" s="2" t="s">
        <v>530</v>
      </c>
      <c r="C289" s="2" t="s">
        <v>535</v>
      </c>
      <c r="D289" s="2" t="s">
        <v>4885</v>
      </c>
      <c r="E289" s="2" t="s">
        <v>4156</v>
      </c>
      <c r="F289" s="2" t="s">
        <v>450</v>
      </c>
      <c r="G289" s="2" t="s">
        <v>4886</v>
      </c>
      <c r="H289" s="2" t="s">
        <v>4887</v>
      </c>
    </row>
    <row r="290" customFormat="false" ht="15" hidden="false" customHeight="false" outlineLevel="0" collapsed="false">
      <c r="A290" s="2" t="n">
        <v>37</v>
      </c>
      <c r="B290" s="2" t="s">
        <v>530</v>
      </c>
      <c r="C290" s="2" t="s">
        <v>535</v>
      </c>
      <c r="D290" s="2" t="s">
        <v>4888</v>
      </c>
      <c r="E290" s="2" t="s">
        <v>4160</v>
      </c>
      <c r="F290" s="2" t="s">
        <v>4889</v>
      </c>
      <c r="G290" s="2"/>
      <c r="H290" s="2" t="s">
        <v>4890</v>
      </c>
    </row>
    <row r="291" customFormat="false" ht="15" hidden="false" customHeight="false" outlineLevel="0" collapsed="false">
      <c r="A291" s="2" t="n">
        <v>37</v>
      </c>
      <c r="B291" s="2" t="s">
        <v>530</v>
      </c>
      <c r="C291" s="2" t="s">
        <v>535</v>
      </c>
      <c r="D291" s="2" t="s">
        <v>4891</v>
      </c>
      <c r="E291" s="2" t="s">
        <v>4160</v>
      </c>
      <c r="F291" s="2" t="s">
        <v>4892</v>
      </c>
      <c r="G291" s="2"/>
      <c r="H291" s="2" t="s">
        <v>4893</v>
      </c>
    </row>
    <row r="292" customFormat="false" ht="15" hidden="false" customHeight="false" outlineLevel="0" collapsed="false">
      <c r="A292" s="2" t="n">
        <v>37</v>
      </c>
      <c r="B292" s="2" t="s">
        <v>530</v>
      </c>
      <c r="C292" s="2" t="s">
        <v>535</v>
      </c>
      <c r="D292" s="2" t="s">
        <v>4894</v>
      </c>
      <c r="E292" s="2" t="s">
        <v>4160</v>
      </c>
      <c r="F292" s="2" t="s">
        <v>4895</v>
      </c>
      <c r="G292" s="2"/>
      <c r="H292" s="2" t="s">
        <v>4896</v>
      </c>
    </row>
    <row r="293" customFormat="false" ht="15" hidden="false" customHeight="false" outlineLevel="0" collapsed="false">
      <c r="A293" s="2" t="n">
        <v>37</v>
      </c>
      <c r="B293" s="2" t="s">
        <v>530</v>
      </c>
      <c r="C293" s="2" t="s">
        <v>535</v>
      </c>
      <c r="D293" s="2" t="s">
        <v>4897</v>
      </c>
      <c r="E293" s="2" t="s">
        <v>4160</v>
      </c>
      <c r="F293" s="2" t="s">
        <v>1630</v>
      </c>
      <c r="G293" s="2"/>
      <c r="H293" s="2" t="s">
        <v>4898</v>
      </c>
    </row>
    <row r="294" customFormat="false" ht="15" hidden="false" customHeight="false" outlineLevel="0" collapsed="false">
      <c r="A294" s="2" t="n">
        <v>37</v>
      </c>
      <c r="B294" s="2" t="s">
        <v>530</v>
      </c>
      <c r="C294" s="2" t="s">
        <v>535</v>
      </c>
      <c r="D294" s="2" t="s">
        <v>4899</v>
      </c>
      <c r="E294" s="2" t="s">
        <v>4160</v>
      </c>
      <c r="F294" s="2" t="s">
        <v>4900</v>
      </c>
      <c r="G294" s="2"/>
      <c r="H294" s="2" t="s">
        <v>4901</v>
      </c>
    </row>
    <row r="295" customFormat="false" ht="15" hidden="false" customHeight="false" outlineLevel="0" collapsed="false">
      <c r="A295" s="2" t="n">
        <v>37</v>
      </c>
      <c r="B295" s="2" t="s">
        <v>530</v>
      </c>
      <c r="C295" s="2" t="s">
        <v>535</v>
      </c>
      <c r="D295" s="2" t="s">
        <v>4902</v>
      </c>
      <c r="E295" s="2" t="s">
        <v>4160</v>
      </c>
      <c r="F295" s="2" t="s">
        <v>4903</v>
      </c>
      <c r="G295" s="2"/>
      <c r="H295" s="2" t="s">
        <v>4904</v>
      </c>
    </row>
    <row r="296" customFormat="false" ht="15" hidden="false" customHeight="false" outlineLevel="0" collapsed="false">
      <c r="A296" s="2" t="n">
        <v>37</v>
      </c>
      <c r="B296" s="2" t="s">
        <v>530</v>
      </c>
      <c r="C296" s="2" t="s">
        <v>535</v>
      </c>
      <c r="D296" s="2" t="s">
        <v>4905</v>
      </c>
      <c r="E296" s="2" t="s">
        <v>4160</v>
      </c>
      <c r="F296" s="2" t="s">
        <v>4906</v>
      </c>
      <c r="G296" s="2"/>
      <c r="H296" s="2" t="s">
        <v>4907</v>
      </c>
    </row>
    <row r="297" customFormat="false" ht="15" hidden="false" customHeight="false" outlineLevel="0" collapsed="false">
      <c r="A297" s="2" t="n">
        <v>39</v>
      </c>
      <c r="B297" s="2" t="s">
        <v>550</v>
      </c>
      <c r="C297" s="2" t="s">
        <v>555</v>
      </c>
      <c r="D297" s="2" t="s">
        <v>2794</v>
      </c>
      <c r="E297" s="2" t="s">
        <v>4156</v>
      </c>
      <c r="F297" s="2" t="s">
        <v>558</v>
      </c>
      <c r="G297" s="2" t="s">
        <v>2795</v>
      </c>
      <c r="H297" s="2" t="s">
        <v>2796</v>
      </c>
    </row>
    <row r="298" customFormat="false" ht="15" hidden="false" customHeight="false" outlineLevel="0" collapsed="false">
      <c r="A298" s="2" t="n">
        <v>39</v>
      </c>
      <c r="B298" s="2" t="s">
        <v>550</v>
      </c>
      <c r="C298" s="2" t="s">
        <v>555</v>
      </c>
      <c r="D298" s="2" t="s">
        <v>2797</v>
      </c>
      <c r="E298" s="2" t="s">
        <v>4156</v>
      </c>
      <c r="F298" s="2" t="s">
        <v>559</v>
      </c>
      <c r="G298" s="2" t="s">
        <v>2798</v>
      </c>
      <c r="H298" s="2" t="s">
        <v>2799</v>
      </c>
    </row>
    <row r="299" customFormat="false" ht="15" hidden="false" customHeight="false" outlineLevel="0" collapsed="false">
      <c r="A299" s="2" t="n">
        <v>39</v>
      </c>
      <c r="B299" s="2" t="s">
        <v>550</v>
      </c>
      <c r="C299" s="2" t="s">
        <v>555</v>
      </c>
      <c r="D299" s="2" t="s">
        <v>4908</v>
      </c>
      <c r="E299" s="2" t="s">
        <v>4160</v>
      </c>
      <c r="F299" s="2" t="s">
        <v>4190</v>
      </c>
      <c r="G299" s="2"/>
      <c r="H299" s="2" t="s">
        <v>4909</v>
      </c>
    </row>
    <row r="300" customFormat="false" ht="15" hidden="false" customHeight="false" outlineLevel="0" collapsed="false">
      <c r="A300" s="2" t="n">
        <v>41</v>
      </c>
      <c r="B300" s="2" t="s">
        <v>572</v>
      </c>
      <c r="C300" s="2" t="s">
        <v>577</v>
      </c>
      <c r="D300" s="2" t="s">
        <v>4910</v>
      </c>
      <c r="E300" s="2" t="s">
        <v>4156</v>
      </c>
      <c r="F300" s="2" t="s">
        <v>580</v>
      </c>
      <c r="G300" s="2" t="s">
        <v>4911</v>
      </c>
      <c r="H300" s="2" t="s">
        <v>4912</v>
      </c>
    </row>
    <row r="301" customFormat="false" ht="15" hidden="false" customHeight="false" outlineLevel="0" collapsed="false">
      <c r="A301" s="2" t="n">
        <v>41</v>
      </c>
      <c r="B301" s="2" t="s">
        <v>572</v>
      </c>
      <c r="C301" s="2" t="s">
        <v>577</v>
      </c>
      <c r="D301" s="2" t="s">
        <v>1137</v>
      </c>
      <c r="E301" s="2" t="s">
        <v>4156</v>
      </c>
      <c r="F301" s="2" t="s">
        <v>276</v>
      </c>
      <c r="G301" s="2" t="s">
        <v>4874</v>
      </c>
      <c r="H301" s="2" t="s">
        <v>1138</v>
      </c>
    </row>
    <row r="302" customFormat="false" ht="15" hidden="false" customHeight="false" outlineLevel="0" collapsed="false">
      <c r="A302" s="2" t="n">
        <v>41</v>
      </c>
      <c r="B302" s="2" t="s">
        <v>572</v>
      </c>
      <c r="C302" s="2" t="s">
        <v>577</v>
      </c>
      <c r="D302" s="2" t="s">
        <v>1042</v>
      </c>
      <c r="E302" s="2" t="s">
        <v>4156</v>
      </c>
      <c r="F302" s="2" t="s">
        <v>142</v>
      </c>
      <c r="G302" s="2" t="s">
        <v>4913</v>
      </c>
      <c r="H302" s="2" t="s">
        <v>1043</v>
      </c>
    </row>
    <row r="303" customFormat="false" ht="15" hidden="false" customHeight="false" outlineLevel="0" collapsed="false">
      <c r="A303" s="2" t="n">
        <v>41</v>
      </c>
      <c r="B303" s="2" t="s">
        <v>572</v>
      </c>
      <c r="C303" s="2" t="s">
        <v>577</v>
      </c>
      <c r="D303" s="2" t="s">
        <v>4914</v>
      </c>
      <c r="E303" s="2" t="s">
        <v>4156</v>
      </c>
      <c r="F303" s="2" t="s">
        <v>450</v>
      </c>
      <c r="G303" s="2" t="s">
        <v>4915</v>
      </c>
      <c r="H303" s="2" t="s">
        <v>4916</v>
      </c>
    </row>
    <row r="304" customFormat="false" ht="15" hidden="false" customHeight="false" outlineLevel="0" collapsed="false">
      <c r="A304" s="2" t="n">
        <v>41</v>
      </c>
      <c r="B304" s="2" t="s">
        <v>572</v>
      </c>
      <c r="C304" s="2" t="s">
        <v>577</v>
      </c>
      <c r="D304" s="2" t="s">
        <v>4917</v>
      </c>
      <c r="E304" s="2" t="s">
        <v>4156</v>
      </c>
      <c r="F304" s="2" t="s">
        <v>450</v>
      </c>
      <c r="G304" s="2" t="s">
        <v>4918</v>
      </c>
      <c r="H304" s="2" t="s">
        <v>4919</v>
      </c>
    </row>
    <row r="305" customFormat="false" ht="15" hidden="false" customHeight="false" outlineLevel="0" collapsed="false">
      <c r="A305" s="2" t="n">
        <v>41</v>
      </c>
      <c r="B305" s="2" t="s">
        <v>572</v>
      </c>
      <c r="C305" s="2" t="s">
        <v>577</v>
      </c>
      <c r="D305" s="2" t="s">
        <v>4920</v>
      </c>
      <c r="E305" s="2" t="s">
        <v>4156</v>
      </c>
      <c r="F305" s="2" t="s">
        <v>581</v>
      </c>
      <c r="G305" s="2" t="s">
        <v>4921</v>
      </c>
      <c r="H305" s="2" t="s">
        <v>4922</v>
      </c>
    </row>
    <row r="306" customFormat="false" ht="15" hidden="false" customHeight="false" outlineLevel="0" collapsed="false">
      <c r="A306" s="2" t="n">
        <v>41</v>
      </c>
      <c r="B306" s="2" t="s">
        <v>572</v>
      </c>
      <c r="C306" s="2" t="s">
        <v>577</v>
      </c>
      <c r="D306" s="2" t="s">
        <v>4923</v>
      </c>
      <c r="E306" s="2" t="s">
        <v>4160</v>
      </c>
      <c r="F306" s="2" t="s">
        <v>4924</v>
      </c>
      <c r="G306" s="2"/>
      <c r="H306" s="2" t="s">
        <v>4925</v>
      </c>
    </row>
    <row r="307" customFormat="false" ht="15" hidden="false" customHeight="false" outlineLevel="0" collapsed="false">
      <c r="A307" s="2" t="n">
        <v>41</v>
      </c>
      <c r="B307" s="2" t="s">
        <v>572</v>
      </c>
      <c r="C307" s="2" t="s">
        <v>577</v>
      </c>
      <c r="D307" s="2" t="s">
        <v>4926</v>
      </c>
      <c r="E307" s="2" t="s">
        <v>4160</v>
      </c>
      <c r="F307" s="2" t="s">
        <v>4927</v>
      </c>
      <c r="G307" s="2"/>
      <c r="H307" s="2" t="s">
        <v>4928</v>
      </c>
    </row>
    <row r="308" customFormat="false" ht="15" hidden="false" customHeight="false" outlineLevel="0" collapsed="false">
      <c r="A308" s="2" t="n">
        <v>41</v>
      </c>
      <c r="B308" s="2" t="s">
        <v>572</v>
      </c>
      <c r="C308" s="2" t="s">
        <v>577</v>
      </c>
      <c r="D308" s="2" t="s">
        <v>4929</v>
      </c>
      <c r="E308" s="2" t="s">
        <v>4160</v>
      </c>
      <c r="F308" s="2" t="s">
        <v>4930</v>
      </c>
      <c r="G308" s="2"/>
      <c r="H308" s="2" t="s">
        <v>4931</v>
      </c>
    </row>
    <row r="309" customFormat="false" ht="15" hidden="false" customHeight="false" outlineLevel="0" collapsed="false">
      <c r="A309" s="2" t="n">
        <v>41</v>
      </c>
      <c r="B309" s="2" t="s">
        <v>572</v>
      </c>
      <c r="C309" s="2" t="s">
        <v>577</v>
      </c>
      <c r="D309" s="2" t="s">
        <v>4932</v>
      </c>
      <c r="E309" s="2" t="s">
        <v>4160</v>
      </c>
      <c r="F309" s="2" t="s">
        <v>4933</v>
      </c>
      <c r="G309" s="2"/>
      <c r="H309" s="2" t="s">
        <v>4934</v>
      </c>
    </row>
    <row r="310" customFormat="false" ht="15" hidden="false" customHeight="false" outlineLevel="0" collapsed="false">
      <c r="A310" s="2" t="n">
        <v>41</v>
      </c>
      <c r="B310" s="2" t="s">
        <v>572</v>
      </c>
      <c r="C310" s="2" t="s">
        <v>577</v>
      </c>
      <c r="D310" s="2" t="s">
        <v>4935</v>
      </c>
      <c r="E310" s="2" t="s">
        <v>4160</v>
      </c>
      <c r="F310" s="2" t="s">
        <v>1622</v>
      </c>
      <c r="G310" s="2"/>
      <c r="H310" s="2" t="s">
        <v>4936</v>
      </c>
    </row>
    <row r="311" customFormat="false" ht="15" hidden="false" customHeight="false" outlineLevel="0" collapsed="false">
      <c r="A311" s="2" t="n">
        <v>41</v>
      </c>
      <c r="B311" s="2" t="s">
        <v>572</v>
      </c>
      <c r="C311" s="2" t="s">
        <v>577</v>
      </c>
      <c r="D311" s="2" t="s">
        <v>4937</v>
      </c>
      <c r="E311" s="2" t="s">
        <v>4160</v>
      </c>
      <c r="F311" s="2" t="s">
        <v>2120</v>
      </c>
      <c r="G311" s="2"/>
      <c r="H311" s="2" t="s">
        <v>4938</v>
      </c>
    </row>
    <row r="312" customFormat="false" ht="15" hidden="false" customHeight="false" outlineLevel="0" collapsed="false">
      <c r="A312" s="2" t="n">
        <v>41</v>
      </c>
      <c r="B312" s="2" t="s">
        <v>572</v>
      </c>
      <c r="C312" s="2" t="s">
        <v>577</v>
      </c>
      <c r="D312" s="2" t="s">
        <v>4939</v>
      </c>
      <c r="E312" s="2" t="s">
        <v>4160</v>
      </c>
      <c r="F312" s="2" t="s">
        <v>935</v>
      </c>
      <c r="G312" s="2"/>
      <c r="H312" s="2" t="s">
        <v>4940</v>
      </c>
    </row>
    <row r="313" customFormat="false" ht="15" hidden="false" customHeight="false" outlineLevel="0" collapsed="false">
      <c r="A313" s="2" t="n">
        <v>41</v>
      </c>
      <c r="B313" s="2" t="s">
        <v>572</v>
      </c>
      <c r="C313" s="2" t="s">
        <v>577</v>
      </c>
      <c r="D313" s="2" t="s">
        <v>4941</v>
      </c>
      <c r="E313" s="2" t="s">
        <v>4160</v>
      </c>
      <c r="F313" s="2" t="s">
        <v>736</v>
      </c>
      <c r="G313" s="2"/>
      <c r="H313" s="2" t="s">
        <v>4942</v>
      </c>
    </row>
    <row r="314" customFormat="false" ht="15" hidden="false" customHeight="false" outlineLevel="0" collapsed="false">
      <c r="A314" s="2" t="n">
        <v>41</v>
      </c>
      <c r="B314" s="2" t="s">
        <v>572</v>
      </c>
      <c r="C314" s="2" t="s">
        <v>577</v>
      </c>
      <c r="D314" s="2" t="s">
        <v>4943</v>
      </c>
      <c r="E314" s="2" t="s">
        <v>4160</v>
      </c>
      <c r="F314" s="2" t="s">
        <v>4944</v>
      </c>
      <c r="G314" s="2"/>
      <c r="H314" s="2" t="s">
        <v>4945</v>
      </c>
    </row>
    <row r="315" customFormat="false" ht="15" hidden="false" customHeight="false" outlineLevel="0" collapsed="false">
      <c r="A315" s="2" t="n">
        <v>41</v>
      </c>
      <c r="B315" s="2" t="s">
        <v>572</v>
      </c>
      <c r="C315" s="2" t="s">
        <v>577</v>
      </c>
      <c r="D315" s="2" t="s">
        <v>4946</v>
      </c>
      <c r="E315" s="2" t="s">
        <v>4160</v>
      </c>
      <c r="F315" s="2" t="s">
        <v>846</v>
      </c>
      <c r="G315" s="2"/>
      <c r="H315" s="2" t="s">
        <v>4947</v>
      </c>
    </row>
    <row r="316" customFormat="false" ht="15" hidden="false" customHeight="false" outlineLevel="0" collapsed="false">
      <c r="A316" s="2" t="n">
        <v>41</v>
      </c>
      <c r="B316" s="2" t="s">
        <v>572</v>
      </c>
      <c r="C316" s="2" t="s">
        <v>577</v>
      </c>
      <c r="D316" s="2" t="s">
        <v>4948</v>
      </c>
      <c r="E316" s="2" t="s">
        <v>4160</v>
      </c>
      <c r="F316" s="2" t="s">
        <v>4949</v>
      </c>
      <c r="G316" s="2"/>
      <c r="H316" s="2" t="s">
        <v>4950</v>
      </c>
    </row>
    <row r="317" customFormat="false" ht="15" hidden="false" customHeight="false" outlineLevel="0" collapsed="false">
      <c r="A317" s="2" t="n">
        <v>41</v>
      </c>
      <c r="B317" s="2" t="s">
        <v>572</v>
      </c>
      <c r="C317" s="2" t="s">
        <v>577</v>
      </c>
      <c r="D317" s="2" t="s">
        <v>4951</v>
      </c>
      <c r="E317" s="2" t="s">
        <v>4160</v>
      </c>
      <c r="F317" s="2" t="s">
        <v>3315</v>
      </c>
      <c r="G317" s="2"/>
      <c r="H317" s="2" t="s">
        <v>4952</v>
      </c>
    </row>
    <row r="318" customFormat="false" ht="15" hidden="false" customHeight="false" outlineLevel="0" collapsed="false">
      <c r="A318" s="2" t="n">
        <v>42</v>
      </c>
      <c r="B318" s="2" t="s">
        <v>585</v>
      </c>
      <c r="C318" s="2" t="s">
        <v>590</v>
      </c>
      <c r="D318" s="2" t="s">
        <v>4953</v>
      </c>
      <c r="E318" s="2" t="s">
        <v>4160</v>
      </c>
      <c r="F318" s="2" t="s">
        <v>4954</v>
      </c>
      <c r="G318" s="2"/>
      <c r="H318" s="2" t="s">
        <v>4955</v>
      </c>
    </row>
    <row r="319" customFormat="false" ht="15" hidden="false" customHeight="false" outlineLevel="0" collapsed="false">
      <c r="A319" s="2" t="n">
        <v>42</v>
      </c>
      <c r="B319" s="2" t="s">
        <v>585</v>
      </c>
      <c r="C319" s="2" t="s">
        <v>590</v>
      </c>
      <c r="D319" s="2" t="s">
        <v>4956</v>
      </c>
      <c r="E319" s="2" t="s">
        <v>4160</v>
      </c>
      <c r="F319" s="2" t="s">
        <v>4957</v>
      </c>
      <c r="G319" s="2" t="s">
        <v>4958</v>
      </c>
      <c r="H319" s="2" t="s">
        <v>4959</v>
      </c>
    </row>
    <row r="320" customFormat="false" ht="15" hidden="false" customHeight="false" outlineLevel="0" collapsed="false">
      <c r="A320" s="2" t="n">
        <v>44</v>
      </c>
      <c r="B320" s="2" t="s">
        <v>606</v>
      </c>
      <c r="C320" s="2" t="s">
        <v>611</v>
      </c>
      <c r="D320" s="2" t="s">
        <v>4960</v>
      </c>
      <c r="E320" s="2" t="s">
        <v>4160</v>
      </c>
      <c r="F320" s="2" t="s">
        <v>4961</v>
      </c>
      <c r="G320" s="2"/>
      <c r="H320" s="2" t="s">
        <v>4962</v>
      </c>
    </row>
    <row r="321" customFormat="false" ht="15" hidden="false" customHeight="false" outlineLevel="0" collapsed="false">
      <c r="A321" s="2" t="n">
        <v>44</v>
      </c>
      <c r="B321" s="2" t="s">
        <v>606</v>
      </c>
      <c r="C321" s="2" t="s">
        <v>611</v>
      </c>
      <c r="D321" s="2" t="s">
        <v>4963</v>
      </c>
      <c r="E321" s="2" t="s">
        <v>4160</v>
      </c>
      <c r="F321" s="2" t="s">
        <v>3661</v>
      </c>
      <c r="G321" s="2"/>
      <c r="H321" s="2" t="s">
        <v>4964</v>
      </c>
    </row>
    <row r="322" customFormat="false" ht="15" hidden="false" customHeight="false" outlineLevel="0" collapsed="false">
      <c r="A322" s="2" t="n">
        <v>45</v>
      </c>
      <c r="B322" s="2" t="s">
        <v>617</v>
      </c>
      <c r="C322" s="2" t="s">
        <v>624</v>
      </c>
      <c r="D322" s="2" t="s">
        <v>949</v>
      </c>
      <c r="E322" s="2" t="s">
        <v>4156</v>
      </c>
      <c r="F322" s="2" t="s">
        <v>627</v>
      </c>
      <c r="G322" s="2" t="s">
        <v>4965</v>
      </c>
      <c r="H322" s="2" t="s">
        <v>950</v>
      </c>
    </row>
    <row r="323" customFormat="false" ht="15" hidden="false" customHeight="false" outlineLevel="0" collapsed="false">
      <c r="A323" s="2" t="n">
        <v>45</v>
      </c>
      <c r="B323" s="2" t="s">
        <v>617</v>
      </c>
      <c r="C323" s="2" t="s">
        <v>624</v>
      </c>
      <c r="D323" s="2" t="s">
        <v>1170</v>
      </c>
      <c r="E323" s="2" t="s">
        <v>4156</v>
      </c>
      <c r="F323" s="2" t="s">
        <v>450</v>
      </c>
      <c r="G323" s="2" t="s">
        <v>4966</v>
      </c>
      <c r="H323" s="2" t="s">
        <v>1171</v>
      </c>
    </row>
    <row r="324" customFormat="false" ht="15" hidden="false" customHeight="false" outlineLevel="0" collapsed="false">
      <c r="A324" s="2" t="n">
        <v>45</v>
      </c>
      <c r="B324" s="2" t="s">
        <v>617</v>
      </c>
      <c r="C324" s="2" t="s">
        <v>624</v>
      </c>
      <c r="D324" s="2" t="s">
        <v>4967</v>
      </c>
      <c r="E324" s="2" t="s">
        <v>4156</v>
      </c>
      <c r="F324" s="2" t="s">
        <v>628</v>
      </c>
      <c r="G324" s="2" t="s">
        <v>4968</v>
      </c>
      <c r="H324" s="2" t="s">
        <v>4969</v>
      </c>
    </row>
    <row r="325" customFormat="false" ht="15" hidden="false" customHeight="false" outlineLevel="0" collapsed="false">
      <c r="A325" s="2" t="n">
        <v>45</v>
      </c>
      <c r="B325" s="2" t="s">
        <v>617</v>
      </c>
      <c r="C325" s="2" t="s">
        <v>624</v>
      </c>
      <c r="D325" s="2" t="s">
        <v>4970</v>
      </c>
      <c r="E325" s="2" t="s">
        <v>4160</v>
      </c>
      <c r="F325" s="2" t="s">
        <v>4971</v>
      </c>
      <c r="G325" s="2"/>
      <c r="H325" s="2" t="s">
        <v>4972</v>
      </c>
    </row>
    <row r="326" customFormat="false" ht="15" hidden="false" customHeight="false" outlineLevel="0" collapsed="false">
      <c r="A326" s="2" t="n">
        <v>46</v>
      </c>
      <c r="B326" s="2" t="s">
        <v>632</v>
      </c>
      <c r="C326" s="2" t="s">
        <v>637</v>
      </c>
      <c r="D326" s="2" t="s">
        <v>1191</v>
      </c>
      <c r="E326" s="2" t="s">
        <v>4156</v>
      </c>
      <c r="F326" s="2" t="s">
        <v>640</v>
      </c>
      <c r="G326" s="2" t="s">
        <v>4973</v>
      </c>
      <c r="H326" s="2" t="s">
        <v>1192</v>
      </c>
    </row>
    <row r="327" customFormat="false" ht="15" hidden="false" customHeight="false" outlineLevel="0" collapsed="false">
      <c r="A327" s="2" t="n">
        <v>46</v>
      </c>
      <c r="B327" s="2" t="s">
        <v>632</v>
      </c>
      <c r="C327" s="2" t="s">
        <v>637</v>
      </c>
      <c r="D327" s="2" t="s">
        <v>4974</v>
      </c>
      <c r="E327" s="2" t="s">
        <v>4156</v>
      </c>
      <c r="F327" s="2" t="s">
        <v>4975</v>
      </c>
      <c r="G327" s="2" t="s">
        <v>4976</v>
      </c>
      <c r="H327" s="2" t="s">
        <v>4977</v>
      </c>
    </row>
    <row r="328" customFormat="false" ht="15" hidden="false" customHeight="false" outlineLevel="0" collapsed="false">
      <c r="A328" s="2" t="n">
        <v>46</v>
      </c>
      <c r="B328" s="2" t="s">
        <v>632</v>
      </c>
      <c r="C328" s="2" t="s">
        <v>637</v>
      </c>
      <c r="D328" s="2" t="s">
        <v>4978</v>
      </c>
      <c r="E328" s="2" t="s">
        <v>4156</v>
      </c>
      <c r="F328" s="2" t="s">
        <v>641</v>
      </c>
      <c r="G328" s="2" t="s">
        <v>4979</v>
      </c>
      <c r="H328" s="2" t="s">
        <v>4980</v>
      </c>
    </row>
    <row r="329" customFormat="false" ht="15" hidden="false" customHeight="false" outlineLevel="0" collapsed="false">
      <c r="A329" s="2" t="n">
        <v>46</v>
      </c>
      <c r="B329" s="2" t="s">
        <v>632</v>
      </c>
      <c r="C329" s="2" t="s">
        <v>637</v>
      </c>
      <c r="D329" s="2" t="s">
        <v>4981</v>
      </c>
      <c r="E329" s="2" t="s">
        <v>4160</v>
      </c>
      <c r="F329" s="2" t="s">
        <v>4982</v>
      </c>
      <c r="G329" s="2"/>
      <c r="H329" s="2" t="s">
        <v>4983</v>
      </c>
    </row>
    <row r="330" customFormat="false" ht="15" hidden="false" customHeight="false" outlineLevel="0" collapsed="false">
      <c r="A330" s="2" t="n">
        <v>46</v>
      </c>
      <c r="B330" s="2" t="s">
        <v>632</v>
      </c>
      <c r="C330" s="2" t="s">
        <v>637</v>
      </c>
      <c r="D330" s="2" t="s">
        <v>4984</v>
      </c>
      <c r="E330" s="2" t="s">
        <v>4160</v>
      </c>
      <c r="F330" s="2" t="s">
        <v>4985</v>
      </c>
      <c r="G330" s="2"/>
      <c r="H330" s="2" t="s">
        <v>4986</v>
      </c>
    </row>
    <row r="331" customFormat="false" ht="15" hidden="false" customHeight="false" outlineLevel="0" collapsed="false">
      <c r="A331" s="2" t="n">
        <v>47</v>
      </c>
      <c r="B331" s="2" t="s">
        <v>645</v>
      </c>
      <c r="C331" s="2" t="s">
        <v>649</v>
      </c>
      <c r="D331" s="2" t="s">
        <v>4987</v>
      </c>
      <c r="E331" s="2" t="s">
        <v>4156</v>
      </c>
      <c r="F331" s="2" t="s">
        <v>437</v>
      </c>
      <c r="G331" s="2" t="s">
        <v>4988</v>
      </c>
      <c r="H331" s="2" t="s">
        <v>4989</v>
      </c>
    </row>
    <row r="332" customFormat="false" ht="15" hidden="false" customHeight="false" outlineLevel="0" collapsed="false">
      <c r="A332" s="2" t="n">
        <v>47</v>
      </c>
      <c r="B332" s="2" t="s">
        <v>645</v>
      </c>
      <c r="C332" s="2" t="s">
        <v>649</v>
      </c>
      <c r="D332" s="2" t="s">
        <v>4978</v>
      </c>
      <c r="E332" s="2" t="s">
        <v>4156</v>
      </c>
      <c r="F332" s="2" t="s">
        <v>641</v>
      </c>
      <c r="G332" s="2" t="s">
        <v>4979</v>
      </c>
      <c r="H332" s="2" t="s">
        <v>4980</v>
      </c>
    </row>
    <row r="333" customFormat="false" ht="15" hidden="false" customHeight="false" outlineLevel="0" collapsed="false">
      <c r="A333" s="2" t="n">
        <v>47</v>
      </c>
      <c r="B333" s="2" t="s">
        <v>645</v>
      </c>
      <c r="C333" s="2" t="s">
        <v>649</v>
      </c>
      <c r="D333" s="2" t="s">
        <v>4967</v>
      </c>
      <c r="E333" s="2" t="s">
        <v>4156</v>
      </c>
      <c r="F333" s="2" t="s">
        <v>628</v>
      </c>
      <c r="G333" s="2" t="s">
        <v>4968</v>
      </c>
      <c r="H333" s="2" t="s">
        <v>4969</v>
      </c>
    </row>
    <row r="334" customFormat="false" ht="15" hidden="false" customHeight="false" outlineLevel="0" collapsed="false">
      <c r="A334" s="2" t="n">
        <v>47</v>
      </c>
      <c r="B334" s="2" t="s">
        <v>645</v>
      </c>
      <c r="C334" s="2" t="s">
        <v>649</v>
      </c>
      <c r="D334" s="2" t="s">
        <v>4990</v>
      </c>
      <c r="E334" s="2" t="s">
        <v>4160</v>
      </c>
      <c r="F334" s="2" t="s">
        <v>4547</v>
      </c>
      <c r="G334" s="2"/>
      <c r="H334" s="2" t="s">
        <v>4991</v>
      </c>
    </row>
    <row r="335" customFormat="false" ht="15" hidden="false" customHeight="false" outlineLevel="0" collapsed="false">
      <c r="A335" s="2" t="n">
        <v>47</v>
      </c>
      <c r="B335" s="2" t="s">
        <v>645</v>
      </c>
      <c r="C335" s="2" t="s">
        <v>649</v>
      </c>
      <c r="D335" s="2" t="s">
        <v>4992</v>
      </c>
      <c r="E335" s="2" t="s">
        <v>4160</v>
      </c>
      <c r="F335" s="2" t="s">
        <v>737</v>
      </c>
      <c r="G335" s="2"/>
      <c r="H335" s="2" t="s">
        <v>4993</v>
      </c>
    </row>
    <row r="336" customFormat="false" ht="15" hidden="false" customHeight="false" outlineLevel="0" collapsed="false">
      <c r="A336" s="2" t="n">
        <v>48</v>
      </c>
      <c r="B336" s="2" t="s">
        <v>655</v>
      </c>
      <c r="C336" s="2" t="s">
        <v>659</v>
      </c>
      <c r="D336" s="2" t="s">
        <v>1191</v>
      </c>
      <c r="E336" s="2" t="s">
        <v>4156</v>
      </c>
      <c r="F336" s="2" t="s">
        <v>640</v>
      </c>
      <c r="G336" s="2" t="s">
        <v>4973</v>
      </c>
      <c r="H336" s="2" t="s">
        <v>1192</v>
      </c>
    </row>
    <row r="337" customFormat="false" ht="15" hidden="false" customHeight="false" outlineLevel="0" collapsed="false">
      <c r="A337" s="2" t="n">
        <v>48</v>
      </c>
      <c r="B337" s="2" t="s">
        <v>655</v>
      </c>
      <c r="C337" s="2" t="s">
        <v>659</v>
      </c>
      <c r="D337" s="2" t="s">
        <v>4978</v>
      </c>
      <c r="E337" s="2" t="s">
        <v>4156</v>
      </c>
      <c r="F337" s="2" t="s">
        <v>641</v>
      </c>
      <c r="G337" s="2" t="s">
        <v>4979</v>
      </c>
      <c r="H337" s="2" t="s">
        <v>4980</v>
      </c>
    </row>
    <row r="338" customFormat="false" ht="15" hidden="false" customHeight="false" outlineLevel="0" collapsed="false">
      <c r="A338" s="2" t="n">
        <v>48</v>
      </c>
      <c r="B338" s="2" t="s">
        <v>655</v>
      </c>
      <c r="C338" s="2" t="s">
        <v>659</v>
      </c>
      <c r="D338" s="2" t="s">
        <v>4967</v>
      </c>
      <c r="E338" s="2" t="s">
        <v>4156</v>
      </c>
      <c r="F338" s="2" t="s">
        <v>628</v>
      </c>
      <c r="G338" s="2" t="s">
        <v>4968</v>
      </c>
      <c r="H338" s="2" t="s">
        <v>4969</v>
      </c>
    </row>
    <row r="339" customFormat="false" ht="15" hidden="false" customHeight="false" outlineLevel="0" collapsed="false">
      <c r="A339" s="2" t="n">
        <v>48</v>
      </c>
      <c r="B339" s="2" t="s">
        <v>655</v>
      </c>
      <c r="C339" s="2" t="s">
        <v>659</v>
      </c>
      <c r="D339" s="2" t="s">
        <v>4994</v>
      </c>
      <c r="E339" s="2" t="s">
        <v>4160</v>
      </c>
      <c r="F339" s="2" t="s">
        <v>2120</v>
      </c>
      <c r="G339" s="2"/>
      <c r="H339" s="2" t="s">
        <v>4995</v>
      </c>
    </row>
    <row r="340" customFormat="false" ht="15" hidden="false" customHeight="false" outlineLevel="0" collapsed="false">
      <c r="A340" s="2" t="n">
        <v>48</v>
      </c>
      <c r="B340" s="2" t="s">
        <v>655</v>
      </c>
      <c r="C340" s="2" t="s">
        <v>659</v>
      </c>
      <c r="D340" s="2" t="s">
        <v>4996</v>
      </c>
      <c r="E340" s="2" t="s">
        <v>4160</v>
      </c>
      <c r="F340" s="2" t="s">
        <v>4997</v>
      </c>
      <c r="G340" s="2"/>
      <c r="H340" s="2" t="s">
        <v>4998</v>
      </c>
    </row>
    <row r="341" customFormat="false" ht="15" hidden="false" customHeight="false" outlineLevel="0" collapsed="false">
      <c r="A341" s="2" t="n">
        <v>48</v>
      </c>
      <c r="B341" s="2" t="s">
        <v>655</v>
      </c>
      <c r="C341" s="2" t="s">
        <v>659</v>
      </c>
      <c r="D341" s="2" t="s">
        <v>4999</v>
      </c>
      <c r="E341" s="2" t="s">
        <v>4160</v>
      </c>
      <c r="F341" s="2" t="s">
        <v>5000</v>
      </c>
      <c r="G341" s="2"/>
      <c r="H341" s="2" t="s">
        <v>5001</v>
      </c>
    </row>
    <row r="342" customFormat="false" ht="15" hidden="false" customHeight="false" outlineLevel="0" collapsed="false">
      <c r="A342" s="2" t="n">
        <v>48</v>
      </c>
      <c r="B342" s="2" t="s">
        <v>655</v>
      </c>
      <c r="C342" s="2" t="s">
        <v>659</v>
      </c>
      <c r="D342" s="2" t="s">
        <v>5002</v>
      </c>
      <c r="E342" s="2" t="s">
        <v>4160</v>
      </c>
      <c r="F342" s="2" t="s">
        <v>4971</v>
      </c>
      <c r="G342" s="2"/>
      <c r="H342" s="2" t="s">
        <v>5003</v>
      </c>
    </row>
    <row r="343" customFormat="false" ht="15" hidden="false" customHeight="false" outlineLevel="0" collapsed="false">
      <c r="A343" s="2" t="n">
        <v>48</v>
      </c>
      <c r="B343" s="2" t="s">
        <v>655</v>
      </c>
      <c r="C343" s="2" t="s">
        <v>659</v>
      </c>
      <c r="D343" s="2" t="s">
        <v>5004</v>
      </c>
      <c r="E343" s="2" t="s">
        <v>4160</v>
      </c>
      <c r="F343" s="2" t="s">
        <v>5005</v>
      </c>
      <c r="G343" s="2"/>
      <c r="H343" s="2" t="s">
        <v>5006</v>
      </c>
    </row>
    <row r="344" customFormat="false" ht="15" hidden="false" customHeight="false" outlineLevel="0" collapsed="false">
      <c r="A344" s="2" t="n">
        <v>49</v>
      </c>
      <c r="B344" s="2" t="s">
        <v>665</v>
      </c>
      <c r="C344" s="2" t="s">
        <v>668</v>
      </c>
      <c r="D344" s="2" t="s">
        <v>5007</v>
      </c>
      <c r="E344" s="2" t="s">
        <v>4160</v>
      </c>
      <c r="F344" s="2" t="s">
        <v>1530</v>
      </c>
      <c r="G344" s="2"/>
      <c r="H344" s="2" t="s">
        <v>5008</v>
      </c>
    </row>
    <row r="345" customFormat="false" ht="15" hidden="false" customHeight="false" outlineLevel="0" collapsed="false">
      <c r="A345" s="2" t="n">
        <v>49</v>
      </c>
      <c r="B345" s="2" t="s">
        <v>665</v>
      </c>
      <c r="C345" s="2" t="s">
        <v>668</v>
      </c>
      <c r="D345" s="2" t="s">
        <v>5009</v>
      </c>
      <c r="E345" s="2" t="s">
        <v>4160</v>
      </c>
      <c r="F345" s="2" t="s">
        <v>2809</v>
      </c>
      <c r="G345" s="2"/>
      <c r="H345" s="2" t="s">
        <v>5010</v>
      </c>
    </row>
    <row r="346" customFormat="false" ht="15" hidden="false" customHeight="false" outlineLevel="0" collapsed="false">
      <c r="A346" s="2" t="n">
        <v>49</v>
      </c>
      <c r="B346" s="2" t="s">
        <v>665</v>
      </c>
      <c r="C346" s="2" t="s">
        <v>668</v>
      </c>
      <c r="D346" s="2" t="s">
        <v>5011</v>
      </c>
      <c r="E346" s="2" t="s">
        <v>4160</v>
      </c>
      <c r="F346" s="2" t="s">
        <v>4971</v>
      </c>
      <c r="G346" s="2"/>
      <c r="H346" s="2" t="s">
        <v>5012</v>
      </c>
    </row>
    <row r="347" customFormat="false" ht="15" hidden="false" customHeight="false" outlineLevel="0" collapsed="false">
      <c r="A347" s="2" t="n">
        <v>51</v>
      </c>
      <c r="B347" s="2" t="s">
        <v>685</v>
      </c>
      <c r="C347" s="2" t="s">
        <v>689</v>
      </c>
      <c r="D347" s="2" t="s">
        <v>5013</v>
      </c>
      <c r="E347" s="2" t="s">
        <v>4160</v>
      </c>
      <c r="F347" s="2" t="s">
        <v>5014</v>
      </c>
      <c r="G347" s="2"/>
      <c r="H347" s="2" t="s">
        <v>5015</v>
      </c>
    </row>
    <row r="348" customFormat="false" ht="15" hidden="false" customHeight="false" outlineLevel="0" collapsed="false">
      <c r="A348" s="2" t="n">
        <v>51</v>
      </c>
      <c r="B348" s="2" t="s">
        <v>685</v>
      </c>
      <c r="C348" s="2" t="s">
        <v>689</v>
      </c>
      <c r="D348" s="2" t="s">
        <v>5016</v>
      </c>
      <c r="E348" s="2" t="s">
        <v>4160</v>
      </c>
      <c r="F348" s="2" t="s">
        <v>5017</v>
      </c>
      <c r="G348" s="2"/>
      <c r="H348" s="2" t="s">
        <v>5018</v>
      </c>
    </row>
    <row r="349" customFormat="false" ht="15" hidden="false" customHeight="false" outlineLevel="0" collapsed="false">
      <c r="A349" s="2" t="n">
        <v>51</v>
      </c>
      <c r="B349" s="2" t="s">
        <v>685</v>
      </c>
      <c r="C349" s="2" t="s">
        <v>689</v>
      </c>
      <c r="D349" s="2" t="s">
        <v>5019</v>
      </c>
      <c r="E349" s="2" t="s">
        <v>4160</v>
      </c>
      <c r="F349" s="2" t="s">
        <v>4849</v>
      </c>
      <c r="G349" s="2"/>
      <c r="H349" s="2" t="s">
        <v>5020</v>
      </c>
    </row>
    <row r="350" customFormat="false" ht="15" hidden="false" customHeight="false" outlineLevel="0" collapsed="false">
      <c r="A350" s="2" t="n">
        <v>52</v>
      </c>
      <c r="B350" s="2" t="s">
        <v>695</v>
      </c>
      <c r="C350" s="2" t="s">
        <v>701</v>
      </c>
      <c r="D350" s="2" t="s">
        <v>5021</v>
      </c>
      <c r="E350" s="2" t="s">
        <v>4156</v>
      </c>
      <c r="F350" s="2" t="s">
        <v>704</v>
      </c>
      <c r="G350" s="2" t="s">
        <v>5022</v>
      </c>
      <c r="H350" s="2" t="s">
        <v>5023</v>
      </c>
    </row>
    <row r="351" customFormat="false" ht="15" hidden="false" customHeight="false" outlineLevel="0" collapsed="false">
      <c r="A351" s="2" t="n">
        <v>52</v>
      </c>
      <c r="B351" s="2" t="s">
        <v>695</v>
      </c>
      <c r="C351" s="2" t="s">
        <v>701</v>
      </c>
      <c r="D351" s="2" t="s">
        <v>1191</v>
      </c>
      <c r="E351" s="2" t="s">
        <v>4156</v>
      </c>
      <c r="F351" s="2" t="s">
        <v>640</v>
      </c>
      <c r="G351" s="2" t="s">
        <v>4973</v>
      </c>
      <c r="H351" s="2" t="s">
        <v>1192</v>
      </c>
    </row>
    <row r="352" customFormat="false" ht="15" hidden="false" customHeight="false" outlineLevel="0" collapsed="false">
      <c r="A352" s="2" t="n">
        <v>52</v>
      </c>
      <c r="B352" s="2" t="s">
        <v>695</v>
      </c>
      <c r="C352" s="2" t="s">
        <v>701</v>
      </c>
      <c r="D352" s="2" t="s">
        <v>5024</v>
      </c>
      <c r="E352" s="2" t="s">
        <v>4160</v>
      </c>
      <c r="F352" s="2" t="s">
        <v>810</v>
      </c>
      <c r="G352" s="2"/>
      <c r="H352" s="2" t="s">
        <v>5025</v>
      </c>
    </row>
    <row r="353" customFormat="false" ht="15" hidden="false" customHeight="false" outlineLevel="0" collapsed="false">
      <c r="A353" s="2" t="n">
        <v>52</v>
      </c>
      <c r="B353" s="2" t="s">
        <v>695</v>
      </c>
      <c r="C353" s="2" t="s">
        <v>701</v>
      </c>
      <c r="D353" s="2" t="s">
        <v>5026</v>
      </c>
      <c r="E353" s="2" t="s">
        <v>4160</v>
      </c>
      <c r="F353" s="2" t="s">
        <v>1622</v>
      </c>
      <c r="G353" s="2"/>
      <c r="H353" s="2" t="s">
        <v>5027</v>
      </c>
    </row>
    <row r="354" customFormat="false" ht="15" hidden="false" customHeight="false" outlineLevel="0" collapsed="false">
      <c r="A354" s="2" t="n">
        <v>52</v>
      </c>
      <c r="B354" s="2" t="s">
        <v>695</v>
      </c>
      <c r="C354" s="2" t="s">
        <v>701</v>
      </c>
      <c r="D354" s="2" t="s">
        <v>5028</v>
      </c>
      <c r="E354" s="2" t="s">
        <v>4160</v>
      </c>
      <c r="F354" s="2" t="s">
        <v>2116</v>
      </c>
      <c r="G354" s="2"/>
      <c r="H354" s="2" t="s">
        <v>5029</v>
      </c>
    </row>
    <row r="355" customFormat="false" ht="15" hidden="false" customHeight="false" outlineLevel="0" collapsed="false">
      <c r="A355" s="2" t="n">
        <v>52</v>
      </c>
      <c r="B355" s="2" t="s">
        <v>695</v>
      </c>
      <c r="C355" s="2" t="s">
        <v>701</v>
      </c>
      <c r="D355" s="2" t="s">
        <v>5030</v>
      </c>
      <c r="E355" s="2" t="s">
        <v>4160</v>
      </c>
      <c r="F355" s="2" t="s">
        <v>5000</v>
      </c>
      <c r="G355" s="2" t="s">
        <v>5031</v>
      </c>
      <c r="H355" s="2" t="s">
        <v>5032</v>
      </c>
    </row>
    <row r="356" customFormat="false" ht="15" hidden="false" customHeight="false" outlineLevel="0" collapsed="false">
      <c r="A356" s="2" t="n">
        <v>52</v>
      </c>
      <c r="B356" s="2" t="s">
        <v>695</v>
      </c>
      <c r="C356" s="2" t="s">
        <v>701</v>
      </c>
      <c r="D356" s="2" t="s">
        <v>5033</v>
      </c>
      <c r="E356" s="2" t="s">
        <v>4160</v>
      </c>
      <c r="F356" s="2" t="s">
        <v>5034</v>
      </c>
      <c r="G356" s="2"/>
      <c r="H356" s="2" t="s">
        <v>5035</v>
      </c>
    </row>
    <row r="357" customFormat="false" ht="15" hidden="false" customHeight="false" outlineLevel="0" collapsed="false">
      <c r="A357" s="2" t="n">
        <v>52</v>
      </c>
      <c r="B357" s="2" t="s">
        <v>695</v>
      </c>
      <c r="C357" s="2" t="s">
        <v>701</v>
      </c>
      <c r="D357" s="2" t="s">
        <v>5036</v>
      </c>
      <c r="E357" s="2" t="s">
        <v>4160</v>
      </c>
      <c r="F357" s="2" t="s">
        <v>736</v>
      </c>
      <c r="G357" s="2"/>
      <c r="H357" s="2" t="s">
        <v>5037</v>
      </c>
    </row>
    <row r="358" customFormat="false" ht="15" hidden="false" customHeight="false" outlineLevel="0" collapsed="false">
      <c r="A358" s="2" t="n">
        <v>52</v>
      </c>
      <c r="B358" s="2" t="s">
        <v>695</v>
      </c>
      <c r="C358" s="2" t="s">
        <v>701</v>
      </c>
      <c r="D358" s="2" t="s">
        <v>5038</v>
      </c>
      <c r="E358" s="2" t="s">
        <v>4160</v>
      </c>
      <c r="F358" s="2" t="s">
        <v>2431</v>
      </c>
      <c r="G358" s="2"/>
      <c r="H358" s="2" t="s">
        <v>5039</v>
      </c>
    </row>
    <row r="359" customFormat="false" ht="15" hidden="false" customHeight="false" outlineLevel="0" collapsed="false">
      <c r="A359" s="2" t="n">
        <v>52</v>
      </c>
      <c r="B359" s="2" t="s">
        <v>695</v>
      </c>
      <c r="C359" s="2" t="s">
        <v>701</v>
      </c>
      <c r="D359" s="2" t="s">
        <v>5040</v>
      </c>
      <c r="E359" s="2" t="s">
        <v>4160</v>
      </c>
      <c r="F359" s="2" t="s">
        <v>4196</v>
      </c>
      <c r="G359" s="2" t="s">
        <v>5041</v>
      </c>
      <c r="H359" s="2" t="s">
        <v>5042</v>
      </c>
    </row>
    <row r="360" customFormat="false" ht="15" hidden="false" customHeight="false" outlineLevel="0" collapsed="false">
      <c r="A360" s="2" t="n">
        <v>52</v>
      </c>
      <c r="B360" s="2" t="s">
        <v>695</v>
      </c>
      <c r="C360" s="2" t="s">
        <v>701</v>
      </c>
      <c r="D360" s="2" t="s">
        <v>5043</v>
      </c>
      <c r="E360" s="2" t="s">
        <v>4160</v>
      </c>
      <c r="F360" s="2" t="s">
        <v>2783</v>
      </c>
      <c r="G360" s="2"/>
      <c r="H360" s="2" t="s">
        <v>5044</v>
      </c>
    </row>
    <row r="361" customFormat="false" ht="15" hidden="false" customHeight="false" outlineLevel="0" collapsed="false">
      <c r="A361" s="2" t="n">
        <v>53</v>
      </c>
      <c r="B361" s="2" t="s">
        <v>708</v>
      </c>
      <c r="C361" s="2" t="s">
        <v>713</v>
      </c>
      <c r="D361" s="2" t="s">
        <v>5045</v>
      </c>
      <c r="E361" s="2" t="s">
        <v>4156</v>
      </c>
      <c r="F361" s="2" t="s">
        <v>390</v>
      </c>
      <c r="G361" s="2" t="s">
        <v>5046</v>
      </c>
      <c r="H361" s="2" t="s">
        <v>5047</v>
      </c>
    </row>
    <row r="362" customFormat="false" ht="15" hidden="false" customHeight="false" outlineLevel="0" collapsed="false">
      <c r="A362" s="2" t="n">
        <v>54</v>
      </c>
      <c r="B362" s="2" t="s">
        <v>719</v>
      </c>
      <c r="C362" s="2" t="s">
        <v>725</v>
      </c>
      <c r="D362" s="2" t="s">
        <v>5048</v>
      </c>
      <c r="E362" s="2" t="s">
        <v>4156</v>
      </c>
      <c r="F362" s="2" t="s">
        <v>728</v>
      </c>
      <c r="G362" s="2" t="s">
        <v>5049</v>
      </c>
      <c r="H362" s="2" t="s">
        <v>5050</v>
      </c>
    </row>
    <row r="363" customFormat="false" ht="15" hidden="false" customHeight="false" outlineLevel="0" collapsed="false">
      <c r="A363" s="2" t="n">
        <v>54</v>
      </c>
      <c r="B363" s="2" t="s">
        <v>719</v>
      </c>
      <c r="C363" s="2" t="s">
        <v>725</v>
      </c>
      <c r="D363" s="2" t="s">
        <v>5051</v>
      </c>
      <c r="E363" s="2" t="s">
        <v>4156</v>
      </c>
      <c r="F363" s="2" t="s">
        <v>729</v>
      </c>
      <c r="G363" s="2" t="s">
        <v>5052</v>
      </c>
      <c r="H363" s="2" t="s">
        <v>5053</v>
      </c>
    </row>
    <row r="364" customFormat="false" ht="15" hidden="false" customHeight="false" outlineLevel="0" collapsed="false">
      <c r="A364" s="2" t="n">
        <v>54</v>
      </c>
      <c r="B364" s="2" t="s">
        <v>719</v>
      </c>
      <c r="C364" s="2" t="s">
        <v>725</v>
      </c>
      <c r="D364" s="2" t="s">
        <v>5054</v>
      </c>
      <c r="E364" s="2" t="s">
        <v>4160</v>
      </c>
      <c r="F364" s="2" t="s">
        <v>5055</v>
      </c>
      <c r="G364" s="2" t="s">
        <v>5056</v>
      </c>
      <c r="H364" s="2" t="s">
        <v>5057</v>
      </c>
    </row>
    <row r="365" customFormat="false" ht="15" hidden="false" customHeight="false" outlineLevel="0" collapsed="false">
      <c r="A365" s="2" t="n">
        <v>54</v>
      </c>
      <c r="B365" s="2" t="s">
        <v>719</v>
      </c>
      <c r="C365" s="2" t="s">
        <v>725</v>
      </c>
      <c r="D365" s="2" t="s">
        <v>5058</v>
      </c>
      <c r="E365" s="2" t="s">
        <v>4160</v>
      </c>
      <c r="F365" s="2" t="s">
        <v>1063</v>
      </c>
      <c r="G365" s="2"/>
      <c r="H365" s="2" t="s">
        <v>5059</v>
      </c>
    </row>
    <row r="366" customFormat="false" ht="15" hidden="false" customHeight="false" outlineLevel="0" collapsed="false">
      <c r="A366" s="2" t="n">
        <v>55</v>
      </c>
      <c r="B366" s="2" t="s">
        <v>733</v>
      </c>
      <c r="C366" s="2" t="s">
        <v>738</v>
      </c>
      <c r="D366" s="2" t="s">
        <v>5060</v>
      </c>
      <c r="E366" s="2" t="s">
        <v>4160</v>
      </c>
      <c r="F366" s="2" t="s">
        <v>5061</v>
      </c>
      <c r="G366" s="2"/>
      <c r="H366" s="2" t="s">
        <v>5062</v>
      </c>
    </row>
    <row r="367" customFormat="false" ht="15" hidden="false" customHeight="false" outlineLevel="0" collapsed="false">
      <c r="A367" s="2" t="n">
        <v>56</v>
      </c>
      <c r="B367" s="2" t="s">
        <v>744</v>
      </c>
      <c r="C367" s="2" t="s">
        <v>749</v>
      </c>
      <c r="D367" s="2" t="s">
        <v>5063</v>
      </c>
      <c r="E367" s="2" t="s">
        <v>4156</v>
      </c>
      <c r="F367" s="2" t="s">
        <v>752</v>
      </c>
      <c r="G367" s="2" t="s">
        <v>5064</v>
      </c>
      <c r="H367" s="2" t="s">
        <v>5065</v>
      </c>
    </row>
    <row r="368" customFormat="false" ht="15" hidden="false" customHeight="false" outlineLevel="0" collapsed="false">
      <c r="A368" s="2" t="n">
        <v>56</v>
      </c>
      <c r="B368" s="2" t="s">
        <v>744</v>
      </c>
      <c r="C368" s="2" t="s">
        <v>749</v>
      </c>
      <c r="D368" s="2" t="s">
        <v>5066</v>
      </c>
      <c r="E368" s="2" t="s">
        <v>4160</v>
      </c>
      <c r="F368" s="2" t="s">
        <v>5067</v>
      </c>
      <c r="G368" s="2"/>
      <c r="H368" s="2" t="s">
        <v>5068</v>
      </c>
    </row>
    <row r="369" customFormat="false" ht="15" hidden="false" customHeight="false" outlineLevel="0" collapsed="false">
      <c r="A369" s="2" t="n">
        <v>56</v>
      </c>
      <c r="B369" s="2" t="s">
        <v>744</v>
      </c>
      <c r="C369" s="2" t="s">
        <v>749</v>
      </c>
      <c r="D369" s="2" t="s">
        <v>5069</v>
      </c>
      <c r="E369" s="2" t="s">
        <v>4160</v>
      </c>
      <c r="F369" s="2" t="s">
        <v>4199</v>
      </c>
      <c r="G369" s="2"/>
      <c r="H369" s="2" t="s">
        <v>5070</v>
      </c>
    </row>
    <row r="370" customFormat="false" ht="15" hidden="false" customHeight="false" outlineLevel="0" collapsed="false">
      <c r="A370" s="2" t="n">
        <v>56</v>
      </c>
      <c r="B370" s="2" t="s">
        <v>744</v>
      </c>
      <c r="C370" s="2" t="s">
        <v>749</v>
      </c>
      <c r="D370" s="2" t="s">
        <v>5071</v>
      </c>
      <c r="E370" s="2" t="s">
        <v>4160</v>
      </c>
      <c r="F370" s="2" t="s">
        <v>5072</v>
      </c>
      <c r="G370" s="2" t="s">
        <v>5073</v>
      </c>
      <c r="H370" s="2" t="s">
        <v>5074</v>
      </c>
    </row>
    <row r="371" customFormat="false" ht="15" hidden="false" customHeight="false" outlineLevel="0" collapsed="false">
      <c r="A371" s="2" t="n">
        <v>56</v>
      </c>
      <c r="B371" s="2" t="s">
        <v>744</v>
      </c>
      <c r="C371" s="2" t="s">
        <v>749</v>
      </c>
      <c r="D371" s="2" t="s">
        <v>5075</v>
      </c>
      <c r="E371" s="2" t="s">
        <v>4160</v>
      </c>
      <c r="F371" s="2" t="s">
        <v>3869</v>
      </c>
      <c r="G371" s="2"/>
      <c r="H371" s="2" t="s">
        <v>5076</v>
      </c>
    </row>
    <row r="372" customFormat="false" ht="15" hidden="false" customHeight="false" outlineLevel="0" collapsed="false">
      <c r="A372" s="2" t="n">
        <v>56</v>
      </c>
      <c r="B372" s="2" t="s">
        <v>744</v>
      </c>
      <c r="C372" s="2" t="s">
        <v>749</v>
      </c>
      <c r="D372" s="2" t="s">
        <v>5077</v>
      </c>
      <c r="E372" s="2" t="s">
        <v>4160</v>
      </c>
      <c r="F372" s="2" t="s">
        <v>3883</v>
      </c>
      <c r="G372" s="2"/>
      <c r="H372" s="2" t="s">
        <v>5078</v>
      </c>
    </row>
    <row r="373" customFormat="false" ht="15" hidden="false" customHeight="false" outlineLevel="0" collapsed="false">
      <c r="A373" s="2" t="n">
        <v>56</v>
      </c>
      <c r="B373" s="2" t="s">
        <v>744</v>
      </c>
      <c r="C373" s="2" t="s">
        <v>749</v>
      </c>
      <c r="D373" s="2" t="s">
        <v>5079</v>
      </c>
      <c r="E373" s="2" t="s">
        <v>4160</v>
      </c>
      <c r="F373" s="2" t="s">
        <v>3130</v>
      </c>
      <c r="G373" s="2"/>
      <c r="H373" s="2" t="s">
        <v>5080</v>
      </c>
    </row>
    <row r="374" customFormat="false" ht="15" hidden="false" customHeight="false" outlineLevel="0" collapsed="false">
      <c r="A374" s="2" t="n">
        <v>57</v>
      </c>
      <c r="B374" s="2" t="s">
        <v>756</v>
      </c>
      <c r="C374" s="2" t="s">
        <v>760</v>
      </c>
      <c r="D374" s="2" t="s">
        <v>5081</v>
      </c>
      <c r="E374" s="2" t="s">
        <v>4160</v>
      </c>
      <c r="F374" s="2" t="s">
        <v>5055</v>
      </c>
      <c r="G374" s="2"/>
      <c r="H374" s="2" t="s">
        <v>5082</v>
      </c>
    </row>
    <row r="375" customFormat="false" ht="15" hidden="false" customHeight="false" outlineLevel="0" collapsed="false">
      <c r="A375" s="2" t="n">
        <v>57</v>
      </c>
      <c r="B375" s="2" t="s">
        <v>756</v>
      </c>
      <c r="C375" s="2" t="s">
        <v>760</v>
      </c>
      <c r="D375" s="2" t="s">
        <v>5083</v>
      </c>
      <c r="E375" s="2" t="s">
        <v>4160</v>
      </c>
      <c r="F375" s="2" t="s">
        <v>748</v>
      </c>
      <c r="G375" s="2"/>
      <c r="H375" s="2" t="s">
        <v>5084</v>
      </c>
    </row>
    <row r="376" customFormat="false" ht="15" hidden="false" customHeight="false" outlineLevel="0" collapsed="false">
      <c r="A376" s="2" t="n">
        <v>57</v>
      </c>
      <c r="B376" s="2" t="s">
        <v>756</v>
      </c>
      <c r="C376" s="2" t="s">
        <v>760</v>
      </c>
      <c r="D376" s="2" t="s">
        <v>5085</v>
      </c>
      <c r="E376" s="2" t="s">
        <v>4160</v>
      </c>
      <c r="F376" s="2" t="s">
        <v>5086</v>
      </c>
      <c r="G376" s="2"/>
      <c r="H376" s="2" t="s">
        <v>5087</v>
      </c>
    </row>
    <row r="377" customFormat="false" ht="15" hidden="false" customHeight="false" outlineLevel="0" collapsed="false">
      <c r="A377" s="2" t="n">
        <v>57</v>
      </c>
      <c r="B377" s="2" t="s">
        <v>756</v>
      </c>
      <c r="C377" s="2" t="s">
        <v>760</v>
      </c>
      <c r="D377" s="2" t="s">
        <v>5088</v>
      </c>
      <c r="E377" s="2" t="s">
        <v>4160</v>
      </c>
      <c r="F377" s="2" t="s">
        <v>5089</v>
      </c>
      <c r="G377" s="2"/>
      <c r="H377" s="2" t="s">
        <v>5090</v>
      </c>
    </row>
    <row r="378" customFormat="false" ht="15" hidden="false" customHeight="false" outlineLevel="0" collapsed="false">
      <c r="A378" s="2" t="n">
        <v>57</v>
      </c>
      <c r="B378" s="2" t="s">
        <v>756</v>
      </c>
      <c r="C378" s="2" t="s">
        <v>760</v>
      </c>
      <c r="D378" s="2" t="s">
        <v>5091</v>
      </c>
      <c r="E378" s="2" t="s">
        <v>4160</v>
      </c>
      <c r="F378" s="2" t="s">
        <v>450</v>
      </c>
      <c r="G378" s="2"/>
      <c r="H378" s="2" t="s">
        <v>5092</v>
      </c>
    </row>
    <row r="379" customFormat="false" ht="15" hidden="false" customHeight="false" outlineLevel="0" collapsed="false">
      <c r="A379" s="2" t="n">
        <v>57</v>
      </c>
      <c r="B379" s="2" t="s">
        <v>756</v>
      </c>
      <c r="C379" s="2" t="s">
        <v>760</v>
      </c>
      <c r="D379" s="2" t="s">
        <v>5093</v>
      </c>
      <c r="E379" s="2" t="s">
        <v>4160</v>
      </c>
      <c r="F379" s="2" t="s">
        <v>3894</v>
      </c>
      <c r="G379" s="2"/>
      <c r="H379" s="2" t="s">
        <v>5094</v>
      </c>
    </row>
    <row r="380" customFormat="false" ht="15" hidden="false" customHeight="false" outlineLevel="0" collapsed="false">
      <c r="A380" s="2" t="n">
        <v>57</v>
      </c>
      <c r="B380" s="2" t="s">
        <v>756</v>
      </c>
      <c r="C380" s="2" t="s">
        <v>760</v>
      </c>
      <c r="D380" s="2" t="s">
        <v>5095</v>
      </c>
      <c r="E380" s="2" t="s">
        <v>4160</v>
      </c>
      <c r="F380" s="2" t="s">
        <v>5096</v>
      </c>
      <c r="G380" s="2"/>
      <c r="H380" s="2" t="s">
        <v>5097</v>
      </c>
    </row>
    <row r="381" customFormat="false" ht="15" hidden="false" customHeight="false" outlineLevel="0" collapsed="false">
      <c r="A381" s="2" t="n">
        <v>57</v>
      </c>
      <c r="B381" s="2" t="s">
        <v>756</v>
      </c>
      <c r="C381" s="2" t="s">
        <v>760</v>
      </c>
      <c r="D381" s="2" t="s">
        <v>5098</v>
      </c>
      <c r="E381" s="2" t="s">
        <v>4160</v>
      </c>
      <c r="F381" s="2" t="s">
        <v>5099</v>
      </c>
      <c r="G381" s="2"/>
      <c r="H381" s="2" t="s">
        <v>5100</v>
      </c>
    </row>
    <row r="382" customFormat="false" ht="15" hidden="false" customHeight="false" outlineLevel="0" collapsed="false">
      <c r="A382" s="2" t="n">
        <v>57</v>
      </c>
      <c r="B382" s="2" t="s">
        <v>756</v>
      </c>
      <c r="C382" s="2" t="s">
        <v>760</v>
      </c>
      <c r="D382" s="2" t="s">
        <v>5101</v>
      </c>
      <c r="E382" s="2" t="s">
        <v>4160</v>
      </c>
      <c r="F382" s="2" t="s">
        <v>3199</v>
      </c>
      <c r="G382" s="2"/>
      <c r="H382" s="2" t="s">
        <v>5102</v>
      </c>
    </row>
    <row r="383" customFormat="false" ht="15" hidden="false" customHeight="false" outlineLevel="0" collapsed="false">
      <c r="A383" s="2" t="n">
        <v>58</v>
      </c>
      <c r="B383" s="2" t="s">
        <v>766</v>
      </c>
      <c r="C383" s="2" t="s">
        <v>771</v>
      </c>
      <c r="D383" s="2" t="s">
        <v>5103</v>
      </c>
      <c r="E383" s="2" t="s">
        <v>4160</v>
      </c>
      <c r="F383" s="2" t="s">
        <v>3717</v>
      </c>
      <c r="G383" s="2"/>
      <c r="H383" s="2" t="s">
        <v>5104</v>
      </c>
    </row>
    <row r="384" customFormat="false" ht="15" hidden="false" customHeight="false" outlineLevel="0" collapsed="false">
      <c r="A384" s="2" t="n">
        <v>58</v>
      </c>
      <c r="B384" s="2" t="s">
        <v>766</v>
      </c>
      <c r="C384" s="2" t="s">
        <v>771</v>
      </c>
      <c r="D384" s="2" t="s">
        <v>5105</v>
      </c>
      <c r="E384" s="2" t="s">
        <v>4160</v>
      </c>
      <c r="F384" s="2" t="s">
        <v>4552</v>
      </c>
      <c r="G384" s="2"/>
      <c r="H384" s="2" t="s">
        <v>5106</v>
      </c>
    </row>
    <row r="385" customFormat="false" ht="15" hidden="false" customHeight="false" outlineLevel="0" collapsed="false">
      <c r="A385" s="2" t="n">
        <v>58</v>
      </c>
      <c r="B385" s="2" t="s">
        <v>766</v>
      </c>
      <c r="C385" s="2" t="s">
        <v>771</v>
      </c>
      <c r="D385" s="2" t="s">
        <v>5107</v>
      </c>
      <c r="E385" s="2" t="s">
        <v>4160</v>
      </c>
      <c r="F385" s="2" t="s">
        <v>5108</v>
      </c>
      <c r="G385" s="2"/>
      <c r="H385" s="2" t="s">
        <v>5109</v>
      </c>
    </row>
    <row r="386" customFormat="false" ht="15" hidden="false" customHeight="false" outlineLevel="0" collapsed="false">
      <c r="A386" s="2" t="n">
        <v>58</v>
      </c>
      <c r="B386" s="2" t="s">
        <v>766</v>
      </c>
      <c r="C386" s="2" t="s">
        <v>771</v>
      </c>
      <c r="D386" s="2" t="s">
        <v>5110</v>
      </c>
      <c r="E386" s="2" t="s">
        <v>4160</v>
      </c>
      <c r="F386" s="2" t="s">
        <v>2235</v>
      </c>
      <c r="G386" s="2"/>
      <c r="H386" s="2" t="s">
        <v>5111</v>
      </c>
    </row>
    <row r="387" customFormat="false" ht="15" hidden="false" customHeight="false" outlineLevel="0" collapsed="false">
      <c r="A387" s="2" t="n">
        <v>58</v>
      </c>
      <c r="B387" s="2" t="s">
        <v>766</v>
      </c>
      <c r="C387" s="2" t="s">
        <v>771</v>
      </c>
      <c r="D387" s="2" t="s">
        <v>5112</v>
      </c>
      <c r="E387" s="2" t="s">
        <v>4160</v>
      </c>
      <c r="F387" s="2" t="s">
        <v>1569</v>
      </c>
      <c r="G387" s="2"/>
      <c r="H387" s="2" t="s">
        <v>5113</v>
      </c>
    </row>
    <row r="388" customFormat="false" ht="15" hidden="false" customHeight="false" outlineLevel="0" collapsed="false">
      <c r="A388" s="2" t="n">
        <v>58</v>
      </c>
      <c r="B388" s="2" t="s">
        <v>766</v>
      </c>
      <c r="C388" s="2" t="s">
        <v>771</v>
      </c>
      <c r="D388" s="2" t="s">
        <v>5114</v>
      </c>
      <c r="E388" s="2" t="s">
        <v>4160</v>
      </c>
      <c r="F388" s="2" t="s">
        <v>3972</v>
      </c>
      <c r="G388" s="2"/>
      <c r="H388" s="2" t="s">
        <v>5115</v>
      </c>
    </row>
    <row r="389" customFormat="false" ht="15" hidden="false" customHeight="false" outlineLevel="0" collapsed="false">
      <c r="A389" s="2" t="n">
        <v>59</v>
      </c>
      <c r="B389" s="2" t="s">
        <v>777</v>
      </c>
      <c r="C389" s="2" t="s">
        <v>783</v>
      </c>
      <c r="D389" s="2" t="s">
        <v>5116</v>
      </c>
      <c r="E389" s="2" t="s">
        <v>4160</v>
      </c>
      <c r="F389" s="2" t="s">
        <v>5055</v>
      </c>
      <c r="G389" s="2"/>
      <c r="H389" s="2" t="s">
        <v>5117</v>
      </c>
    </row>
    <row r="390" customFormat="false" ht="15" hidden="false" customHeight="false" outlineLevel="0" collapsed="false">
      <c r="A390" s="2" t="n">
        <v>59</v>
      </c>
      <c r="B390" s="2" t="s">
        <v>777</v>
      </c>
      <c r="C390" s="2" t="s">
        <v>783</v>
      </c>
      <c r="D390" s="2" t="s">
        <v>5118</v>
      </c>
      <c r="E390" s="2" t="s">
        <v>4160</v>
      </c>
      <c r="F390" s="2" t="s">
        <v>5119</v>
      </c>
      <c r="G390" s="2" t="s">
        <v>5120</v>
      </c>
      <c r="H390" s="2" t="s">
        <v>5121</v>
      </c>
    </row>
    <row r="391" customFormat="false" ht="15" hidden="false" customHeight="false" outlineLevel="0" collapsed="false">
      <c r="A391" s="2" t="n">
        <v>59</v>
      </c>
      <c r="B391" s="2" t="s">
        <v>777</v>
      </c>
      <c r="C391" s="2" t="s">
        <v>783</v>
      </c>
      <c r="D391" s="2" t="s">
        <v>5122</v>
      </c>
      <c r="E391" s="2" t="s">
        <v>4160</v>
      </c>
      <c r="F391" s="2" t="s">
        <v>4064</v>
      </c>
      <c r="G391" s="2"/>
      <c r="H391" s="2" t="s">
        <v>5123</v>
      </c>
    </row>
    <row r="392" customFormat="false" ht="15" hidden="false" customHeight="false" outlineLevel="0" collapsed="false">
      <c r="A392" s="2" t="n">
        <v>60</v>
      </c>
      <c r="B392" s="2" t="s">
        <v>789</v>
      </c>
      <c r="C392" s="2" t="s">
        <v>793</v>
      </c>
      <c r="D392" s="2" t="s">
        <v>5124</v>
      </c>
      <c r="E392" s="2" t="s">
        <v>4160</v>
      </c>
      <c r="F392" s="2" t="s">
        <v>5125</v>
      </c>
      <c r="G392" s="2"/>
      <c r="H392" s="2" t="s">
        <v>5126</v>
      </c>
    </row>
    <row r="393" customFormat="false" ht="15" hidden="false" customHeight="false" outlineLevel="0" collapsed="false">
      <c r="A393" s="2" t="n">
        <v>60</v>
      </c>
      <c r="B393" s="2" t="s">
        <v>789</v>
      </c>
      <c r="C393" s="2" t="s">
        <v>793</v>
      </c>
      <c r="D393" s="2" t="s">
        <v>5127</v>
      </c>
      <c r="E393" s="2" t="s">
        <v>4160</v>
      </c>
      <c r="F393" s="2" t="s">
        <v>5128</v>
      </c>
      <c r="G393" s="2"/>
      <c r="H393" s="2" t="s">
        <v>5129</v>
      </c>
    </row>
    <row r="394" customFormat="false" ht="15" hidden="false" customHeight="false" outlineLevel="0" collapsed="false">
      <c r="A394" s="2" t="n">
        <v>60</v>
      </c>
      <c r="B394" s="2" t="s">
        <v>789</v>
      </c>
      <c r="C394" s="2" t="s">
        <v>793</v>
      </c>
      <c r="D394" s="2" t="s">
        <v>5130</v>
      </c>
      <c r="E394" s="2" t="s">
        <v>4160</v>
      </c>
      <c r="F394" s="2" t="s">
        <v>748</v>
      </c>
      <c r="G394" s="2"/>
      <c r="H394" s="2" t="s">
        <v>5131</v>
      </c>
    </row>
    <row r="395" customFormat="false" ht="15" hidden="false" customHeight="false" outlineLevel="0" collapsed="false">
      <c r="A395" s="2" t="n">
        <v>60</v>
      </c>
      <c r="B395" s="2" t="s">
        <v>789</v>
      </c>
      <c r="C395" s="2" t="s">
        <v>793</v>
      </c>
      <c r="D395" s="2" t="s">
        <v>5132</v>
      </c>
      <c r="E395" s="2" t="s">
        <v>4160</v>
      </c>
      <c r="F395" s="2" t="s">
        <v>5133</v>
      </c>
      <c r="G395" s="2"/>
      <c r="H395" s="2" t="s">
        <v>5134</v>
      </c>
    </row>
    <row r="396" customFormat="false" ht="15" hidden="false" customHeight="false" outlineLevel="0" collapsed="false">
      <c r="A396" s="2" t="n">
        <v>60</v>
      </c>
      <c r="B396" s="2" t="s">
        <v>789</v>
      </c>
      <c r="C396" s="2" t="s">
        <v>793</v>
      </c>
      <c r="D396" s="2" t="s">
        <v>5135</v>
      </c>
      <c r="E396" s="2" t="s">
        <v>4160</v>
      </c>
      <c r="F396" s="2" t="s">
        <v>5136</v>
      </c>
      <c r="G396" s="2"/>
      <c r="H396" s="2" t="s">
        <v>5137</v>
      </c>
    </row>
    <row r="397" customFormat="false" ht="15" hidden="false" customHeight="false" outlineLevel="0" collapsed="false">
      <c r="A397" s="2" t="n">
        <v>60</v>
      </c>
      <c r="B397" s="2" t="s">
        <v>789</v>
      </c>
      <c r="C397" s="2" t="s">
        <v>793</v>
      </c>
      <c r="D397" s="2" t="s">
        <v>5138</v>
      </c>
      <c r="E397" s="2" t="s">
        <v>4160</v>
      </c>
      <c r="F397" s="2" t="s">
        <v>4362</v>
      </c>
      <c r="G397" s="2"/>
      <c r="H397" s="2" t="s">
        <v>5139</v>
      </c>
    </row>
    <row r="398" customFormat="false" ht="15" hidden="false" customHeight="false" outlineLevel="0" collapsed="false">
      <c r="A398" s="2" t="n">
        <v>60</v>
      </c>
      <c r="B398" s="2" t="s">
        <v>789</v>
      </c>
      <c r="C398" s="2" t="s">
        <v>793</v>
      </c>
      <c r="D398" s="2" t="s">
        <v>5140</v>
      </c>
      <c r="E398" s="2" t="s">
        <v>4160</v>
      </c>
      <c r="F398" s="2" t="s">
        <v>5141</v>
      </c>
      <c r="G398" s="2"/>
      <c r="H398" s="2" t="s">
        <v>5142</v>
      </c>
    </row>
    <row r="399" customFormat="false" ht="15" hidden="false" customHeight="false" outlineLevel="0" collapsed="false">
      <c r="A399" s="2" t="n">
        <v>60</v>
      </c>
      <c r="B399" s="2" t="s">
        <v>789</v>
      </c>
      <c r="C399" s="2" t="s">
        <v>793</v>
      </c>
      <c r="D399" s="2" t="s">
        <v>5143</v>
      </c>
      <c r="E399" s="2" t="s">
        <v>4160</v>
      </c>
      <c r="F399" s="2" t="s">
        <v>3311</v>
      </c>
      <c r="G399" s="2"/>
      <c r="H399" s="2" t="s">
        <v>5144</v>
      </c>
    </row>
    <row r="400" customFormat="false" ht="15" hidden="false" customHeight="false" outlineLevel="0" collapsed="false">
      <c r="A400" s="2" t="n">
        <v>60</v>
      </c>
      <c r="B400" s="2" t="s">
        <v>789</v>
      </c>
      <c r="C400" s="2" t="s">
        <v>793</v>
      </c>
      <c r="D400" s="2" t="s">
        <v>5145</v>
      </c>
      <c r="E400" s="2" t="s">
        <v>4160</v>
      </c>
      <c r="F400" s="2" t="s">
        <v>5146</v>
      </c>
      <c r="G400" s="2"/>
      <c r="H400" s="2" t="s">
        <v>5147</v>
      </c>
    </row>
    <row r="401" customFormat="false" ht="15" hidden="false" customHeight="false" outlineLevel="0" collapsed="false">
      <c r="A401" s="2" t="n">
        <v>60</v>
      </c>
      <c r="B401" s="2" t="s">
        <v>789</v>
      </c>
      <c r="C401" s="2" t="s">
        <v>793</v>
      </c>
      <c r="D401" s="2" t="s">
        <v>5148</v>
      </c>
      <c r="E401" s="2" t="s">
        <v>4160</v>
      </c>
      <c r="F401" s="2" t="s">
        <v>5149</v>
      </c>
      <c r="G401" s="2"/>
      <c r="H401" s="2" t="s">
        <v>5150</v>
      </c>
    </row>
    <row r="402" customFormat="false" ht="15" hidden="false" customHeight="false" outlineLevel="0" collapsed="false">
      <c r="A402" s="2" t="n">
        <v>61</v>
      </c>
      <c r="B402" s="2" t="s">
        <v>799</v>
      </c>
      <c r="C402" s="2" t="s">
        <v>802</v>
      </c>
      <c r="D402" s="2" t="s">
        <v>5151</v>
      </c>
      <c r="E402" s="2" t="s">
        <v>4160</v>
      </c>
      <c r="F402" s="2" t="s">
        <v>1178</v>
      </c>
      <c r="G402" s="2"/>
      <c r="H402" s="2" t="s">
        <v>5152</v>
      </c>
    </row>
    <row r="403" customFormat="false" ht="15" hidden="false" customHeight="false" outlineLevel="0" collapsed="false">
      <c r="A403" s="2" t="n">
        <v>61</v>
      </c>
      <c r="B403" s="2" t="s">
        <v>799</v>
      </c>
      <c r="C403" s="2" t="s">
        <v>802</v>
      </c>
      <c r="D403" s="2" t="s">
        <v>5153</v>
      </c>
      <c r="E403" s="2" t="s">
        <v>4160</v>
      </c>
      <c r="F403" s="2" t="s">
        <v>5067</v>
      </c>
      <c r="G403" s="2"/>
      <c r="H403" s="2" t="s">
        <v>5154</v>
      </c>
    </row>
    <row r="404" customFormat="false" ht="15" hidden="false" customHeight="false" outlineLevel="0" collapsed="false">
      <c r="A404" s="2" t="n">
        <v>61</v>
      </c>
      <c r="B404" s="2" t="s">
        <v>799</v>
      </c>
      <c r="C404" s="2" t="s">
        <v>802</v>
      </c>
      <c r="D404" s="2" t="s">
        <v>5155</v>
      </c>
      <c r="E404" s="2" t="s">
        <v>4160</v>
      </c>
      <c r="F404" s="2" t="s">
        <v>4359</v>
      </c>
      <c r="G404" s="2"/>
      <c r="H404" s="2" t="s">
        <v>5156</v>
      </c>
    </row>
    <row r="405" customFormat="false" ht="15" hidden="false" customHeight="false" outlineLevel="0" collapsed="false">
      <c r="A405" s="2" t="n">
        <v>61</v>
      </c>
      <c r="B405" s="2" t="s">
        <v>799</v>
      </c>
      <c r="C405" s="2" t="s">
        <v>802</v>
      </c>
      <c r="D405" s="2" t="s">
        <v>5157</v>
      </c>
      <c r="E405" s="2" t="s">
        <v>4160</v>
      </c>
      <c r="F405" s="2" t="s">
        <v>968</v>
      </c>
      <c r="G405" s="2" t="s">
        <v>5158</v>
      </c>
      <c r="H405" s="2" t="s">
        <v>5159</v>
      </c>
    </row>
    <row r="406" customFormat="false" ht="15" hidden="false" customHeight="false" outlineLevel="0" collapsed="false">
      <c r="A406" s="2" t="n">
        <v>61</v>
      </c>
      <c r="B406" s="2" t="s">
        <v>799</v>
      </c>
      <c r="C406" s="2" t="s">
        <v>802</v>
      </c>
      <c r="D406" s="2" t="s">
        <v>5160</v>
      </c>
      <c r="E406" s="2" t="s">
        <v>4160</v>
      </c>
      <c r="F406" s="2" t="s">
        <v>5161</v>
      </c>
      <c r="G406" s="2"/>
      <c r="H406" s="2" t="s">
        <v>5162</v>
      </c>
    </row>
    <row r="407" customFormat="false" ht="15" hidden="false" customHeight="false" outlineLevel="0" collapsed="false">
      <c r="A407" s="2" t="n">
        <v>61</v>
      </c>
      <c r="B407" s="2" t="s">
        <v>799</v>
      </c>
      <c r="C407" s="2" t="s">
        <v>802</v>
      </c>
      <c r="D407" s="2" t="s">
        <v>5163</v>
      </c>
      <c r="E407" s="2" t="s">
        <v>4160</v>
      </c>
      <c r="F407" s="2" t="s">
        <v>4900</v>
      </c>
      <c r="G407" s="2"/>
      <c r="H407" s="2" t="s">
        <v>5164</v>
      </c>
    </row>
    <row r="408" customFormat="false" ht="15" hidden="false" customHeight="false" outlineLevel="0" collapsed="false">
      <c r="A408" s="2" t="n">
        <v>61</v>
      </c>
      <c r="B408" s="2" t="s">
        <v>799</v>
      </c>
      <c r="C408" s="2" t="s">
        <v>802</v>
      </c>
      <c r="D408" s="2" t="s">
        <v>5165</v>
      </c>
      <c r="E408" s="2" t="s">
        <v>4160</v>
      </c>
      <c r="F408" s="2" t="s">
        <v>5166</v>
      </c>
      <c r="G408" s="2"/>
      <c r="H408" s="2" t="s">
        <v>5167</v>
      </c>
    </row>
    <row r="409" customFormat="false" ht="15" hidden="false" customHeight="false" outlineLevel="0" collapsed="false">
      <c r="A409" s="2" t="n">
        <v>61</v>
      </c>
      <c r="B409" s="2" t="s">
        <v>799</v>
      </c>
      <c r="C409" s="2" t="s">
        <v>802</v>
      </c>
      <c r="D409" s="2" t="s">
        <v>5168</v>
      </c>
      <c r="E409" s="2" t="s">
        <v>4160</v>
      </c>
      <c r="F409" s="2" t="s">
        <v>5169</v>
      </c>
      <c r="G409" s="2"/>
      <c r="H409" s="2" t="s">
        <v>5170</v>
      </c>
    </row>
    <row r="410" customFormat="false" ht="15" hidden="false" customHeight="false" outlineLevel="0" collapsed="false">
      <c r="A410" s="2" t="n">
        <v>61</v>
      </c>
      <c r="B410" s="2" t="s">
        <v>799</v>
      </c>
      <c r="C410" s="2" t="s">
        <v>802</v>
      </c>
      <c r="D410" s="2" t="s">
        <v>5171</v>
      </c>
      <c r="E410" s="2" t="s">
        <v>4160</v>
      </c>
      <c r="F410" s="2" t="s">
        <v>5172</v>
      </c>
      <c r="G410" s="2"/>
      <c r="H410" s="2" t="s">
        <v>5173</v>
      </c>
    </row>
    <row r="411" customFormat="false" ht="15" hidden="false" customHeight="false" outlineLevel="0" collapsed="false">
      <c r="A411" s="2" t="n">
        <v>62</v>
      </c>
      <c r="B411" s="2" t="s">
        <v>808</v>
      </c>
      <c r="C411" s="2" t="s">
        <v>813</v>
      </c>
      <c r="D411" s="2" t="s">
        <v>5174</v>
      </c>
      <c r="E411" s="2" t="s">
        <v>4156</v>
      </c>
      <c r="F411" s="2" t="s">
        <v>816</v>
      </c>
      <c r="G411" s="2" t="s">
        <v>5175</v>
      </c>
      <c r="H411" s="2" t="s">
        <v>5176</v>
      </c>
    </row>
    <row r="412" customFormat="false" ht="15" hidden="false" customHeight="false" outlineLevel="0" collapsed="false">
      <c r="A412" s="2" t="n">
        <v>62</v>
      </c>
      <c r="B412" s="2" t="s">
        <v>808</v>
      </c>
      <c r="C412" s="2" t="s">
        <v>813</v>
      </c>
      <c r="D412" s="2" t="s">
        <v>5177</v>
      </c>
      <c r="E412" s="2" t="s">
        <v>4160</v>
      </c>
      <c r="F412" s="2" t="s">
        <v>5178</v>
      </c>
      <c r="G412" s="2"/>
      <c r="H412" s="2" t="s">
        <v>5179</v>
      </c>
    </row>
    <row r="413" customFormat="false" ht="15" hidden="false" customHeight="false" outlineLevel="0" collapsed="false">
      <c r="A413" s="2" t="n">
        <v>63</v>
      </c>
      <c r="B413" s="2" t="s">
        <v>820</v>
      </c>
      <c r="C413" s="2" t="s">
        <v>826</v>
      </c>
      <c r="D413" s="2" t="s">
        <v>5180</v>
      </c>
      <c r="E413" s="2" t="s">
        <v>4160</v>
      </c>
      <c r="F413" s="2" t="s">
        <v>5181</v>
      </c>
      <c r="G413" s="2"/>
      <c r="H413" s="2" t="s">
        <v>5182</v>
      </c>
    </row>
    <row r="414" customFormat="false" ht="15" hidden="false" customHeight="false" outlineLevel="0" collapsed="false">
      <c r="A414" s="2" t="n">
        <v>63</v>
      </c>
      <c r="B414" s="2" t="s">
        <v>820</v>
      </c>
      <c r="C414" s="2" t="s">
        <v>826</v>
      </c>
      <c r="D414" s="2" t="s">
        <v>5183</v>
      </c>
      <c r="E414" s="2" t="s">
        <v>4160</v>
      </c>
      <c r="F414" s="2" t="s">
        <v>1084</v>
      </c>
      <c r="G414" s="2"/>
      <c r="H414" s="2" t="s">
        <v>5184</v>
      </c>
    </row>
    <row r="415" customFormat="false" ht="15" hidden="false" customHeight="false" outlineLevel="0" collapsed="false">
      <c r="A415" s="2" t="n">
        <v>64</v>
      </c>
      <c r="B415" s="2" t="s">
        <v>832</v>
      </c>
      <c r="C415" s="2" t="s">
        <v>837</v>
      </c>
      <c r="D415" s="2" t="s">
        <v>5185</v>
      </c>
      <c r="E415" s="2" t="s">
        <v>4156</v>
      </c>
      <c r="F415" s="2" t="s">
        <v>581</v>
      </c>
      <c r="G415" s="2" t="s">
        <v>5186</v>
      </c>
      <c r="H415" s="2" t="s">
        <v>5187</v>
      </c>
    </row>
    <row r="416" customFormat="false" ht="15" hidden="false" customHeight="false" outlineLevel="0" collapsed="false">
      <c r="A416" s="2" t="n">
        <v>64</v>
      </c>
      <c r="B416" s="2" t="s">
        <v>832</v>
      </c>
      <c r="C416" s="2" t="s">
        <v>837</v>
      </c>
      <c r="D416" s="2" t="s">
        <v>5188</v>
      </c>
      <c r="E416" s="2" t="s">
        <v>4160</v>
      </c>
      <c r="F416" s="2" t="s">
        <v>3957</v>
      </c>
      <c r="G416" s="2"/>
      <c r="H416" s="2" t="s">
        <v>5189</v>
      </c>
    </row>
    <row r="417" customFormat="false" ht="15" hidden="false" customHeight="false" outlineLevel="0" collapsed="false">
      <c r="A417" s="2" t="n">
        <v>64</v>
      </c>
      <c r="B417" s="2" t="s">
        <v>832</v>
      </c>
      <c r="C417" s="2" t="s">
        <v>837</v>
      </c>
      <c r="D417" s="2" t="s">
        <v>5190</v>
      </c>
      <c r="E417" s="2" t="s">
        <v>4160</v>
      </c>
      <c r="F417" s="2" t="s">
        <v>628</v>
      </c>
      <c r="G417" s="2"/>
      <c r="H417" s="2" t="s">
        <v>5191</v>
      </c>
    </row>
    <row r="418" customFormat="false" ht="15" hidden="false" customHeight="false" outlineLevel="0" collapsed="false">
      <c r="A418" s="2" t="n">
        <v>64</v>
      </c>
      <c r="B418" s="2" t="s">
        <v>832</v>
      </c>
      <c r="C418" s="2" t="s">
        <v>837</v>
      </c>
      <c r="D418" s="2" t="s">
        <v>5192</v>
      </c>
      <c r="E418" s="2" t="s">
        <v>4160</v>
      </c>
      <c r="F418" s="2" t="s">
        <v>5193</v>
      </c>
      <c r="G418" s="2"/>
      <c r="H418" s="2" t="s">
        <v>5194</v>
      </c>
    </row>
    <row r="419" customFormat="false" ht="15" hidden="false" customHeight="false" outlineLevel="0" collapsed="false">
      <c r="A419" s="2" t="n">
        <v>64</v>
      </c>
      <c r="B419" s="2" t="s">
        <v>832</v>
      </c>
      <c r="C419" s="2" t="s">
        <v>837</v>
      </c>
      <c r="D419" s="2" t="s">
        <v>5195</v>
      </c>
      <c r="E419" s="2" t="s">
        <v>4160</v>
      </c>
      <c r="F419" s="2" t="s">
        <v>2926</v>
      </c>
      <c r="G419" s="2"/>
      <c r="H419" s="2" t="s">
        <v>5196</v>
      </c>
    </row>
    <row r="420" customFormat="false" ht="15" hidden="false" customHeight="false" outlineLevel="0" collapsed="false">
      <c r="A420" s="2" t="n">
        <v>65</v>
      </c>
      <c r="B420" s="2" t="s">
        <v>843</v>
      </c>
      <c r="C420" s="2" t="s">
        <v>847</v>
      </c>
      <c r="D420" s="2" t="s">
        <v>5197</v>
      </c>
      <c r="E420" s="2" t="s">
        <v>4156</v>
      </c>
      <c r="F420" s="2" t="s">
        <v>850</v>
      </c>
      <c r="G420" s="2" t="s">
        <v>5198</v>
      </c>
      <c r="H420" s="2" t="s">
        <v>5199</v>
      </c>
    </row>
    <row r="421" customFormat="false" ht="15" hidden="false" customHeight="false" outlineLevel="0" collapsed="false">
      <c r="A421" s="2" t="n">
        <v>65</v>
      </c>
      <c r="B421" s="2" t="s">
        <v>843</v>
      </c>
      <c r="C421" s="2" t="s">
        <v>847</v>
      </c>
      <c r="D421" s="2" t="s">
        <v>5185</v>
      </c>
      <c r="E421" s="2" t="s">
        <v>4156</v>
      </c>
      <c r="F421" s="2" t="s">
        <v>581</v>
      </c>
      <c r="G421" s="2" t="s">
        <v>5186</v>
      </c>
      <c r="H421" s="2" t="s">
        <v>5187</v>
      </c>
    </row>
    <row r="422" customFormat="false" ht="15" hidden="false" customHeight="false" outlineLevel="0" collapsed="false">
      <c r="A422" s="2" t="n">
        <v>65</v>
      </c>
      <c r="B422" s="2" t="s">
        <v>843</v>
      </c>
      <c r="C422" s="2" t="s">
        <v>847</v>
      </c>
      <c r="D422" s="2" t="s">
        <v>5200</v>
      </c>
      <c r="E422" s="2" t="s">
        <v>4160</v>
      </c>
      <c r="F422" s="2" t="s">
        <v>1227</v>
      </c>
      <c r="G422" s="2" t="s">
        <v>5201</v>
      </c>
      <c r="H422" s="2" t="s">
        <v>5202</v>
      </c>
    </row>
    <row r="423" customFormat="false" ht="15" hidden="false" customHeight="false" outlineLevel="0" collapsed="false">
      <c r="A423" s="2" t="n">
        <v>65</v>
      </c>
      <c r="B423" s="2" t="s">
        <v>843</v>
      </c>
      <c r="C423" s="2" t="s">
        <v>847</v>
      </c>
      <c r="D423" s="2" t="s">
        <v>5203</v>
      </c>
      <c r="E423" s="2" t="s">
        <v>4160</v>
      </c>
      <c r="F423" s="2" t="s">
        <v>1023</v>
      </c>
      <c r="G423" s="2"/>
      <c r="H423" s="2" t="s">
        <v>5204</v>
      </c>
    </row>
    <row r="424" customFormat="false" ht="15" hidden="false" customHeight="false" outlineLevel="0" collapsed="false">
      <c r="A424" s="2" t="n">
        <v>65</v>
      </c>
      <c r="B424" s="2" t="s">
        <v>843</v>
      </c>
      <c r="C424" s="2" t="s">
        <v>847</v>
      </c>
      <c r="D424" s="2" t="s">
        <v>5205</v>
      </c>
      <c r="E424" s="2" t="s">
        <v>4160</v>
      </c>
      <c r="F424" s="2" t="s">
        <v>5206</v>
      </c>
      <c r="G424" s="2"/>
      <c r="H424" s="2" t="s">
        <v>5207</v>
      </c>
    </row>
    <row r="425" customFormat="false" ht="15" hidden="false" customHeight="false" outlineLevel="0" collapsed="false">
      <c r="A425" s="2" t="n">
        <v>66</v>
      </c>
      <c r="B425" s="2" t="s">
        <v>854</v>
      </c>
      <c r="C425" s="2" t="s">
        <v>859</v>
      </c>
      <c r="D425" s="2" t="s">
        <v>5208</v>
      </c>
      <c r="E425" s="2" t="s">
        <v>4160</v>
      </c>
      <c r="F425" s="2" t="s">
        <v>5209</v>
      </c>
      <c r="G425" s="2"/>
      <c r="H425" s="2" t="s">
        <v>5210</v>
      </c>
    </row>
    <row r="426" customFormat="false" ht="15" hidden="false" customHeight="false" outlineLevel="0" collapsed="false">
      <c r="A426" s="2" t="n">
        <v>66</v>
      </c>
      <c r="B426" s="2" t="s">
        <v>854</v>
      </c>
      <c r="C426" s="2" t="s">
        <v>859</v>
      </c>
      <c r="D426" s="2" t="s">
        <v>5211</v>
      </c>
      <c r="E426" s="2" t="s">
        <v>4160</v>
      </c>
      <c r="F426" s="2" t="s">
        <v>5212</v>
      </c>
      <c r="G426" s="2" t="s">
        <v>5213</v>
      </c>
      <c r="H426" s="2" t="s">
        <v>5214</v>
      </c>
    </row>
    <row r="427" customFormat="false" ht="15" hidden="false" customHeight="false" outlineLevel="0" collapsed="false">
      <c r="A427" s="2" t="n">
        <v>67</v>
      </c>
      <c r="B427" s="2" t="s">
        <v>865</v>
      </c>
      <c r="C427" s="2" t="s">
        <v>871</v>
      </c>
      <c r="D427" s="2" t="s">
        <v>5197</v>
      </c>
      <c r="E427" s="2" t="s">
        <v>4156</v>
      </c>
      <c r="F427" s="2" t="s">
        <v>850</v>
      </c>
      <c r="G427" s="2" t="s">
        <v>5198</v>
      </c>
      <c r="H427" s="2" t="s">
        <v>5199</v>
      </c>
    </row>
    <row r="428" customFormat="false" ht="15" hidden="false" customHeight="false" outlineLevel="0" collapsed="false">
      <c r="A428" s="2" t="n">
        <v>67</v>
      </c>
      <c r="B428" s="2" t="s">
        <v>865</v>
      </c>
      <c r="C428" s="2" t="s">
        <v>871</v>
      </c>
      <c r="D428" s="2" t="s">
        <v>5215</v>
      </c>
      <c r="E428" s="2" t="s">
        <v>4160</v>
      </c>
      <c r="F428" s="2" t="s">
        <v>5216</v>
      </c>
      <c r="G428" s="2"/>
      <c r="H428" s="2" t="s">
        <v>5217</v>
      </c>
    </row>
    <row r="429" customFormat="false" ht="15" hidden="false" customHeight="false" outlineLevel="0" collapsed="false">
      <c r="A429" s="2" t="n">
        <v>67</v>
      </c>
      <c r="B429" s="2" t="s">
        <v>865</v>
      </c>
      <c r="C429" s="2" t="s">
        <v>871</v>
      </c>
      <c r="D429" s="2" t="s">
        <v>5218</v>
      </c>
      <c r="E429" s="2" t="s">
        <v>4160</v>
      </c>
      <c r="F429" s="2" t="s">
        <v>5219</v>
      </c>
      <c r="G429" s="2"/>
      <c r="H429" s="2" t="s">
        <v>5220</v>
      </c>
    </row>
    <row r="430" customFormat="false" ht="15" hidden="false" customHeight="false" outlineLevel="0" collapsed="false">
      <c r="A430" s="2" t="n">
        <v>67</v>
      </c>
      <c r="B430" s="2" t="s">
        <v>865</v>
      </c>
      <c r="C430" s="2" t="s">
        <v>871</v>
      </c>
      <c r="D430" s="2" t="s">
        <v>5221</v>
      </c>
      <c r="E430" s="2" t="s">
        <v>4160</v>
      </c>
      <c r="F430" s="2" t="s">
        <v>5222</v>
      </c>
      <c r="G430" s="2"/>
      <c r="H430" s="2" t="s">
        <v>5223</v>
      </c>
    </row>
    <row r="431" customFormat="false" ht="15" hidden="false" customHeight="false" outlineLevel="0" collapsed="false">
      <c r="A431" s="2" t="n">
        <v>67</v>
      </c>
      <c r="B431" s="2" t="s">
        <v>865</v>
      </c>
      <c r="C431" s="2" t="s">
        <v>871</v>
      </c>
      <c r="D431" s="2" t="s">
        <v>5224</v>
      </c>
      <c r="E431" s="2" t="s">
        <v>4160</v>
      </c>
      <c r="F431" s="2" t="s">
        <v>5225</v>
      </c>
      <c r="G431" s="2"/>
      <c r="H431" s="2" t="s">
        <v>5226</v>
      </c>
    </row>
    <row r="432" customFormat="false" ht="15" hidden="false" customHeight="false" outlineLevel="0" collapsed="false">
      <c r="A432" s="2" t="n">
        <v>68</v>
      </c>
      <c r="B432" s="2" t="s">
        <v>877</v>
      </c>
      <c r="C432" s="2" t="s">
        <v>883</v>
      </c>
      <c r="D432" s="2" t="s">
        <v>5227</v>
      </c>
      <c r="E432" s="2" t="s">
        <v>4160</v>
      </c>
      <c r="F432" s="2" t="s">
        <v>5228</v>
      </c>
      <c r="G432" s="2"/>
      <c r="H432" s="2" t="s">
        <v>5229</v>
      </c>
    </row>
    <row r="433" customFormat="false" ht="15" hidden="false" customHeight="false" outlineLevel="0" collapsed="false">
      <c r="A433" s="2" t="n">
        <v>68</v>
      </c>
      <c r="B433" s="2" t="s">
        <v>877</v>
      </c>
      <c r="C433" s="2" t="s">
        <v>883</v>
      </c>
      <c r="D433" s="2" t="s">
        <v>5230</v>
      </c>
      <c r="E433" s="2" t="s">
        <v>4160</v>
      </c>
      <c r="F433" s="2" t="s">
        <v>5231</v>
      </c>
      <c r="G433" s="2"/>
      <c r="H433" s="2" t="s">
        <v>5232</v>
      </c>
    </row>
    <row r="434" customFormat="false" ht="15" hidden="false" customHeight="false" outlineLevel="0" collapsed="false">
      <c r="A434" s="2" t="n">
        <v>68</v>
      </c>
      <c r="B434" s="2" t="s">
        <v>877</v>
      </c>
      <c r="C434" s="2" t="s">
        <v>883</v>
      </c>
      <c r="D434" s="2" t="s">
        <v>5233</v>
      </c>
      <c r="E434" s="2" t="s">
        <v>4160</v>
      </c>
      <c r="F434" s="2" t="s">
        <v>5234</v>
      </c>
      <c r="G434" s="2"/>
      <c r="H434" s="2" t="s">
        <v>5235</v>
      </c>
    </row>
    <row r="435" customFormat="false" ht="15" hidden="false" customHeight="false" outlineLevel="0" collapsed="false">
      <c r="A435" s="2" t="n">
        <v>68</v>
      </c>
      <c r="B435" s="2" t="s">
        <v>877</v>
      </c>
      <c r="C435" s="2" t="s">
        <v>883</v>
      </c>
      <c r="D435" s="2" t="s">
        <v>5236</v>
      </c>
      <c r="E435" s="2" t="s">
        <v>4160</v>
      </c>
      <c r="F435" s="2" t="s">
        <v>5237</v>
      </c>
      <c r="G435" s="2"/>
      <c r="H435" s="2" t="s">
        <v>5238</v>
      </c>
    </row>
    <row r="436" customFormat="false" ht="15" hidden="false" customHeight="false" outlineLevel="0" collapsed="false">
      <c r="A436" s="2" t="n">
        <v>69</v>
      </c>
      <c r="B436" s="2" t="s">
        <v>889</v>
      </c>
      <c r="C436" s="2" t="s">
        <v>895</v>
      </c>
      <c r="D436" s="2" t="s">
        <v>5239</v>
      </c>
      <c r="E436" s="2" t="s">
        <v>4156</v>
      </c>
      <c r="F436" s="2" t="s">
        <v>898</v>
      </c>
      <c r="G436" s="2" t="s">
        <v>5240</v>
      </c>
      <c r="H436" s="2" t="s">
        <v>5241</v>
      </c>
    </row>
    <row r="437" customFormat="false" ht="15" hidden="false" customHeight="false" outlineLevel="0" collapsed="false">
      <c r="A437" s="2" t="n">
        <v>69</v>
      </c>
      <c r="B437" s="2" t="s">
        <v>889</v>
      </c>
      <c r="C437" s="2" t="s">
        <v>895</v>
      </c>
      <c r="D437" s="2" t="s">
        <v>5242</v>
      </c>
      <c r="E437" s="2" t="s">
        <v>4160</v>
      </c>
      <c r="F437" s="2" t="s">
        <v>5243</v>
      </c>
      <c r="G437" s="2"/>
      <c r="H437" s="2" t="s">
        <v>5244</v>
      </c>
    </row>
    <row r="438" customFormat="false" ht="15" hidden="false" customHeight="false" outlineLevel="0" collapsed="false">
      <c r="A438" s="2" t="n">
        <v>71</v>
      </c>
      <c r="B438" s="2" t="s">
        <v>911</v>
      </c>
      <c r="C438" s="2" t="s">
        <v>916</v>
      </c>
      <c r="D438" s="2" t="s">
        <v>5245</v>
      </c>
      <c r="E438" s="2" t="s">
        <v>4160</v>
      </c>
      <c r="F438" s="2" t="s">
        <v>3224</v>
      </c>
      <c r="G438" s="2"/>
      <c r="H438" s="2" t="s">
        <v>5246</v>
      </c>
    </row>
    <row r="439" customFormat="false" ht="15" hidden="false" customHeight="false" outlineLevel="0" collapsed="false">
      <c r="A439" s="2" t="n">
        <v>72</v>
      </c>
      <c r="B439" s="2" t="s">
        <v>922</v>
      </c>
      <c r="C439" s="2" t="s">
        <v>927</v>
      </c>
      <c r="D439" s="2" t="s">
        <v>5247</v>
      </c>
      <c r="E439" s="2" t="s">
        <v>4160</v>
      </c>
      <c r="F439" s="2" t="s">
        <v>5248</v>
      </c>
      <c r="G439" s="2" t="s">
        <v>5249</v>
      </c>
      <c r="H439" s="2" t="s">
        <v>5250</v>
      </c>
    </row>
    <row r="440" customFormat="false" ht="15" hidden="false" customHeight="false" outlineLevel="0" collapsed="false">
      <c r="A440" s="2" t="n">
        <v>72</v>
      </c>
      <c r="B440" s="2" t="s">
        <v>922</v>
      </c>
      <c r="C440" s="2" t="s">
        <v>927</v>
      </c>
      <c r="D440" s="2" t="s">
        <v>5251</v>
      </c>
      <c r="E440" s="2" t="s">
        <v>4160</v>
      </c>
      <c r="F440" s="2" t="s">
        <v>5252</v>
      </c>
      <c r="G440" s="2"/>
      <c r="H440" s="2" t="s">
        <v>5253</v>
      </c>
    </row>
    <row r="441" customFormat="false" ht="15" hidden="false" customHeight="false" outlineLevel="0" collapsed="false">
      <c r="A441" s="2" t="n">
        <v>73</v>
      </c>
      <c r="B441" s="2" t="s">
        <v>933</v>
      </c>
      <c r="C441" s="2" t="s">
        <v>938</v>
      </c>
      <c r="D441" s="2" t="s">
        <v>5254</v>
      </c>
      <c r="E441" s="2" t="s">
        <v>4160</v>
      </c>
      <c r="F441" s="2" t="s">
        <v>5255</v>
      </c>
      <c r="G441" s="2" t="s">
        <v>5256</v>
      </c>
      <c r="H441" s="2" t="s">
        <v>5257</v>
      </c>
    </row>
    <row r="442" customFormat="false" ht="15" hidden="false" customHeight="false" outlineLevel="0" collapsed="false">
      <c r="A442" s="2" t="n">
        <v>76</v>
      </c>
      <c r="B442" s="2" t="s">
        <v>965</v>
      </c>
      <c r="C442" s="2" t="s">
        <v>970</v>
      </c>
      <c r="D442" s="2" t="s">
        <v>5258</v>
      </c>
      <c r="E442" s="2" t="s">
        <v>4160</v>
      </c>
      <c r="F442" s="2" t="s">
        <v>4868</v>
      </c>
      <c r="G442" s="2" t="s">
        <v>5259</v>
      </c>
      <c r="H442" s="2" t="s">
        <v>5260</v>
      </c>
    </row>
    <row r="443" customFormat="false" ht="15" hidden="false" customHeight="false" outlineLevel="0" collapsed="false">
      <c r="A443" s="2" t="n">
        <v>76</v>
      </c>
      <c r="B443" s="2" t="s">
        <v>965</v>
      </c>
      <c r="C443" s="2" t="s">
        <v>970</v>
      </c>
      <c r="D443" s="2" t="s">
        <v>5261</v>
      </c>
      <c r="E443" s="2" t="s">
        <v>4160</v>
      </c>
      <c r="F443" s="2" t="s">
        <v>1569</v>
      </c>
      <c r="G443" s="2"/>
      <c r="H443" s="2" t="s">
        <v>5262</v>
      </c>
    </row>
    <row r="444" customFormat="false" ht="15" hidden="false" customHeight="false" outlineLevel="0" collapsed="false">
      <c r="A444" s="2" t="n">
        <v>76</v>
      </c>
      <c r="B444" s="2" t="s">
        <v>965</v>
      </c>
      <c r="C444" s="2" t="s">
        <v>970</v>
      </c>
      <c r="D444" s="2" t="s">
        <v>5263</v>
      </c>
      <c r="E444" s="2" t="s">
        <v>4160</v>
      </c>
      <c r="F444" s="2" t="s">
        <v>5264</v>
      </c>
      <c r="G444" s="2"/>
      <c r="H444" s="2" t="s">
        <v>5265</v>
      </c>
    </row>
    <row r="445" customFormat="false" ht="15" hidden="false" customHeight="false" outlineLevel="0" collapsed="false">
      <c r="A445" s="2" t="n">
        <v>76</v>
      </c>
      <c r="B445" s="2" t="s">
        <v>965</v>
      </c>
      <c r="C445" s="2" t="s">
        <v>970</v>
      </c>
      <c r="D445" s="2" t="s">
        <v>5266</v>
      </c>
      <c r="E445" s="2" t="s">
        <v>4160</v>
      </c>
      <c r="F445" s="2" t="s">
        <v>2389</v>
      </c>
      <c r="G445" s="2"/>
      <c r="H445" s="2" t="s">
        <v>5267</v>
      </c>
    </row>
    <row r="446" customFormat="false" ht="15" hidden="false" customHeight="false" outlineLevel="0" collapsed="false">
      <c r="A446" s="2" t="n">
        <v>76</v>
      </c>
      <c r="B446" s="2" t="s">
        <v>965</v>
      </c>
      <c r="C446" s="2" t="s">
        <v>970</v>
      </c>
      <c r="D446" s="2" t="s">
        <v>5268</v>
      </c>
      <c r="E446" s="2" t="s">
        <v>4160</v>
      </c>
      <c r="F446" s="2" t="s">
        <v>5269</v>
      </c>
      <c r="G446" s="2"/>
      <c r="H446" s="2" t="s">
        <v>5270</v>
      </c>
    </row>
    <row r="447" customFormat="false" ht="15" hidden="false" customHeight="false" outlineLevel="0" collapsed="false">
      <c r="A447" s="2" t="n">
        <v>76</v>
      </c>
      <c r="B447" s="2" t="s">
        <v>965</v>
      </c>
      <c r="C447" s="2" t="s">
        <v>970</v>
      </c>
      <c r="D447" s="2" t="s">
        <v>5271</v>
      </c>
      <c r="E447" s="2" t="s">
        <v>4160</v>
      </c>
      <c r="F447" s="2" t="s">
        <v>5272</v>
      </c>
      <c r="G447" s="2"/>
      <c r="H447" s="2" t="s">
        <v>5273</v>
      </c>
    </row>
    <row r="448" customFormat="false" ht="15" hidden="false" customHeight="false" outlineLevel="0" collapsed="false">
      <c r="A448" s="2" t="n">
        <v>78</v>
      </c>
      <c r="B448" s="2" t="s">
        <v>986</v>
      </c>
      <c r="C448" s="2" t="s">
        <v>991</v>
      </c>
      <c r="D448" s="2" t="s">
        <v>5274</v>
      </c>
      <c r="E448" s="2" t="s">
        <v>4160</v>
      </c>
      <c r="F448" s="2" t="s">
        <v>5275</v>
      </c>
      <c r="G448" s="2"/>
      <c r="H448" s="2" t="s">
        <v>5276</v>
      </c>
    </row>
    <row r="449" customFormat="false" ht="15" hidden="false" customHeight="false" outlineLevel="0" collapsed="false">
      <c r="A449" s="2" t="n">
        <v>78</v>
      </c>
      <c r="B449" s="2" t="s">
        <v>986</v>
      </c>
      <c r="C449" s="2" t="s">
        <v>991</v>
      </c>
      <c r="D449" s="2" t="s">
        <v>5277</v>
      </c>
      <c r="E449" s="2" t="s">
        <v>4160</v>
      </c>
      <c r="F449" s="2" t="s">
        <v>5278</v>
      </c>
      <c r="G449" s="2"/>
      <c r="H449" s="2" t="s">
        <v>5279</v>
      </c>
    </row>
    <row r="450" customFormat="false" ht="15" hidden="false" customHeight="false" outlineLevel="0" collapsed="false">
      <c r="A450" s="2" t="n">
        <v>80</v>
      </c>
      <c r="B450" s="2" t="s">
        <v>1007</v>
      </c>
      <c r="C450" s="2" t="s">
        <v>1012</v>
      </c>
      <c r="D450" s="2" t="s">
        <v>5280</v>
      </c>
      <c r="E450" s="2" t="s">
        <v>4160</v>
      </c>
      <c r="F450" s="2" t="s">
        <v>5281</v>
      </c>
      <c r="G450" s="2" t="s">
        <v>5282</v>
      </c>
      <c r="H450" s="2" t="s">
        <v>5283</v>
      </c>
    </row>
    <row r="451" customFormat="false" ht="15" hidden="false" customHeight="false" outlineLevel="0" collapsed="false">
      <c r="A451" s="2" t="n">
        <v>80</v>
      </c>
      <c r="B451" s="2" t="s">
        <v>1007</v>
      </c>
      <c r="C451" s="2" t="s">
        <v>1012</v>
      </c>
      <c r="D451" s="2" t="s">
        <v>5284</v>
      </c>
      <c r="E451" s="2" t="s">
        <v>4160</v>
      </c>
      <c r="F451" s="2" t="s">
        <v>5285</v>
      </c>
      <c r="G451" s="2" t="s">
        <v>5282</v>
      </c>
      <c r="H451" s="2" t="s">
        <v>5286</v>
      </c>
    </row>
    <row r="452" customFormat="false" ht="15" hidden="false" customHeight="false" outlineLevel="0" collapsed="false">
      <c r="A452" s="2" t="n">
        <v>80</v>
      </c>
      <c r="B452" s="2" t="s">
        <v>1007</v>
      </c>
      <c r="C452" s="2" t="s">
        <v>1012</v>
      </c>
      <c r="D452" s="2" t="s">
        <v>5287</v>
      </c>
      <c r="E452" s="2" t="s">
        <v>4160</v>
      </c>
      <c r="F452" s="2" t="s">
        <v>5288</v>
      </c>
      <c r="G452" s="2"/>
      <c r="H452" s="2" t="s">
        <v>5289</v>
      </c>
    </row>
    <row r="453" customFormat="false" ht="15" hidden="false" customHeight="false" outlineLevel="0" collapsed="false">
      <c r="A453" s="2" t="n">
        <v>80</v>
      </c>
      <c r="B453" s="2" t="s">
        <v>1007</v>
      </c>
      <c r="C453" s="2" t="s">
        <v>1012</v>
      </c>
      <c r="D453" s="2" t="s">
        <v>5290</v>
      </c>
      <c r="E453" s="2" t="s">
        <v>4160</v>
      </c>
      <c r="F453" s="2" t="s">
        <v>4268</v>
      </c>
      <c r="G453" s="2"/>
      <c r="H453" s="2" t="s">
        <v>5291</v>
      </c>
    </row>
    <row r="454" customFormat="false" ht="15" hidden="false" customHeight="false" outlineLevel="0" collapsed="false">
      <c r="A454" s="2" t="n">
        <v>81</v>
      </c>
      <c r="B454" s="2" t="s">
        <v>1018</v>
      </c>
      <c r="C454" s="2" t="s">
        <v>1024</v>
      </c>
      <c r="D454" s="2" t="s">
        <v>5292</v>
      </c>
      <c r="E454" s="2" t="s">
        <v>4160</v>
      </c>
      <c r="F454" s="2" t="s">
        <v>5293</v>
      </c>
      <c r="G454" s="2"/>
      <c r="H454" s="2" t="s">
        <v>5294</v>
      </c>
    </row>
    <row r="455" customFormat="false" ht="15" hidden="false" customHeight="false" outlineLevel="0" collapsed="false">
      <c r="A455" s="2" t="n">
        <v>81</v>
      </c>
      <c r="B455" s="2" t="s">
        <v>1018</v>
      </c>
      <c r="C455" s="2" t="s">
        <v>1024</v>
      </c>
      <c r="D455" s="2" t="s">
        <v>5295</v>
      </c>
      <c r="E455" s="2" t="s">
        <v>4160</v>
      </c>
      <c r="F455" s="2" t="s">
        <v>5225</v>
      </c>
      <c r="G455" s="2"/>
      <c r="H455" s="2" t="s">
        <v>5296</v>
      </c>
    </row>
    <row r="456" customFormat="false" ht="15" hidden="false" customHeight="false" outlineLevel="0" collapsed="false">
      <c r="A456" s="2" t="n">
        <v>81</v>
      </c>
      <c r="B456" s="2" t="s">
        <v>1018</v>
      </c>
      <c r="C456" s="2" t="s">
        <v>1024</v>
      </c>
      <c r="D456" s="2" t="s">
        <v>5297</v>
      </c>
      <c r="E456" s="2" t="s">
        <v>4160</v>
      </c>
      <c r="F456" s="2" t="s">
        <v>5298</v>
      </c>
      <c r="G456" s="2"/>
      <c r="H456" s="2" t="s">
        <v>5299</v>
      </c>
    </row>
    <row r="457" customFormat="false" ht="15" hidden="false" customHeight="false" outlineLevel="0" collapsed="false">
      <c r="A457" s="2" t="n">
        <v>83</v>
      </c>
      <c r="B457" s="2" t="s">
        <v>1037</v>
      </c>
      <c r="C457" s="2" t="s">
        <v>1042</v>
      </c>
      <c r="D457" s="2" t="s">
        <v>1024</v>
      </c>
      <c r="E457" s="2" t="s">
        <v>4156</v>
      </c>
      <c r="F457" s="2" t="s">
        <v>1021</v>
      </c>
      <c r="G457" s="2" t="s">
        <v>5300</v>
      </c>
      <c r="H457" s="2" t="s">
        <v>1025</v>
      </c>
    </row>
    <row r="458" customFormat="false" ht="15" hidden="false" customHeight="false" outlineLevel="0" collapsed="false">
      <c r="A458" s="2" t="n">
        <v>83</v>
      </c>
      <c r="B458" s="2" t="s">
        <v>1037</v>
      </c>
      <c r="C458" s="2" t="s">
        <v>1042</v>
      </c>
      <c r="D458" s="2" t="s">
        <v>5301</v>
      </c>
      <c r="E458" s="2" t="s">
        <v>4160</v>
      </c>
      <c r="F458" s="2" t="s">
        <v>5302</v>
      </c>
      <c r="G458" s="2" t="s">
        <v>5303</v>
      </c>
      <c r="H458" s="2" t="s">
        <v>5304</v>
      </c>
    </row>
    <row r="459" customFormat="false" ht="15" hidden="false" customHeight="false" outlineLevel="0" collapsed="false">
      <c r="A459" s="2" t="n">
        <v>83</v>
      </c>
      <c r="B459" s="2" t="s">
        <v>1037</v>
      </c>
      <c r="C459" s="2" t="s">
        <v>1042</v>
      </c>
      <c r="D459" s="2" t="s">
        <v>5305</v>
      </c>
      <c r="E459" s="2" t="s">
        <v>4160</v>
      </c>
      <c r="F459" s="2" t="s">
        <v>5306</v>
      </c>
      <c r="G459" s="2" t="s">
        <v>5307</v>
      </c>
      <c r="H459" s="2" t="s">
        <v>5308</v>
      </c>
    </row>
    <row r="460" customFormat="false" ht="15" hidden="false" customHeight="false" outlineLevel="0" collapsed="false">
      <c r="A460" s="2" t="n">
        <v>83</v>
      </c>
      <c r="B460" s="2" t="s">
        <v>1037</v>
      </c>
      <c r="C460" s="2" t="s">
        <v>1042</v>
      </c>
      <c r="D460" s="2" t="s">
        <v>5309</v>
      </c>
      <c r="E460" s="2" t="s">
        <v>4160</v>
      </c>
      <c r="F460" s="2" t="s">
        <v>5310</v>
      </c>
      <c r="G460" s="2"/>
      <c r="H460" s="2" t="s">
        <v>5311</v>
      </c>
    </row>
    <row r="461" customFormat="false" ht="15" hidden="false" customHeight="false" outlineLevel="0" collapsed="false">
      <c r="A461" s="2" t="n">
        <v>83</v>
      </c>
      <c r="B461" s="2" t="s">
        <v>1037</v>
      </c>
      <c r="C461" s="2" t="s">
        <v>1042</v>
      </c>
      <c r="D461" s="2" t="s">
        <v>5312</v>
      </c>
      <c r="E461" s="2" t="s">
        <v>4160</v>
      </c>
      <c r="F461" s="2" t="s">
        <v>3961</v>
      </c>
      <c r="G461" s="2" t="s">
        <v>5307</v>
      </c>
      <c r="H461" s="2" t="s">
        <v>5313</v>
      </c>
    </row>
    <row r="462" customFormat="false" ht="15" hidden="false" customHeight="false" outlineLevel="0" collapsed="false">
      <c r="A462" s="2" t="n">
        <v>83</v>
      </c>
      <c r="B462" s="2" t="s">
        <v>1037</v>
      </c>
      <c r="C462" s="2" t="s">
        <v>1042</v>
      </c>
      <c r="D462" s="2" t="s">
        <v>5314</v>
      </c>
      <c r="E462" s="2" t="s">
        <v>4160</v>
      </c>
      <c r="F462" s="2" t="s">
        <v>5315</v>
      </c>
      <c r="G462" s="2"/>
      <c r="H462" s="2" t="s">
        <v>5316</v>
      </c>
    </row>
    <row r="463" customFormat="false" ht="15" hidden="false" customHeight="false" outlineLevel="0" collapsed="false">
      <c r="A463" s="2" t="n">
        <v>83</v>
      </c>
      <c r="B463" s="2" t="s">
        <v>1037</v>
      </c>
      <c r="C463" s="2" t="s">
        <v>1042</v>
      </c>
      <c r="D463" s="2" t="s">
        <v>5317</v>
      </c>
      <c r="E463" s="2" t="s">
        <v>4160</v>
      </c>
      <c r="F463" s="2" t="s">
        <v>5318</v>
      </c>
      <c r="G463" s="2"/>
      <c r="H463" s="2" t="s">
        <v>5319</v>
      </c>
    </row>
    <row r="464" customFormat="false" ht="15" hidden="false" customHeight="false" outlineLevel="0" collapsed="false">
      <c r="A464" s="2" t="n">
        <v>83</v>
      </c>
      <c r="B464" s="2" t="s">
        <v>1037</v>
      </c>
      <c r="C464" s="2" t="s">
        <v>1042</v>
      </c>
      <c r="D464" s="2" t="s">
        <v>5320</v>
      </c>
      <c r="E464" s="2" t="s">
        <v>4160</v>
      </c>
      <c r="F464" s="2" t="s">
        <v>5321</v>
      </c>
      <c r="G464" s="2"/>
      <c r="H464" s="2" t="s">
        <v>5322</v>
      </c>
    </row>
    <row r="465" customFormat="false" ht="15" hidden="false" customHeight="false" outlineLevel="0" collapsed="false">
      <c r="A465" s="2" t="n">
        <v>83</v>
      </c>
      <c r="B465" s="2" t="s">
        <v>1037</v>
      </c>
      <c r="C465" s="2" t="s">
        <v>1042</v>
      </c>
      <c r="D465" s="2" t="s">
        <v>5323</v>
      </c>
      <c r="E465" s="2" t="s">
        <v>4160</v>
      </c>
      <c r="F465" s="2" t="s">
        <v>5324</v>
      </c>
      <c r="G465" s="2"/>
      <c r="H465" s="2" t="s">
        <v>5325</v>
      </c>
    </row>
    <row r="466" customFormat="false" ht="15" hidden="false" customHeight="false" outlineLevel="0" collapsed="false">
      <c r="A466" s="2" t="n">
        <v>84</v>
      </c>
      <c r="B466" s="2" t="s">
        <v>1048</v>
      </c>
      <c r="C466" s="2" t="s">
        <v>1053</v>
      </c>
      <c r="D466" s="2" t="s">
        <v>5326</v>
      </c>
      <c r="E466" s="2" t="s">
        <v>4160</v>
      </c>
      <c r="F466" s="2" t="s">
        <v>5327</v>
      </c>
      <c r="G466" s="2"/>
      <c r="H466" s="2" t="s">
        <v>5328</v>
      </c>
    </row>
    <row r="467" customFormat="false" ht="15" hidden="false" customHeight="false" outlineLevel="0" collapsed="false">
      <c r="A467" s="2" t="n">
        <v>84</v>
      </c>
      <c r="B467" s="2" t="s">
        <v>1048</v>
      </c>
      <c r="C467" s="2" t="s">
        <v>1053</v>
      </c>
      <c r="D467" s="2" t="s">
        <v>5329</v>
      </c>
      <c r="E467" s="2" t="s">
        <v>4160</v>
      </c>
      <c r="F467" s="2" t="s">
        <v>3149</v>
      </c>
      <c r="G467" s="2"/>
      <c r="H467" s="2" t="s">
        <v>5330</v>
      </c>
    </row>
    <row r="468" customFormat="false" ht="15" hidden="false" customHeight="false" outlineLevel="0" collapsed="false">
      <c r="A468" s="2" t="n">
        <v>84</v>
      </c>
      <c r="B468" s="2" t="s">
        <v>1048</v>
      </c>
      <c r="C468" s="2" t="s">
        <v>1053</v>
      </c>
      <c r="D468" s="2" t="s">
        <v>5331</v>
      </c>
      <c r="E468" s="2" t="s">
        <v>4160</v>
      </c>
      <c r="F468" s="2" t="s">
        <v>1168</v>
      </c>
      <c r="G468" s="2"/>
      <c r="H468" s="2" t="s">
        <v>5332</v>
      </c>
    </row>
    <row r="469" customFormat="false" ht="15" hidden="false" customHeight="false" outlineLevel="0" collapsed="false">
      <c r="A469" s="2" t="n">
        <v>84</v>
      </c>
      <c r="B469" s="2" t="s">
        <v>1048</v>
      </c>
      <c r="C469" s="2" t="s">
        <v>1053</v>
      </c>
      <c r="D469" s="2" t="s">
        <v>5333</v>
      </c>
      <c r="E469" s="2" t="s">
        <v>4160</v>
      </c>
      <c r="F469" s="2" t="s">
        <v>5269</v>
      </c>
      <c r="G469" s="2"/>
      <c r="H469" s="2" t="s">
        <v>5334</v>
      </c>
    </row>
    <row r="470" customFormat="false" ht="15" hidden="false" customHeight="false" outlineLevel="0" collapsed="false">
      <c r="A470" s="2" t="n">
        <v>85</v>
      </c>
      <c r="B470" s="2" t="s">
        <v>1059</v>
      </c>
      <c r="C470" s="2" t="s">
        <v>1064</v>
      </c>
      <c r="D470" s="2" t="s">
        <v>5335</v>
      </c>
      <c r="E470" s="2" t="s">
        <v>4160</v>
      </c>
      <c r="F470" s="2" t="s">
        <v>4255</v>
      </c>
      <c r="G470" s="2"/>
      <c r="H470" s="2" t="s">
        <v>5336</v>
      </c>
    </row>
    <row r="471" customFormat="false" ht="15" hidden="false" customHeight="false" outlineLevel="0" collapsed="false">
      <c r="A471" s="2" t="n">
        <v>85</v>
      </c>
      <c r="B471" s="2" t="s">
        <v>1059</v>
      </c>
      <c r="C471" s="2" t="s">
        <v>1064</v>
      </c>
      <c r="D471" s="2" t="s">
        <v>5337</v>
      </c>
      <c r="E471" s="2" t="s">
        <v>4160</v>
      </c>
      <c r="F471" s="2" t="s">
        <v>5293</v>
      </c>
      <c r="G471" s="2"/>
      <c r="H471" s="2" t="s">
        <v>5338</v>
      </c>
    </row>
    <row r="472" customFormat="false" ht="15" hidden="false" customHeight="false" outlineLevel="0" collapsed="false">
      <c r="A472" s="2" t="n">
        <v>86</v>
      </c>
      <c r="B472" s="2" t="s">
        <v>1070</v>
      </c>
      <c r="C472" s="2" t="s">
        <v>1075</v>
      </c>
      <c r="D472" s="2" t="s">
        <v>5339</v>
      </c>
      <c r="E472" s="2" t="s">
        <v>4160</v>
      </c>
      <c r="F472" s="2" t="s">
        <v>5340</v>
      </c>
      <c r="G472" s="2" t="s">
        <v>5341</v>
      </c>
      <c r="H472" s="2" t="s">
        <v>5342</v>
      </c>
    </row>
    <row r="473" customFormat="false" ht="15" hidden="false" customHeight="false" outlineLevel="0" collapsed="false">
      <c r="A473" s="2" t="n">
        <v>86</v>
      </c>
      <c r="B473" s="2" t="s">
        <v>1070</v>
      </c>
      <c r="C473" s="2" t="s">
        <v>1075</v>
      </c>
      <c r="D473" s="2" t="s">
        <v>5343</v>
      </c>
      <c r="E473" s="2" t="s">
        <v>4160</v>
      </c>
      <c r="F473" s="2" t="s">
        <v>5344</v>
      </c>
      <c r="G473" s="2"/>
      <c r="H473" s="2" t="s">
        <v>5345</v>
      </c>
    </row>
    <row r="474" customFormat="false" ht="15" hidden="false" customHeight="false" outlineLevel="0" collapsed="false">
      <c r="A474" s="2" t="n">
        <v>87</v>
      </c>
      <c r="B474" s="2" t="s">
        <v>1081</v>
      </c>
      <c r="C474" s="2" t="s">
        <v>5346</v>
      </c>
      <c r="D474" s="2" t="s">
        <v>5347</v>
      </c>
      <c r="E474" s="2" t="s">
        <v>4160</v>
      </c>
      <c r="F474" s="2" t="s">
        <v>3228</v>
      </c>
      <c r="G474" s="2"/>
      <c r="H474" s="2" t="s">
        <v>5348</v>
      </c>
    </row>
    <row r="475" customFormat="false" ht="15" hidden="false" customHeight="false" outlineLevel="0" collapsed="false">
      <c r="A475" s="2" t="n">
        <v>87</v>
      </c>
      <c r="B475" s="2" t="s">
        <v>1081</v>
      </c>
      <c r="C475" s="2" t="s">
        <v>5349</v>
      </c>
      <c r="D475" s="2" t="s">
        <v>5350</v>
      </c>
      <c r="E475" s="2" t="s">
        <v>4160</v>
      </c>
      <c r="F475" s="2" t="s">
        <v>5351</v>
      </c>
      <c r="G475" s="2"/>
      <c r="H475" s="2" t="s">
        <v>5352</v>
      </c>
    </row>
    <row r="476" customFormat="false" ht="15" hidden="false" customHeight="false" outlineLevel="0" collapsed="false">
      <c r="A476" s="2" t="n">
        <v>89</v>
      </c>
      <c r="B476" s="2" t="s">
        <v>1101</v>
      </c>
      <c r="C476" s="2" t="s">
        <v>1104</v>
      </c>
      <c r="D476" s="2" t="s">
        <v>5353</v>
      </c>
      <c r="E476" s="2" t="s">
        <v>4160</v>
      </c>
      <c r="F476" s="2" t="s">
        <v>4975</v>
      </c>
      <c r="G476" s="2"/>
      <c r="H476" s="2" t="s">
        <v>5354</v>
      </c>
    </row>
    <row r="477" customFormat="false" ht="15" hidden="false" customHeight="false" outlineLevel="0" collapsed="false">
      <c r="A477" s="2" t="n">
        <v>89</v>
      </c>
      <c r="B477" s="2" t="s">
        <v>1101</v>
      </c>
      <c r="C477" s="2" t="s">
        <v>1104</v>
      </c>
      <c r="D477" s="2" t="s">
        <v>5355</v>
      </c>
      <c r="E477" s="2" t="s">
        <v>4160</v>
      </c>
      <c r="F477" s="2" t="s">
        <v>5356</v>
      </c>
      <c r="G477" s="2"/>
      <c r="H477" s="2" t="s">
        <v>5357</v>
      </c>
    </row>
    <row r="478" customFormat="false" ht="15" hidden="false" customHeight="false" outlineLevel="0" collapsed="false">
      <c r="A478" s="2" t="n">
        <v>90</v>
      </c>
      <c r="B478" s="2" t="s">
        <v>1110</v>
      </c>
      <c r="C478" s="2" t="s">
        <v>1114</v>
      </c>
      <c r="D478" s="2" t="s">
        <v>5358</v>
      </c>
      <c r="E478" s="2" t="s">
        <v>4160</v>
      </c>
      <c r="F478" s="2" t="s">
        <v>5359</v>
      </c>
      <c r="G478" s="2"/>
      <c r="H478" s="2" t="s">
        <v>5360</v>
      </c>
    </row>
    <row r="479" customFormat="false" ht="15" hidden="false" customHeight="false" outlineLevel="0" collapsed="false">
      <c r="A479" s="2" t="n">
        <v>91</v>
      </c>
      <c r="B479" s="2" t="s">
        <v>1121</v>
      </c>
      <c r="C479" s="2" t="s">
        <v>1126</v>
      </c>
      <c r="D479" s="2" t="s">
        <v>5361</v>
      </c>
      <c r="E479" s="2" t="s">
        <v>4160</v>
      </c>
      <c r="F479" s="2" t="s">
        <v>980</v>
      </c>
      <c r="G479" s="2" t="s">
        <v>5362</v>
      </c>
      <c r="H479" s="2" t="s">
        <v>5363</v>
      </c>
    </row>
    <row r="480" customFormat="false" ht="15" hidden="false" customHeight="false" outlineLevel="0" collapsed="false">
      <c r="A480" s="2" t="n">
        <v>91</v>
      </c>
      <c r="B480" s="2" t="s">
        <v>1121</v>
      </c>
      <c r="C480" s="2" t="s">
        <v>1126</v>
      </c>
      <c r="D480" s="2" t="s">
        <v>5364</v>
      </c>
      <c r="E480" s="2" t="s">
        <v>4160</v>
      </c>
      <c r="F480" s="2" t="s">
        <v>5365</v>
      </c>
      <c r="G480" s="2"/>
      <c r="H480" s="2" t="s">
        <v>5366</v>
      </c>
    </row>
    <row r="481" customFormat="false" ht="15" hidden="false" customHeight="false" outlineLevel="0" collapsed="false">
      <c r="A481" s="2" t="n">
        <v>91</v>
      </c>
      <c r="B481" s="2" t="s">
        <v>1121</v>
      </c>
      <c r="C481" s="2" t="s">
        <v>1126</v>
      </c>
      <c r="D481" s="2" t="s">
        <v>5367</v>
      </c>
      <c r="E481" s="2" t="s">
        <v>4160</v>
      </c>
      <c r="F481" s="2" t="s">
        <v>4273</v>
      </c>
      <c r="G481" s="2"/>
      <c r="H481" s="2" t="s">
        <v>5368</v>
      </c>
    </row>
    <row r="482" customFormat="false" ht="15" hidden="false" customHeight="false" outlineLevel="0" collapsed="false">
      <c r="A482" s="2" t="n">
        <v>92</v>
      </c>
      <c r="B482" s="2" t="s">
        <v>1132</v>
      </c>
      <c r="C482" s="2" t="s">
        <v>1137</v>
      </c>
      <c r="D482" s="2" t="s">
        <v>5369</v>
      </c>
      <c r="E482" s="2" t="s">
        <v>4160</v>
      </c>
      <c r="F482" s="2" t="s">
        <v>5370</v>
      </c>
      <c r="G482" s="2" t="s">
        <v>5371</v>
      </c>
      <c r="H482" s="2" t="s">
        <v>5372</v>
      </c>
    </row>
    <row r="483" customFormat="false" ht="15" hidden="false" customHeight="false" outlineLevel="0" collapsed="false">
      <c r="A483" s="2" t="n">
        <v>92</v>
      </c>
      <c r="B483" s="2" t="s">
        <v>1132</v>
      </c>
      <c r="C483" s="2" t="s">
        <v>1137</v>
      </c>
      <c r="D483" s="2" t="s">
        <v>5373</v>
      </c>
      <c r="E483" s="2" t="s">
        <v>4160</v>
      </c>
      <c r="F483" s="2" t="s">
        <v>2962</v>
      </c>
      <c r="G483" s="2" t="s">
        <v>5371</v>
      </c>
      <c r="H483" s="2" t="s">
        <v>5374</v>
      </c>
    </row>
    <row r="484" customFormat="false" ht="15" hidden="false" customHeight="false" outlineLevel="0" collapsed="false">
      <c r="A484" s="2" t="n">
        <v>92</v>
      </c>
      <c r="B484" s="2" t="s">
        <v>1132</v>
      </c>
      <c r="C484" s="2" t="s">
        <v>1137</v>
      </c>
      <c r="D484" s="2" t="s">
        <v>5375</v>
      </c>
      <c r="E484" s="2" t="s">
        <v>4160</v>
      </c>
      <c r="F484" s="2" t="s">
        <v>5376</v>
      </c>
      <c r="G484" s="2"/>
      <c r="H484" s="2" t="s">
        <v>5377</v>
      </c>
    </row>
    <row r="485" customFormat="false" ht="15" hidden="false" customHeight="false" outlineLevel="0" collapsed="false">
      <c r="A485" s="2" t="n">
        <v>92</v>
      </c>
      <c r="B485" s="2" t="s">
        <v>1132</v>
      </c>
      <c r="C485" s="2" t="s">
        <v>1137</v>
      </c>
      <c r="D485" s="2" t="s">
        <v>5378</v>
      </c>
      <c r="E485" s="2" t="s">
        <v>4160</v>
      </c>
      <c r="F485" s="2" t="s">
        <v>5379</v>
      </c>
      <c r="G485" s="2"/>
      <c r="H485" s="2" t="s">
        <v>5380</v>
      </c>
    </row>
    <row r="486" customFormat="false" ht="15" hidden="false" customHeight="false" outlineLevel="0" collapsed="false">
      <c r="A486" s="2" t="n">
        <v>92</v>
      </c>
      <c r="B486" s="2" t="s">
        <v>1132</v>
      </c>
      <c r="C486" s="2" t="s">
        <v>1137</v>
      </c>
      <c r="D486" s="2" t="s">
        <v>5381</v>
      </c>
      <c r="E486" s="2" t="s">
        <v>4160</v>
      </c>
      <c r="F486" s="2" t="s">
        <v>3311</v>
      </c>
      <c r="G486" s="2"/>
      <c r="H486" s="2" t="s">
        <v>5382</v>
      </c>
    </row>
    <row r="487" customFormat="false" ht="15" hidden="false" customHeight="false" outlineLevel="0" collapsed="false">
      <c r="A487" s="2" t="n">
        <v>93</v>
      </c>
      <c r="B487" s="2" t="s">
        <v>1143</v>
      </c>
      <c r="C487" s="2" t="s">
        <v>1146</v>
      </c>
      <c r="D487" s="2" t="s">
        <v>3339</v>
      </c>
      <c r="E487" s="2" t="s">
        <v>4156</v>
      </c>
      <c r="F487" s="2" t="s">
        <v>1149</v>
      </c>
      <c r="G487" s="2" t="s">
        <v>3340</v>
      </c>
      <c r="H487" s="2" t="s">
        <v>3341</v>
      </c>
    </row>
    <row r="488" customFormat="false" ht="15" hidden="false" customHeight="false" outlineLevel="0" collapsed="false">
      <c r="A488" s="2" t="n">
        <v>93</v>
      </c>
      <c r="B488" s="2" t="s">
        <v>1143</v>
      </c>
      <c r="C488" s="2" t="s">
        <v>1146</v>
      </c>
      <c r="D488" s="2" t="s">
        <v>5383</v>
      </c>
      <c r="E488" s="2" t="s">
        <v>4160</v>
      </c>
      <c r="F488" s="2" t="s">
        <v>4555</v>
      </c>
      <c r="G488" s="2" t="s">
        <v>5384</v>
      </c>
      <c r="H488" s="2" t="s">
        <v>5385</v>
      </c>
    </row>
    <row r="489" customFormat="false" ht="15" hidden="false" customHeight="false" outlineLevel="0" collapsed="false">
      <c r="A489" s="2" t="n">
        <v>93</v>
      </c>
      <c r="B489" s="2" t="s">
        <v>1143</v>
      </c>
      <c r="C489" s="2" t="s">
        <v>1146</v>
      </c>
      <c r="D489" s="2" t="s">
        <v>5386</v>
      </c>
      <c r="E489" s="2" t="s">
        <v>4160</v>
      </c>
      <c r="F489" s="2" t="s">
        <v>2619</v>
      </c>
      <c r="G489" s="2"/>
      <c r="H489" s="2" t="s">
        <v>5387</v>
      </c>
    </row>
    <row r="490" customFormat="false" ht="15" hidden="false" customHeight="false" outlineLevel="0" collapsed="false">
      <c r="A490" s="2" t="n">
        <v>93</v>
      </c>
      <c r="B490" s="2" t="s">
        <v>1143</v>
      </c>
      <c r="C490" s="2" t="s">
        <v>1146</v>
      </c>
      <c r="D490" s="2" t="s">
        <v>5388</v>
      </c>
      <c r="E490" s="2" t="s">
        <v>4160</v>
      </c>
      <c r="F490" s="2" t="s">
        <v>5389</v>
      </c>
      <c r="G490" s="2"/>
      <c r="H490" s="2" t="s">
        <v>5390</v>
      </c>
    </row>
    <row r="491" customFormat="false" ht="15" hidden="false" customHeight="false" outlineLevel="0" collapsed="false">
      <c r="A491" s="2" t="n">
        <v>93</v>
      </c>
      <c r="B491" s="2" t="s">
        <v>1143</v>
      </c>
      <c r="C491" s="2" t="s">
        <v>1146</v>
      </c>
      <c r="D491" s="2" t="s">
        <v>5391</v>
      </c>
      <c r="E491" s="2" t="s">
        <v>4160</v>
      </c>
      <c r="F491" s="2" t="s">
        <v>4042</v>
      </c>
      <c r="G491" s="2"/>
      <c r="H491" s="2" t="s">
        <v>5392</v>
      </c>
    </row>
    <row r="492" customFormat="false" ht="15" hidden="false" customHeight="false" outlineLevel="0" collapsed="false">
      <c r="A492" s="2" t="n">
        <v>94</v>
      </c>
      <c r="B492" s="2" t="s">
        <v>1153</v>
      </c>
      <c r="C492" s="2" t="s">
        <v>1158</v>
      </c>
      <c r="D492" s="2" t="s">
        <v>3358</v>
      </c>
      <c r="E492" s="2" t="s">
        <v>4156</v>
      </c>
      <c r="F492" s="2" t="s">
        <v>1161</v>
      </c>
      <c r="G492" s="2" t="s">
        <v>3360</v>
      </c>
      <c r="H492" s="2" t="s">
        <v>3361</v>
      </c>
    </row>
    <row r="493" customFormat="false" ht="15" hidden="false" customHeight="false" outlineLevel="0" collapsed="false">
      <c r="A493" s="2" t="n">
        <v>94</v>
      </c>
      <c r="B493" s="2" t="s">
        <v>1153</v>
      </c>
      <c r="C493" s="2" t="s">
        <v>1158</v>
      </c>
      <c r="D493" s="2" t="s">
        <v>5393</v>
      </c>
      <c r="E493" s="2" t="s">
        <v>4160</v>
      </c>
      <c r="F493" s="2" t="s">
        <v>4868</v>
      </c>
      <c r="G493" s="2" t="s">
        <v>5394</v>
      </c>
      <c r="H493" s="2" t="s">
        <v>5395</v>
      </c>
    </row>
    <row r="494" customFormat="false" ht="15" hidden="false" customHeight="false" outlineLevel="0" collapsed="false">
      <c r="A494" s="2" t="n">
        <v>94</v>
      </c>
      <c r="B494" s="2" t="s">
        <v>1153</v>
      </c>
      <c r="C494" s="2" t="s">
        <v>1158</v>
      </c>
      <c r="D494" s="2" t="s">
        <v>5396</v>
      </c>
      <c r="E494" s="2" t="s">
        <v>4160</v>
      </c>
      <c r="F494" s="2" t="s">
        <v>5397</v>
      </c>
      <c r="G494" s="2"/>
      <c r="H494" s="2" t="s">
        <v>5398</v>
      </c>
    </row>
    <row r="495" customFormat="false" ht="15" hidden="false" customHeight="false" outlineLevel="0" collapsed="false">
      <c r="A495" s="2" t="n">
        <v>94</v>
      </c>
      <c r="B495" s="2" t="s">
        <v>1153</v>
      </c>
      <c r="C495" s="2" t="s">
        <v>1158</v>
      </c>
      <c r="D495" s="2" t="s">
        <v>5399</v>
      </c>
      <c r="E495" s="2" t="s">
        <v>4160</v>
      </c>
      <c r="F495" s="2" t="s">
        <v>5400</v>
      </c>
      <c r="G495" s="2" t="s">
        <v>5394</v>
      </c>
      <c r="H495" s="2" t="s">
        <v>5401</v>
      </c>
    </row>
    <row r="496" customFormat="false" ht="15" hidden="false" customHeight="false" outlineLevel="0" collapsed="false">
      <c r="A496" s="2" t="n">
        <v>95</v>
      </c>
      <c r="B496" s="2" t="s">
        <v>1165</v>
      </c>
      <c r="C496" s="2" t="s">
        <v>1170</v>
      </c>
      <c r="D496" s="2" t="s">
        <v>5402</v>
      </c>
      <c r="E496" s="2" t="s">
        <v>4160</v>
      </c>
      <c r="F496" s="2" t="s">
        <v>5365</v>
      </c>
      <c r="G496" s="2" t="s">
        <v>5403</v>
      </c>
      <c r="H496" s="2" t="s">
        <v>5404</v>
      </c>
    </row>
    <row r="497" customFormat="false" ht="15" hidden="false" customHeight="false" outlineLevel="0" collapsed="false">
      <c r="A497" s="2" t="n">
        <v>95</v>
      </c>
      <c r="B497" s="2" t="s">
        <v>1165</v>
      </c>
      <c r="C497" s="2" t="s">
        <v>1170</v>
      </c>
      <c r="D497" s="2" t="s">
        <v>5405</v>
      </c>
      <c r="E497" s="2" t="s">
        <v>4160</v>
      </c>
      <c r="F497" s="2" t="s">
        <v>5406</v>
      </c>
      <c r="G497" s="2"/>
      <c r="H497" s="2" t="s">
        <v>5407</v>
      </c>
    </row>
    <row r="498" customFormat="false" ht="15" hidden="false" customHeight="false" outlineLevel="0" collapsed="false">
      <c r="A498" s="2" t="n">
        <v>95</v>
      </c>
      <c r="B498" s="2" t="s">
        <v>1165</v>
      </c>
      <c r="C498" s="2" t="s">
        <v>1170</v>
      </c>
      <c r="D498" s="2" t="s">
        <v>5408</v>
      </c>
      <c r="E498" s="2" t="s">
        <v>4160</v>
      </c>
      <c r="F498" s="2" t="s">
        <v>5172</v>
      </c>
      <c r="G498" s="2" t="s">
        <v>5403</v>
      </c>
      <c r="H498" s="2" t="s">
        <v>5409</v>
      </c>
    </row>
    <row r="499" customFormat="false" ht="15" hidden="false" customHeight="false" outlineLevel="0" collapsed="false">
      <c r="A499" s="2" t="n">
        <v>97</v>
      </c>
      <c r="B499" s="2" t="s">
        <v>1187</v>
      </c>
      <c r="C499" s="2" t="s">
        <v>1191</v>
      </c>
      <c r="D499" s="2" t="s">
        <v>4967</v>
      </c>
      <c r="E499" s="2" t="s">
        <v>4156</v>
      </c>
      <c r="F499" s="2" t="s">
        <v>628</v>
      </c>
      <c r="G499" s="2" t="s">
        <v>4968</v>
      </c>
      <c r="H499" s="2" t="s">
        <v>4969</v>
      </c>
    </row>
    <row r="500" customFormat="false" ht="15" hidden="false" customHeight="false" outlineLevel="0" collapsed="false">
      <c r="A500" s="2" t="n">
        <v>97</v>
      </c>
      <c r="B500" s="2" t="s">
        <v>1187</v>
      </c>
      <c r="C500" s="2" t="s">
        <v>1191</v>
      </c>
      <c r="D500" s="2" t="s">
        <v>5410</v>
      </c>
      <c r="E500" s="2" t="s">
        <v>4160</v>
      </c>
      <c r="F500" s="2" t="s">
        <v>3816</v>
      </c>
      <c r="G500" s="2"/>
      <c r="H500" s="2" t="s">
        <v>5411</v>
      </c>
    </row>
    <row r="501" customFormat="false" ht="15" hidden="false" customHeight="false" outlineLevel="0" collapsed="false">
      <c r="A501" s="2" t="n">
        <v>97</v>
      </c>
      <c r="B501" s="2" t="s">
        <v>1187</v>
      </c>
      <c r="C501" s="2" t="s">
        <v>1191</v>
      </c>
      <c r="D501" s="2" t="s">
        <v>5412</v>
      </c>
      <c r="E501" s="2" t="s">
        <v>4160</v>
      </c>
      <c r="F501" s="2" t="s">
        <v>5413</v>
      </c>
      <c r="G501" s="2"/>
      <c r="H501" s="2" t="s">
        <v>5414</v>
      </c>
    </row>
    <row r="502" customFormat="false" ht="15" hidden="false" customHeight="false" outlineLevel="0" collapsed="false">
      <c r="A502" s="2" t="n">
        <v>103</v>
      </c>
      <c r="B502" s="2" t="s">
        <v>1237</v>
      </c>
      <c r="C502" s="2" t="s">
        <v>1239</v>
      </c>
      <c r="D502" s="2" t="s">
        <v>5415</v>
      </c>
      <c r="E502" s="2" t="s">
        <v>4160</v>
      </c>
      <c r="F502" s="2" t="s">
        <v>1589</v>
      </c>
      <c r="G502" s="2"/>
      <c r="H502" s="2" t="s">
        <v>5416</v>
      </c>
    </row>
    <row r="503" customFormat="false" ht="15" hidden="false" customHeight="false" outlineLevel="0" collapsed="false">
      <c r="A503" s="2" t="n">
        <v>103</v>
      </c>
      <c r="B503" s="2" t="s">
        <v>1237</v>
      </c>
      <c r="C503" s="2" t="s">
        <v>1239</v>
      </c>
      <c r="D503" s="2" t="s">
        <v>5417</v>
      </c>
      <c r="E503" s="2" t="s">
        <v>4160</v>
      </c>
      <c r="F503" s="2" t="s">
        <v>5418</v>
      </c>
      <c r="G503" s="2"/>
      <c r="H503" s="2" t="s">
        <v>5419</v>
      </c>
    </row>
    <row r="504" customFormat="false" ht="15" hidden="false" customHeight="false" outlineLevel="0" collapsed="false">
      <c r="A504" s="2" t="n">
        <v>108</v>
      </c>
      <c r="B504" s="2" t="s">
        <v>1275</v>
      </c>
      <c r="C504" s="2" t="s">
        <v>1280</v>
      </c>
      <c r="D504" s="2" t="s">
        <v>5420</v>
      </c>
      <c r="E504" s="2" t="s">
        <v>4156</v>
      </c>
      <c r="F504" s="2" t="s">
        <v>1283</v>
      </c>
      <c r="G504" s="2" t="s">
        <v>5421</v>
      </c>
      <c r="H504" s="2" t="s">
        <v>5422</v>
      </c>
    </row>
    <row r="505" customFormat="false" ht="15" hidden="false" customHeight="false" outlineLevel="0" collapsed="false">
      <c r="A505" s="2" t="n">
        <v>108</v>
      </c>
      <c r="B505" s="2" t="s">
        <v>1275</v>
      </c>
      <c r="C505" s="2" t="s">
        <v>1280</v>
      </c>
      <c r="D505" s="2" t="s">
        <v>5423</v>
      </c>
      <c r="E505" s="2" t="s">
        <v>4156</v>
      </c>
      <c r="F505" s="2" t="s">
        <v>5424</v>
      </c>
      <c r="G505" s="2" t="s">
        <v>5425</v>
      </c>
      <c r="H505" s="2" t="s">
        <v>5426</v>
      </c>
    </row>
    <row r="506" customFormat="false" ht="15" hidden="false" customHeight="false" outlineLevel="0" collapsed="false">
      <c r="A506" s="2" t="n">
        <v>108</v>
      </c>
      <c r="B506" s="2" t="s">
        <v>1275</v>
      </c>
      <c r="C506" s="2" t="s">
        <v>1280</v>
      </c>
      <c r="D506" s="2" t="s">
        <v>5427</v>
      </c>
      <c r="E506" s="2" t="s">
        <v>4156</v>
      </c>
      <c r="F506" s="2" t="s">
        <v>1290</v>
      </c>
      <c r="G506" s="2" t="s">
        <v>5428</v>
      </c>
      <c r="H506" s="2" t="s">
        <v>5429</v>
      </c>
    </row>
    <row r="507" customFormat="false" ht="15" hidden="false" customHeight="false" outlineLevel="0" collapsed="false">
      <c r="A507" s="2" t="n">
        <v>108</v>
      </c>
      <c r="B507" s="2" t="s">
        <v>1275</v>
      </c>
      <c r="C507" s="2" t="s">
        <v>1280</v>
      </c>
      <c r="D507" s="2" t="s">
        <v>5430</v>
      </c>
      <c r="E507" s="2" t="s">
        <v>4156</v>
      </c>
      <c r="F507" s="2" t="s">
        <v>1290</v>
      </c>
      <c r="G507" s="2" t="s">
        <v>5431</v>
      </c>
      <c r="H507" s="2" t="s">
        <v>5432</v>
      </c>
    </row>
    <row r="508" customFormat="false" ht="15" hidden="false" customHeight="false" outlineLevel="0" collapsed="false">
      <c r="A508" s="2" t="n">
        <v>108</v>
      </c>
      <c r="B508" s="2" t="s">
        <v>1275</v>
      </c>
      <c r="C508" s="2" t="s">
        <v>1280</v>
      </c>
      <c r="D508" s="2" t="s">
        <v>5433</v>
      </c>
      <c r="E508" s="2" t="s">
        <v>4156</v>
      </c>
      <c r="F508" s="2" t="s">
        <v>1290</v>
      </c>
      <c r="G508" s="2" t="s">
        <v>5434</v>
      </c>
      <c r="H508" s="2" t="s">
        <v>5435</v>
      </c>
    </row>
    <row r="509" customFormat="false" ht="15" hidden="false" customHeight="false" outlineLevel="0" collapsed="false">
      <c r="A509" s="2" t="n">
        <v>108</v>
      </c>
      <c r="B509" s="2" t="s">
        <v>1275</v>
      </c>
      <c r="C509" s="2" t="s">
        <v>1280</v>
      </c>
      <c r="D509" s="2" t="s">
        <v>5436</v>
      </c>
      <c r="E509" s="2" t="s">
        <v>4156</v>
      </c>
      <c r="F509" s="2" t="s">
        <v>1290</v>
      </c>
      <c r="G509" s="2" t="s">
        <v>5437</v>
      </c>
      <c r="H509" s="2" t="s">
        <v>5438</v>
      </c>
    </row>
    <row r="510" customFormat="false" ht="15" hidden="false" customHeight="false" outlineLevel="0" collapsed="false">
      <c r="A510" s="2" t="n">
        <v>108</v>
      </c>
      <c r="B510" s="2" t="s">
        <v>1275</v>
      </c>
      <c r="C510" s="2" t="s">
        <v>1280</v>
      </c>
      <c r="D510" s="2" t="s">
        <v>5439</v>
      </c>
      <c r="E510" s="2" t="s">
        <v>4156</v>
      </c>
      <c r="F510" s="2" t="s">
        <v>1290</v>
      </c>
      <c r="G510" s="2" t="s">
        <v>5440</v>
      </c>
      <c r="H510" s="2" t="s">
        <v>5441</v>
      </c>
    </row>
    <row r="511" customFormat="false" ht="15" hidden="false" customHeight="false" outlineLevel="0" collapsed="false">
      <c r="A511" s="2" t="n">
        <v>108</v>
      </c>
      <c r="B511" s="2" t="s">
        <v>1275</v>
      </c>
      <c r="C511" s="2" t="s">
        <v>1280</v>
      </c>
      <c r="D511" s="2" t="s">
        <v>5442</v>
      </c>
      <c r="E511" s="2" t="s">
        <v>4156</v>
      </c>
      <c r="F511" s="2" t="s">
        <v>1290</v>
      </c>
      <c r="G511" s="2" t="s">
        <v>5443</v>
      </c>
      <c r="H511" s="2" t="s">
        <v>5444</v>
      </c>
    </row>
    <row r="512" customFormat="false" ht="15" hidden="false" customHeight="false" outlineLevel="0" collapsed="false">
      <c r="A512" s="2" t="n">
        <v>108</v>
      </c>
      <c r="B512" s="2" t="s">
        <v>1275</v>
      </c>
      <c r="C512" s="2" t="s">
        <v>1280</v>
      </c>
      <c r="D512" s="2" t="s">
        <v>5445</v>
      </c>
      <c r="E512" s="2" t="s">
        <v>4156</v>
      </c>
      <c r="F512" s="2" t="s">
        <v>5446</v>
      </c>
      <c r="G512" s="2" t="s">
        <v>5447</v>
      </c>
      <c r="H512" s="2" t="s">
        <v>5448</v>
      </c>
    </row>
    <row r="513" customFormat="false" ht="15" hidden="false" customHeight="false" outlineLevel="0" collapsed="false">
      <c r="A513" s="2" t="n">
        <v>108</v>
      </c>
      <c r="B513" s="2" t="s">
        <v>1275</v>
      </c>
      <c r="C513" s="2" t="s">
        <v>1280</v>
      </c>
      <c r="D513" s="2" t="s">
        <v>5449</v>
      </c>
      <c r="E513" s="2" t="s">
        <v>4156</v>
      </c>
      <c r="F513" s="2" t="s">
        <v>5450</v>
      </c>
      <c r="G513" s="2" t="s">
        <v>5451</v>
      </c>
      <c r="H513" s="2" t="s">
        <v>5452</v>
      </c>
    </row>
    <row r="514" customFormat="false" ht="15" hidden="false" customHeight="false" outlineLevel="0" collapsed="false">
      <c r="A514" s="2" t="n">
        <v>108</v>
      </c>
      <c r="B514" s="2" t="s">
        <v>1275</v>
      </c>
      <c r="C514" s="2" t="s">
        <v>1280</v>
      </c>
      <c r="D514" s="2" t="s">
        <v>5453</v>
      </c>
      <c r="E514" s="2" t="s">
        <v>4156</v>
      </c>
      <c r="F514" s="2" t="s">
        <v>365</v>
      </c>
      <c r="G514" s="2" t="s">
        <v>5454</v>
      </c>
      <c r="H514" s="2" t="s">
        <v>5455</v>
      </c>
    </row>
    <row r="515" customFormat="false" ht="15" hidden="false" customHeight="false" outlineLevel="0" collapsed="false">
      <c r="A515" s="2" t="n">
        <v>108</v>
      </c>
      <c r="B515" s="2" t="s">
        <v>1275</v>
      </c>
      <c r="C515" s="2" t="s">
        <v>1280</v>
      </c>
      <c r="D515" s="2" t="s">
        <v>871</v>
      </c>
      <c r="E515" s="2" t="s">
        <v>4156</v>
      </c>
      <c r="F515" s="2" t="s">
        <v>868</v>
      </c>
      <c r="G515" s="2" t="s">
        <v>5456</v>
      </c>
      <c r="H515" s="2" t="s">
        <v>872</v>
      </c>
    </row>
    <row r="516" customFormat="false" ht="15" hidden="false" customHeight="false" outlineLevel="0" collapsed="false">
      <c r="A516" s="2" t="n">
        <v>108</v>
      </c>
      <c r="B516" s="2" t="s">
        <v>1275</v>
      </c>
      <c r="C516" s="2" t="s">
        <v>1280</v>
      </c>
      <c r="D516" s="2" t="s">
        <v>5457</v>
      </c>
      <c r="E516" s="2" t="s">
        <v>4160</v>
      </c>
      <c r="F516" s="2" t="s">
        <v>5458</v>
      </c>
      <c r="G516" s="2"/>
      <c r="H516" s="2" t="s">
        <v>5459</v>
      </c>
    </row>
    <row r="517" customFormat="false" ht="15" hidden="false" customHeight="false" outlineLevel="0" collapsed="false">
      <c r="A517" s="2" t="n">
        <v>109</v>
      </c>
      <c r="B517" s="2" t="s">
        <v>1287</v>
      </c>
      <c r="C517" s="2" t="s">
        <v>1293</v>
      </c>
      <c r="D517" s="2" t="s">
        <v>5460</v>
      </c>
      <c r="E517" s="2" t="s">
        <v>4156</v>
      </c>
      <c r="F517" s="2" t="s">
        <v>1296</v>
      </c>
      <c r="G517" s="2" t="s">
        <v>5461</v>
      </c>
      <c r="H517" s="2" t="s">
        <v>5462</v>
      </c>
    </row>
    <row r="518" customFormat="false" ht="15" hidden="false" customHeight="false" outlineLevel="0" collapsed="false">
      <c r="A518" s="2" t="n">
        <v>109</v>
      </c>
      <c r="B518" s="2" t="s">
        <v>1287</v>
      </c>
      <c r="C518" s="2" t="s">
        <v>1293</v>
      </c>
      <c r="D518" s="2" t="s">
        <v>5463</v>
      </c>
      <c r="E518" s="2" t="s">
        <v>4156</v>
      </c>
      <c r="F518" s="2" t="s">
        <v>850</v>
      </c>
      <c r="G518" s="2" t="s">
        <v>5464</v>
      </c>
      <c r="H518" s="2" t="s">
        <v>5465</v>
      </c>
    </row>
    <row r="519" customFormat="false" ht="15" hidden="false" customHeight="false" outlineLevel="0" collapsed="false">
      <c r="A519" s="2" t="n">
        <v>109</v>
      </c>
      <c r="B519" s="2" t="s">
        <v>1287</v>
      </c>
      <c r="C519" s="2" t="s">
        <v>1293</v>
      </c>
      <c r="D519" s="2" t="s">
        <v>5466</v>
      </c>
      <c r="E519" s="2" t="s">
        <v>4160</v>
      </c>
      <c r="F519" s="2" t="s">
        <v>5467</v>
      </c>
      <c r="G519" s="2"/>
      <c r="H519" s="2" t="s">
        <v>5468</v>
      </c>
    </row>
    <row r="520" customFormat="false" ht="15" hidden="false" customHeight="false" outlineLevel="0" collapsed="false">
      <c r="A520" s="2" t="n">
        <v>109</v>
      </c>
      <c r="B520" s="2" t="s">
        <v>1287</v>
      </c>
      <c r="C520" s="2" t="s">
        <v>1293</v>
      </c>
      <c r="D520" s="2" t="s">
        <v>5469</v>
      </c>
      <c r="E520" s="2" t="s">
        <v>4160</v>
      </c>
      <c r="F520" s="2" t="s">
        <v>5470</v>
      </c>
      <c r="G520" s="2"/>
      <c r="H520" s="2" t="s">
        <v>5471</v>
      </c>
    </row>
    <row r="521" customFormat="false" ht="15" hidden="false" customHeight="false" outlineLevel="0" collapsed="false">
      <c r="A521" s="2" t="n">
        <v>110</v>
      </c>
      <c r="B521" s="2" t="s">
        <v>1300</v>
      </c>
      <c r="C521" s="2" t="s">
        <v>1306</v>
      </c>
      <c r="D521" s="2" t="s">
        <v>5460</v>
      </c>
      <c r="E521" s="2" t="s">
        <v>4156</v>
      </c>
      <c r="F521" s="2" t="s">
        <v>1296</v>
      </c>
      <c r="G521" s="2" t="s">
        <v>5461</v>
      </c>
      <c r="H521" s="2" t="s">
        <v>5462</v>
      </c>
    </row>
    <row r="522" customFormat="false" ht="15" hidden="false" customHeight="false" outlineLevel="0" collapsed="false">
      <c r="A522" s="2" t="n">
        <v>110</v>
      </c>
      <c r="B522" s="2" t="s">
        <v>1300</v>
      </c>
      <c r="C522" s="2" t="s">
        <v>1306</v>
      </c>
      <c r="D522" s="2" t="s">
        <v>5472</v>
      </c>
      <c r="E522" s="2" t="s">
        <v>4156</v>
      </c>
      <c r="F522" s="2" t="s">
        <v>1551</v>
      </c>
      <c r="G522" s="2" t="s">
        <v>5473</v>
      </c>
      <c r="H522" s="2" t="s">
        <v>5474</v>
      </c>
    </row>
    <row r="523" customFormat="false" ht="15" hidden="false" customHeight="false" outlineLevel="0" collapsed="false">
      <c r="A523" s="2" t="n">
        <v>110</v>
      </c>
      <c r="B523" s="2" t="s">
        <v>1300</v>
      </c>
      <c r="C523" s="2" t="s">
        <v>1306</v>
      </c>
      <c r="D523" s="2" t="s">
        <v>4078</v>
      </c>
      <c r="E523" s="2" t="s">
        <v>4156</v>
      </c>
      <c r="F523" s="2" t="s">
        <v>4079</v>
      </c>
      <c r="G523" s="2" t="s">
        <v>4080</v>
      </c>
      <c r="H523" s="2" t="s">
        <v>4081</v>
      </c>
    </row>
    <row r="524" customFormat="false" ht="15" hidden="false" customHeight="false" outlineLevel="0" collapsed="false">
      <c r="A524" s="2" t="n">
        <v>110</v>
      </c>
      <c r="B524" s="2" t="s">
        <v>1300</v>
      </c>
      <c r="C524" s="2" t="s">
        <v>1306</v>
      </c>
      <c r="D524" s="2" t="s">
        <v>5463</v>
      </c>
      <c r="E524" s="2" t="s">
        <v>4156</v>
      </c>
      <c r="F524" s="2" t="s">
        <v>850</v>
      </c>
      <c r="G524" s="2" t="s">
        <v>5464</v>
      </c>
      <c r="H524" s="2" t="s">
        <v>5465</v>
      </c>
    </row>
    <row r="525" customFormat="false" ht="15" hidden="false" customHeight="false" outlineLevel="0" collapsed="false">
      <c r="A525" s="2" t="n">
        <v>110</v>
      </c>
      <c r="B525" s="2" t="s">
        <v>1300</v>
      </c>
      <c r="C525" s="2" t="s">
        <v>1306</v>
      </c>
      <c r="D525" s="2" t="s">
        <v>5475</v>
      </c>
      <c r="E525" s="2" t="s">
        <v>4156</v>
      </c>
      <c r="F525" s="2" t="s">
        <v>142</v>
      </c>
      <c r="G525" s="2" t="s">
        <v>5476</v>
      </c>
      <c r="H525" s="2" t="s">
        <v>5477</v>
      </c>
    </row>
    <row r="526" customFormat="false" ht="15" hidden="false" customHeight="false" outlineLevel="0" collapsed="false">
      <c r="A526" s="2" t="n">
        <v>110</v>
      </c>
      <c r="B526" s="2" t="s">
        <v>1300</v>
      </c>
      <c r="C526" s="2" t="s">
        <v>1306</v>
      </c>
      <c r="D526" s="2" t="s">
        <v>5478</v>
      </c>
      <c r="E526" s="2" t="s">
        <v>4160</v>
      </c>
      <c r="F526" s="2" t="s">
        <v>5479</v>
      </c>
      <c r="G526" s="2"/>
      <c r="H526" s="2" t="s">
        <v>5480</v>
      </c>
    </row>
    <row r="527" customFormat="false" ht="15" hidden="false" customHeight="false" outlineLevel="0" collapsed="false">
      <c r="A527" s="2" t="n">
        <v>110</v>
      </c>
      <c r="B527" s="2" t="s">
        <v>1300</v>
      </c>
      <c r="C527" s="2" t="s">
        <v>1306</v>
      </c>
      <c r="D527" s="2" t="s">
        <v>5481</v>
      </c>
      <c r="E527" s="2" t="s">
        <v>4160</v>
      </c>
      <c r="F527" s="2" t="s">
        <v>5482</v>
      </c>
      <c r="G527" s="2"/>
      <c r="H527" s="2" t="s">
        <v>5483</v>
      </c>
    </row>
    <row r="528" customFormat="false" ht="15" hidden="false" customHeight="false" outlineLevel="0" collapsed="false">
      <c r="A528" s="2" t="n">
        <v>110</v>
      </c>
      <c r="B528" s="2" t="s">
        <v>1300</v>
      </c>
      <c r="C528" s="2" t="s">
        <v>1306</v>
      </c>
      <c r="D528" s="2" t="s">
        <v>5484</v>
      </c>
      <c r="E528" s="2" t="s">
        <v>4160</v>
      </c>
      <c r="F528" s="2" t="s">
        <v>5255</v>
      </c>
      <c r="G528" s="2"/>
      <c r="H528" s="2" t="s">
        <v>5485</v>
      </c>
    </row>
    <row r="529" customFormat="false" ht="15" hidden="false" customHeight="false" outlineLevel="0" collapsed="false">
      <c r="A529" s="2" t="n">
        <v>111</v>
      </c>
      <c r="B529" s="2" t="s">
        <v>1312</v>
      </c>
      <c r="C529" s="2" t="s">
        <v>1317</v>
      </c>
      <c r="D529" s="2" t="s">
        <v>5486</v>
      </c>
      <c r="E529" s="2" t="s">
        <v>4160</v>
      </c>
      <c r="F529" s="2" t="s">
        <v>5487</v>
      </c>
      <c r="G529" s="2"/>
      <c r="H529" s="2" t="s">
        <v>5488</v>
      </c>
    </row>
    <row r="530" customFormat="false" ht="15" hidden="false" customHeight="false" outlineLevel="0" collapsed="false">
      <c r="A530" s="2" t="n">
        <v>111</v>
      </c>
      <c r="B530" s="2" t="s">
        <v>1312</v>
      </c>
      <c r="C530" s="2" t="s">
        <v>1317</v>
      </c>
      <c r="D530" s="2" t="s">
        <v>5489</v>
      </c>
      <c r="E530" s="2" t="s">
        <v>4160</v>
      </c>
      <c r="F530" s="2" t="s">
        <v>5490</v>
      </c>
      <c r="G530" s="2"/>
      <c r="H530" s="2" t="s">
        <v>5491</v>
      </c>
    </row>
    <row r="531" customFormat="false" ht="15" hidden="false" customHeight="false" outlineLevel="0" collapsed="false">
      <c r="A531" s="2" t="n">
        <v>112</v>
      </c>
      <c r="B531" s="2" t="s">
        <v>1323</v>
      </c>
      <c r="C531" s="2" t="s">
        <v>1325</v>
      </c>
      <c r="D531" s="2" t="s">
        <v>5492</v>
      </c>
      <c r="E531" s="2" t="s">
        <v>4160</v>
      </c>
      <c r="F531" s="2" t="s">
        <v>5493</v>
      </c>
      <c r="G531" s="2" t="s">
        <v>5494</v>
      </c>
      <c r="H531" s="2" t="s">
        <v>5495</v>
      </c>
    </row>
    <row r="532" customFormat="false" ht="15" hidden="false" customHeight="false" outlineLevel="0" collapsed="false">
      <c r="A532" s="2" t="n">
        <v>112</v>
      </c>
      <c r="B532" s="2" t="s">
        <v>1323</v>
      </c>
      <c r="C532" s="2" t="s">
        <v>1325</v>
      </c>
      <c r="D532" s="2" t="s">
        <v>5496</v>
      </c>
      <c r="E532" s="2" t="s">
        <v>4160</v>
      </c>
      <c r="F532" s="2" t="s">
        <v>5497</v>
      </c>
      <c r="G532" s="2"/>
      <c r="H532" s="2" t="s">
        <v>5498</v>
      </c>
    </row>
    <row r="533" customFormat="false" ht="15" hidden="false" customHeight="false" outlineLevel="0" collapsed="false">
      <c r="A533" s="2" t="n">
        <v>113</v>
      </c>
      <c r="B533" s="2" t="s">
        <v>1331</v>
      </c>
      <c r="C533" s="2" t="s">
        <v>1336</v>
      </c>
      <c r="D533" s="2" t="s">
        <v>5499</v>
      </c>
      <c r="E533" s="2" t="s">
        <v>4160</v>
      </c>
      <c r="F533" s="2" t="s">
        <v>4930</v>
      </c>
      <c r="G533" s="2"/>
      <c r="H533" s="2" t="s">
        <v>5500</v>
      </c>
    </row>
    <row r="534" customFormat="false" ht="15" hidden="false" customHeight="false" outlineLevel="0" collapsed="false">
      <c r="A534" s="2" t="n">
        <v>114</v>
      </c>
      <c r="B534" s="2" t="s">
        <v>1342</v>
      </c>
      <c r="C534" s="2" t="s">
        <v>1344</v>
      </c>
      <c r="D534" s="2" t="s">
        <v>5501</v>
      </c>
      <c r="E534" s="2" t="s">
        <v>4156</v>
      </c>
      <c r="F534" s="2" t="s">
        <v>647</v>
      </c>
      <c r="G534" s="2" t="s">
        <v>5502</v>
      </c>
      <c r="H534" s="2" t="s">
        <v>5503</v>
      </c>
    </row>
    <row r="535" customFormat="false" ht="15" hidden="false" customHeight="false" outlineLevel="0" collapsed="false">
      <c r="A535" s="2" t="n">
        <v>114</v>
      </c>
      <c r="B535" s="2" t="s">
        <v>1342</v>
      </c>
      <c r="C535" s="2" t="s">
        <v>1344</v>
      </c>
      <c r="D535" s="2" t="s">
        <v>5504</v>
      </c>
      <c r="E535" s="2" t="s">
        <v>4156</v>
      </c>
      <c r="F535" s="2" t="s">
        <v>647</v>
      </c>
      <c r="G535" s="2" t="s">
        <v>5505</v>
      </c>
      <c r="H535" s="2" t="s">
        <v>5506</v>
      </c>
    </row>
    <row r="536" customFormat="false" ht="15" hidden="false" customHeight="false" outlineLevel="0" collapsed="false">
      <c r="A536" s="2" t="n">
        <v>114</v>
      </c>
      <c r="B536" s="2" t="s">
        <v>1342</v>
      </c>
      <c r="C536" s="2" t="s">
        <v>1344</v>
      </c>
      <c r="D536" s="2" t="s">
        <v>5507</v>
      </c>
      <c r="E536" s="2" t="s">
        <v>4156</v>
      </c>
      <c r="F536" s="2" t="s">
        <v>377</v>
      </c>
      <c r="G536" s="2" t="s">
        <v>5508</v>
      </c>
      <c r="H536" s="2" t="s">
        <v>5509</v>
      </c>
    </row>
    <row r="537" customFormat="false" ht="15" hidden="false" customHeight="false" outlineLevel="0" collapsed="false">
      <c r="A537" s="2" t="n">
        <v>114</v>
      </c>
      <c r="B537" s="2" t="s">
        <v>1342</v>
      </c>
      <c r="C537" s="2" t="s">
        <v>1344</v>
      </c>
      <c r="D537" s="2" t="s">
        <v>5510</v>
      </c>
      <c r="E537" s="2" t="s">
        <v>4156</v>
      </c>
      <c r="F537" s="2" t="s">
        <v>979</v>
      </c>
      <c r="G537" s="2" t="s">
        <v>5511</v>
      </c>
      <c r="H537" s="2" t="s">
        <v>5512</v>
      </c>
    </row>
    <row r="538" customFormat="false" ht="15" hidden="false" customHeight="false" outlineLevel="0" collapsed="false">
      <c r="A538" s="2" t="n">
        <v>114</v>
      </c>
      <c r="B538" s="2" t="s">
        <v>1342</v>
      </c>
      <c r="C538" s="2" t="s">
        <v>1344</v>
      </c>
      <c r="D538" s="2" t="s">
        <v>5513</v>
      </c>
      <c r="E538" s="2" t="s">
        <v>4156</v>
      </c>
      <c r="F538" s="2" t="s">
        <v>450</v>
      </c>
      <c r="G538" s="2" t="s">
        <v>5514</v>
      </c>
      <c r="H538" s="2" t="s">
        <v>5515</v>
      </c>
    </row>
    <row r="539" customFormat="false" ht="15" hidden="false" customHeight="false" outlineLevel="0" collapsed="false">
      <c r="A539" s="2" t="n">
        <v>114</v>
      </c>
      <c r="B539" s="2" t="s">
        <v>1342</v>
      </c>
      <c r="C539" s="2" t="s">
        <v>1344</v>
      </c>
      <c r="D539" s="2" t="s">
        <v>5516</v>
      </c>
      <c r="E539" s="2" t="s">
        <v>4160</v>
      </c>
      <c r="F539" s="2" t="s">
        <v>5517</v>
      </c>
      <c r="G539" s="2" t="s">
        <v>5518</v>
      </c>
      <c r="H539" s="2" t="s">
        <v>5519</v>
      </c>
    </row>
    <row r="540" customFormat="false" ht="15" hidden="false" customHeight="false" outlineLevel="0" collapsed="false">
      <c r="A540" s="2" t="n">
        <v>114</v>
      </c>
      <c r="B540" s="2" t="s">
        <v>1342</v>
      </c>
      <c r="C540" s="2" t="s">
        <v>1344</v>
      </c>
      <c r="D540" s="2" t="s">
        <v>5520</v>
      </c>
      <c r="E540" s="2" t="s">
        <v>4160</v>
      </c>
      <c r="F540" s="2" t="s">
        <v>5521</v>
      </c>
      <c r="G540" s="2"/>
      <c r="H540" s="2" t="s">
        <v>5522</v>
      </c>
    </row>
    <row r="541" customFormat="false" ht="15" hidden="false" customHeight="false" outlineLevel="0" collapsed="false">
      <c r="A541" s="2" t="n">
        <v>114</v>
      </c>
      <c r="B541" s="2" t="s">
        <v>1342</v>
      </c>
      <c r="C541" s="2" t="s">
        <v>1344</v>
      </c>
      <c r="D541" s="2" t="s">
        <v>5523</v>
      </c>
      <c r="E541" s="2" t="s">
        <v>4160</v>
      </c>
      <c r="F541" s="2" t="s">
        <v>699</v>
      </c>
      <c r="G541" s="2"/>
      <c r="H541" s="2" t="s">
        <v>5524</v>
      </c>
    </row>
    <row r="542" customFormat="false" ht="15" hidden="false" customHeight="false" outlineLevel="0" collapsed="false">
      <c r="A542" s="2" t="n">
        <v>114</v>
      </c>
      <c r="B542" s="2" t="s">
        <v>1342</v>
      </c>
      <c r="C542" s="2" t="s">
        <v>1344</v>
      </c>
      <c r="D542" s="2" t="s">
        <v>5525</v>
      </c>
      <c r="E542" s="2" t="s">
        <v>4160</v>
      </c>
      <c r="F542" s="2" t="s">
        <v>1178</v>
      </c>
      <c r="G542" s="2"/>
      <c r="H542" s="2" t="s">
        <v>5526</v>
      </c>
    </row>
    <row r="543" customFormat="false" ht="15" hidden="false" customHeight="false" outlineLevel="0" collapsed="false">
      <c r="A543" s="2" t="n">
        <v>114</v>
      </c>
      <c r="B543" s="2" t="s">
        <v>1342</v>
      </c>
      <c r="C543" s="2" t="s">
        <v>1344</v>
      </c>
      <c r="D543" s="2" t="s">
        <v>5527</v>
      </c>
      <c r="E543" s="2" t="s">
        <v>4160</v>
      </c>
      <c r="F543" s="2" t="s">
        <v>5288</v>
      </c>
      <c r="G543" s="2" t="s">
        <v>5528</v>
      </c>
      <c r="H543" s="2" t="s">
        <v>5529</v>
      </c>
    </row>
    <row r="544" customFormat="false" ht="15" hidden="false" customHeight="false" outlineLevel="0" collapsed="false">
      <c r="A544" s="2" t="n">
        <v>115</v>
      </c>
      <c r="B544" s="2" t="s">
        <v>1350</v>
      </c>
      <c r="C544" s="2" t="s">
        <v>1354</v>
      </c>
      <c r="D544" s="2" t="s">
        <v>5530</v>
      </c>
      <c r="E544" s="2" t="s">
        <v>4160</v>
      </c>
      <c r="F544" s="2" t="s">
        <v>5531</v>
      </c>
      <c r="G544" s="2" t="s">
        <v>5532</v>
      </c>
      <c r="H544" s="2" t="s">
        <v>5533</v>
      </c>
    </row>
  </sheetData>
  <autoFilter ref="A1:H54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14"/>
    <col collapsed="false" customWidth="true" hidden="false" outlineLevel="0" max="5" min="5" style="0" width="11"/>
    <col collapsed="false" customWidth="true" hidden="false" outlineLevel="0" max="6" min="6" style="0" width="70"/>
    <col collapsed="false" customWidth="true" hidden="false" outlineLevel="0" max="8" min="7" style="0" width="50"/>
  </cols>
  <sheetData>
    <row r="1" customFormat="false" ht="45" hidden="false" customHeight="true" outlineLevel="0" collapsed="false">
      <c r="A1" s="1" t="s">
        <v>1360</v>
      </c>
      <c r="B1" s="1" t="s">
        <v>1361</v>
      </c>
      <c r="C1" s="1" t="s">
        <v>1362</v>
      </c>
      <c r="D1" s="1" t="s">
        <v>5534</v>
      </c>
      <c r="E1" s="1" t="s">
        <v>1366</v>
      </c>
      <c r="F1" s="1" t="s">
        <v>1367</v>
      </c>
      <c r="G1" s="1" t="s">
        <v>14</v>
      </c>
      <c r="H1" s="1" t="s">
        <v>68</v>
      </c>
    </row>
    <row r="2" customFormat="false" ht="15" hidden="false" customHeight="false" outlineLevel="0" collapsed="false">
      <c r="A2" s="2" t="n">
        <v>64</v>
      </c>
      <c r="B2" s="2" t="s">
        <v>832</v>
      </c>
      <c r="C2" s="2" t="s">
        <v>837</v>
      </c>
      <c r="D2" s="2" t="s">
        <v>5535</v>
      </c>
      <c r="E2" s="2" t="s">
        <v>1169</v>
      </c>
      <c r="F2" s="2" t="s">
        <v>5536</v>
      </c>
      <c r="G2" s="2" t="s">
        <v>5537</v>
      </c>
      <c r="H2" s="2" t="s">
        <v>5538</v>
      </c>
    </row>
    <row r="3" customFormat="false" ht="15" hidden="false" customHeight="false" outlineLevel="0" collapsed="false">
      <c r="A3" s="2" t="n">
        <v>64</v>
      </c>
      <c r="B3" s="2" t="s">
        <v>832</v>
      </c>
      <c r="C3" s="2" t="s">
        <v>837</v>
      </c>
      <c r="D3" s="2" t="s">
        <v>5539</v>
      </c>
      <c r="E3" s="2" t="s">
        <v>4954</v>
      </c>
      <c r="F3" s="2" t="s">
        <v>5540</v>
      </c>
      <c r="G3" s="2" t="s">
        <v>5541</v>
      </c>
      <c r="H3" s="2" t="s">
        <v>5538</v>
      </c>
    </row>
    <row r="4" customFormat="false" ht="15" hidden="false" customHeight="false" outlineLevel="0" collapsed="false">
      <c r="A4" s="2" t="n">
        <v>64</v>
      </c>
      <c r="B4" s="2" t="s">
        <v>832</v>
      </c>
      <c r="C4" s="2" t="s">
        <v>837</v>
      </c>
      <c r="D4" s="2"/>
      <c r="E4" s="2" t="s">
        <v>262</v>
      </c>
      <c r="F4" s="2" t="s">
        <v>5542</v>
      </c>
      <c r="G4" s="2" t="s">
        <v>5543</v>
      </c>
      <c r="H4" s="2" t="s">
        <v>5544</v>
      </c>
    </row>
    <row r="5" customFormat="false" ht="15" hidden="false" customHeight="false" outlineLevel="0" collapsed="false">
      <c r="A5" s="2" t="n">
        <v>58</v>
      </c>
      <c r="B5" s="2" t="s">
        <v>766</v>
      </c>
      <c r="C5" s="2" t="s">
        <v>771</v>
      </c>
      <c r="D5" s="2"/>
      <c r="E5" s="2" t="s">
        <v>2947</v>
      </c>
      <c r="F5" s="2" t="s">
        <v>5545</v>
      </c>
      <c r="G5" s="2" t="s">
        <v>5546</v>
      </c>
      <c r="H5" s="2" t="s">
        <v>5547</v>
      </c>
    </row>
    <row r="6" customFormat="false" ht="15" hidden="false" customHeight="false" outlineLevel="0" collapsed="false">
      <c r="A6" s="2" t="n">
        <v>83</v>
      </c>
      <c r="B6" s="2" t="s">
        <v>1037</v>
      </c>
      <c r="C6" s="2" t="s">
        <v>1042</v>
      </c>
      <c r="D6" s="2"/>
      <c r="E6" s="2" t="s">
        <v>5548</v>
      </c>
      <c r="F6" s="2" t="s">
        <v>5549</v>
      </c>
      <c r="G6" s="2" t="s">
        <v>5550</v>
      </c>
      <c r="H6" s="2" t="s">
        <v>5551</v>
      </c>
    </row>
    <row r="7" customFormat="false" ht="15" hidden="false" customHeight="false" outlineLevel="0" collapsed="false">
      <c r="A7" s="2" t="n">
        <v>83</v>
      </c>
      <c r="B7" s="2" t="s">
        <v>1037</v>
      </c>
      <c r="C7" s="2" t="s">
        <v>1042</v>
      </c>
      <c r="D7" s="2" t="s">
        <v>5552</v>
      </c>
      <c r="E7" s="2" t="s">
        <v>5553</v>
      </c>
      <c r="F7" s="2" t="s">
        <v>5554</v>
      </c>
      <c r="G7" s="2" t="s">
        <v>5555</v>
      </c>
      <c r="H7" s="2" t="s">
        <v>5556</v>
      </c>
    </row>
  </sheetData>
  <autoFilter ref="A1:H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13"/>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8"/>
    <col collapsed="false" customWidth="true" hidden="false" outlineLevel="0" max="8" min="8" style="0" width="40"/>
    <col collapsed="false" customWidth="true" hidden="false" outlineLevel="0" max="21" min="9" style="0" width="10"/>
    <col collapsed="false" customWidth="true" hidden="false" outlineLevel="0" max="22" min="22" style="0" width="60"/>
  </cols>
  <sheetData>
    <row r="1" customFormat="false" ht="45" hidden="false" customHeight="true" outlineLevel="0" collapsed="false">
      <c r="A1" s="1" t="s">
        <v>1360</v>
      </c>
      <c r="B1" s="1" t="s">
        <v>1361</v>
      </c>
      <c r="C1" s="1" t="s">
        <v>1362</v>
      </c>
      <c r="D1" s="1" t="s">
        <v>5557</v>
      </c>
      <c r="E1" s="1" t="s">
        <v>1367</v>
      </c>
      <c r="F1" s="1" t="s">
        <v>1366</v>
      </c>
      <c r="G1" s="1" t="s">
        <v>5558</v>
      </c>
      <c r="H1" s="1" t="s">
        <v>5559</v>
      </c>
      <c r="I1" s="1" t="s">
        <v>15</v>
      </c>
      <c r="J1" s="1" t="s">
        <v>5560</v>
      </c>
      <c r="K1" s="1" t="s">
        <v>23</v>
      </c>
      <c r="L1" s="1" t="s">
        <v>24</v>
      </c>
      <c r="M1" s="1" t="s">
        <v>25</v>
      </c>
      <c r="N1" s="1" t="s">
        <v>26</v>
      </c>
      <c r="O1" s="1" t="s">
        <v>27</v>
      </c>
      <c r="P1" s="1" t="s">
        <v>28</v>
      </c>
      <c r="Q1" s="1" t="s">
        <v>29</v>
      </c>
      <c r="R1" s="1" t="s">
        <v>30</v>
      </c>
      <c r="S1" s="1" t="s">
        <v>31</v>
      </c>
      <c r="T1" s="1" t="s">
        <v>32</v>
      </c>
      <c r="U1" s="1" t="s">
        <v>5561</v>
      </c>
      <c r="V1" s="1" t="s">
        <v>68</v>
      </c>
    </row>
    <row r="2" customFormat="false" ht="15" hidden="false" customHeight="false" outlineLevel="0" collapsed="false">
      <c r="A2" s="2" t="n">
        <v>9</v>
      </c>
      <c r="B2" s="2" t="s">
        <v>186</v>
      </c>
      <c r="C2" s="2" t="s">
        <v>193</v>
      </c>
      <c r="D2" s="2" t="s">
        <v>5562</v>
      </c>
      <c r="E2" s="2" t="s">
        <v>5563</v>
      </c>
      <c r="F2" s="2" t="s">
        <v>5564</v>
      </c>
      <c r="G2" s="2" t="s">
        <v>5565</v>
      </c>
      <c r="H2" s="2" t="s">
        <v>5566</v>
      </c>
      <c r="I2" s="2" t="n">
        <v>15</v>
      </c>
      <c r="J2" s="2" t="n">
        <v>6414</v>
      </c>
      <c r="K2" s="2" t="n">
        <v>12</v>
      </c>
      <c r="L2" s="2" t="n">
        <v>6</v>
      </c>
      <c r="M2" s="2" t="n">
        <v>6</v>
      </c>
      <c r="N2" s="2" t="n">
        <v>0</v>
      </c>
      <c r="O2" s="2" t="n">
        <v>0</v>
      </c>
      <c r="P2" s="2" t="n">
        <v>0</v>
      </c>
      <c r="Q2" s="2" t="n">
        <v>8</v>
      </c>
      <c r="R2" s="2" t="n">
        <v>0</v>
      </c>
      <c r="S2" s="2" t="n">
        <v>1</v>
      </c>
      <c r="T2" s="2" t="n">
        <v>3</v>
      </c>
      <c r="U2" s="2" t="n">
        <v>12</v>
      </c>
      <c r="V2" s="2" t="s">
        <v>5567</v>
      </c>
    </row>
    <row r="3" customFormat="false" ht="15" hidden="false" customHeight="false" outlineLevel="0" collapsed="false">
      <c r="A3" s="2" t="n">
        <v>20</v>
      </c>
      <c r="B3" s="2" t="s">
        <v>333</v>
      </c>
      <c r="C3" s="2" t="s">
        <v>339</v>
      </c>
      <c r="D3" s="2" t="s">
        <v>5562</v>
      </c>
      <c r="E3" s="2" t="s">
        <v>5568</v>
      </c>
      <c r="F3" s="2" t="s">
        <v>1964</v>
      </c>
      <c r="G3" s="2" t="s">
        <v>5565</v>
      </c>
      <c r="H3" s="2" t="s">
        <v>5569</v>
      </c>
      <c r="I3" s="2"/>
      <c r="J3" s="2"/>
      <c r="K3" s="2"/>
      <c r="L3" s="2"/>
      <c r="M3" s="2"/>
      <c r="N3" s="2"/>
      <c r="O3" s="2"/>
      <c r="P3" s="2"/>
      <c r="Q3" s="2"/>
      <c r="R3" s="2"/>
      <c r="S3" s="2"/>
      <c r="T3" s="2"/>
      <c r="U3" s="2"/>
      <c r="V3" s="2" t="s">
        <v>5570</v>
      </c>
    </row>
    <row r="4" customFormat="false" ht="15" hidden="false" customHeight="false" outlineLevel="0" collapsed="false">
      <c r="A4" s="2" t="n">
        <v>20</v>
      </c>
      <c r="B4" s="2" t="s">
        <v>333</v>
      </c>
      <c r="C4" s="2" t="s">
        <v>339</v>
      </c>
      <c r="D4" s="2" t="s">
        <v>5562</v>
      </c>
      <c r="E4" s="2" t="s">
        <v>5571</v>
      </c>
      <c r="F4" s="2" t="s">
        <v>1964</v>
      </c>
      <c r="G4" s="2" t="s">
        <v>5565</v>
      </c>
      <c r="H4" s="2" t="s">
        <v>5572</v>
      </c>
      <c r="I4" s="2"/>
      <c r="J4" s="2"/>
      <c r="K4" s="2"/>
      <c r="L4" s="2"/>
      <c r="M4" s="2"/>
      <c r="N4" s="2"/>
      <c r="O4" s="2"/>
      <c r="P4" s="2"/>
      <c r="Q4" s="2"/>
      <c r="R4" s="2"/>
      <c r="S4" s="2"/>
      <c r="T4" s="2"/>
      <c r="U4" s="2"/>
      <c r="V4" s="2" t="s">
        <v>5573</v>
      </c>
    </row>
    <row r="5" customFormat="false" ht="15" hidden="false" customHeight="false" outlineLevel="0" collapsed="false">
      <c r="A5" s="2" t="n">
        <v>20</v>
      </c>
      <c r="B5" s="2" t="s">
        <v>333</v>
      </c>
      <c r="C5" s="2" t="s">
        <v>339</v>
      </c>
      <c r="D5" s="2" t="s">
        <v>5562</v>
      </c>
      <c r="E5" s="2" t="s">
        <v>5574</v>
      </c>
      <c r="F5" s="2" t="s">
        <v>1964</v>
      </c>
      <c r="G5" s="2" t="s">
        <v>5565</v>
      </c>
      <c r="H5" s="2" t="s">
        <v>5575</v>
      </c>
      <c r="I5" s="2"/>
      <c r="J5" s="2"/>
      <c r="K5" s="2"/>
      <c r="L5" s="2"/>
      <c r="M5" s="2"/>
      <c r="N5" s="2"/>
      <c r="O5" s="2"/>
      <c r="P5" s="2"/>
      <c r="Q5" s="2"/>
      <c r="R5" s="2"/>
      <c r="S5" s="2"/>
      <c r="T5" s="2"/>
      <c r="U5" s="2"/>
      <c r="V5" s="2" t="s">
        <v>5570</v>
      </c>
    </row>
    <row r="6" customFormat="false" ht="15" hidden="false" customHeight="false" outlineLevel="0" collapsed="false">
      <c r="A6" s="2" t="n">
        <v>20</v>
      </c>
      <c r="B6" s="2" t="s">
        <v>333</v>
      </c>
      <c r="C6" s="2" t="s">
        <v>339</v>
      </c>
      <c r="D6" s="2" t="s">
        <v>5562</v>
      </c>
      <c r="E6" s="2" t="s">
        <v>5576</v>
      </c>
      <c r="F6" s="2" t="s">
        <v>1964</v>
      </c>
      <c r="G6" s="2" t="s">
        <v>5565</v>
      </c>
      <c r="H6" s="2" t="s">
        <v>5577</v>
      </c>
      <c r="I6" s="2" t="n">
        <v>17</v>
      </c>
      <c r="J6" s="2" t="n">
        <v>8771</v>
      </c>
      <c r="K6" s="2" t="n">
        <v>62</v>
      </c>
      <c r="L6" s="2" t="n">
        <v>42</v>
      </c>
      <c r="M6" s="2" t="n">
        <v>5</v>
      </c>
      <c r="N6" s="2" t="n">
        <v>8</v>
      </c>
      <c r="O6" s="2" t="n">
        <v>7</v>
      </c>
      <c r="P6" s="2" t="n">
        <v>0</v>
      </c>
      <c r="Q6" s="2" t="n">
        <v>21</v>
      </c>
      <c r="R6" s="2" t="n">
        <v>0</v>
      </c>
      <c r="S6" s="2" t="n">
        <v>1</v>
      </c>
      <c r="T6" s="2" t="n">
        <v>40</v>
      </c>
      <c r="U6" s="2" t="n">
        <v>24</v>
      </c>
      <c r="V6" s="2" t="s">
        <v>5567</v>
      </c>
    </row>
    <row r="7" customFormat="false" ht="15" hidden="false" customHeight="false" outlineLevel="0" collapsed="false">
      <c r="A7" s="2" t="n">
        <v>20</v>
      </c>
      <c r="B7" s="2" t="s">
        <v>333</v>
      </c>
      <c r="C7" s="2" t="s">
        <v>339</v>
      </c>
      <c r="D7" s="2" t="s">
        <v>5562</v>
      </c>
      <c r="E7" s="2" t="s">
        <v>5578</v>
      </c>
      <c r="F7" s="2" t="s">
        <v>1964</v>
      </c>
      <c r="G7" s="2" t="s">
        <v>5565</v>
      </c>
      <c r="H7" s="2" t="s">
        <v>5579</v>
      </c>
      <c r="I7" s="2"/>
      <c r="J7" s="2"/>
      <c r="K7" s="2"/>
      <c r="L7" s="2"/>
      <c r="M7" s="2"/>
      <c r="N7" s="2"/>
      <c r="O7" s="2"/>
      <c r="P7" s="2"/>
      <c r="Q7" s="2"/>
      <c r="R7" s="2"/>
      <c r="S7" s="2"/>
      <c r="T7" s="2"/>
      <c r="U7" s="2"/>
      <c r="V7" s="2" t="s">
        <v>5570</v>
      </c>
    </row>
    <row r="8" customFormat="false" ht="15" hidden="false" customHeight="false" outlineLevel="0" collapsed="false">
      <c r="A8" s="2" t="n">
        <v>20</v>
      </c>
      <c r="B8" s="2" t="s">
        <v>333</v>
      </c>
      <c r="C8" s="2" t="s">
        <v>339</v>
      </c>
      <c r="D8" s="2" t="s">
        <v>5562</v>
      </c>
      <c r="E8" s="2" t="s">
        <v>5580</v>
      </c>
      <c r="F8" s="2" t="s">
        <v>1964</v>
      </c>
      <c r="G8" s="2" t="s">
        <v>5565</v>
      </c>
      <c r="H8" s="2" t="s">
        <v>5581</v>
      </c>
      <c r="I8" s="2"/>
      <c r="J8" s="2"/>
      <c r="K8" s="2"/>
      <c r="L8" s="2"/>
      <c r="M8" s="2"/>
      <c r="N8" s="2"/>
      <c r="O8" s="2"/>
      <c r="P8" s="2"/>
      <c r="Q8" s="2"/>
      <c r="R8" s="2"/>
      <c r="S8" s="2"/>
      <c r="T8" s="2"/>
      <c r="U8" s="2"/>
      <c r="V8" s="2" t="s">
        <v>5570</v>
      </c>
    </row>
    <row r="9" customFormat="false" ht="15" hidden="false" customHeight="false" outlineLevel="0" collapsed="false">
      <c r="A9" s="2" t="n">
        <v>20</v>
      </c>
      <c r="B9" s="2" t="s">
        <v>333</v>
      </c>
      <c r="C9" s="2" t="s">
        <v>339</v>
      </c>
      <c r="D9" s="2" t="s">
        <v>5562</v>
      </c>
      <c r="E9" s="2" t="s">
        <v>5582</v>
      </c>
      <c r="F9" s="2" t="s">
        <v>1964</v>
      </c>
      <c r="G9" s="2" t="s">
        <v>5565</v>
      </c>
      <c r="H9" s="2" t="s">
        <v>5583</v>
      </c>
      <c r="I9" s="2"/>
      <c r="J9" s="2"/>
      <c r="K9" s="2"/>
      <c r="L9" s="2"/>
      <c r="M9" s="2"/>
      <c r="N9" s="2"/>
      <c r="O9" s="2"/>
      <c r="P9" s="2"/>
      <c r="Q9" s="2"/>
      <c r="R9" s="2"/>
      <c r="S9" s="2"/>
      <c r="T9" s="2"/>
      <c r="U9" s="2"/>
      <c r="V9" s="2" t="s">
        <v>5584</v>
      </c>
    </row>
    <row r="10" customFormat="false" ht="15" hidden="false" customHeight="false" outlineLevel="0" collapsed="false">
      <c r="A10" s="2" t="n">
        <v>20</v>
      </c>
      <c r="B10" s="2" t="s">
        <v>333</v>
      </c>
      <c r="C10" s="2" t="s">
        <v>339</v>
      </c>
      <c r="D10" s="2" t="s">
        <v>5562</v>
      </c>
      <c r="E10" s="2" t="s">
        <v>5585</v>
      </c>
      <c r="F10" s="2" t="s">
        <v>1964</v>
      </c>
      <c r="G10" s="2" t="s">
        <v>5565</v>
      </c>
      <c r="H10" s="2" t="s">
        <v>5586</v>
      </c>
      <c r="I10" s="2"/>
      <c r="J10" s="2"/>
      <c r="K10" s="2"/>
      <c r="L10" s="2"/>
      <c r="M10" s="2"/>
      <c r="N10" s="2"/>
      <c r="O10" s="2"/>
      <c r="P10" s="2"/>
      <c r="Q10" s="2"/>
      <c r="R10" s="2"/>
      <c r="S10" s="2"/>
      <c r="T10" s="2"/>
      <c r="U10" s="2"/>
      <c r="V10" s="2" t="s">
        <v>5584</v>
      </c>
    </row>
    <row r="11" customFormat="false" ht="15" hidden="false" customHeight="false" outlineLevel="0" collapsed="false">
      <c r="A11" s="2" t="n">
        <v>20</v>
      </c>
      <c r="B11" s="2" t="s">
        <v>333</v>
      </c>
      <c r="C11" s="2" t="s">
        <v>339</v>
      </c>
      <c r="D11" s="2" t="s">
        <v>5562</v>
      </c>
      <c r="E11" s="2" t="s">
        <v>5587</v>
      </c>
      <c r="F11" s="2" t="s">
        <v>5588</v>
      </c>
      <c r="G11" s="2" t="s">
        <v>5565</v>
      </c>
      <c r="H11" s="2" t="s">
        <v>5589</v>
      </c>
      <c r="I11" s="2" t="n">
        <v>22</v>
      </c>
      <c r="J11" s="2" t="n">
        <v>8074</v>
      </c>
      <c r="K11" s="2" t="n">
        <v>73</v>
      </c>
      <c r="L11" s="2" t="n">
        <v>54</v>
      </c>
      <c r="M11" s="2" t="n">
        <v>1</v>
      </c>
      <c r="N11" s="2" t="n">
        <v>1</v>
      </c>
      <c r="O11" s="2" t="n">
        <v>15</v>
      </c>
      <c r="P11" s="2" t="n">
        <v>2</v>
      </c>
      <c r="Q11" s="2" t="n">
        <v>13</v>
      </c>
      <c r="R11" s="2" t="n">
        <v>8</v>
      </c>
      <c r="S11" s="2" t="n">
        <v>1</v>
      </c>
      <c r="T11" s="2" t="n">
        <v>51</v>
      </c>
      <c r="U11" s="2" t="n">
        <v>39</v>
      </c>
      <c r="V11" s="2" t="s">
        <v>5567</v>
      </c>
    </row>
    <row r="12" customFormat="false" ht="15" hidden="false" customHeight="false" outlineLevel="0" collapsed="false">
      <c r="A12" s="2" t="n">
        <v>20</v>
      </c>
      <c r="B12" s="2" t="s">
        <v>333</v>
      </c>
      <c r="C12" s="2" t="s">
        <v>339</v>
      </c>
      <c r="D12" s="2" t="s">
        <v>5562</v>
      </c>
      <c r="E12" s="2" t="s">
        <v>5590</v>
      </c>
      <c r="F12" s="2" t="s">
        <v>3436</v>
      </c>
      <c r="G12" s="2" t="s">
        <v>5565</v>
      </c>
      <c r="H12" s="2" t="s">
        <v>5591</v>
      </c>
      <c r="I12" s="2" t="n">
        <v>29</v>
      </c>
      <c r="J12" s="2" t="n">
        <v>9788</v>
      </c>
      <c r="K12" s="2" t="n">
        <v>49</v>
      </c>
      <c r="L12" s="2" t="n">
        <v>41</v>
      </c>
      <c r="M12" s="2" t="n">
        <v>1</v>
      </c>
      <c r="N12" s="2" t="n">
        <v>0</v>
      </c>
      <c r="O12" s="2" t="n">
        <v>7</v>
      </c>
      <c r="P12" s="2" t="n">
        <v>0</v>
      </c>
      <c r="Q12" s="2" t="n">
        <v>0</v>
      </c>
      <c r="R12" s="2" t="n">
        <v>7</v>
      </c>
      <c r="S12" s="2" t="n">
        <v>10</v>
      </c>
      <c r="T12" s="2" t="n">
        <v>32</v>
      </c>
      <c r="U12" s="2" t="n">
        <v>38</v>
      </c>
      <c r="V12" s="2" t="s">
        <v>5567</v>
      </c>
    </row>
    <row r="13" customFormat="false" ht="15" hidden="false" customHeight="false" outlineLevel="0" collapsed="false">
      <c r="A13" s="2" t="n">
        <v>20</v>
      </c>
      <c r="B13" s="2" t="s">
        <v>333</v>
      </c>
      <c r="C13" s="2" t="s">
        <v>339</v>
      </c>
      <c r="D13" s="2" t="s">
        <v>5562</v>
      </c>
      <c r="E13" s="2" t="s">
        <v>5592</v>
      </c>
      <c r="F13" s="2" t="s">
        <v>3436</v>
      </c>
      <c r="G13" s="2" t="s">
        <v>5565</v>
      </c>
      <c r="H13" s="2" t="s">
        <v>5593</v>
      </c>
      <c r="I13" s="2" t="n">
        <v>30</v>
      </c>
      <c r="J13" s="2" t="n">
        <v>11742</v>
      </c>
      <c r="K13" s="2" t="n">
        <v>37</v>
      </c>
      <c r="L13" s="2" t="n">
        <v>27</v>
      </c>
      <c r="M13" s="2" t="n">
        <v>1</v>
      </c>
      <c r="N13" s="2" t="n">
        <v>0</v>
      </c>
      <c r="O13" s="2" t="n">
        <v>8</v>
      </c>
      <c r="P13" s="2" t="n">
        <v>1</v>
      </c>
      <c r="Q13" s="2" t="n">
        <v>6</v>
      </c>
      <c r="R13" s="2" t="n">
        <v>4</v>
      </c>
      <c r="S13" s="2" t="n">
        <v>3</v>
      </c>
      <c r="T13" s="2" t="n">
        <v>24</v>
      </c>
      <c r="U13" s="2" t="n">
        <v>60</v>
      </c>
      <c r="V13" s="2" t="s">
        <v>5567</v>
      </c>
    </row>
    <row r="14" customFormat="false" ht="15" hidden="false" customHeight="false" outlineLevel="0" collapsed="false">
      <c r="A14" s="2" t="n">
        <v>20</v>
      </c>
      <c r="B14" s="2" t="s">
        <v>333</v>
      </c>
      <c r="C14" s="2" t="s">
        <v>339</v>
      </c>
      <c r="D14" s="2" t="s">
        <v>5562</v>
      </c>
      <c r="E14" s="2" t="s">
        <v>5594</v>
      </c>
      <c r="F14" s="2" t="s">
        <v>3440</v>
      </c>
      <c r="G14" s="2" t="s">
        <v>5565</v>
      </c>
      <c r="H14" s="2" t="s">
        <v>5595</v>
      </c>
      <c r="I14" s="2" t="n">
        <v>7</v>
      </c>
      <c r="J14" s="2" t="n">
        <v>2058</v>
      </c>
      <c r="K14" s="2" t="n">
        <v>5</v>
      </c>
      <c r="L14" s="2" t="n">
        <v>2</v>
      </c>
      <c r="M14" s="2" t="n">
        <v>0</v>
      </c>
      <c r="N14" s="2" t="n">
        <v>0</v>
      </c>
      <c r="O14" s="2" t="n">
        <v>3</v>
      </c>
      <c r="P14" s="2" t="n">
        <v>0</v>
      </c>
      <c r="Q14" s="2" t="n">
        <v>0</v>
      </c>
      <c r="R14" s="2" t="n">
        <v>0</v>
      </c>
      <c r="S14" s="2" t="n">
        <v>2</v>
      </c>
      <c r="T14" s="2" t="n">
        <v>3</v>
      </c>
      <c r="U14" s="2" t="n">
        <v>1</v>
      </c>
      <c r="V14" s="2" t="s">
        <v>5567</v>
      </c>
    </row>
    <row r="15" customFormat="false" ht="15" hidden="false" customHeight="false" outlineLevel="0" collapsed="false">
      <c r="A15" s="2" t="n">
        <v>20</v>
      </c>
      <c r="B15" s="2" t="s">
        <v>333</v>
      </c>
      <c r="C15" s="2" t="s">
        <v>339</v>
      </c>
      <c r="D15" s="2" t="s">
        <v>5562</v>
      </c>
      <c r="E15" s="2" t="s">
        <v>5596</v>
      </c>
      <c r="F15" s="2" t="s">
        <v>5597</v>
      </c>
      <c r="G15" s="2" t="s">
        <v>5565</v>
      </c>
      <c r="H15" s="2" t="s">
        <v>5598</v>
      </c>
      <c r="I15" s="2" t="n">
        <v>16</v>
      </c>
      <c r="J15" s="2" t="n">
        <v>7481</v>
      </c>
      <c r="K15" s="2" t="n">
        <v>32</v>
      </c>
      <c r="L15" s="2" t="n">
        <v>26</v>
      </c>
      <c r="M15" s="2" t="n">
        <v>3</v>
      </c>
      <c r="N15" s="2" t="n">
        <v>1</v>
      </c>
      <c r="O15" s="2" t="n">
        <v>2</v>
      </c>
      <c r="P15" s="2" t="n">
        <v>0</v>
      </c>
      <c r="Q15" s="2" t="n">
        <v>18</v>
      </c>
      <c r="R15" s="2" t="n">
        <v>0</v>
      </c>
      <c r="S15" s="2" t="n">
        <v>2</v>
      </c>
      <c r="T15" s="2" t="n">
        <v>12</v>
      </c>
      <c r="U15" s="2" t="n">
        <v>12</v>
      </c>
      <c r="V15" s="2" t="s">
        <v>5567</v>
      </c>
    </row>
    <row r="16" customFormat="false" ht="15" hidden="false" customHeight="false" outlineLevel="0" collapsed="false">
      <c r="A16" s="2" t="n">
        <v>20</v>
      </c>
      <c r="B16" s="2" t="s">
        <v>333</v>
      </c>
      <c r="C16" s="2" t="s">
        <v>339</v>
      </c>
      <c r="D16" s="2" t="s">
        <v>5562</v>
      </c>
      <c r="E16" s="2" t="s">
        <v>5599</v>
      </c>
      <c r="F16" s="2" t="s">
        <v>5600</v>
      </c>
      <c r="G16" s="2" t="s">
        <v>5565</v>
      </c>
      <c r="H16" s="2" t="s">
        <v>5601</v>
      </c>
      <c r="I16" s="2" t="n">
        <v>28</v>
      </c>
      <c r="J16" s="2" t="n">
        <v>15268</v>
      </c>
      <c r="K16" s="2" t="n">
        <v>62</v>
      </c>
      <c r="L16" s="2" t="n">
        <v>46</v>
      </c>
      <c r="M16" s="2" t="n">
        <v>2</v>
      </c>
      <c r="N16" s="2" t="n">
        <v>1</v>
      </c>
      <c r="O16" s="2" t="n">
        <v>13</v>
      </c>
      <c r="P16" s="2" t="n">
        <v>0</v>
      </c>
      <c r="Q16" s="2" t="n">
        <v>30</v>
      </c>
      <c r="R16" s="2" t="n">
        <v>5</v>
      </c>
      <c r="S16" s="2" t="n">
        <v>12</v>
      </c>
      <c r="T16" s="2" t="n">
        <v>15</v>
      </c>
      <c r="U16" s="2" t="n">
        <v>30</v>
      </c>
      <c r="V16" s="2" t="s">
        <v>5567</v>
      </c>
    </row>
    <row r="17" customFormat="false" ht="15" hidden="false" customHeight="false" outlineLevel="0" collapsed="false">
      <c r="A17" s="2" t="n">
        <v>20</v>
      </c>
      <c r="B17" s="2" t="s">
        <v>333</v>
      </c>
      <c r="C17" s="2" t="s">
        <v>339</v>
      </c>
      <c r="D17" s="2" t="s">
        <v>5562</v>
      </c>
      <c r="E17" s="2" t="s">
        <v>5602</v>
      </c>
      <c r="F17" s="2" t="s">
        <v>5603</v>
      </c>
      <c r="G17" s="2" t="s">
        <v>5565</v>
      </c>
      <c r="H17" s="2" t="s">
        <v>5604</v>
      </c>
      <c r="I17" s="2" t="n">
        <v>33</v>
      </c>
      <c r="J17" s="2" t="n">
        <v>13426</v>
      </c>
      <c r="K17" s="2" t="n">
        <v>90</v>
      </c>
      <c r="L17" s="2" t="n">
        <v>63</v>
      </c>
      <c r="M17" s="2" t="n">
        <v>8</v>
      </c>
      <c r="N17" s="2" t="n">
        <v>1</v>
      </c>
      <c r="O17" s="2" t="n">
        <v>17</v>
      </c>
      <c r="P17" s="2" t="n">
        <v>1</v>
      </c>
      <c r="Q17" s="2" t="n">
        <v>51</v>
      </c>
      <c r="R17" s="2" t="n">
        <v>4</v>
      </c>
      <c r="S17" s="2" t="n">
        <v>0</v>
      </c>
      <c r="T17" s="2" t="n">
        <v>35</v>
      </c>
      <c r="U17" s="2" t="n">
        <v>65</v>
      </c>
      <c r="V17" s="2" t="s">
        <v>5567</v>
      </c>
    </row>
    <row r="18" customFormat="false" ht="15" hidden="false" customHeight="false" outlineLevel="0" collapsed="false">
      <c r="A18" s="2" t="n">
        <v>20</v>
      </c>
      <c r="B18" s="2" t="s">
        <v>333</v>
      </c>
      <c r="C18" s="2" t="s">
        <v>339</v>
      </c>
      <c r="D18" s="2" t="s">
        <v>5562</v>
      </c>
      <c r="E18" s="2" t="s">
        <v>5605</v>
      </c>
      <c r="F18" s="2" t="s">
        <v>3515</v>
      </c>
      <c r="G18" s="2" t="s">
        <v>5565</v>
      </c>
      <c r="H18" s="2" t="s">
        <v>5606</v>
      </c>
      <c r="I18" s="2" t="n">
        <v>19</v>
      </c>
      <c r="J18" s="2" t="n">
        <v>7048</v>
      </c>
      <c r="K18" s="2" t="n">
        <v>106</v>
      </c>
      <c r="L18" s="2" t="n">
        <v>83</v>
      </c>
      <c r="M18" s="2" t="n">
        <v>21</v>
      </c>
      <c r="N18" s="2" t="n">
        <v>1</v>
      </c>
      <c r="O18" s="2" t="n">
        <v>1</v>
      </c>
      <c r="P18" s="2" t="n">
        <v>0</v>
      </c>
      <c r="Q18" s="2" t="n">
        <v>13</v>
      </c>
      <c r="R18" s="2" t="n">
        <v>6</v>
      </c>
      <c r="S18" s="2" t="n">
        <v>4</v>
      </c>
      <c r="T18" s="2" t="n">
        <v>83</v>
      </c>
      <c r="U18" s="2" t="n">
        <v>67</v>
      </c>
      <c r="V18" s="2" t="s">
        <v>5567</v>
      </c>
    </row>
    <row r="19" customFormat="false" ht="15" hidden="false" customHeight="false" outlineLevel="0" collapsed="false">
      <c r="A19" s="2" t="n">
        <v>20</v>
      </c>
      <c r="B19" s="2" t="s">
        <v>333</v>
      </c>
      <c r="C19" s="2" t="s">
        <v>339</v>
      </c>
      <c r="D19" s="2" t="s">
        <v>5562</v>
      </c>
      <c r="E19" s="2" t="s">
        <v>5607</v>
      </c>
      <c r="F19" s="2" t="s">
        <v>3515</v>
      </c>
      <c r="G19" s="2" t="s">
        <v>5565</v>
      </c>
      <c r="H19" s="2" t="s">
        <v>5608</v>
      </c>
      <c r="I19" s="2" t="n">
        <v>14</v>
      </c>
      <c r="J19" s="2" t="n">
        <v>6108</v>
      </c>
      <c r="K19" s="2" t="n">
        <v>53</v>
      </c>
      <c r="L19" s="2" t="n">
        <v>50</v>
      </c>
      <c r="M19" s="2" t="n">
        <v>2</v>
      </c>
      <c r="N19" s="2" t="n">
        <v>0</v>
      </c>
      <c r="O19" s="2" t="n">
        <v>0</v>
      </c>
      <c r="P19" s="2" t="n">
        <v>1</v>
      </c>
      <c r="Q19" s="2" t="n">
        <v>16</v>
      </c>
      <c r="R19" s="2" t="n">
        <v>1</v>
      </c>
      <c r="S19" s="2" t="n">
        <v>1</v>
      </c>
      <c r="T19" s="2" t="n">
        <v>35</v>
      </c>
      <c r="U19" s="2" t="n">
        <v>18</v>
      </c>
      <c r="V19" s="2" t="s">
        <v>5567</v>
      </c>
    </row>
    <row r="20" customFormat="false" ht="15" hidden="false" customHeight="false" outlineLevel="0" collapsed="false">
      <c r="A20" s="2" t="n">
        <v>20</v>
      </c>
      <c r="B20" s="2" t="s">
        <v>333</v>
      </c>
      <c r="C20" s="2" t="s">
        <v>339</v>
      </c>
      <c r="D20" s="2" t="s">
        <v>5562</v>
      </c>
      <c r="E20" s="2" t="s">
        <v>5609</v>
      </c>
      <c r="F20" s="2" t="s">
        <v>5610</v>
      </c>
      <c r="G20" s="2" t="s">
        <v>5565</v>
      </c>
      <c r="H20" s="2" t="s">
        <v>5611</v>
      </c>
      <c r="I20" s="2" t="n">
        <v>33</v>
      </c>
      <c r="J20" s="2" t="n">
        <v>17814</v>
      </c>
      <c r="K20" s="2" t="n">
        <v>105</v>
      </c>
      <c r="L20" s="2" t="n">
        <v>83</v>
      </c>
      <c r="M20" s="2" t="n">
        <v>8</v>
      </c>
      <c r="N20" s="2" t="n">
        <v>0</v>
      </c>
      <c r="O20" s="2" t="n">
        <v>14</v>
      </c>
      <c r="P20" s="2" t="n">
        <v>0</v>
      </c>
      <c r="Q20" s="2" t="n">
        <v>53</v>
      </c>
      <c r="R20" s="2" t="n">
        <v>3</v>
      </c>
      <c r="S20" s="2" t="n">
        <v>2</v>
      </c>
      <c r="T20" s="2" t="n">
        <v>47</v>
      </c>
      <c r="U20" s="2" t="n">
        <v>65</v>
      </c>
      <c r="V20" s="2" t="s">
        <v>5567</v>
      </c>
    </row>
    <row r="21" customFormat="false" ht="15" hidden="false" customHeight="false" outlineLevel="0" collapsed="false">
      <c r="A21" s="2" t="n">
        <v>20</v>
      </c>
      <c r="B21" s="2" t="s">
        <v>333</v>
      </c>
      <c r="C21" s="2" t="s">
        <v>339</v>
      </c>
      <c r="D21" s="2" t="s">
        <v>5562</v>
      </c>
      <c r="E21" s="2" t="s">
        <v>5612</v>
      </c>
      <c r="F21" s="2" t="s">
        <v>2303</v>
      </c>
      <c r="G21" s="2" t="s">
        <v>5565</v>
      </c>
      <c r="H21" s="2" t="s">
        <v>5613</v>
      </c>
      <c r="I21" s="2" t="n">
        <v>16</v>
      </c>
      <c r="J21" s="2" t="n">
        <v>7977</v>
      </c>
      <c r="K21" s="2" t="n">
        <v>48</v>
      </c>
      <c r="L21" s="2" t="n">
        <v>43</v>
      </c>
      <c r="M21" s="2" t="n">
        <v>1</v>
      </c>
      <c r="N21" s="2" t="n">
        <v>0</v>
      </c>
      <c r="O21" s="2" t="n">
        <v>4</v>
      </c>
      <c r="P21" s="2" t="n">
        <v>0</v>
      </c>
      <c r="Q21" s="2" t="n">
        <v>21</v>
      </c>
      <c r="R21" s="2" t="n">
        <v>11</v>
      </c>
      <c r="S21" s="2" t="n">
        <v>0</v>
      </c>
      <c r="T21" s="2" t="n">
        <v>16</v>
      </c>
      <c r="U21" s="2" t="n">
        <v>18</v>
      </c>
      <c r="V21" s="2" t="s">
        <v>5567</v>
      </c>
    </row>
    <row r="22" customFormat="false" ht="15" hidden="false" customHeight="false" outlineLevel="0" collapsed="false">
      <c r="A22" s="2" t="n">
        <v>20</v>
      </c>
      <c r="B22" s="2" t="s">
        <v>333</v>
      </c>
      <c r="C22" s="2" t="s">
        <v>339</v>
      </c>
      <c r="D22" s="2" t="s">
        <v>5562</v>
      </c>
      <c r="E22" s="2" t="s">
        <v>5614</v>
      </c>
      <c r="F22" s="2" t="s">
        <v>5615</v>
      </c>
      <c r="G22" s="2" t="s">
        <v>5565</v>
      </c>
      <c r="H22" s="2" t="s">
        <v>5616</v>
      </c>
      <c r="I22" s="2" t="n">
        <v>31</v>
      </c>
      <c r="J22" s="2" t="n">
        <v>14332</v>
      </c>
      <c r="K22" s="2" t="n">
        <v>100</v>
      </c>
      <c r="L22" s="2" t="n">
        <v>79</v>
      </c>
      <c r="M22" s="2" t="n">
        <v>10</v>
      </c>
      <c r="N22" s="2" t="n">
        <v>0</v>
      </c>
      <c r="O22" s="2" t="n">
        <v>10</v>
      </c>
      <c r="P22" s="2" t="n">
        <v>1</v>
      </c>
      <c r="Q22" s="2" t="n">
        <v>60</v>
      </c>
      <c r="R22" s="2" t="n">
        <v>1</v>
      </c>
      <c r="S22" s="2" t="n">
        <v>0</v>
      </c>
      <c r="T22" s="2" t="n">
        <v>39</v>
      </c>
      <c r="U22" s="2" t="n">
        <v>126</v>
      </c>
      <c r="V22" s="2" t="s">
        <v>5567</v>
      </c>
    </row>
    <row r="23" customFormat="false" ht="15" hidden="false" customHeight="false" outlineLevel="0" collapsed="false">
      <c r="A23" s="2" t="n">
        <v>20</v>
      </c>
      <c r="B23" s="2" t="s">
        <v>333</v>
      </c>
      <c r="C23" s="2" t="s">
        <v>339</v>
      </c>
      <c r="D23" s="2" t="s">
        <v>5562</v>
      </c>
      <c r="E23" s="2" t="s">
        <v>5617</v>
      </c>
      <c r="F23" s="2" t="s">
        <v>5618</v>
      </c>
      <c r="G23" s="2" t="s">
        <v>5565</v>
      </c>
      <c r="H23" s="2" t="s">
        <v>5619</v>
      </c>
      <c r="I23" s="2" t="n">
        <v>15</v>
      </c>
      <c r="J23" s="2" t="n">
        <v>6789</v>
      </c>
      <c r="K23" s="2" t="n">
        <v>50</v>
      </c>
      <c r="L23" s="2" t="n">
        <v>43</v>
      </c>
      <c r="M23" s="2" t="n">
        <v>2</v>
      </c>
      <c r="N23" s="2" t="n">
        <v>3</v>
      </c>
      <c r="O23" s="2" t="n">
        <v>2</v>
      </c>
      <c r="P23" s="2" t="n">
        <v>0</v>
      </c>
      <c r="Q23" s="2" t="n">
        <v>5</v>
      </c>
      <c r="R23" s="2" t="n">
        <v>12</v>
      </c>
      <c r="S23" s="2" t="n">
        <v>1</v>
      </c>
      <c r="T23" s="2" t="n">
        <v>32</v>
      </c>
      <c r="U23" s="2" t="n">
        <v>20</v>
      </c>
      <c r="V23" s="2" t="s">
        <v>5567</v>
      </c>
    </row>
    <row r="24" customFormat="false" ht="15" hidden="false" customHeight="false" outlineLevel="0" collapsed="false">
      <c r="A24" s="2" t="n">
        <v>20</v>
      </c>
      <c r="B24" s="2" t="s">
        <v>333</v>
      </c>
      <c r="C24" s="2" t="s">
        <v>339</v>
      </c>
      <c r="D24" s="2" t="s">
        <v>5562</v>
      </c>
      <c r="E24" s="2" t="s">
        <v>5620</v>
      </c>
      <c r="F24" s="2" t="s">
        <v>779</v>
      </c>
      <c r="G24" s="2" t="s">
        <v>5565</v>
      </c>
      <c r="H24" s="2" t="s">
        <v>5621</v>
      </c>
      <c r="I24" s="2" t="n">
        <v>19</v>
      </c>
      <c r="J24" s="2" t="n">
        <v>8213</v>
      </c>
      <c r="K24" s="2" t="n">
        <v>69</v>
      </c>
      <c r="L24" s="2" t="n">
        <v>61</v>
      </c>
      <c r="M24" s="2" t="n">
        <v>2</v>
      </c>
      <c r="N24" s="2" t="n">
        <v>2</v>
      </c>
      <c r="O24" s="2" t="n">
        <v>4</v>
      </c>
      <c r="P24" s="2" t="n">
        <v>0</v>
      </c>
      <c r="Q24" s="2" t="n">
        <v>19</v>
      </c>
      <c r="R24" s="2" t="n">
        <v>8</v>
      </c>
      <c r="S24" s="2" t="n">
        <v>5</v>
      </c>
      <c r="T24" s="2" t="n">
        <v>37</v>
      </c>
      <c r="U24" s="2" t="n">
        <v>65</v>
      </c>
      <c r="V24" s="2" t="s">
        <v>5567</v>
      </c>
    </row>
    <row r="25" customFormat="false" ht="15" hidden="false" customHeight="false" outlineLevel="0" collapsed="false">
      <c r="A25" s="2" t="n">
        <v>20</v>
      </c>
      <c r="B25" s="2" t="s">
        <v>333</v>
      </c>
      <c r="C25" s="2" t="s">
        <v>339</v>
      </c>
      <c r="D25" s="2" t="s">
        <v>5562</v>
      </c>
      <c r="E25" s="2" t="s">
        <v>5622</v>
      </c>
      <c r="F25" s="2" t="s">
        <v>5623</v>
      </c>
      <c r="G25" s="2" t="s">
        <v>5565</v>
      </c>
      <c r="H25" s="2" t="s">
        <v>5624</v>
      </c>
      <c r="I25" s="2" t="n">
        <v>12</v>
      </c>
      <c r="J25" s="2" t="n">
        <v>5898</v>
      </c>
      <c r="K25" s="2" t="n">
        <v>16</v>
      </c>
      <c r="L25" s="2" t="n">
        <v>13</v>
      </c>
      <c r="M25" s="2" t="n">
        <v>0</v>
      </c>
      <c r="N25" s="2" t="n">
        <v>1</v>
      </c>
      <c r="O25" s="2" t="n">
        <v>2</v>
      </c>
      <c r="P25" s="2" t="n">
        <v>0</v>
      </c>
      <c r="Q25" s="2" t="n">
        <v>0</v>
      </c>
      <c r="R25" s="2" t="n">
        <v>1</v>
      </c>
      <c r="S25" s="2" t="n">
        <v>2</v>
      </c>
      <c r="T25" s="2" t="n">
        <v>13</v>
      </c>
      <c r="U25" s="2" t="n">
        <v>36</v>
      </c>
      <c r="V25" s="2" t="s">
        <v>5567</v>
      </c>
    </row>
    <row r="26" customFormat="false" ht="15" hidden="false" customHeight="false" outlineLevel="0" collapsed="false">
      <c r="A26" s="2" t="n">
        <v>20</v>
      </c>
      <c r="B26" s="2" t="s">
        <v>333</v>
      </c>
      <c r="C26" s="2" t="s">
        <v>339</v>
      </c>
      <c r="D26" s="2" t="s">
        <v>5562</v>
      </c>
      <c r="E26" s="2" t="s">
        <v>5625</v>
      </c>
      <c r="F26" s="2" t="s">
        <v>5623</v>
      </c>
      <c r="G26" s="2" t="s">
        <v>5565</v>
      </c>
      <c r="H26" s="2" t="s">
        <v>5626</v>
      </c>
      <c r="I26" s="2" t="n">
        <v>36</v>
      </c>
      <c r="J26" s="2" t="n">
        <v>16880</v>
      </c>
      <c r="K26" s="2" t="n">
        <v>83</v>
      </c>
      <c r="L26" s="2" t="n">
        <v>58</v>
      </c>
      <c r="M26" s="2" t="n">
        <v>12</v>
      </c>
      <c r="N26" s="2" t="n">
        <v>3</v>
      </c>
      <c r="O26" s="2" t="n">
        <v>10</v>
      </c>
      <c r="P26" s="2" t="n">
        <v>0</v>
      </c>
      <c r="Q26" s="2" t="n">
        <v>35</v>
      </c>
      <c r="R26" s="2" t="n">
        <v>3</v>
      </c>
      <c r="S26" s="2" t="n">
        <v>2</v>
      </c>
      <c r="T26" s="2" t="n">
        <v>43</v>
      </c>
      <c r="U26" s="2" t="n">
        <v>64</v>
      </c>
      <c r="V26" s="2" t="s">
        <v>5567</v>
      </c>
    </row>
    <row r="27" customFormat="false" ht="15" hidden="false" customHeight="false" outlineLevel="0" collapsed="false">
      <c r="A27" s="2" t="n">
        <v>20</v>
      </c>
      <c r="B27" s="2" t="s">
        <v>333</v>
      </c>
      <c r="C27" s="2" t="s">
        <v>339</v>
      </c>
      <c r="D27" s="2" t="s">
        <v>5562</v>
      </c>
      <c r="E27" s="2" t="s">
        <v>5627</v>
      </c>
      <c r="F27" s="2" t="s">
        <v>5628</v>
      </c>
      <c r="G27" s="2" t="s">
        <v>5565</v>
      </c>
      <c r="H27" s="2" t="s">
        <v>5629</v>
      </c>
      <c r="I27" s="2" t="n">
        <v>40</v>
      </c>
      <c r="J27" s="2" t="n">
        <v>23164</v>
      </c>
      <c r="K27" s="2" t="n">
        <v>88</v>
      </c>
      <c r="L27" s="2" t="n">
        <v>73</v>
      </c>
      <c r="M27" s="2" t="n">
        <v>5</v>
      </c>
      <c r="N27" s="2" t="n">
        <v>1</v>
      </c>
      <c r="O27" s="2" t="n">
        <v>9</v>
      </c>
      <c r="P27" s="2" t="n">
        <v>0</v>
      </c>
      <c r="Q27" s="2" t="n">
        <v>49</v>
      </c>
      <c r="R27" s="2" t="n">
        <v>0</v>
      </c>
      <c r="S27" s="2" t="n">
        <v>4</v>
      </c>
      <c r="T27" s="2" t="n">
        <v>35</v>
      </c>
      <c r="U27" s="2" t="n">
        <v>64</v>
      </c>
      <c r="V27" s="2" t="s">
        <v>5567</v>
      </c>
    </row>
    <row r="28" customFormat="false" ht="15" hidden="false" customHeight="false" outlineLevel="0" collapsed="false">
      <c r="A28" s="2" t="n">
        <v>20</v>
      </c>
      <c r="B28" s="2" t="s">
        <v>333</v>
      </c>
      <c r="C28" s="2" t="s">
        <v>339</v>
      </c>
      <c r="D28" s="2" t="s">
        <v>5562</v>
      </c>
      <c r="E28" s="2" t="s">
        <v>5630</v>
      </c>
      <c r="F28" s="2" t="s">
        <v>5631</v>
      </c>
      <c r="G28" s="2" t="s">
        <v>5565</v>
      </c>
      <c r="H28" s="2" t="s">
        <v>5632</v>
      </c>
      <c r="I28" s="2" t="n">
        <v>4</v>
      </c>
      <c r="J28" s="2" t="n">
        <v>1850</v>
      </c>
      <c r="K28" s="2" t="n">
        <v>10</v>
      </c>
      <c r="L28" s="2" t="n">
        <v>10</v>
      </c>
      <c r="M28" s="2" t="n">
        <v>0</v>
      </c>
      <c r="N28" s="2" t="n">
        <v>0</v>
      </c>
      <c r="O28" s="2" t="n">
        <v>0</v>
      </c>
      <c r="P28" s="2" t="n">
        <v>0</v>
      </c>
      <c r="Q28" s="2" t="n">
        <v>6</v>
      </c>
      <c r="R28" s="2" t="n">
        <v>0</v>
      </c>
      <c r="S28" s="2" t="n">
        <v>0</v>
      </c>
      <c r="T28" s="2" t="n">
        <v>4</v>
      </c>
      <c r="U28" s="2" t="n">
        <v>6</v>
      </c>
      <c r="V28" s="2" t="s">
        <v>5567</v>
      </c>
    </row>
    <row r="29" customFormat="false" ht="15" hidden="false" customHeight="false" outlineLevel="0" collapsed="false">
      <c r="A29" s="2" t="n">
        <v>20</v>
      </c>
      <c r="B29" s="2" t="s">
        <v>333</v>
      </c>
      <c r="C29" s="2" t="s">
        <v>339</v>
      </c>
      <c r="D29" s="2" t="s">
        <v>5562</v>
      </c>
      <c r="E29" s="2" t="s">
        <v>5633</v>
      </c>
      <c r="F29" s="2" t="s">
        <v>2702</v>
      </c>
      <c r="G29" s="2" t="s">
        <v>5565</v>
      </c>
      <c r="H29" s="2" t="s">
        <v>5634</v>
      </c>
      <c r="I29" s="2" t="n">
        <v>48</v>
      </c>
      <c r="J29" s="2" t="n">
        <v>22552</v>
      </c>
      <c r="K29" s="2" t="n">
        <v>114</v>
      </c>
      <c r="L29" s="2" t="n">
        <v>76</v>
      </c>
      <c r="M29" s="2" t="n">
        <v>17</v>
      </c>
      <c r="N29" s="2" t="n">
        <v>6</v>
      </c>
      <c r="O29" s="2" t="n">
        <v>15</v>
      </c>
      <c r="P29" s="2" t="n">
        <v>0</v>
      </c>
      <c r="Q29" s="2" t="n">
        <v>28</v>
      </c>
      <c r="R29" s="2" t="n">
        <v>6</v>
      </c>
      <c r="S29" s="2" t="n">
        <v>5</v>
      </c>
      <c r="T29" s="2" t="n">
        <v>75</v>
      </c>
      <c r="U29" s="2" t="n">
        <v>57</v>
      </c>
      <c r="V29" s="2" t="s">
        <v>5567</v>
      </c>
    </row>
    <row r="30" customFormat="false" ht="15" hidden="false" customHeight="false" outlineLevel="0" collapsed="false">
      <c r="A30" s="2" t="n">
        <v>20</v>
      </c>
      <c r="B30" s="2" t="s">
        <v>333</v>
      </c>
      <c r="C30" s="2" t="s">
        <v>339</v>
      </c>
      <c r="D30" s="2" t="s">
        <v>5562</v>
      </c>
      <c r="E30" s="2" t="s">
        <v>5635</v>
      </c>
      <c r="F30" s="2" t="s">
        <v>647</v>
      </c>
      <c r="G30" s="2" t="s">
        <v>5565</v>
      </c>
      <c r="H30" s="2" t="s">
        <v>5636</v>
      </c>
      <c r="I30" s="2" t="n">
        <v>39</v>
      </c>
      <c r="J30" s="2" t="n">
        <v>18626</v>
      </c>
      <c r="K30" s="2" t="n">
        <v>34</v>
      </c>
      <c r="L30" s="2" t="n">
        <v>23</v>
      </c>
      <c r="M30" s="2" t="n">
        <v>2</v>
      </c>
      <c r="N30" s="2" t="n">
        <v>0</v>
      </c>
      <c r="O30" s="2" t="n">
        <v>9</v>
      </c>
      <c r="P30" s="2" t="n">
        <v>0</v>
      </c>
      <c r="Q30" s="2" t="n">
        <v>21</v>
      </c>
      <c r="R30" s="2" t="n">
        <v>1</v>
      </c>
      <c r="S30" s="2" t="n">
        <v>0</v>
      </c>
      <c r="T30" s="2" t="n">
        <v>12</v>
      </c>
      <c r="U30" s="2" t="n">
        <v>156</v>
      </c>
      <c r="V30" s="2" t="s">
        <v>5567</v>
      </c>
    </row>
    <row r="31" customFormat="false" ht="15" hidden="false" customHeight="false" outlineLevel="0" collapsed="false">
      <c r="A31" s="2" t="n">
        <v>20</v>
      </c>
      <c r="B31" s="2" t="s">
        <v>333</v>
      </c>
      <c r="C31" s="2" t="s">
        <v>339</v>
      </c>
      <c r="D31" s="2" t="s">
        <v>5562</v>
      </c>
      <c r="E31" s="2" t="s">
        <v>5637</v>
      </c>
      <c r="F31" s="2" t="s">
        <v>647</v>
      </c>
      <c r="G31" s="2" t="s">
        <v>5565</v>
      </c>
      <c r="H31" s="2" t="s">
        <v>5638</v>
      </c>
      <c r="I31" s="2" t="n">
        <v>51</v>
      </c>
      <c r="J31" s="2" t="n">
        <v>27591</v>
      </c>
      <c r="K31" s="2" t="n">
        <v>168</v>
      </c>
      <c r="L31" s="2" t="n">
        <v>146</v>
      </c>
      <c r="M31" s="2" t="n">
        <v>8</v>
      </c>
      <c r="N31" s="2" t="n">
        <v>3</v>
      </c>
      <c r="O31" s="2" t="n">
        <v>11</v>
      </c>
      <c r="P31" s="2" t="n">
        <v>0</v>
      </c>
      <c r="Q31" s="2" t="n">
        <v>121</v>
      </c>
      <c r="R31" s="2" t="n">
        <v>7</v>
      </c>
      <c r="S31" s="2" t="n">
        <v>1</v>
      </c>
      <c r="T31" s="2" t="n">
        <v>39</v>
      </c>
      <c r="U31" s="2" t="n">
        <v>114</v>
      </c>
      <c r="V31" s="2" t="s">
        <v>5567</v>
      </c>
    </row>
    <row r="32" customFormat="false" ht="15" hidden="false" customHeight="false" outlineLevel="0" collapsed="false">
      <c r="A32" s="2" t="n">
        <v>20</v>
      </c>
      <c r="B32" s="2" t="s">
        <v>333</v>
      </c>
      <c r="C32" s="2" t="s">
        <v>339</v>
      </c>
      <c r="D32" s="2" t="s">
        <v>5562</v>
      </c>
      <c r="E32" s="2" t="s">
        <v>5639</v>
      </c>
      <c r="F32" s="2" t="s">
        <v>5640</v>
      </c>
      <c r="G32" s="2" t="s">
        <v>5565</v>
      </c>
      <c r="H32" s="2" t="s">
        <v>5641</v>
      </c>
      <c r="I32" s="2" t="n">
        <v>20</v>
      </c>
      <c r="J32" s="2" t="n">
        <v>8902</v>
      </c>
      <c r="K32" s="2" t="n">
        <v>40</v>
      </c>
      <c r="L32" s="2" t="n">
        <v>31</v>
      </c>
      <c r="M32" s="2" t="n">
        <v>4</v>
      </c>
      <c r="N32" s="2" t="n">
        <v>1</v>
      </c>
      <c r="O32" s="2" t="n">
        <v>3</v>
      </c>
      <c r="P32" s="2" t="n">
        <v>1</v>
      </c>
      <c r="Q32" s="2" t="n">
        <v>6</v>
      </c>
      <c r="R32" s="2" t="n">
        <v>5</v>
      </c>
      <c r="S32" s="2" t="n">
        <v>2</v>
      </c>
      <c r="T32" s="2" t="n">
        <v>27</v>
      </c>
      <c r="U32" s="2" t="n">
        <v>51</v>
      </c>
      <c r="V32" s="2" t="s">
        <v>5567</v>
      </c>
    </row>
    <row r="33" customFormat="false" ht="15" hidden="false" customHeight="false" outlineLevel="0" collapsed="false">
      <c r="A33" s="2" t="n">
        <v>20</v>
      </c>
      <c r="B33" s="2" t="s">
        <v>333</v>
      </c>
      <c r="C33" s="2" t="s">
        <v>339</v>
      </c>
      <c r="D33" s="2" t="s">
        <v>5562</v>
      </c>
      <c r="E33" s="2" t="s">
        <v>5642</v>
      </c>
      <c r="F33" s="2" t="s">
        <v>5643</v>
      </c>
      <c r="G33" s="2" t="s">
        <v>5565</v>
      </c>
      <c r="H33" s="2" t="s">
        <v>5644</v>
      </c>
      <c r="I33" s="2" t="n">
        <v>32</v>
      </c>
      <c r="J33" s="2" t="n">
        <v>15633</v>
      </c>
      <c r="K33" s="2" t="n">
        <v>27</v>
      </c>
      <c r="L33" s="2" t="n">
        <v>13</v>
      </c>
      <c r="M33" s="2" t="n">
        <v>4</v>
      </c>
      <c r="N33" s="2" t="n">
        <v>0</v>
      </c>
      <c r="O33" s="2" t="n">
        <v>10</v>
      </c>
      <c r="P33" s="2" t="n">
        <v>0</v>
      </c>
      <c r="Q33" s="2" t="n">
        <v>11</v>
      </c>
      <c r="R33" s="2" t="n">
        <v>0</v>
      </c>
      <c r="S33" s="2" t="n">
        <v>0</v>
      </c>
      <c r="T33" s="2" t="n">
        <v>16</v>
      </c>
      <c r="U33" s="2" t="n">
        <v>91</v>
      </c>
      <c r="V33" s="2" t="s">
        <v>5567</v>
      </c>
    </row>
    <row r="34" customFormat="false" ht="15" hidden="false" customHeight="false" outlineLevel="0" collapsed="false">
      <c r="A34" s="2" t="n">
        <v>20</v>
      </c>
      <c r="B34" s="2" t="s">
        <v>333</v>
      </c>
      <c r="C34" s="2" t="s">
        <v>339</v>
      </c>
      <c r="D34" s="2" t="s">
        <v>5562</v>
      </c>
      <c r="E34" s="2" t="s">
        <v>5645</v>
      </c>
      <c r="F34" s="2" t="s">
        <v>5646</v>
      </c>
      <c r="G34" s="2" t="s">
        <v>5565</v>
      </c>
      <c r="H34" s="2" t="s">
        <v>5647</v>
      </c>
      <c r="I34" s="2" t="n">
        <v>16</v>
      </c>
      <c r="J34" s="2" t="n">
        <v>6325</v>
      </c>
      <c r="K34" s="2" t="n">
        <v>21</v>
      </c>
      <c r="L34" s="2" t="n">
        <v>15</v>
      </c>
      <c r="M34" s="2" t="n">
        <v>0</v>
      </c>
      <c r="N34" s="2" t="n">
        <v>2</v>
      </c>
      <c r="O34" s="2" t="n">
        <v>4</v>
      </c>
      <c r="P34" s="2" t="n">
        <v>0</v>
      </c>
      <c r="Q34" s="2" t="n">
        <v>9</v>
      </c>
      <c r="R34" s="2" t="n">
        <v>0</v>
      </c>
      <c r="S34" s="2" t="n">
        <v>0</v>
      </c>
      <c r="T34" s="2" t="n">
        <v>12</v>
      </c>
      <c r="U34" s="2" t="n">
        <v>20</v>
      </c>
      <c r="V34" s="2" t="s">
        <v>5567</v>
      </c>
    </row>
    <row r="35" customFormat="false" ht="15" hidden="false" customHeight="false" outlineLevel="0" collapsed="false">
      <c r="A35" s="2" t="n">
        <v>20</v>
      </c>
      <c r="B35" s="2" t="s">
        <v>333</v>
      </c>
      <c r="C35" s="2" t="s">
        <v>339</v>
      </c>
      <c r="D35" s="2" t="s">
        <v>5562</v>
      </c>
      <c r="E35" s="2" t="s">
        <v>5648</v>
      </c>
      <c r="F35" s="2" t="s">
        <v>5649</v>
      </c>
      <c r="G35" s="2" t="s">
        <v>5565</v>
      </c>
      <c r="H35" s="2" t="s">
        <v>5650</v>
      </c>
      <c r="I35" s="2" t="n">
        <v>69</v>
      </c>
      <c r="J35" s="2" t="n">
        <v>31152</v>
      </c>
      <c r="K35" s="2" t="n">
        <v>152</v>
      </c>
      <c r="L35" s="2" t="n">
        <v>111</v>
      </c>
      <c r="M35" s="2" t="n">
        <v>5</v>
      </c>
      <c r="N35" s="2" t="n">
        <v>4</v>
      </c>
      <c r="O35" s="2" t="n">
        <v>32</v>
      </c>
      <c r="P35" s="2" t="n">
        <v>0</v>
      </c>
      <c r="Q35" s="2" t="n">
        <v>14</v>
      </c>
      <c r="R35" s="2" t="n">
        <v>27</v>
      </c>
      <c r="S35" s="2" t="n">
        <v>9</v>
      </c>
      <c r="T35" s="2" t="n">
        <v>102</v>
      </c>
      <c r="U35" s="2" t="n">
        <v>203</v>
      </c>
      <c r="V35" s="2" t="s">
        <v>5567</v>
      </c>
    </row>
    <row r="36" customFormat="false" ht="15" hidden="false" customHeight="false" outlineLevel="0" collapsed="false">
      <c r="A36" s="2" t="n">
        <v>20</v>
      </c>
      <c r="B36" s="2" t="s">
        <v>333</v>
      </c>
      <c r="C36" s="2" t="s">
        <v>339</v>
      </c>
      <c r="D36" s="2" t="s">
        <v>5562</v>
      </c>
      <c r="E36" s="2" t="s">
        <v>5651</v>
      </c>
      <c r="F36" s="2" t="s">
        <v>5652</v>
      </c>
      <c r="G36" s="2" t="s">
        <v>5565</v>
      </c>
      <c r="H36" s="2" t="s">
        <v>5653</v>
      </c>
      <c r="I36" s="2" t="n">
        <v>22</v>
      </c>
      <c r="J36" s="2" t="n">
        <v>9131</v>
      </c>
      <c r="K36" s="2" t="n">
        <v>35</v>
      </c>
      <c r="L36" s="2" t="n">
        <v>25</v>
      </c>
      <c r="M36" s="2" t="n">
        <v>5</v>
      </c>
      <c r="N36" s="2" t="n">
        <v>2</v>
      </c>
      <c r="O36" s="2" t="n">
        <v>3</v>
      </c>
      <c r="P36" s="2" t="n">
        <v>0</v>
      </c>
      <c r="Q36" s="2" t="n">
        <v>3</v>
      </c>
      <c r="R36" s="2" t="n">
        <v>10</v>
      </c>
      <c r="S36" s="2" t="n">
        <v>0</v>
      </c>
      <c r="T36" s="2" t="n">
        <v>22</v>
      </c>
      <c r="U36" s="2" t="n">
        <v>49</v>
      </c>
      <c r="V36" s="2" t="s">
        <v>5567</v>
      </c>
    </row>
    <row r="37" customFormat="false" ht="15" hidden="false" customHeight="false" outlineLevel="0" collapsed="false">
      <c r="A37" s="2" t="n">
        <v>20</v>
      </c>
      <c r="B37" s="2" t="s">
        <v>333</v>
      </c>
      <c r="C37" s="2" t="s">
        <v>339</v>
      </c>
      <c r="D37" s="2" t="s">
        <v>5562</v>
      </c>
      <c r="E37" s="2" t="s">
        <v>5654</v>
      </c>
      <c r="F37" s="2" t="s">
        <v>5655</v>
      </c>
      <c r="G37" s="2" t="s">
        <v>5565</v>
      </c>
      <c r="H37" s="2" t="s">
        <v>5656</v>
      </c>
      <c r="I37" s="2" t="n">
        <v>74</v>
      </c>
      <c r="J37" s="2" t="n">
        <v>33214</v>
      </c>
      <c r="K37" s="2" t="n">
        <v>120</v>
      </c>
      <c r="L37" s="2" t="n">
        <v>85</v>
      </c>
      <c r="M37" s="2" t="n">
        <v>15</v>
      </c>
      <c r="N37" s="2" t="n">
        <v>2</v>
      </c>
      <c r="O37" s="2" t="n">
        <v>18</v>
      </c>
      <c r="P37" s="2" t="n">
        <v>0</v>
      </c>
      <c r="Q37" s="2" t="n">
        <v>73</v>
      </c>
      <c r="R37" s="2" t="n">
        <v>0</v>
      </c>
      <c r="S37" s="2" t="n">
        <v>2</v>
      </c>
      <c r="T37" s="2" t="n">
        <v>45</v>
      </c>
      <c r="U37" s="2" t="n">
        <v>115</v>
      </c>
      <c r="V37" s="2" t="s">
        <v>5567</v>
      </c>
    </row>
    <row r="38" customFormat="false" ht="15" hidden="false" customHeight="false" outlineLevel="0" collapsed="false">
      <c r="A38" s="2" t="n">
        <v>20</v>
      </c>
      <c r="B38" s="2" t="s">
        <v>333</v>
      </c>
      <c r="C38" s="2" t="s">
        <v>339</v>
      </c>
      <c r="D38" s="2" t="s">
        <v>5562</v>
      </c>
      <c r="E38" s="2" t="s">
        <v>5657</v>
      </c>
      <c r="F38" s="2" t="s">
        <v>5655</v>
      </c>
      <c r="G38" s="2" t="s">
        <v>5565</v>
      </c>
      <c r="H38" s="2" t="s">
        <v>5658</v>
      </c>
      <c r="I38" s="2" t="n">
        <v>24</v>
      </c>
      <c r="J38" s="2" t="n">
        <v>9889</v>
      </c>
      <c r="K38" s="2" t="n">
        <v>31</v>
      </c>
      <c r="L38" s="2" t="n">
        <v>20</v>
      </c>
      <c r="M38" s="2" t="n">
        <v>4</v>
      </c>
      <c r="N38" s="2" t="n">
        <v>3</v>
      </c>
      <c r="O38" s="2" t="n">
        <v>4</v>
      </c>
      <c r="P38" s="2" t="n">
        <v>0</v>
      </c>
      <c r="Q38" s="2" t="n">
        <v>20</v>
      </c>
      <c r="R38" s="2" t="n">
        <v>1</v>
      </c>
      <c r="S38" s="2" t="n">
        <v>0</v>
      </c>
      <c r="T38" s="2" t="n">
        <v>10</v>
      </c>
      <c r="U38" s="2" t="n">
        <v>20</v>
      </c>
      <c r="V38" s="2" t="s">
        <v>5567</v>
      </c>
    </row>
    <row r="39" customFormat="false" ht="15" hidden="false" customHeight="false" outlineLevel="0" collapsed="false">
      <c r="A39" s="2" t="n">
        <v>20</v>
      </c>
      <c r="B39" s="2" t="s">
        <v>333</v>
      </c>
      <c r="C39" s="2" t="s">
        <v>339</v>
      </c>
      <c r="D39" s="2" t="s">
        <v>5562</v>
      </c>
      <c r="E39" s="2" t="s">
        <v>5659</v>
      </c>
      <c r="F39" s="2" t="s">
        <v>5655</v>
      </c>
      <c r="G39" s="2" t="s">
        <v>5565</v>
      </c>
      <c r="H39" s="2" t="s">
        <v>5660</v>
      </c>
      <c r="I39" s="2" t="n">
        <v>19</v>
      </c>
      <c r="J39" s="2" t="n">
        <v>7834</v>
      </c>
      <c r="K39" s="2" t="n">
        <v>58</v>
      </c>
      <c r="L39" s="2" t="n">
        <v>50</v>
      </c>
      <c r="M39" s="2" t="n">
        <v>3</v>
      </c>
      <c r="N39" s="2" t="n">
        <v>1</v>
      </c>
      <c r="O39" s="2" t="n">
        <v>2</v>
      </c>
      <c r="P39" s="2" t="n">
        <v>2</v>
      </c>
      <c r="Q39" s="2" t="n">
        <v>12</v>
      </c>
      <c r="R39" s="2" t="n">
        <v>2</v>
      </c>
      <c r="S39" s="2" t="n">
        <v>0</v>
      </c>
      <c r="T39" s="2" t="n">
        <v>44</v>
      </c>
      <c r="U39" s="2" t="n">
        <v>26</v>
      </c>
      <c r="V39" s="2" t="s">
        <v>5567</v>
      </c>
    </row>
    <row r="40" customFormat="false" ht="15" hidden="false" customHeight="false" outlineLevel="0" collapsed="false">
      <c r="A40" s="2" t="n">
        <v>20</v>
      </c>
      <c r="B40" s="2" t="s">
        <v>333</v>
      </c>
      <c r="C40" s="2" t="s">
        <v>339</v>
      </c>
      <c r="D40" s="2" t="s">
        <v>5562</v>
      </c>
      <c r="E40" s="2" t="s">
        <v>5661</v>
      </c>
      <c r="F40" s="2" t="s">
        <v>3742</v>
      </c>
      <c r="G40" s="2" t="s">
        <v>5565</v>
      </c>
      <c r="H40" s="2" t="s">
        <v>5662</v>
      </c>
      <c r="I40" s="2" t="n">
        <v>33</v>
      </c>
      <c r="J40" s="2" t="n">
        <v>16100</v>
      </c>
      <c r="K40" s="2" t="n">
        <v>98</v>
      </c>
      <c r="L40" s="2" t="n">
        <v>48</v>
      </c>
      <c r="M40" s="2" t="n">
        <v>12</v>
      </c>
      <c r="N40" s="2" t="n">
        <v>1</v>
      </c>
      <c r="O40" s="2" t="n">
        <v>37</v>
      </c>
      <c r="P40" s="2" t="n">
        <v>0</v>
      </c>
      <c r="Q40" s="2" t="n">
        <v>49</v>
      </c>
      <c r="R40" s="2" t="n">
        <v>14</v>
      </c>
      <c r="S40" s="2" t="n">
        <v>0</v>
      </c>
      <c r="T40" s="2" t="n">
        <v>35</v>
      </c>
      <c r="U40" s="2" t="n">
        <v>115</v>
      </c>
      <c r="V40" s="2" t="s">
        <v>5567</v>
      </c>
    </row>
    <row r="41" customFormat="false" ht="15" hidden="false" customHeight="false" outlineLevel="0" collapsed="false">
      <c r="A41" s="2" t="n">
        <v>20</v>
      </c>
      <c r="B41" s="2" t="s">
        <v>333</v>
      </c>
      <c r="C41" s="2" t="s">
        <v>339</v>
      </c>
      <c r="D41" s="2" t="s">
        <v>5562</v>
      </c>
      <c r="E41" s="2" t="s">
        <v>5663</v>
      </c>
      <c r="F41" s="2" t="s">
        <v>5664</v>
      </c>
      <c r="G41" s="2" t="s">
        <v>5565</v>
      </c>
      <c r="H41" s="2" t="s">
        <v>5665</v>
      </c>
      <c r="I41" s="2" t="n">
        <v>63</v>
      </c>
      <c r="J41" s="2" t="n">
        <v>36255</v>
      </c>
      <c r="K41" s="2" t="n">
        <v>207</v>
      </c>
      <c r="L41" s="2" t="n">
        <v>149</v>
      </c>
      <c r="M41" s="2" t="n">
        <v>20</v>
      </c>
      <c r="N41" s="2" t="n">
        <v>7</v>
      </c>
      <c r="O41" s="2" t="n">
        <v>30</v>
      </c>
      <c r="P41" s="2" t="n">
        <v>1</v>
      </c>
      <c r="Q41" s="2" t="n">
        <v>119</v>
      </c>
      <c r="R41" s="2" t="n">
        <v>6</v>
      </c>
      <c r="S41" s="2" t="n">
        <v>4</v>
      </c>
      <c r="T41" s="2" t="n">
        <v>78</v>
      </c>
      <c r="U41" s="2" t="n">
        <v>171</v>
      </c>
      <c r="V41" s="2" t="s">
        <v>5567</v>
      </c>
    </row>
    <row r="42" customFormat="false" ht="15" hidden="false" customHeight="false" outlineLevel="0" collapsed="false">
      <c r="A42" s="2" t="n">
        <v>20</v>
      </c>
      <c r="B42" s="2" t="s">
        <v>333</v>
      </c>
      <c r="C42" s="2" t="s">
        <v>339</v>
      </c>
      <c r="D42" s="2" t="s">
        <v>5562</v>
      </c>
      <c r="E42" s="2" t="s">
        <v>5666</v>
      </c>
      <c r="F42" s="2" t="s">
        <v>5664</v>
      </c>
      <c r="G42" s="2" t="s">
        <v>5565</v>
      </c>
      <c r="H42" s="2" t="s">
        <v>5667</v>
      </c>
      <c r="I42" s="2" t="n">
        <v>14</v>
      </c>
      <c r="J42" s="2" t="n">
        <v>5423</v>
      </c>
      <c r="K42" s="2" t="n">
        <v>15</v>
      </c>
      <c r="L42" s="2" t="n">
        <v>13</v>
      </c>
      <c r="M42" s="2" t="n">
        <v>0</v>
      </c>
      <c r="N42" s="2" t="n">
        <v>1</v>
      </c>
      <c r="O42" s="2" t="n">
        <v>1</v>
      </c>
      <c r="P42" s="2" t="n">
        <v>0</v>
      </c>
      <c r="Q42" s="2" t="n">
        <v>7</v>
      </c>
      <c r="R42" s="2" t="n">
        <v>5</v>
      </c>
      <c r="S42" s="2" t="n">
        <v>0</v>
      </c>
      <c r="T42" s="2" t="n">
        <v>3</v>
      </c>
      <c r="U42" s="2" t="n">
        <v>14</v>
      </c>
      <c r="V42" s="2" t="s">
        <v>5567</v>
      </c>
    </row>
    <row r="43" customFormat="false" ht="15" hidden="false" customHeight="false" outlineLevel="0" collapsed="false">
      <c r="A43" s="2" t="n">
        <v>20</v>
      </c>
      <c r="B43" s="2" t="s">
        <v>333</v>
      </c>
      <c r="C43" s="2" t="s">
        <v>339</v>
      </c>
      <c r="D43" s="2" t="s">
        <v>5562</v>
      </c>
      <c r="E43" s="2" t="s">
        <v>5668</v>
      </c>
      <c r="F43" s="2" t="s">
        <v>4552</v>
      </c>
      <c r="G43" s="2" t="s">
        <v>5565</v>
      </c>
      <c r="H43" s="2" t="s">
        <v>5669</v>
      </c>
      <c r="I43" s="2" t="n">
        <v>52</v>
      </c>
      <c r="J43" s="2" t="n">
        <v>26374</v>
      </c>
      <c r="K43" s="2" t="n">
        <v>104</v>
      </c>
      <c r="L43" s="2" t="n">
        <v>77</v>
      </c>
      <c r="M43" s="2" t="n">
        <v>11</v>
      </c>
      <c r="N43" s="2" t="n">
        <v>9</v>
      </c>
      <c r="O43" s="2" t="n">
        <v>7</v>
      </c>
      <c r="P43" s="2" t="n">
        <v>0</v>
      </c>
      <c r="Q43" s="2" t="n">
        <v>35</v>
      </c>
      <c r="R43" s="2" t="n">
        <v>12</v>
      </c>
      <c r="S43" s="2" t="n">
        <v>2</v>
      </c>
      <c r="T43" s="2" t="n">
        <v>55</v>
      </c>
      <c r="U43" s="2" t="n">
        <v>88</v>
      </c>
      <c r="V43" s="2" t="s">
        <v>5567</v>
      </c>
    </row>
    <row r="44" customFormat="false" ht="15" hidden="false" customHeight="false" outlineLevel="0" collapsed="false">
      <c r="A44" s="2" t="n">
        <v>20</v>
      </c>
      <c r="B44" s="2" t="s">
        <v>333</v>
      </c>
      <c r="C44" s="2" t="s">
        <v>339</v>
      </c>
      <c r="D44" s="2" t="s">
        <v>5562</v>
      </c>
      <c r="E44" s="2" t="s">
        <v>5670</v>
      </c>
      <c r="F44" s="2" t="s">
        <v>5671</v>
      </c>
      <c r="G44" s="2" t="s">
        <v>5565</v>
      </c>
      <c r="H44" s="2" t="s">
        <v>5672</v>
      </c>
      <c r="I44" s="2" t="n">
        <v>31</v>
      </c>
      <c r="J44" s="2" t="n">
        <v>16483</v>
      </c>
      <c r="K44" s="2" t="n">
        <v>117</v>
      </c>
      <c r="L44" s="2" t="n">
        <v>98</v>
      </c>
      <c r="M44" s="2" t="n">
        <v>4</v>
      </c>
      <c r="N44" s="2" t="n">
        <v>0</v>
      </c>
      <c r="O44" s="2" t="n">
        <v>15</v>
      </c>
      <c r="P44" s="2" t="n">
        <v>0</v>
      </c>
      <c r="Q44" s="2" t="n">
        <v>7</v>
      </c>
      <c r="R44" s="2" t="n">
        <v>14</v>
      </c>
      <c r="S44" s="2" t="n">
        <v>51</v>
      </c>
      <c r="T44" s="2" t="n">
        <v>45</v>
      </c>
      <c r="U44" s="2" t="n">
        <v>49</v>
      </c>
      <c r="V44" s="2" t="s">
        <v>5567</v>
      </c>
    </row>
    <row r="45" customFormat="false" ht="15" hidden="false" customHeight="false" outlineLevel="0" collapsed="false">
      <c r="A45" s="2" t="n">
        <v>20</v>
      </c>
      <c r="B45" s="2" t="s">
        <v>333</v>
      </c>
      <c r="C45" s="2" t="s">
        <v>339</v>
      </c>
      <c r="D45" s="2" t="s">
        <v>5562</v>
      </c>
      <c r="E45" s="2" t="s">
        <v>5673</v>
      </c>
      <c r="F45" s="2" t="s">
        <v>5671</v>
      </c>
      <c r="G45" s="2" t="s">
        <v>5565</v>
      </c>
      <c r="H45" s="2" t="s">
        <v>5674</v>
      </c>
      <c r="I45" s="2" t="n">
        <v>48</v>
      </c>
      <c r="J45" s="2" t="n">
        <v>22922</v>
      </c>
      <c r="K45" s="2" t="n">
        <v>91</v>
      </c>
      <c r="L45" s="2" t="n">
        <v>58</v>
      </c>
      <c r="M45" s="2" t="n">
        <v>18</v>
      </c>
      <c r="N45" s="2" t="n">
        <v>1</v>
      </c>
      <c r="O45" s="2" t="n">
        <v>13</v>
      </c>
      <c r="P45" s="2" t="n">
        <v>1</v>
      </c>
      <c r="Q45" s="2" t="n">
        <v>16</v>
      </c>
      <c r="R45" s="2" t="n">
        <v>27</v>
      </c>
      <c r="S45" s="2" t="n">
        <v>4</v>
      </c>
      <c r="T45" s="2" t="n">
        <v>44</v>
      </c>
      <c r="U45" s="2" t="n">
        <v>55</v>
      </c>
      <c r="V45" s="2" t="s">
        <v>5567</v>
      </c>
    </row>
    <row r="46" customFormat="false" ht="15" hidden="false" customHeight="false" outlineLevel="0" collapsed="false">
      <c r="A46" s="2" t="n">
        <v>20</v>
      </c>
      <c r="B46" s="2" t="s">
        <v>333</v>
      </c>
      <c r="C46" s="2" t="s">
        <v>339</v>
      </c>
      <c r="D46" s="2" t="s">
        <v>5562</v>
      </c>
      <c r="E46" s="2" t="s">
        <v>5675</v>
      </c>
      <c r="F46" s="2" t="s">
        <v>1189</v>
      </c>
      <c r="G46" s="2" t="s">
        <v>5565</v>
      </c>
      <c r="H46" s="2" t="s">
        <v>5676</v>
      </c>
      <c r="I46" s="2" t="n">
        <v>54</v>
      </c>
      <c r="J46" s="2" t="n">
        <v>12581</v>
      </c>
      <c r="K46" s="2" t="n">
        <v>73</v>
      </c>
      <c r="L46" s="2" t="n">
        <v>55</v>
      </c>
      <c r="M46" s="2" t="n">
        <v>4</v>
      </c>
      <c r="N46" s="2" t="n">
        <v>4</v>
      </c>
      <c r="O46" s="2" t="n">
        <v>10</v>
      </c>
      <c r="P46" s="2" t="n">
        <v>0</v>
      </c>
      <c r="Q46" s="2" t="n">
        <v>16</v>
      </c>
      <c r="R46" s="2" t="n">
        <v>0</v>
      </c>
      <c r="S46" s="2" t="n">
        <v>4</v>
      </c>
      <c r="T46" s="2" t="n">
        <v>53</v>
      </c>
      <c r="U46" s="2" t="n">
        <v>112</v>
      </c>
      <c r="V46" s="2" t="s">
        <v>5567</v>
      </c>
    </row>
    <row r="47" customFormat="false" ht="15" hidden="false" customHeight="false" outlineLevel="0" collapsed="false">
      <c r="A47" s="2" t="n">
        <v>20</v>
      </c>
      <c r="B47" s="2" t="s">
        <v>333</v>
      </c>
      <c r="C47" s="2" t="s">
        <v>339</v>
      </c>
      <c r="D47" s="2" t="s">
        <v>5562</v>
      </c>
      <c r="E47" s="2" t="s">
        <v>5677</v>
      </c>
      <c r="F47" s="2" t="s">
        <v>3090</v>
      </c>
      <c r="G47" s="2" t="s">
        <v>5565</v>
      </c>
      <c r="H47" s="2" t="s">
        <v>5678</v>
      </c>
      <c r="I47" s="2" t="n">
        <v>21</v>
      </c>
      <c r="J47" s="2" t="n">
        <v>9356</v>
      </c>
      <c r="K47" s="2" t="n">
        <v>52</v>
      </c>
      <c r="L47" s="2" t="n">
        <v>39</v>
      </c>
      <c r="M47" s="2" t="n">
        <v>6</v>
      </c>
      <c r="N47" s="2" t="n">
        <v>0</v>
      </c>
      <c r="O47" s="2" t="n">
        <v>6</v>
      </c>
      <c r="P47" s="2" t="n">
        <v>1</v>
      </c>
      <c r="Q47" s="2" t="n">
        <v>13</v>
      </c>
      <c r="R47" s="2" t="n">
        <v>2</v>
      </c>
      <c r="S47" s="2" t="n">
        <v>8</v>
      </c>
      <c r="T47" s="2" t="n">
        <v>29</v>
      </c>
      <c r="U47" s="2" t="n">
        <v>32</v>
      </c>
      <c r="V47" s="2" t="s">
        <v>5567</v>
      </c>
    </row>
    <row r="48" customFormat="false" ht="15" hidden="false" customHeight="false" outlineLevel="0" collapsed="false">
      <c r="A48" s="2" t="n">
        <v>20</v>
      </c>
      <c r="B48" s="2" t="s">
        <v>333</v>
      </c>
      <c r="C48" s="2" t="s">
        <v>339</v>
      </c>
      <c r="D48" s="2" t="s">
        <v>5562</v>
      </c>
      <c r="E48" s="2" t="s">
        <v>5679</v>
      </c>
      <c r="F48" s="2" t="s">
        <v>3048</v>
      </c>
      <c r="G48" s="2" t="s">
        <v>5565</v>
      </c>
      <c r="H48" s="2" t="s">
        <v>5680</v>
      </c>
      <c r="I48" s="2" t="n">
        <v>13</v>
      </c>
      <c r="J48" s="2" t="n">
        <v>5337</v>
      </c>
      <c r="K48" s="2" t="n">
        <v>37</v>
      </c>
      <c r="L48" s="2" t="n">
        <v>30</v>
      </c>
      <c r="M48" s="2" t="n">
        <v>0</v>
      </c>
      <c r="N48" s="2" t="n">
        <v>4</v>
      </c>
      <c r="O48" s="2" t="n">
        <v>3</v>
      </c>
      <c r="P48" s="2" t="n">
        <v>0</v>
      </c>
      <c r="Q48" s="2" t="n">
        <v>16</v>
      </c>
      <c r="R48" s="2" t="n">
        <v>6</v>
      </c>
      <c r="S48" s="2" t="n">
        <v>2</v>
      </c>
      <c r="T48" s="2" t="n">
        <v>13</v>
      </c>
      <c r="U48" s="2" t="n">
        <v>10</v>
      </c>
      <c r="V48" s="2" t="s">
        <v>5567</v>
      </c>
    </row>
    <row r="49" customFormat="false" ht="15" hidden="false" customHeight="false" outlineLevel="0" collapsed="false">
      <c r="A49" s="2" t="n">
        <v>20</v>
      </c>
      <c r="B49" s="2" t="s">
        <v>333</v>
      </c>
      <c r="C49" s="2" t="s">
        <v>339</v>
      </c>
      <c r="D49" s="2" t="s">
        <v>5562</v>
      </c>
      <c r="E49" s="2" t="s">
        <v>5681</v>
      </c>
      <c r="F49" s="2" t="s">
        <v>5682</v>
      </c>
      <c r="G49" s="2" t="s">
        <v>5565</v>
      </c>
      <c r="H49" s="2" t="s">
        <v>5683</v>
      </c>
      <c r="I49" s="2" t="n">
        <v>27</v>
      </c>
      <c r="J49" s="2" t="n">
        <v>12421</v>
      </c>
      <c r="K49" s="2" t="n">
        <v>34</v>
      </c>
      <c r="L49" s="2" t="n">
        <v>31</v>
      </c>
      <c r="M49" s="2" t="n">
        <v>1</v>
      </c>
      <c r="N49" s="2" t="n">
        <v>0</v>
      </c>
      <c r="O49" s="2" t="n">
        <v>1</v>
      </c>
      <c r="P49" s="2" t="n">
        <v>1</v>
      </c>
      <c r="Q49" s="2" t="n">
        <v>20</v>
      </c>
      <c r="R49" s="2" t="n">
        <v>0</v>
      </c>
      <c r="S49" s="2" t="n">
        <v>0</v>
      </c>
      <c r="T49" s="2" t="n">
        <v>14</v>
      </c>
      <c r="U49" s="2" t="n">
        <v>103</v>
      </c>
      <c r="V49" s="2" t="s">
        <v>5567</v>
      </c>
    </row>
    <row r="50" customFormat="false" ht="15" hidden="false" customHeight="false" outlineLevel="0" collapsed="false">
      <c r="A50" s="2" t="n">
        <v>21</v>
      </c>
      <c r="B50" s="2" t="s">
        <v>346</v>
      </c>
      <c r="C50" s="2" t="s">
        <v>350</v>
      </c>
      <c r="D50" s="2" t="s">
        <v>5562</v>
      </c>
      <c r="E50" s="2" t="s">
        <v>5684</v>
      </c>
      <c r="F50" s="2" t="s">
        <v>5685</v>
      </c>
      <c r="G50" s="2" t="s">
        <v>5565</v>
      </c>
      <c r="H50" s="2" t="s">
        <v>5686</v>
      </c>
      <c r="I50" s="2" t="n">
        <v>17</v>
      </c>
      <c r="J50" s="2" t="n">
        <v>7848</v>
      </c>
      <c r="K50" s="2" t="n">
        <v>41</v>
      </c>
      <c r="L50" s="2" t="n">
        <v>38</v>
      </c>
      <c r="M50" s="2" t="n">
        <v>1</v>
      </c>
      <c r="N50" s="2" t="n">
        <v>1</v>
      </c>
      <c r="O50" s="2" t="n">
        <v>1</v>
      </c>
      <c r="P50" s="2" t="n">
        <v>0</v>
      </c>
      <c r="Q50" s="2" t="n">
        <v>7</v>
      </c>
      <c r="R50" s="2" t="n">
        <v>7</v>
      </c>
      <c r="S50" s="2" t="n">
        <v>8</v>
      </c>
      <c r="T50" s="2" t="n">
        <v>19</v>
      </c>
      <c r="U50" s="2" t="n">
        <v>87</v>
      </c>
      <c r="V50" s="2" t="s">
        <v>5567</v>
      </c>
    </row>
    <row r="51" customFormat="false" ht="15" hidden="false" customHeight="false" outlineLevel="0" collapsed="false">
      <c r="A51" s="2" t="n">
        <v>21</v>
      </c>
      <c r="B51" s="2" t="s">
        <v>346</v>
      </c>
      <c r="C51" s="2" t="s">
        <v>350</v>
      </c>
      <c r="D51" s="2" t="s">
        <v>5562</v>
      </c>
      <c r="E51" s="2" t="s">
        <v>5687</v>
      </c>
      <c r="F51" s="2" t="s">
        <v>881</v>
      </c>
      <c r="G51" s="2" t="s">
        <v>5565</v>
      </c>
      <c r="H51" s="2" t="s">
        <v>5688</v>
      </c>
      <c r="I51" s="2" t="n">
        <v>33</v>
      </c>
      <c r="J51" s="2" t="n">
        <v>17682</v>
      </c>
      <c r="K51" s="2" t="n">
        <v>64</v>
      </c>
      <c r="L51" s="2" t="n">
        <v>42</v>
      </c>
      <c r="M51" s="2" t="n">
        <v>9</v>
      </c>
      <c r="N51" s="2" t="n">
        <v>7</v>
      </c>
      <c r="O51" s="2" t="n">
        <v>5</v>
      </c>
      <c r="P51" s="2" t="n">
        <v>1</v>
      </c>
      <c r="Q51" s="2" t="n">
        <v>25</v>
      </c>
      <c r="R51" s="2" t="n">
        <v>18</v>
      </c>
      <c r="S51" s="2" t="n">
        <v>2</v>
      </c>
      <c r="T51" s="2" t="n">
        <v>19</v>
      </c>
      <c r="U51" s="2" t="n">
        <v>97</v>
      </c>
      <c r="V51" s="2" t="s">
        <v>5567</v>
      </c>
    </row>
    <row r="52" customFormat="false" ht="15" hidden="false" customHeight="false" outlineLevel="0" collapsed="false">
      <c r="A52" s="2" t="n">
        <v>23</v>
      </c>
      <c r="B52" s="2" t="s">
        <v>369</v>
      </c>
      <c r="C52" s="2" t="s">
        <v>374</v>
      </c>
      <c r="D52" s="2" t="s">
        <v>5689</v>
      </c>
      <c r="E52" s="2" t="s">
        <v>5690</v>
      </c>
      <c r="F52" s="2"/>
      <c r="G52" s="2" t="s">
        <v>5565</v>
      </c>
      <c r="H52" s="2" t="s">
        <v>5691</v>
      </c>
      <c r="I52" s="2" t="n">
        <v>135</v>
      </c>
      <c r="J52" s="2" t="n">
        <v>49636</v>
      </c>
      <c r="K52" s="2" t="n">
        <v>73</v>
      </c>
      <c r="L52" s="2" t="n">
        <v>33</v>
      </c>
      <c r="M52" s="2" t="n">
        <v>8</v>
      </c>
      <c r="N52" s="2" t="n">
        <v>1</v>
      </c>
      <c r="O52" s="2" t="n">
        <v>30</v>
      </c>
      <c r="P52" s="2" t="n">
        <v>1</v>
      </c>
      <c r="Q52" s="2" t="n">
        <v>22</v>
      </c>
      <c r="R52" s="2" t="n">
        <v>10</v>
      </c>
      <c r="S52" s="2" t="n">
        <v>3</v>
      </c>
      <c r="T52" s="2" t="n">
        <v>38</v>
      </c>
      <c r="U52" s="2" t="n">
        <v>328</v>
      </c>
      <c r="V52" s="2" t="s">
        <v>5692</v>
      </c>
    </row>
    <row r="53" customFormat="false" ht="15" hidden="false" customHeight="false" outlineLevel="0" collapsed="false">
      <c r="A53" s="2" t="n">
        <v>23</v>
      </c>
      <c r="B53" s="2" t="s">
        <v>369</v>
      </c>
      <c r="C53" s="2" t="s">
        <v>374</v>
      </c>
      <c r="D53" s="2" t="s">
        <v>5689</v>
      </c>
      <c r="E53" s="2" t="s">
        <v>5693</v>
      </c>
      <c r="F53" s="2"/>
      <c r="G53" s="2" t="s">
        <v>5565</v>
      </c>
      <c r="H53" s="2" t="s">
        <v>5694</v>
      </c>
      <c r="I53" s="2" t="n">
        <v>66</v>
      </c>
      <c r="J53" s="2" t="n">
        <v>21498</v>
      </c>
      <c r="K53" s="2" t="n">
        <v>49</v>
      </c>
      <c r="L53" s="2" t="n">
        <v>37</v>
      </c>
      <c r="M53" s="2" t="n">
        <v>0</v>
      </c>
      <c r="N53" s="2" t="n">
        <v>0</v>
      </c>
      <c r="O53" s="2" t="n">
        <v>12</v>
      </c>
      <c r="P53" s="2" t="n">
        <v>0</v>
      </c>
      <c r="Q53" s="2" t="n">
        <v>18</v>
      </c>
      <c r="R53" s="2" t="n">
        <v>5</v>
      </c>
      <c r="S53" s="2" t="n">
        <v>12</v>
      </c>
      <c r="T53" s="2" t="n">
        <v>14</v>
      </c>
      <c r="U53" s="2" t="n">
        <v>162</v>
      </c>
      <c r="V53" s="2" t="s">
        <v>5692</v>
      </c>
    </row>
    <row r="54" customFormat="false" ht="15" hidden="false" customHeight="false" outlineLevel="0" collapsed="false">
      <c r="A54" s="2" t="n">
        <v>23</v>
      </c>
      <c r="B54" s="2" t="s">
        <v>369</v>
      </c>
      <c r="C54" s="2" t="s">
        <v>374</v>
      </c>
      <c r="D54" s="2" t="s">
        <v>5689</v>
      </c>
      <c r="E54" s="2" t="s">
        <v>5695</v>
      </c>
      <c r="F54" s="2"/>
      <c r="G54" s="2" t="s">
        <v>5565</v>
      </c>
      <c r="H54" s="2" t="s">
        <v>5696</v>
      </c>
      <c r="I54" s="2" t="n">
        <v>116</v>
      </c>
      <c r="J54" s="2" t="n">
        <v>55442</v>
      </c>
      <c r="K54" s="2" t="n">
        <v>102</v>
      </c>
      <c r="L54" s="2" t="n">
        <v>35</v>
      </c>
      <c r="M54" s="2" t="n">
        <v>21</v>
      </c>
      <c r="N54" s="2" t="n">
        <v>1</v>
      </c>
      <c r="O54" s="2" t="n">
        <v>45</v>
      </c>
      <c r="P54" s="2" t="n">
        <v>0</v>
      </c>
      <c r="Q54" s="2" t="n">
        <v>9</v>
      </c>
      <c r="R54" s="2" t="n">
        <v>3</v>
      </c>
      <c r="S54" s="2" t="n">
        <v>31</v>
      </c>
      <c r="T54" s="2" t="n">
        <v>59</v>
      </c>
      <c r="U54" s="2" t="n">
        <v>483</v>
      </c>
      <c r="V54" s="2" t="s">
        <v>5692</v>
      </c>
    </row>
    <row r="55" customFormat="false" ht="15" hidden="false" customHeight="false" outlineLevel="0" collapsed="false">
      <c r="A55" s="2" t="n">
        <v>23</v>
      </c>
      <c r="B55" s="2" t="s">
        <v>369</v>
      </c>
      <c r="C55" s="2" t="s">
        <v>374</v>
      </c>
      <c r="D55" s="2" t="s">
        <v>5689</v>
      </c>
      <c r="E55" s="2" t="s">
        <v>5697</v>
      </c>
      <c r="F55" s="2" t="s">
        <v>5698</v>
      </c>
      <c r="G55" s="2" t="s">
        <v>5565</v>
      </c>
      <c r="H55" s="2" t="s">
        <v>5699</v>
      </c>
      <c r="I55" s="2" t="n">
        <v>83</v>
      </c>
      <c r="J55" s="2" t="n">
        <v>32884</v>
      </c>
      <c r="K55" s="2" t="n">
        <v>32</v>
      </c>
      <c r="L55" s="2" t="n">
        <v>16</v>
      </c>
      <c r="M55" s="2" t="n">
        <v>6</v>
      </c>
      <c r="N55" s="2" t="n">
        <v>1</v>
      </c>
      <c r="O55" s="2" t="n">
        <v>9</v>
      </c>
      <c r="P55" s="2" t="n">
        <v>0</v>
      </c>
      <c r="Q55" s="2" t="n">
        <v>6</v>
      </c>
      <c r="R55" s="2" t="n">
        <v>7</v>
      </c>
      <c r="S55" s="2" t="n">
        <v>5</v>
      </c>
      <c r="T55" s="2" t="n">
        <v>14</v>
      </c>
      <c r="U55" s="2" t="n">
        <v>323</v>
      </c>
      <c r="V55" s="2" t="s">
        <v>5692</v>
      </c>
    </row>
    <row r="56" customFormat="false" ht="15" hidden="false" customHeight="false" outlineLevel="0" collapsed="false">
      <c r="A56" s="2" t="n">
        <v>23</v>
      </c>
      <c r="B56" s="2" t="s">
        <v>369</v>
      </c>
      <c r="C56" s="2" t="s">
        <v>374</v>
      </c>
      <c r="D56" s="2" t="s">
        <v>5689</v>
      </c>
      <c r="E56" s="2" t="s">
        <v>5700</v>
      </c>
      <c r="F56" s="2" t="s">
        <v>5701</v>
      </c>
      <c r="G56" s="2" t="s">
        <v>5565</v>
      </c>
      <c r="H56" s="2" t="s">
        <v>5702</v>
      </c>
      <c r="I56" s="2" t="n">
        <v>10</v>
      </c>
      <c r="J56" s="2" t="n">
        <v>2148</v>
      </c>
      <c r="K56" s="2" t="n">
        <v>5</v>
      </c>
      <c r="L56" s="2" t="n">
        <v>5</v>
      </c>
      <c r="M56" s="2" t="n">
        <v>0</v>
      </c>
      <c r="N56" s="2" t="n">
        <v>0</v>
      </c>
      <c r="O56" s="2" t="n">
        <v>0</v>
      </c>
      <c r="P56" s="2" t="n">
        <v>0</v>
      </c>
      <c r="Q56" s="2" t="n">
        <v>1</v>
      </c>
      <c r="R56" s="2" t="n">
        <v>2</v>
      </c>
      <c r="S56" s="2" t="n">
        <v>0</v>
      </c>
      <c r="T56" s="2" t="n">
        <v>2</v>
      </c>
      <c r="U56" s="2" t="n">
        <v>6</v>
      </c>
      <c r="V56" s="2" t="s">
        <v>5692</v>
      </c>
    </row>
    <row r="57" customFormat="false" ht="15" hidden="false" customHeight="false" outlineLevel="0" collapsed="false">
      <c r="A57" s="2" t="n">
        <v>23</v>
      </c>
      <c r="B57" s="2" t="s">
        <v>369</v>
      </c>
      <c r="C57" s="2" t="s">
        <v>374</v>
      </c>
      <c r="D57" s="2" t="s">
        <v>5689</v>
      </c>
      <c r="E57" s="2" t="s">
        <v>5703</v>
      </c>
      <c r="F57" s="2" t="s">
        <v>5704</v>
      </c>
      <c r="G57" s="2" t="s">
        <v>5565</v>
      </c>
      <c r="H57" s="2" t="s">
        <v>5705</v>
      </c>
      <c r="I57" s="2" t="n">
        <v>7</v>
      </c>
      <c r="J57" s="2" t="n">
        <v>1727</v>
      </c>
      <c r="K57" s="2" t="n">
        <v>4</v>
      </c>
      <c r="L57" s="2" t="n">
        <v>3</v>
      </c>
      <c r="M57" s="2" t="n">
        <v>0</v>
      </c>
      <c r="N57" s="2" t="n">
        <v>0</v>
      </c>
      <c r="O57" s="2" t="n">
        <v>1</v>
      </c>
      <c r="P57" s="2" t="n">
        <v>0</v>
      </c>
      <c r="Q57" s="2" t="n">
        <v>1</v>
      </c>
      <c r="R57" s="2" t="n">
        <v>3</v>
      </c>
      <c r="S57" s="2" t="n">
        <v>0</v>
      </c>
      <c r="T57" s="2" t="n">
        <v>0</v>
      </c>
      <c r="U57" s="2" t="n">
        <v>2</v>
      </c>
      <c r="V57" s="2" t="s">
        <v>5692</v>
      </c>
    </row>
    <row r="58" customFormat="false" ht="15" hidden="false" customHeight="false" outlineLevel="0" collapsed="false">
      <c r="A58" s="2" t="n">
        <v>23</v>
      </c>
      <c r="B58" s="2" t="s">
        <v>369</v>
      </c>
      <c r="C58" s="2" t="s">
        <v>374</v>
      </c>
      <c r="D58" s="2" t="s">
        <v>5689</v>
      </c>
      <c r="E58" s="2" t="s">
        <v>5706</v>
      </c>
      <c r="F58" s="2" t="s">
        <v>5707</v>
      </c>
      <c r="G58" s="2" t="s">
        <v>5565</v>
      </c>
      <c r="H58" s="2" t="s">
        <v>5708</v>
      </c>
      <c r="I58" s="2" t="n">
        <v>141</v>
      </c>
      <c r="J58" s="2" t="n">
        <v>49185</v>
      </c>
      <c r="K58" s="2" t="n">
        <v>87</v>
      </c>
      <c r="L58" s="2" t="n">
        <v>45</v>
      </c>
      <c r="M58" s="2" t="n">
        <v>9</v>
      </c>
      <c r="N58" s="2" t="n">
        <v>1</v>
      </c>
      <c r="O58" s="2" t="n">
        <v>29</v>
      </c>
      <c r="P58" s="2" t="n">
        <v>3</v>
      </c>
      <c r="Q58" s="2" t="n">
        <v>25</v>
      </c>
      <c r="R58" s="2" t="n">
        <v>11</v>
      </c>
      <c r="S58" s="2" t="n">
        <v>12</v>
      </c>
      <c r="T58" s="2" t="n">
        <v>39</v>
      </c>
      <c r="U58" s="2" t="n">
        <v>372</v>
      </c>
      <c r="V58" s="2" t="s">
        <v>5692</v>
      </c>
    </row>
    <row r="59" customFormat="false" ht="15" hidden="false" customHeight="false" outlineLevel="0" collapsed="false">
      <c r="A59" s="2" t="n">
        <v>23</v>
      </c>
      <c r="B59" s="2" t="s">
        <v>369</v>
      </c>
      <c r="C59" s="2" t="s">
        <v>374</v>
      </c>
      <c r="D59" s="2" t="s">
        <v>5689</v>
      </c>
      <c r="E59" s="2" t="s">
        <v>5709</v>
      </c>
      <c r="F59" s="2" t="s">
        <v>5710</v>
      </c>
      <c r="G59" s="2" t="s">
        <v>5565</v>
      </c>
      <c r="H59" s="2" t="s">
        <v>5711</v>
      </c>
      <c r="I59" s="2" t="n">
        <v>6</v>
      </c>
      <c r="J59" s="2" t="n">
        <v>992</v>
      </c>
      <c r="K59" s="2" t="n">
        <v>5</v>
      </c>
      <c r="L59" s="2" t="n">
        <v>5</v>
      </c>
      <c r="M59" s="2" t="n">
        <v>0</v>
      </c>
      <c r="N59" s="2" t="n">
        <v>0</v>
      </c>
      <c r="O59" s="2" t="n">
        <v>0</v>
      </c>
      <c r="P59" s="2" t="n">
        <v>0</v>
      </c>
      <c r="Q59" s="2" t="n">
        <v>2</v>
      </c>
      <c r="R59" s="2" t="n">
        <v>2</v>
      </c>
      <c r="S59" s="2" t="n">
        <v>0</v>
      </c>
      <c r="T59" s="2" t="n">
        <v>1</v>
      </c>
      <c r="U59" s="2" t="n">
        <v>13</v>
      </c>
      <c r="V59" s="2" t="s">
        <v>5692</v>
      </c>
    </row>
    <row r="60" customFormat="false" ht="15" hidden="false" customHeight="false" outlineLevel="0" collapsed="false">
      <c r="A60" s="2" t="n">
        <v>23</v>
      </c>
      <c r="B60" s="2" t="s">
        <v>369</v>
      </c>
      <c r="C60" s="2" t="s">
        <v>374</v>
      </c>
      <c r="D60" s="2" t="s">
        <v>5689</v>
      </c>
      <c r="E60" s="2" t="s">
        <v>5712</v>
      </c>
      <c r="F60" s="2" t="s">
        <v>5713</v>
      </c>
      <c r="G60" s="2" t="s">
        <v>5565</v>
      </c>
      <c r="H60" s="2" t="s">
        <v>5714</v>
      </c>
      <c r="I60" s="2" t="n">
        <v>24</v>
      </c>
      <c r="J60" s="2" t="n">
        <v>5780</v>
      </c>
      <c r="K60" s="2" t="n">
        <v>5</v>
      </c>
      <c r="L60" s="2" t="n">
        <v>5</v>
      </c>
      <c r="M60" s="2" t="n">
        <v>0</v>
      </c>
      <c r="N60" s="2" t="n">
        <v>0</v>
      </c>
      <c r="O60" s="2" t="n">
        <v>0</v>
      </c>
      <c r="P60" s="2" t="n">
        <v>0</v>
      </c>
      <c r="Q60" s="2" t="n">
        <v>0</v>
      </c>
      <c r="R60" s="2" t="n">
        <v>2</v>
      </c>
      <c r="S60" s="2" t="n">
        <v>2</v>
      </c>
      <c r="T60" s="2" t="n">
        <v>1</v>
      </c>
      <c r="U60" s="2" t="n">
        <v>9</v>
      </c>
      <c r="V60" s="2" t="s">
        <v>5692</v>
      </c>
    </row>
    <row r="61" customFormat="false" ht="15" hidden="false" customHeight="false" outlineLevel="0" collapsed="false">
      <c r="A61" s="2" t="n">
        <v>23</v>
      </c>
      <c r="B61" s="2" t="s">
        <v>369</v>
      </c>
      <c r="C61" s="2" t="s">
        <v>374</v>
      </c>
      <c r="D61" s="2" t="s">
        <v>5689</v>
      </c>
      <c r="E61" s="2" t="s">
        <v>5715</v>
      </c>
      <c r="F61" s="2" t="s">
        <v>5716</v>
      </c>
      <c r="G61" s="2" t="s">
        <v>5565</v>
      </c>
      <c r="H61" s="2" t="s">
        <v>5717</v>
      </c>
      <c r="I61" s="2" t="n">
        <v>105</v>
      </c>
      <c r="J61" s="2" t="n">
        <v>37081</v>
      </c>
      <c r="K61" s="2" t="n">
        <v>57</v>
      </c>
      <c r="L61" s="2" t="n">
        <v>17</v>
      </c>
      <c r="M61" s="2" t="n">
        <v>11</v>
      </c>
      <c r="N61" s="2" t="n">
        <v>2</v>
      </c>
      <c r="O61" s="2" t="n">
        <v>27</v>
      </c>
      <c r="P61" s="2" t="n">
        <v>0</v>
      </c>
      <c r="Q61" s="2" t="n">
        <v>15</v>
      </c>
      <c r="R61" s="2" t="n">
        <v>5</v>
      </c>
      <c r="S61" s="2" t="n">
        <v>7</v>
      </c>
      <c r="T61" s="2" t="n">
        <v>30</v>
      </c>
      <c r="U61" s="2" t="n">
        <v>342</v>
      </c>
      <c r="V61" s="2" t="s">
        <v>5692</v>
      </c>
    </row>
    <row r="62" customFormat="false" ht="15" hidden="false" customHeight="false" outlineLevel="0" collapsed="false">
      <c r="A62" s="2" t="n">
        <v>23</v>
      </c>
      <c r="B62" s="2" t="s">
        <v>369</v>
      </c>
      <c r="C62" s="2" t="s">
        <v>374</v>
      </c>
      <c r="D62" s="2" t="s">
        <v>5689</v>
      </c>
      <c r="E62" s="2" t="s">
        <v>5718</v>
      </c>
      <c r="F62" s="2" t="s">
        <v>5719</v>
      </c>
      <c r="G62" s="2" t="s">
        <v>5565</v>
      </c>
      <c r="H62" s="2" t="s">
        <v>5720</v>
      </c>
      <c r="I62" s="2" t="n">
        <v>48</v>
      </c>
      <c r="J62" s="2" t="n">
        <v>10064</v>
      </c>
      <c r="K62" s="2" t="n">
        <v>7</v>
      </c>
      <c r="L62" s="2" t="n">
        <v>7</v>
      </c>
      <c r="M62" s="2" t="n">
        <v>0</v>
      </c>
      <c r="N62" s="2" t="n">
        <v>0</v>
      </c>
      <c r="O62" s="2" t="n">
        <v>0</v>
      </c>
      <c r="P62" s="2" t="n">
        <v>0</v>
      </c>
      <c r="Q62" s="2" t="n">
        <v>0</v>
      </c>
      <c r="R62" s="2" t="n">
        <v>2</v>
      </c>
      <c r="S62" s="2" t="n">
        <v>4</v>
      </c>
      <c r="T62" s="2" t="n">
        <v>1</v>
      </c>
      <c r="U62" s="2" t="n">
        <v>8</v>
      </c>
      <c r="V62" s="2" t="s">
        <v>5692</v>
      </c>
    </row>
    <row r="63" customFormat="false" ht="15" hidden="false" customHeight="false" outlineLevel="0" collapsed="false">
      <c r="A63" s="2" t="n">
        <v>23</v>
      </c>
      <c r="B63" s="2" t="s">
        <v>369</v>
      </c>
      <c r="C63" s="2" t="s">
        <v>374</v>
      </c>
      <c r="D63" s="2" t="s">
        <v>5562</v>
      </c>
      <c r="E63" s="2" t="s">
        <v>5721</v>
      </c>
      <c r="F63" s="2" t="s">
        <v>779</v>
      </c>
      <c r="G63" s="2" t="s">
        <v>5565</v>
      </c>
      <c r="H63" s="2" t="s">
        <v>5722</v>
      </c>
      <c r="I63" s="2" t="n">
        <v>26</v>
      </c>
      <c r="J63" s="2" t="n">
        <v>12410</v>
      </c>
      <c r="K63" s="2" t="n">
        <v>80</v>
      </c>
      <c r="L63" s="2" t="n">
        <v>63</v>
      </c>
      <c r="M63" s="2" t="n">
        <v>10</v>
      </c>
      <c r="N63" s="2" t="n">
        <v>3</v>
      </c>
      <c r="O63" s="2" t="n">
        <v>4</v>
      </c>
      <c r="P63" s="2" t="n">
        <v>0</v>
      </c>
      <c r="Q63" s="2" t="n">
        <v>51</v>
      </c>
      <c r="R63" s="2" t="n">
        <v>4</v>
      </c>
      <c r="S63" s="2" t="n">
        <v>0</v>
      </c>
      <c r="T63" s="2" t="n">
        <v>25</v>
      </c>
      <c r="U63" s="2" t="n">
        <v>51</v>
      </c>
      <c r="V63" s="2" t="s">
        <v>5723</v>
      </c>
    </row>
    <row r="64" customFormat="false" ht="15" hidden="false" customHeight="false" outlineLevel="0" collapsed="false">
      <c r="A64" s="2" t="n">
        <v>55</v>
      </c>
      <c r="B64" s="2" t="s">
        <v>733</v>
      </c>
      <c r="C64" s="2" t="s">
        <v>738</v>
      </c>
      <c r="D64" s="2" t="s">
        <v>5724</v>
      </c>
      <c r="E64" s="2" t="s">
        <v>5725</v>
      </c>
      <c r="F64" s="2" t="s">
        <v>5726</v>
      </c>
      <c r="G64" s="2" t="s">
        <v>5565</v>
      </c>
      <c r="H64" s="2" t="s">
        <v>5727</v>
      </c>
      <c r="I64" s="2" t="n">
        <v>26</v>
      </c>
      <c r="J64" s="2" t="n">
        <v>5059</v>
      </c>
      <c r="K64" s="2" t="n">
        <v>10</v>
      </c>
      <c r="L64" s="2" t="n">
        <v>9</v>
      </c>
      <c r="M64" s="2" t="n">
        <v>0</v>
      </c>
      <c r="N64" s="2" t="n">
        <v>0</v>
      </c>
      <c r="O64" s="2" t="n">
        <v>1</v>
      </c>
      <c r="P64" s="2" t="n">
        <v>0</v>
      </c>
      <c r="Q64" s="2" t="n">
        <v>4</v>
      </c>
      <c r="R64" s="2" t="n">
        <v>3</v>
      </c>
      <c r="S64" s="2" t="n">
        <v>1</v>
      </c>
      <c r="T64" s="2" t="n">
        <v>2</v>
      </c>
      <c r="U64" s="2" t="n">
        <v>24</v>
      </c>
      <c r="V64" s="2" t="s">
        <v>5692</v>
      </c>
    </row>
    <row r="65" customFormat="false" ht="15" hidden="false" customHeight="false" outlineLevel="0" collapsed="false">
      <c r="A65" s="2" t="n">
        <v>56</v>
      </c>
      <c r="B65" s="2" t="s">
        <v>744</v>
      </c>
      <c r="C65" s="2" t="s">
        <v>749</v>
      </c>
      <c r="D65" s="2" t="s">
        <v>5689</v>
      </c>
      <c r="E65" s="2" t="s">
        <v>5728</v>
      </c>
      <c r="F65" s="2" t="s">
        <v>5729</v>
      </c>
      <c r="G65" s="2" t="s">
        <v>5565</v>
      </c>
      <c r="H65" s="2" t="s">
        <v>5730</v>
      </c>
      <c r="I65" s="2" t="n">
        <v>48</v>
      </c>
      <c r="J65" s="2" t="n">
        <v>15008</v>
      </c>
      <c r="K65" s="2" t="n">
        <v>21</v>
      </c>
      <c r="L65" s="2" t="n">
        <v>8</v>
      </c>
      <c r="M65" s="2" t="n">
        <v>3</v>
      </c>
      <c r="N65" s="2" t="n">
        <v>1</v>
      </c>
      <c r="O65" s="2" t="n">
        <v>9</v>
      </c>
      <c r="P65" s="2" t="n">
        <v>0</v>
      </c>
      <c r="Q65" s="2" t="n">
        <v>6</v>
      </c>
      <c r="R65" s="2" t="n">
        <v>2</v>
      </c>
      <c r="S65" s="2" t="n">
        <v>0</v>
      </c>
      <c r="T65" s="2" t="n">
        <v>13</v>
      </c>
      <c r="U65" s="2" t="n">
        <v>98</v>
      </c>
      <c r="V65" s="2" t="s">
        <v>5692</v>
      </c>
    </row>
    <row r="66" customFormat="false" ht="15" hidden="false" customHeight="false" outlineLevel="0" collapsed="false">
      <c r="A66" s="2" t="n">
        <v>56</v>
      </c>
      <c r="B66" s="2" t="s">
        <v>744</v>
      </c>
      <c r="C66" s="2" t="s">
        <v>749</v>
      </c>
      <c r="D66" s="2" t="s">
        <v>5689</v>
      </c>
      <c r="E66" s="2" t="s">
        <v>5731</v>
      </c>
      <c r="F66" s="2" t="s">
        <v>5732</v>
      </c>
      <c r="G66" s="2" t="s">
        <v>5565</v>
      </c>
      <c r="H66" s="2" t="s">
        <v>5733</v>
      </c>
      <c r="I66" s="2" t="n">
        <v>44</v>
      </c>
      <c r="J66" s="2" t="n">
        <v>14025</v>
      </c>
      <c r="K66" s="2" t="n">
        <v>28</v>
      </c>
      <c r="L66" s="2" t="n">
        <v>7</v>
      </c>
      <c r="M66" s="2" t="n">
        <v>1</v>
      </c>
      <c r="N66" s="2" t="n">
        <v>0</v>
      </c>
      <c r="O66" s="2" t="n">
        <v>20</v>
      </c>
      <c r="P66" s="2" t="n">
        <v>0</v>
      </c>
      <c r="Q66" s="2" t="n">
        <v>9</v>
      </c>
      <c r="R66" s="2" t="n">
        <v>8</v>
      </c>
      <c r="S66" s="2" t="n">
        <v>2</v>
      </c>
      <c r="T66" s="2" t="n">
        <v>9</v>
      </c>
      <c r="U66" s="2" t="n">
        <v>78</v>
      </c>
      <c r="V66" s="2" t="s">
        <v>5692</v>
      </c>
    </row>
    <row r="67" customFormat="false" ht="15" hidden="false" customHeight="false" outlineLevel="0" collapsed="false">
      <c r="A67" s="2" t="n">
        <v>56</v>
      </c>
      <c r="B67" s="2" t="s">
        <v>744</v>
      </c>
      <c r="C67" s="2" t="s">
        <v>749</v>
      </c>
      <c r="D67" s="2" t="s">
        <v>5689</v>
      </c>
      <c r="E67" s="2" t="s">
        <v>5734</v>
      </c>
      <c r="F67" s="2" t="s">
        <v>5735</v>
      </c>
      <c r="G67" s="2" t="s">
        <v>5565</v>
      </c>
      <c r="H67" s="2" t="s">
        <v>5736</v>
      </c>
      <c r="I67" s="2" t="n">
        <v>32</v>
      </c>
      <c r="J67" s="2" t="n">
        <v>10228</v>
      </c>
      <c r="K67" s="2" t="n">
        <v>19</v>
      </c>
      <c r="L67" s="2" t="n">
        <v>5</v>
      </c>
      <c r="M67" s="2" t="n">
        <v>1</v>
      </c>
      <c r="N67" s="2" t="n">
        <v>0</v>
      </c>
      <c r="O67" s="2" t="n">
        <v>13</v>
      </c>
      <c r="P67" s="2" t="n">
        <v>0</v>
      </c>
      <c r="Q67" s="2" t="n">
        <v>3</v>
      </c>
      <c r="R67" s="2" t="n">
        <v>4</v>
      </c>
      <c r="S67" s="2" t="n">
        <v>1</v>
      </c>
      <c r="T67" s="2" t="n">
        <v>11</v>
      </c>
      <c r="U67" s="2" t="n">
        <v>58</v>
      </c>
      <c r="V67" s="2" t="s">
        <v>5692</v>
      </c>
    </row>
    <row r="68" customFormat="false" ht="15" hidden="false" customHeight="false" outlineLevel="0" collapsed="false">
      <c r="A68" s="2" t="n">
        <v>56</v>
      </c>
      <c r="B68" s="2" t="s">
        <v>744</v>
      </c>
      <c r="C68" s="2" t="s">
        <v>749</v>
      </c>
      <c r="D68" s="2" t="s">
        <v>5689</v>
      </c>
      <c r="E68" s="2" t="s">
        <v>5737</v>
      </c>
      <c r="F68" s="2" t="s">
        <v>5738</v>
      </c>
      <c r="G68" s="2" t="s">
        <v>5565</v>
      </c>
      <c r="H68" s="2" t="s">
        <v>5739</v>
      </c>
      <c r="I68" s="2" t="n">
        <v>64</v>
      </c>
      <c r="J68" s="2" t="n">
        <v>21929</v>
      </c>
      <c r="K68" s="2" t="n">
        <v>41</v>
      </c>
      <c r="L68" s="2" t="n">
        <v>30</v>
      </c>
      <c r="M68" s="2" t="n">
        <v>2</v>
      </c>
      <c r="N68" s="2" t="n">
        <v>0</v>
      </c>
      <c r="O68" s="2" t="n">
        <v>9</v>
      </c>
      <c r="P68" s="2" t="n">
        <v>0</v>
      </c>
      <c r="Q68" s="2" t="n">
        <v>21</v>
      </c>
      <c r="R68" s="2" t="n">
        <v>9</v>
      </c>
      <c r="S68" s="2" t="n">
        <v>1</v>
      </c>
      <c r="T68" s="2" t="n">
        <v>10</v>
      </c>
      <c r="U68" s="2" t="n">
        <v>180</v>
      </c>
      <c r="V68" s="2" t="s">
        <v>5692</v>
      </c>
    </row>
    <row r="69" customFormat="false" ht="15" hidden="false" customHeight="false" outlineLevel="0" collapsed="false">
      <c r="A69" s="2" t="n">
        <v>56</v>
      </c>
      <c r="B69" s="2" t="s">
        <v>744</v>
      </c>
      <c r="C69" s="2" t="s">
        <v>749</v>
      </c>
      <c r="D69" s="2" t="s">
        <v>5689</v>
      </c>
      <c r="E69" s="2" t="s">
        <v>5740</v>
      </c>
      <c r="F69" s="2" t="s">
        <v>5741</v>
      </c>
      <c r="G69" s="2" t="s">
        <v>5565</v>
      </c>
      <c r="H69" s="2" t="s">
        <v>5742</v>
      </c>
      <c r="I69" s="2" t="n">
        <v>9</v>
      </c>
      <c r="J69" s="2" t="n">
        <v>1968</v>
      </c>
      <c r="K69" s="2" t="n">
        <v>5</v>
      </c>
      <c r="L69" s="2" t="n">
        <v>3</v>
      </c>
      <c r="M69" s="2" t="n">
        <v>0</v>
      </c>
      <c r="N69" s="2" t="n">
        <v>0</v>
      </c>
      <c r="O69" s="2" t="n">
        <v>2</v>
      </c>
      <c r="P69" s="2" t="n">
        <v>0</v>
      </c>
      <c r="Q69" s="2" t="n">
        <v>1</v>
      </c>
      <c r="R69" s="2" t="n">
        <v>2</v>
      </c>
      <c r="S69" s="2" t="n">
        <v>1</v>
      </c>
      <c r="T69" s="2" t="n">
        <v>1</v>
      </c>
      <c r="U69" s="2" t="n">
        <v>7</v>
      </c>
      <c r="V69" s="2" t="s">
        <v>5692</v>
      </c>
    </row>
    <row r="70" customFormat="false" ht="15" hidden="false" customHeight="false" outlineLevel="0" collapsed="false">
      <c r="A70" s="2" t="n">
        <v>56</v>
      </c>
      <c r="B70" s="2" t="s">
        <v>744</v>
      </c>
      <c r="C70" s="2" t="s">
        <v>749</v>
      </c>
      <c r="D70" s="2" t="s">
        <v>5689</v>
      </c>
      <c r="E70" s="2" t="s">
        <v>5743</v>
      </c>
      <c r="F70" s="2" t="s">
        <v>5744</v>
      </c>
      <c r="G70" s="2" t="s">
        <v>5565</v>
      </c>
      <c r="H70" s="2" t="s">
        <v>5745</v>
      </c>
      <c r="I70" s="2" t="n">
        <v>67</v>
      </c>
      <c r="J70" s="2" t="n">
        <v>23482</v>
      </c>
      <c r="K70" s="2" t="n">
        <v>31</v>
      </c>
      <c r="L70" s="2" t="n">
        <v>16</v>
      </c>
      <c r="M70" s="2" t="n">
        <v>1</v>
      </c>
      <c r="N70" s="2" t="n">
        <v>0</v>
      </c>
      <c r="O70" s="2" t="n">
        <v>14</v>
      </c>
      <c r="P70" s="2" t="n">
        <v>0</v>
      </c>
      <c r="Q70" s="2" t="n">
        <v>13</v>
      </c>
      <c r="R70" s="2" t="n">
        <v>4</v>
      </c>
      <c r="S70" s="2" t="n">
        <v>2</v>
      </c>
      <c r="T70" s="2" t="n">
        <v>12</v>
      </c>
      <c r="U70" s="2" t="n">
        <v>390</v>
      </c>
      <c r="V70" s="2" t="s">
        <v>5692</v>
      </c>
    </row>
    <row r="71" customFormat="false" ht="15" hidden="false" customHeight="false" outlineLevel="0" collapsed="false">
      <c r="A71" s="2" t="n">
        <v>56</v>
      </c>
      <c r="B71" s="2" t="s">
        <v>744</v>
      </c>
      <c r="C71" s="2" t="s">
        <v>749</v>
      </c>
      <c r="D71" s="2" t="s">
        <v>5689</v>
      </c>
      <c r="E71" s="2" t="s">
        <v>5746</v>
      </c>
      <c r="F71" s="2" t="s">
        <v>5747</v>
      </c>
      <c r="G71" s="2" t="s">
        <v>5565</v>
      </c>
      <c r="H71" s="2" t="s">
        <v>5748</v>
      </c>
      <c r="I71" s="2" t="n">
        <v>51</v>
      </c>
      <c r="J71" s="2" t="n">
        <v>19431</v>
      </c>
      <c r="K71" s="2" t="n">
        <v>66</v>
      </c>
      <c r="L71" s="2" t="n">
        <v>29</v>
      </c>
      <c r="M71" s="2" t="n">
        <v>5</v>
      </c>
      <c r="N71" s="2" t="n">
        <v>1</v>
      </c>
      <c r="O71" s="2" t="n">
        <v>31</v>
      </c>
      <c r="P71" s="2" t="n">
        <v>0</v>
      </c>
      <c r="Q71" s="2" t="n">
        <v>40</v>
      </c>
      <c r="R71" s="2" t="n">
        <v>3</v>
      </c>
      <c r="S71" s="2" t="n">
        <v>1</v>
      </c>
      <c r="T71" s="2" t="n">
        <v>22</v>
      </c>
      <c r="U71" s="2" t="n">
        <v>162</v>
      </c>
      <c r="V71" s="2" t="s">
        <v>5692</v>
      </c>
    </row>
    <row r="72" customFormat="false" ht="15" hidden="false" customHeight="false" outlineLevel="0" collapsed="false">
      <c r="A72" s="2" t="n">
        <v>56</v>
      </c>
      <c r="B72" s="2" t="s">
        <v>744</v>
      </c>
      <c r="C72" s="2" t="s">
        <v>749</v>
      </c>
      <c r="D72" s="2" t="s">
        <v>5724</v>
      </c>
      <c r="E72" s="2" t="s">
        <v>5749</v>
      </c>
      <c r="F72" s="2" t="s">
        <v>1569</v>
      </c>
      <c r="G72" s="2" t="s">
        <v>5565</v>
      </c>
      <c r="H72" s="2" t="s">
        <v>5750</v>
      </c>
      <c r="I72" s="2" t="n">
        <v>49</v>
      </c>
      <c r="J72" s="2" t="n">
        <v>19725</v>
      </c>
      <c r="K72" s="2" t="n">
        <v>22</v>
      </c>
      <c r="L72" s="2" t="n">
        <v>15</v>
      </c>
      <c r="M72" s="2" t="n">
        <v>3</v>
      </c>
      <c r="N72" s="2" t="n">
        <v>0</v>
      </c>
      <c r="O72" s="2" t="n">
        <v>4</v>
      </c>
      <c r="P72" s="2" t="n">
        <v>0</v>
      </c>
      <c r="Q72" s="2" t="n">
        <v>8</v>
      </c>
      <c r="R72" s="2" t="n">
        <v>4</v>
      </c>
      <c r="S72" s="2" t="n">
        <v>4</v>
      </c>
      <c r="T72" s="2" t="n">
        <v>6</v>
      </c>
      <c r="U72" s="2" t="n">
        <v>196</v>
      </c>
      <c r="V72" s="2" t="s">
        <v>5692</v>
      </c>
    </row>
    <row r="73" customFormat="false" ht="15" hidden="false" customHeight="false" outlineLevel="0" collapsed="false">
      <c r="A73" s="2" t="n">
        <v>56</v>
      </c>
      <c r="B73" s="2" t="s">
        <v>744</v>
      </c>
      <c r="C73" s="2" t="s">
        <v>749</v>
      </c>
      <c r="D73" s="2" t="s">
        <v>5724</v>
      </c>
      <c r="E73" s="2" t="s">
        <v>5751</v>
      </c>
      <c r="F73" s="2" t="s">
        <v>3898</v>
      </c>
      <c r="G73" s="2" t="s">
        <v>5565</v>
      </c>
      <c r="H73" s="2" t="s">
        <v>5752</v>
      </c>
      <c r="I73" s="2" t="n">
        <v>10</v>
      </c>
      <c r="J73" s="2" t="n">
        <v>2274</v>
      </c>
      <c r="K73" s="2" t="n">
        <v>6</v>
      </c>
      <c r="L73" s="2" t="n">
        <v>5</v>
      </c>
      <c r="M73" s="2" t="n">
        <v>0</v>
      </c>
      <c r="N73" s="2" t="n">
        <v>0</v>
      </c>
      <c r="O73" s="2" t="n">
        <v>1</v>
      </c>
      <c r="P73" s="2" t="n">
        <v>0</v>
      </c>
      <c r="Q73" s="2" t="n">
        <v>2</v>
      </c>
      <c r="R73" s="2" t="n">
        <v>3</v>
      </c>
      <c r="S73" s="2" t="n">
        <v>1</v>
      </c>
      <c r="T73" s="2" t="n">
        <v>0</v>
      </c>
      <c r="U73" s="2" t="n">
        <v>18</v>
      </c>
      <c r="V73" s="2" t="s">
        <v>5692</v>
      </c>
    </row>
    <row r="74" customFormat="false" ht="15" hidden="false" customHeight="false" outlineLevel="0" collapsed="false">
      <c r="A74" s="2" t="n">
        <v>56</v>
      </c>
      <c r="B74" s="2" t="s">
        <v>744</v>
      </c>
      <c r="C74" s="2" t="s">
        <v>749</v>
      </c>
      <c r="D74" s="2" t="s">
        <v>5724</v>
      </c>
      <c r="E74" s="2" t="s">
        <v>5753</v>
      </c>
      <c r="F74" s="2" t="s">
        <v>3898</v>
      </c>
      <c r="G74" s="2" t="s">
        <v>5565</v>
      </c>
      <c r="H74" s="2" t="s">
        <v>5754</v>
      </c>
      <c r="I74" s="2" t="n">
        <v>16</v>
      </c>
      <c r="J74" s="2" t="n">
        <v>3536</v>
      </c>
      <c r="K74" s="2" t="n">
        <v>3</v>
      </c>
      <c r="L74" s="2" t="n">
        <v>3</v>
      </c>
      <c r="M74" s="2" t="n">
        <v>0</v>
      </c>
      <c r="N74" s="2" t="n">
        <v>0</v>
      </c>
      <c r="O74" s="2" t="n">
        <v>0</v>
      </c>
      <c r="P74" s="2" t="n">
        <v>0</v>
      </c>
      <c r="Q74" s="2" t="n">
        <v>0</v>
      </c>
      <c r="R74" s="2" t="n">
        <v>3</v>
      </c>
      <c r="S74" s="2" t="n">
        <v>0</v>
      </c>
      <c r="T74" s="2" t="n">
        <v>0</v>
      </c>
      <c r="U74" s="2" t="n">
        <v>25</v>
      </c>
      <c r="V74" s="2" t="s">
        <v>5692</v>
      </c>
    </row>
    <row r="75" customFormat="false" ht="15" hidden="false" customHeight="false" outlineLevel="0" collapsed="false">
      <c r="A75" s="2" t="n">
        <v>56</v>
      </c>
      <c r="B75" s="2" t="s">
        <v>744</v>
      </c>
      <c r="C75" s="2" t="s">
        <v>749</v>
      </c>
      <c r="D75" s="2" t="s">
        <v>5724</v>
      </c>
      <c r="E75" s="2" t="s">
        <v>5755</v>
      </c>
      <c r="F75" s="2" t="s">
        <v>3898</v>
      </c>
      <c r="G75" s="2" t="s">
        <v>5565</v>
      </c>
      <c r="H75" s="2" t="s">
        <v>5756</v>
      </c>
      <c r="I75" s="2" t="n">
        <v>10</v>
      </c>
      <c r="J75" s="2" t="n">
        <v>2161</v>
      </c>
      <c r="K75" s="2" t="n">
        <v>6</v>
      </c>
      <c r="L75" s="2" t="n">
        <v>4</v>
      </c>
      <c r="M75" s="2" t="n">
        <v>0</v>
      </c>
      <c r="N75" s="2" t="n">
        <v>0</v>
      </c>
      <c r="O75" s="2" t="n">
        <v>2</v>
      </c>
      <c r="P75" s="2" t="n">
        <v>0</v>
      </c>
      <c r="Q75" s="2" t="n">
        <v>2</v>
      </c>
      <c r="R75" s="2" t="n">
        <v>4</v>
      </c>
      <c r="S75" s="2" t="n">
        <v>0</v>
      </c>
      <c r="T75" s="2" t="n">
        <v>0</v>
      </c>
      <c r="U75" s="2" t="n">
        <v>37</v>
      </c>
      <c r="V75" s="2" t="s">
        <v>5692</v>
      </c>
    </row>
    <row r="76" customFormat="false" ht="15" hidden="false" customHeight="false" outlineLevel="0" collapsed="false">
      <c r="A76" s="2" t="n">
        <v>56</v>
      </c>
      <c r="B76" s="2" t="s">
        <v>744</v>
      </c>
      <c r="C76" s="2" t="s">
        <v>749</v>
      </c>
      <c r="D76" s="2" t="s">
        <v>5724</v>
      </c>
      <c r="E76" s="2" t="s">
        <v>5757</v>
      </c>
      <c r="F76" s="2" t="s">
        <v>1577</v>
      </c>
      <c r="G76" s="2" t="s">
        <v>5565</v>
      </c>
      <c r="H76" s="2" t="s">
        <v>5758</v>
      </c>
      <c r="I76" s="2" t="n">
        <v>35</v>
      </c>
      <c r="J76" s="2" t="n">
        <v>11143</v>
      </c>
      <c r="K76" s="2" t="n">
        <v>15</v>
      </c>
      <c r="L76" s="2" t="n">
        <v>8</v>
      </c>
      <c r="M76" s="2" t="n">
        <v>2</v>
      </c>
      <c r="N76" s="2" t="n">
        <v>0</v>
      </c>
      <c r="O76" s="2" t="n">
        <v>5</v>
      </c>
      <c r="P76" s="2" t="n">
        <v>0</v>
      </c>
      <c r="Q76" s="2" t="n">
        <v>6</v>
      </c>
      <c r="R76" s="2" t="n">
        <v>3</v>
      </c>
      <c r="S76" s="2" t="n">
        <v>1</v>
      </c>
      <c r="T76" s="2" t="n">
        <v>5</v>
      </c>
      <c r="U76" s="2" t="n">
        <v>165</v>
      </c>
      <c r="V76" s="2" t="s">
        <v>5692</v>
      </c>
    </row>
    <row r="77" customFormat="false" ht="15" hidden="false" customHeight="false" outlineLevel="0" collapsed="false">
      <c r="A77" s="2" t="n">
        <v>56</v>
      </c>
      <c r="B77" s="2" t="s">
        <v>744</v>
      </c>
      <c r="C77" s="2" t="s">
        <v>749</v>
      </c>
      <c r="D77" s="2" t="s">
        <v>5724</v>
      </c>
      <c r="E77" s="2" t="s">
        <v>5759</v>
      </c>
      <c r="F77" s="2" t="s">
        <v>3243</v>
      </c>
      <c r="G77" s="2" t="s">
        <v>5565</v>
      </c>
      <c r="H77" s="2" t="s">
        <v>5760</v>
      </c>
      <c r="I77" s="2" t="n">
        <v>14</v>
      </c>
      <c r="J77" s="2" t="n">
        <v>3257</v>
      </c>
      <c r="K77" s="2" t="n">
        <v>3</v>
      </c>
      <c r="L77" s="2" t="n">
        <v>3</v>
      </c>
      <c r="M77" s="2" t="n">
        <v>0</v>
      </c>
      <c r="N77" s="2" t="n">
        <v>0</v>
      </c>
      <c r="O77" s="2" t="n">
        <v>0</v>
      </c>
      <c r="P77" s="2" t="n">
        <v>0</v>
      </c>
      <c r="Q77" s="2" t="n">
        <v>0</v>
      </c>
      <c r="R77" s="2" t="n">
        <v>1</v>
      </c>
      <c r="S77" s="2" t="n">
        <v>2</v>
      </c>
      <c r="T77" s="2" t="n">
        <v>0</v>
      </c>
      <c r="U77" s="2" t="n">
        <v>31</v>
      </c>
      <c r="V77" s="2" t="s">
        <v>5692</v>
      </c>
    </row>
    <row r="78" customFormat="false" ht="15" hidden="false" customHeight="false" outlineLevel="0" collapsed="false">
      <c r="A78" s="2" t="n">
        <v>56</v>
      </c>
      <c r="B78" s="2" t="s">
        <v>744</v>
      </c>
      <c r="C78" s="2" t="s">
        <v>749</v>
      </c>
      <c r="D78" s="2" t="s">
        <v>5724</v>
      </c>
      <c r="E78" s="2" t="s">
        <v>5761</v>
      </c>
      <c r="F78" s="2" t="s">
        <v>304</v>
      </c>
      <c r="G78" s="2" t="s">
        <v>5565</v>
      </c>
      <c r="H78" s="2" t="s">
        <v>5762</v>
      </c>
      <c r="I78" s="2" t="n">
        <v>19</v>
      </c>
      <c r="J78" s="2" t="n">
        <v>4633</v>
      </c>
      <c r="K78" s="2" t="n">
        <v>9</v>
      </c>
      <c r="L78" s="2" t="n">
        <v>3</v>
      </c>
      <c r="M78" s="2" t="n">
        <v>2</v>
      </c>
      <c r="N78" s="2" t="n">
        <v>0</v>
      </c>
      <c r="O78" s="2" t="n">
        <v>4</v>
      </c>
      <c r="P78" s="2" t="n">
        <v>0</v>
      </c>
      <c r="Q78" s="2" t="n">
        <v>5</v>
      </c>
      <c r="R78" s="2" t="n">
        <v>3</v>
      </c>
      <c r="S78" s="2" t="n">
        <v>0</v>
      </c>
      <c r="T78" s="2" t="n">
        <v>1</v>
      </c>
      <c r="U78" s="2" t="n">
        <v>39</v>
      </c>
      <c r="V78" s="2" t="s">
        <v>5692</v>
      </c>
    </row>
    <row r="79" customFormat="false" ht="15" hidden="false" customHeight="false" outlineLevel="0" collapsed="false">
      <c r="A79" s="2" t="n">
        <v>57</v>
      </c>
      <c r="B79" s="2" t="s">
        <v>756</v>
      </c>
      <c r="C79" s="2" t="s">
        <v>760</v>
      </c>
      <c r="D79" s="2" t="s">
        <v>5689</v>
      </c>
      <c r="E79" s="2" t="s">
        <v>5763</v>
      </c>
      <c r="F79" s="2" t="s">
        <v>5764</v>
      </c>
      <c r="G79" s="2" t="s">
        <v>5565</v>
      </c>
      <c r="H79" s="2" t="s">
        <v>5765</v>
      </c>
      <c r="I79" s="2" t="n">
        <v>26</v>
      </c>
      <c r="J79" s="2" t="n">
        <v>9658</v>
      </c>
      <c r="K79" s="2" t="n">
        <v>26</v>
      </c>
      <c r="L79" s="2" t="n">
        <v>17</v>
      </c>
      <c r="M79" s="2" t="n">
        <v>2</v>
      </c>
      <c r="N79" s="2" t="n">
        <v>0</v>
      </c>
      <c r="O79" s="2" t="n">
        <v>7</v>
      </c>
      <c r="P79" s="2" t="n">
        <v>0</v>
      </c>
      <c r="Q79" s="2" t="n">
        <v>9</v>
      </c>
      <c r="R79" s="2" t="n">
        <v>2</v>
      </c>
      <c r="S79" s="2" t="n">
        <v>1</v>
      </c>
      <c r="T79" s="2" t="n">
        <v>14</v>
      </c>
      <c r="U79" s="2" t="n">
        <v>77</v>
      </c>
      <c r="V79" s="2" t="s">
        <v>5692</v>
      </c>
    </row>
    <row r="80" customFormat="false" ht="15" hidden="false" customHeight="false" outlineLevel="0" collapsed="false">
      <c r="A80" s="2" t="n">
        <v>57</v>
      </c>
      <c r="B80" s="2" t="s">
        <v>756</v>
      </c>
      <c r="C80" s="2" t="s">
        <v>760</v>
      </c>
      <c r="D80" s="2" t="s">
        <v>5689</v>
      </c>
      <c r="E80" s="2" t="s">
        <v>5766</v>
      </c>
      <c r="F80" s="2" t="s">
        <v>5764</v>
      </c>
      <c r="G80" s="2" t="s">
        <v>5565</v>
      </c>
      <c r="H80" s="2" t="s">
        <v>5767</v>
      </c>
      <c r="I80" s="2" t="n">
        <v>36</v>
      </c>
      <c r="J80" s="2" t="n">
        <v>11629</v>
      </c>
      <c r="K80" s="2" t="n">
        <v>37</v>
      </c>
      <c r="L80" s="2" t="n">
        <v>30</v>
      </c>
      <c r="M80" s="2" t="n">
        <v>1</v>
      </c>
      <c r="N80" s="2" t="n">
        <v>0</v>
      </c>
      <c r="O80" s="2" t="n">
        <v>5</v>
      </c>
      <c r="P80" s="2" t="n">
        <v>1</v>
      </c>
      <c r="Q80" s="2" t="n">
        <v>9</v>
      </c>
      <c r="R80" s="2" t="n">
        <v>6</v>
      </c>
      <c r="S80" s="2" t="n">
        <v>1</v>
      </c>
      <c r="T80" s="2" t="n">
        <v>21</v>
      </c>
      <c r="U80" s="2" t="n">
        <v>67</v>
      </c>
      <c r="V80" s="2" t="s">
        <v>5768</v>
      </c>
    </row>
    <row r="81" customFormat="false" ht="15" hidden="false" customHeight="false" outlineLevel="0" collapsed="false">
      <c r="A81" s="2" t="n">
        <v>60</v>
      </c>
      <c r="B81" s="2" t="s">
        <v>789</v>
      </c>
      <c r="C81" s="2" t="s">
        <v>793</v>
      </c>
      <c r="D81" s="2" t="s">
        <v>5562</v>
      </c>
      <c r="E81" s="2" t="s">
        <v>5769</v>
      </c>
      <c r="F81" s="2" t="s">
        <v>5770</v>
      </c>
      <c r="G81" s="2" t="s">
        <v>5565</v>
      </c>
      <c r="H81" s="2" t="s">
        <v>5771</v>
      </c>
      <c r="I81" s="2" t="n">
        <v>41</v>
      </c>
      <c r="J81" s="2" t="n">
        <v>24977</v>
      </c>
      <c r="K81" s="2" t="n">
        <v>102</v>
      </c>
      <c r="L81" s="2" t="n">
        <v>71</v>
      </c>
      <c r="M81" s="2" t="n">
        <v>17</v>
      </c>
      <c r="N81" s="2" t="n">
        <v>2</v>
      </c>
      <c r="O81" s="2" t="n">
        <v>10</v>
      </c>
      <c r="P81" s="2" t="n">
        <v>2</v>
      </c>
      <c r="Q81" s="2" t="n">
        <v>49</v>
      </c>
      <c r="R81" s="2" t="n">
        <v>5</v>
      </c>
      <c r="S81" s="2" t="n">
        <v>7</v>
      </c>
      <c r="T81" s="2" t="n">
        <v>41</v>
      </c>
      <c r="U81" s="2" t="n">
        <v>109</v>
      </c>
      <c r="V81" s="2" t="s">
        <v>5723</v>
      </c>
    </row>
  </sheetData>
  <autoFilter ref="A1:V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4"/>
    <col collapsed="false" customWidth="true" hidden="false" outlineLevel="0" max="3" min="3" style="0" width="8"/>
    <col collapsed="false" customWidth="true" hidden="false" outlineLevel="0" max="4" min="4" style="0" width="10"/>
    <col collapsed="false" customWidth="true" hidden="false" outlineLevel="0" max="5" min="5" style="0" width="12"/>
    <col collapsed="false" customWidth="true" hidden="false" outlineLevel="0" max="8" min="6" style="0" width="10"/>
    <col collapsed="false" customWidth="true" hidden="false" outlineLevel="0" max="9" min="9" style="0" width="12"/>
    <col collapsed="false" customWidth="true" hidden="false" outlineLevel="0" max="11" min="10" style="0" width="10"/>
    <col collapsed="false" customWidth="true" hidden="false" outlineLevel="0" max="12" min="12" style="0" width="14"/>
    <col collapsed="false" customWidth="true" hidden="false" outlineLevel="0" max="13" min="13" style="0" width="10"/>
    <col collapsed="false" customWidth="true" hidden="false" outlineLevel="0" max="14" min="14" style="0" width="12"/>
    <col collapsed="false" customWidth="true" hidden="false" outlineLevel="0" max="15" min="15" style="0" width="14"/>
    <col collapsed="false" customWidth="true" hidden="false" outlineLevel="0" max="16" min="16" style="0" width="80"/>
  </cols>
  <sheetData>
    <row r="1" customFormat="false" ht="45" hidden="false" customHeight="true" outlineLevel="0" collapsed="false">
      <c r="A1" s="1" t="s">
        <v>5772</v>
      </c>
      <c r="B1" s="1" t="s">
        <v>5773</v>
      </c>
      <c r="C1" s="1" t="s">
        <v>15</v>
      </c>
      <c r="D1" s="1" t="s">
        <v>5774</v>
      </c>
      <c r="E1" s="1" t="s">
        <v>23</v>
      </c>
      <c r="F1" s="1" t="s">
        <v>5775</v>
      </c>
      <c r="G1" s="1" t="s">
        <v>5776</v>
      </c>
      <c r="H1" s="1" t="s">
        <v>5777</v>
      </c>
      <c r="I1" s="1" t="s">
        <v>5778</v>
      </c>
      <c r="J1" s="1" t="s">
        <v>5779</v>
      </c>
      <c r="K1" s="1" t="s">
        <v>5780</v>
      </c>
      <c r="L1" s="1" t="s">
        <v>5781</v>
      </c>
      <c r="M1" s="1" t="s">
        <v>5782</v>
      </c>
      <c r="N1" s="1" t="s">
        <v>5783</v>
      </c>
      <c r="O1" s="1" t="s">
        <v>5784</v>
      </c>
      <c r="P1" s="1" t="s">
        <v>68</v>
      </c>
    </row>
    <row r="2" customFormat="false" ht="15" hidden="false" customHeight="false" outlineLevel="0" collapsed="false">
      <c r="A2" s="2" t="s">
        <v>5785</v>
      </c>
      <c r="B2" s="2" t="s">
        <v>5786</v>
      </c>
      <c r="C2" s="2" t="n">
        <v>66</v>
      </c>
      <c r="D2" s="2" t="n">
        <v>29466</v>
      </c>
      <c r="E2" s="2" t="n">
        <v>240</v>
      </c>
      <c r="F2" s="2" t="n">
        <v>195</v>
      </c>
      <c r="G2" s="2" t="n">
        <v>32</v>
      </c>
      <c r="H2" s="2" t="n">
        <v>13</v>
      </c>
      <c r="I2" s="2" t="n">
        <v>8.1</v>
      </c>
      <c r="J2" s="2" t="n">
        <v>35</v>
      </c>
      <c r="K2" s="2" t="n">
        <v>4</v>
      </c>
      <c r="L2" s="2" t="n">
        <v>134</v>
      </c>
      <c r="M2" s="2" t="n">
        <v>67</v>
      </c>
      <c r="N2" s="2" t="n">
        <v>0.68</v>
      </c>
      <c r="O2" s="2" t="n">
        <f aca="false">E2*N2</f>
        <v>163.2</v>
      </c>
      <c r="P2" s="2" t="s">
        <v>5787</v>
      </c>
    </row>
    <row r="3" customFormat="false" ht="15" hidden="false" customHeight="false" outlineLevel="0" collapsed="false">
      <c r="A3" s="2" t="s">
        <v>5785</v>
      </c>
      <c r="B3" s="2" t="s">
        <v>5788</v>
      </c>
      <c r="C3" s="2" t="n">
        <v>66</v>
      </c>
      <c r="D3" s="2" t="n">
        <v>20086</v>
      </c>
      <c r="E3" s="2" t="n">
        <v>172</v>
      </c>
      <c r="F3" s="2" t="n">
        <v>145</v>
      </c>
      <c r="G3" s="2" t="n">
        <v>22</v>
      </c>
      <c r="H3" s="2" t="n">
        <v>5</v>
      </c>
      <c r="I3" s="2" t="n">
        <v>8.6</v>
      </c>
      <c r="J3" s="2" t="n">
        <v>18</v>
      </c>
      <c r="K3" s="2" t="n">
        <v>1</v>
      </c>
      <c r="L3" s="2" t="n">
        <v>115</v>
      </c>
      <c r="M3" s="2" t="n">
        <v>38</v>
      </c>
      <c r="N3" s="2" t="n">
        <v>0.68</v>
      </c>
      <c r="O3" s="2" t="n">
        <f aca="false">E3*N3</f>
        <v>116.96</v>
      </c>
      <c r="P3" s="2" t="s">
        <v>5789</v>
      </c>
    </row>
    <row r="4" customFormat="false" ht="15" hidden="false" customHeight="false" outlineLevel="0" collapsed="false">
      <c r="A4" s="2"/>
      <c r="B4" s="2"/>
      <c r="C4" s="2"/>
      <c r="D4" s="2"/>
      <c r="E4" s="2"/>
      <c r="F4" s="2"/>
      <c r="G4" s="2"/>
      <c r="H4" s="2"/>
      <c r="I4" s="2"/>
      <c r="J4" s="2"/>
      <c r="K4" s="2"/>
      <c r="L4" s="2"/>
      <c r="M4" s="2"/>
      <c r="N4" s="2"/>
      <c r="O4" s="2"/>
      <c r="P4" s="2"/>
    </row>
    <row r="5" customFormat="false" ht="15" hidden="false" customHeight="false" outlineLevel="0" collapsed="false">
      <c r="A5" s="2" t="s">
        <v>5790</v>
      </c>
      <c r="B5" s="2" t="s">
        <v>5791</v>
      </c>
      <c r="C5" s="2"/>
      <c r="D5" s="2" t="n">
        <v>14601</v>
      </c>
      <c r="E5" s="2" t="n">
        <v>207</v>
      </c>
      <c r="F5" s="2"/>
      <c r="G5" s="2"/>
      <c r="H5" s="2"/>
      <c r="I5" s="2" t="n">
        <v>14</v>
      </c>
      <c r="J5" s="2"/>
      <c r="K5" s="2"/>
      <c r="L5" s="2"/>
      <c r="M5" s="2"/>
      <c r="N5" s="2" t="n">
        <v>0.84</v>
      </c>
      <c r="O5" s="2" t="n">
        <f aca="false">E4*N4</f>
        <v>0</v>
      </c>
      <c r="P5" s="2" t="s">
        <v>5792</v>
      </c>
    </row>
  </sheetData>
  <autoFilter ref="A1:P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3"/>
    <col collapsed="false" customWidth="true" hidden="false" outlineLevel="0" max="4" min="4" style="0" width="18"/>
    <col collapsed="false" customWidth="true" hidden="false" outlineLevel="0" max="5" min="5" style="0" width="40"/>
    <col collapsed="false" customWidth="true" hidden="false" outlineLevel="0" max="6" min="6" style="0" width="45"/>
    <col collapsed="false" customWidth="true" hidden="false" outlineLevel="0" max="7" min="7" style="0" width="14"/>
    <col collapsed="false" customWidth="true" hidden="false" outlineLevel="0" max="8" min="8" style="0" width="70"/>
    <col collapsed="false" customWidth="true" hidden="false" outlineLevel="0" max="9" min="9" style="0" width="22"/>
    <col collapsed="false" customWidth="true" hidden="false" outlineLevel="0" max="10" min="10" style="0" width="16"/>
    <col collapsed="false" customWidth="true" hidden="false" outlineLevel="0" max="11" min="11" style="0" width="30"/>
  </cols>
  <sheetData>
    <row r="1" customFormat="false" ht="45" hidden="false" customHeight="true" outlineLevel="0" collapsed="false">
      <c r="A1" s="1" t="s">
        <v>1360</v>
      </c>
      <c r="B1" s="1" t="s">
        <v>1361</v>
      </c>
      <c r="C1" s="1" t="s">
        <v>51</v>
      </c>
      <c r="D1" s="1" t="s">
        <v>5793</v>
      </c>
      <c r="E1" s="1" t="s">
        <v>5794</v>
      </c>
      <c r="F1" s="1" t="s">
        <v>5795</v>
      </c>
      <c r="G1" s="1" t="s">
        <v>5796</v>
      </c>
      <c r="H1" s="1" t="s">
        <v>5797</v>
      </c>
      <c r="I1" s="1" t="s">
        <v>5558</v>
      </c>
      <c r="J1" s="1" t="s">
        <v>5798</v>
      </c>
      <c r="K1" s="1" t="s">
        <v>5799</v>
      </c>
    </row>
    <row r="2" customFormat="false" ht="35.05" hidden="false" customHeight="false" outlineLevel="0" collapsed="false">
      <c r="A2" s="7" t="n">
        <v>1</v>
      </c>
      <c r="B2" s="7" t="s">
        <v>69</v>
      </c>
      <c r="C2" s="7" t="s">
        <v>83</v>
      </c>
      <c r="D2" s="7" t="s">
        <v>68</v>
      </c>
      <c r="E2" s="7" t="s">
        <v>5800</v>
      </c>
      <c r="F2" s="7"/>
      <c r="G2" s="7"/>
      <c r="H2" s="7"/>
      <c r="I2" s="7"/>
      <c r="J2" s="7"/>
      <c r="K2" s="7"/>
    </row>
    <row r="3" customFormat="false" ht="46.25" hidden="false" customHeight="false" outlineLevel="0" collapsed="false">
      <c r="A3" s="7" t="n">
        <v>1</v>
      </c>
      <c r="B3" s="7" t="s">
        <v>69</v>
      </c>
      <c r="C3" s="7" t="s">
        <v>83</v>
      </c>
      <c r="D3" s="7" t="s">
        <v>5801</v>
      </c>
      <c r="E3" s="7" t="s">
        <v>5802</v>
      </c>
      <c r="F3" s="7" t="s">
        <v>5803</v>
      </c>
      <c r="G3" s="7"/>
      <c r="H3" s="7" t="s">
        <v>5804</v>
      </c>
      <c r="I3" s="7" t="s">
        <v>5805</v>
      </c>
      <c r="J3" s="7" t="s">
        <v>5805</v>
      </c>
      <c r="K3" s="7" t="s">
        <v>5806</v>
      </c>
    </row>
    <row r="4" customFormat="false" ht="57.45" hidden="false" customHeight="false" outlineLevel="0" collapsed="false">
      <c r="A4" s="7" t="n">
        <v>1</v>
      </c>
      <c r="B4" s="7" t="s">
        <v>69</v>
      </c>
      <c r="C4" s="7" t="s">
        <v>83</v>
      </c>
      <c r="D4" s="7" t="s">
        <v>5807</v>
      </c>
      <c r="E4" s="7" t="s">
        <v>5808</v>
      </c>
      <c r="F4" s="7" t="s">
        <v>5809</v>
      </c>
      <c r="G4" s="7" t="s">
        <v>5810</v>
      </c>
      <c r="H4" s="7" t="s">
        <v>5811</v>
      </c>
      <c r="I4" s="7" t="s">
        <v>5812</v>
      </c>
      <c r="J4" s="7" t="s">
        <v>5812</v>
      </c>
      <c r="K4" s="7" t="s">
        <v>5813</v>
      </c>
    </row>
    <row r="5" customFormat="false" ht="35.05" hidden="false" customHeight="false" outlineLevel="0" collapsed="false">
      <c r="A5" s="7" t="n">
        <v>2</v>
      </c>
      <c r="B5" s="7" t="s">
        <v>88</v>
      </c>
      <c r="C5" s="7" t="s">
        <v>101</v>
      </c>
      <c r="D5" s="7" t="s">
        <v>68</v>
      </c>
      <c r="E5" s="7" t="s">
        <v>5814</v>
      </c>
      <c r="F5" s="7"/>
      <c r="G5" s="7"/>
      <c r="H5" s="7"/>
      <c r="I5" s="7"/>
      <c r="J5" s="7"/>
      <c r="K5" s="7"/>
    </row>
    <row r="6" customFormat="false" ht="46.25" hidden="false" customHeight="false" outlineLevel="0" collapsed="false">
      <c r="A6" s="7" t="n">
        <v>2</v>
      </c>
      <c r="B6" s="7" t="s">
        <v>88</v>
      </c>
      <c r="C6" s="7" t="s">
        <v>101</v>
      </c>
      <c r="D6" s="7" t="s">
        <v>5801</v>
      </c>
      <c r="E6" s="7" t="s">
        <v>5815</v>
      </c>
      <c r="F6" s="7" t="s">
        <v>5816</v>
      </c>
      <c r="G6" s="7"/>
      <c r="H6" s="7" t="s">
        <v>5817</v>
      </c>
      <c r="I6" s="7" t="s">
        <v>5818</v>
      </c>
      <c r="J6" s="7" t="s">
        <v>5818</v>
      </c>
      <c r="K6" s="7" t="s">
        <v>5819</v>
      </c>
    </row>
    <row r="7" customFormat="false" ht="23.85" hidden="false" customHeight="false" outlineLevel="0" collapsed="false">
      <c r="A7" s="7" t="n">
        <v>2</v>
      </c>
      <c r="B7" s="7" t="s">
        <v>88</v>
      </c>
      <c r="C7" s="7" t="s">
        <v>101</v>
      </c>
      <c r="D7" s="7" t="s">
        <v>5801</v>
      </c>
      <c r="E7" s="7" t="s">
        <v>5820</v>
      </c>
      <c r="F7" s="7" t="s">
        <v>5821</v>
      </c>
      <c r="G7" s="7"/>
      <c r="H7" s="7" t="s">
        <v>5822</v>
      </c>
      <c r="I7" s="7" t="s">
        <v>5812</v>
      </c>
      <c r="J7" s="7" t="s">
        <v>5812</v>
      </c>
      <c r="K7" s="7"/>
    </row>
    <row r="8" customFormat="false" ht="23.85" hidden="false" customHeight="false" outlineLevel="0" collapsed="false">
      <c r="A8" s="7" t="n">
        <v>2</v>
      </c>
      <c r="B8" s="7" t="s">
        <v>88</v>
      </c>
      <c r="C8" s="7" t="s">
        <v>101</v>
      </c>
      <c r="D8" s="7" t="s">
        <v>5823</v>
      </c>
      <c r="E8" s="7" t="s">
        <v>5824</v>
      </c>
      <c r="F8" s="7" t="s">
        <v>5825</v>
      </c>
      <c r="G8" s="7"/>
      <c r="H8" s="7" t="s">
        <v>5826</v>
      </c>
      <c r="I8" s="7" t="s">
        <v>5827</v>
      </c>
      <c r="J8" s="7" t="s">
        <v>5827</v>
      </c>
      <c r="K8" s="7" t="s">
        <v>5828</v>
      </c>
    </row>
    <row r="9" customFormat="false" ht="35.05" hidden="false" customHeight="false" outlineLevel="0" collapsed="false">
      <c r="A9" s="7" t="n">
        <v>3</v>
      </c>
      <c r="B9" s="7" t="s">
        <v>104</v>
      </c>
      <c r="C9" s="7" t="s">
        <v>115</v>
      </c>
      <c r="D9" s="7" t="s">
        <v>68</v>
      </c>
      <c r="E9" s="7" t="s">
        <v>5829</v>
      </c>
      <c r="F9" s="7"/>
      <c r="G9" s="7"/>
      <c r="H9" s="7"/>
      <c r="I9" s="7"/>
      <c r="J9" s="7"/>
      <c r="K9" s="7"/>
    </row>
    <row r="10" customFormat="false" ht="46.25" hidden="false" customHeight="false" outlineLevel="0" collapsed="false">
      <c r="A10" s="7" t="n">
        <v>3</v>
      </c>
      <c r="B10" s="7" t="s">
        <v>104</v>
      </c>
      <c r="C10" s="7" t="s">
        <v>115</v>
      </c>
      <c r="D10" s="7" t="s">
        <v>5801</v>
      </c>
      <c r="E10" s="7" t="s">
        <v>5830</v>
      </c>
      <c r="F10" s="7" t="s">
        <v>5831</v>
      </c>
      <c r="G10" s="7"/>
      <c r="H10" s="7" t="s">
        <v>5832</v>
      </c>
      <c r="I10" s="7" t="s">
        <v>5818</v>
      </c>
      <c r="J10" s="7" t="s">
        <v>5818</v>
      </c>
      <c r="K10" s="7" t="s">
        <v>5833</v>
      </c>
    </row>
    <row r="11" customFormat="false" ht="23.85" hidden="false" customHeight="false" outlineLevel="0" collapsed="false">
      <c r="A11" s="7" t="n">
        <v>3</v>
      </c>
      <c r="B11" s="7" t="s">
        <v>104</v>
      </c>
      <c r="C11" s="7" t="s">
        <v>115</v>
      </c>
      <c r="D11" s="7" t="s">
        <v>5801</v>
      </c>
      <c r="E11" s="7" t="s">
        <v>5834</v>
      </c>
      <c r="F11" s="7" t="s">
        <v>5835</v>
      </c>
      <c r="G11" s="7"/>
      <c r="H11" s="7" t="s">
        <v>5836</v>
      </c>
      <c r="I11" s="7" t="s">
        <v>5818</v>
      </c>
      <c r="J11" s="7" t="s">
        <v>5818</v>
      </c>
      <c r="K11" s="7" t="s">
        <v>5837</v>
      </c>
    </row>
    <row r="12" customFormat="false" ht="91" hidden="false" customHeight="false" outlineLevel="0" collapsed="false">
      <c r="A12" s="7" t="n">
        <v>3</v>
      </c>
      <c r="B12" s="7" t="s">
        <v>104</v>
      </c>
      <c r="C12" s="7" t="s">
        <v>115</v>
      </c>
      <c r="D12" s="7" t="s">
        <v>5838</v>
      </c>
      <c r="E12" s="7" t="s">
        <v>5839</v>
      </c>
      <c r="F12" s="7" t="s">
        <v>5840</v>
      </c>
      <c r="G12" s="7" t="s">
        <v>5841</v>
      </c>
      <c r="H12" s="7" t="s">
        <v>5842</v>
      </c>
      <c r="I12" s="7" t="s">
        <v>5812</v>
      </c>
      <c r="J12" s="7" t="s">
        <v>5812</v>
      </c>
      <c r="K12" s="7" t="s">
        <v>5843</v>
      </c>
    </row>
    <row r="13" customFormat="false" ht="68.65" hidden="false" customHeight="false" outlineLevel="0" collapsed="false">
      <c r="A13" s="7" t="n">
        <v>4</v>
      </c>
      <c r="B13" s="7" t="s">
        <v>119</v>
      </c>
      <c r="C13" s="7" t="s">
        <v>129</v>
      </c>
      <c r="D13" s="7" t="s">
        <v>68</v>
      </c>
      <c r="E13" s="7" t="s">
        <v>5844</v>
      </c>
      <c r="F13" s="7"/>
      <c r="G13" s="7"/>
      <c r="H13" s="7"/>
      <c r="I13" s="7"/>
      <c r="J13" s="7"/>
      <c r="K13" s="7"/>
    </row>
    <row r="14" customFormat="false" ht="68.65" hidden="false" customHeight="false" outlineLevel="0" collapsed="false">
      <c r="A14" s="7" t="n">
        <v>4</v>
      </c>
      <c r="B14" s="7" t="s">
        <v>119</v>
      </c>
      <c r="C14" s="7" t="s">
        <v>129</v>
      </c>
      <c r="D14" s="7" t="s">
        <v>5845</v>
      </c>
      <c r="E14" s="7" t="s">
        <v>5846</v>
      </c>
      <c r="F14" s="7" t="s">
        <v>5847</v>
      </c>
      <c r="G14" s="7"/>
      <c r="H14" s="7" t="s">
        <v>5848</v>
      </c>
      <c r="I14" s="7" t="s">
        <v>5827</v>
      </c>
      <c r="J14" s="7" t="s">
        <v>5827</v>
      </c>
      <c r="K14" s="7" t="s">
        <v>5849</v>
      </c>
    </row>
    <row r="15" customFormat="false" ht="23.85" hidden="false" customHeight="false" outlineLevel="0" collapsed="false">
      <c r="A15" s="7" t="n">
        <v>4</v>
      </c>
      <c r="B15" s="7" t="s">
        <v>119</v>
      </c>
      <c r="C15" s="7" t="s">
        <v>129</v>
      </c>
      <c r="D15" s="7" t="s">
        <v>5845</v>
      </c>
      <c r="E15" s="7" t="s">
        <v>5850</v>
      </c>
      <c r="F15" s="7" t="s">
        <v>5851</v>
      </c>
      <c r="G15" s="7"/>
      <c r="H15" s="7" t="s">
        <v>5852</v>
      </c>
      <c r="I15" s="7" t="s">
        <v>5818</v>
      </c>
      <c r="J15" s="7" t="s">
        <v>5818</v>
      </c>
      <c r="K15" s="7" t="s">
        <v>5853</v>
      </c>
    </row>
    <row r="16" customFormat="false" ht="35.05" hidden="false" customHeight="false" outlineLevel="0" collapsed="false">
      <c r="A16" s="7" t="n">
        <v>4</v>
      </c>
      <c r="B16" s="7" t="s">
        <v>119</v>
      </c>
      <c r="C16" s="7" t="s">
        <v>129</v>
      </c>
      <c r="D16" s="7" t="s">
        <v>5854</v>
      </c>
      <c r="E16" s="7" t="s">
        <v>5855</v>
      </c>
      <c r="F16" s="7"/>
      <c r="G16" s="7"/>
      <c r="H16" s="7" t="s">
        <v>5856</v>
      </c>
      <c r="I16" s="7" t="s">
        <v>5857</v>
      </c>
      <c r="J16" s="7" t="s">
        <v>5857</v>
      </c>
      <c r="K16" s="7" t="s">
        <v>5858</v>
      </c>
    </row>
    <row r="17" customFormat="false" ht="35.05" hidden="false" customHeight="false" outlineLevel="0" collapsed="false">
      <c r="A17" s="7" t="n">
        <v>6</v>
      </c>
      <c r="B17" s="7" t="s">
        <v>147</v>
      </c>
      <c r="C17" s="7" t="s">
        <v>156</v>
      </c>
      <c r="D17" s="7" t="s">
        <v>68</v>
      </c>
      <c r="E17" s="7" t="s">
        <v>5859</v>
      </c>
      <c r="F17" s="7"/>
      <c r="G17" s="7"/>
      <c r="H17" s="7"/>
      <c r="I17" s="7"/>
      <c r="J17" s="7"/>
      <c r="K17" s="7"/>
    </row>
    <row r="18" customFormat="false" ht="23.85" hidden="false" customHeight="false" outlineLevel="0" collapsed="false">
      <c r="A18" s="7" t="n">
        <v>6</v>
      </c>
      <c r="B18" s="7" t="s">
        <v>147</v>
      </c>
      <c r="C18" s="7" t="s">
        <v>156</v>
      </c>
      <c r="D18" s="7" t="s">
        <v>5801</v>
      </c>
      <c r="E18" s="7" t="s">
        <v>5860</v>
      </c>
      <c r="F18" s="7" t="s">
        <v>5861</v>
      </c>
      <c r="G18" s="7"/>
      <c r="H18" s="7" t="s">
        <v>5862</v>
      </c>
      <c r="I18" s="7" t="s">
        <v>5818</v>
      </c>
      <c r="J18" s="7" t="s">
        <v>5818</v>
      </c>
      <c r="K18" s="7" t="s">
        <v>5863</v>
      </c>
    </row>
    <row r="19" customFormat="false" ht="35.05" hidden="false" customHeight="false" outlineLevel="0" collapsed="false">
      <c r="A19" s="7" t="n">
        <v>6</v>
      </c>
      <c r="B19" s="7" t="s">
        <v>147</v>
      </c>
      <c r="C19" s="7" t="s">
        <v>156</v>
      </c>
      <c r="D19" s="7" t="s">
        <v>5864</v>
      </c>
      <c r="E19" s="7" t="s">
        <v>5865</v>
      </c>
      <c r="F19" s="7" t="s">
        <v>5866</v>
      </c>
      <c r="G19" s="7"/>
      <c r="H19" s="7" t="s">
        <v>5867</v>
      </c>
      <c r="I19" s="7" t="s">
        <v>5857</v>
      </c>
      <c r="J19" s="7" t="s">
        <v>5857</v>
      </c>
      <c r="K19" s="7" t="s">
        <v>5868</v>
      </c>
    </row>
    <row r="20" customFormat="false" ht="68.65" hidden="false" customHeight="false" outlineLevel="0" collapsed="false">
      <c r="A20" s="7" t="n">
        <v>8</v>
      </c>
      <c r="B20" s="7" t="s">
        <v>174</v>
      </c>
      <c r="C20" s="7" t="s">
        <v>183</v>
      </c>
      <c r="D20" s="7" t="s">
        <v>68</v>
      </c>
      <c r="E20" s="7" t="s">
        <v>5869</v>
      </c>
      <c r="F20" s="7"/>
      <c r="G20" s="7"/>
      <c r="H20" s="7"/>
      <c r="I20" s="7"/>
      <c r="J20" s="7"/>
      <c r="K20" s="7"/>
    </row>
    <row r="21" customFormat="false" ht="46.25" hidden="false" customHeight="false" outlineLevel="0" collapsed="false">
      <c r="A21" s="7" t="n">
        <v>8</v>
      </c>
      <c r="B21" s="7" t="s">
        <v>174</v>
      </c>
      <c r="C21" s="7" t="s">
        <v>183</v>
      </c>
      <c r="D21" s="7" t="s">
        <v>5870</v>
      </c>
      <c r="E21" s="7" t="s">
        <v>5871</v>
      </c>
      <c r="F21" s="7" t="s">
        <v>5872</v>
      </c>
      <c r="G21" s="7"/>
      <c r="H21" s="7" t="s">
        <v>5873</v>
      </c>
      <c r="I21" s="7" t="s">
        <v>5857</v>
      </c>
      <c r="J21" s="7" t="s">
        <v>5857</v>
      </c>
      <c r="K21" s="7" t="s">
        <v>5874</v>
      </c>
    </row>
    <row r="22" customFormat="false" ht="57.45" hidden="false" customHeight="false" outlineLevel="0" collapsed="false">
      <c r="A22" s="7" t="n">
        <v>8</v>
      </c>
      <c r="B22" s="7" t="s">
        <v>174</v>
      </c>
      <c r="C22" s="7" t="s">
        <v>183</v>
      </c>
      <c r="D22" s="7" t="s">
        <v>5870</v>
      </c>
      <c r="E22" s="7" t="s">
        <v>5875</v>
      </c>
      <c r="F22" s="7" t="s">
        <v>5876</v>
      </c>
      <c r="G22" s="7"/>
      <c r="H22" s="7" t="s">
        <v>5877</v>
      </c>
      <c r="I22" s="7" t="s">
        <v>5805</v>
      </c>
      <c r="J22" s="7" t="s">
        <v>5805</v>
      </c>
      <c r="K22" s="7" t="s">
        <v>5878</v>
      </c>
    </row>
    <row r="23" customFormat="false" ht="23.85" hidden="false" customHeight="false" outlineLevel="0" collapsed="false">
      <c r="A23" s="7" t="n">
        <v>8</v>
      </c>
      <c r="B23" s="7" t="s">
        <v>174</v>
      </c>
      <c r="C23" s="7" t="s">
        <v>183</v>
      </c>
      <c r="D23" s="7" t="s">
        <v>5870</v>
      </c>
      <c r="E23" s="7" t="s">
        <v>5879</v>
      </c>
      <c r="F23" s="7" t="s">
        <v>5880</v>
      </c>
      <c r="G23" s="7"/>
      <c r="H23" s="7" t="s">
        <v>5881</v>
      </c>
      <c r="I23" s="7" t="s">
        <v>5818</v>
      </c>
      <c r="J23" s="7" t="s">
        <v>5818</v>
      </c>
      <c r="K23" s="7" t="s">
        <v>5882</v>
      </c>
    </row>
    <row r="24" customFormat="false" ht="57.45" hidden="false" customHeight="false" outlineLevel="0" collapsed="false">
      <c r="A24" s="7" t="n">
        <v>7</v>
      </c>
      <c r="B24" s="7" t="s">
        <v>160</v>
      </c>
      <c r="C24" s="7" t="s">
        <v>171</v>
      </c>
      <c r="D24" s="7" t="s">
        <v>68</v>
      </c>
      <c r="E24" s="7" t="s">
        <v>5883</v>
      </c>
      <c r="F24" s="7"/>
      <c r="G24" s="7"/>
      <c r="H24" s="7"/>
      <c r="I24" s="7"/>
      <c r="J24" s="7"/>
      <c r="K24" s="7"/>
    </row>
    <row r="25" customFormat="false" ht="68.65" hidden="false" customHeight="false" outlineLevel="0" collapsed="false">
      <c r="A25" s="7" t="n">
        <v>7</v>
      </c>
      <c r="B25" s="7" t="s">
        <v>160</v>
      </c>
      <c r="C25" s="7" t="s">
        <v>171</v>
      </c>
      <c r="D25" s="7" t="s">
        <v>5845</v>
      </c>
      <c r="E25" s="7" t="s">
        <v>5884</v>
      </c>
      <c r="F25" s="7" t="s">
        <v>5885</v>
      </c>
      <c r="G25" s="7"/>
      <c r="H25" s="7" t="s">
        <v>5886</v>
      </c>
      <c r="I25" s="7" t="s">
        <v>5805</v>
      </c>
      <c r="J25" s="7" t="s">
        <v>5805</v>
      </c>
      <c r="K25" s="7" t="s">
        <v>5887</v>
      </c>
    </row>
    <row r="26" customFormat="false" ht="46.25" hidden="false" customHeight="false" outlineLevel="0" collapsed="false">
      <c r="A26" s="7" t="n">
        <v>7</v>
      </c>
      <c r="B26" s="7" t="s">
        <v>160</v>
      </c>
      <c r="C26" s="7" t="s">
        <v>171</v>
      </c>
      <c r="D26" s="7" t="s">
        <v>5845</v>
      </c>
      <c r="E26" s="7" t="s">
        <v>5888</v>
      </c>
      <c r="F26" s="7" t="s">
        <v>5889</v>
      </c>
      <c r="G26" s="7"/>
      <c r="H26" s="7" t="s">
        <v>5890</v>
      </c>
      <c r="I26" s="7" t="s">
        <v>5812</v>
      </c>
      <c r="J26" s="7" t="s">
        <v>5812</v>
      </c>
      <c r="K26" s="7" t="s">
        <v>5891</v>
      </c>
    </row>
    <row r="27" customFormat="false" ht="57.45" hidden="false" customHeight="false" outlineLevel="0" collapsed="false">
      <c r="A27" s="7" t="n">
        <v>7</v>
      </c>
      <c r="B27" s="7" t="s">
        <v>160</v>
      </c>
      <c r="C27" s="7" t="s">
        <v>171</v>
      </c>
      <c r="D27" s="7" t="s">
        <v>5845</v>
      </c>
      <c r="E27" s="7" t="s">
        <v>5892</v>
      </c>
      <c r="F27" s="7" t="s">
        <v>5893</v>
      </c>
      <c r="G27" s="7"/>
      <c r="H27" s="7" t="s">
        <v>5894</v>
      </c>
      <c r="I27" s="7" t="s">
        <v>5805</v>
      </c>
      <c r="J27" s="7" t="s">
        <v>5805</v>
      </c>
      <c r="K27" s="7" t="s">
        <v>5895</v>
      </c>
    </row>
    <row r="28" customFormat="false" ht="35.05" hidden="false" customHeight="false" outlineLevel="0" collapsed="false">
      <c r="A28" s="7" t="n">
        <v>7</v>
      </c>
      <c r="B28" s="7" t="s">
        <v>160</v>
      </c>
      <c r="C28" s="7" t="s">
        <v>171</v>
      </c>
      <c r="D28" s="7" t="s">
        <v>5896</v>
      </c>
      <c r="E28" s="7" t="s">
        <v>5897</v>
      </c>
      <c r="F28" s="7" t="s">
        <v>5898</v>
      </c>
      <c r="G28" s="7"/>
      <c r="H28" s="7" t="s">
        <v>5899</v>
      </c>
      <c r="I28" s="7" t="s">
        <v>5857</v>
      </c>
      <c r="J28" s="7" t="s">
        <v>5857</v>
      </c>
      <c r="K28" s="7" t="s">
        <v>5900</v>
      </c>
    </row>
    <row r="29" customFormat="false" ht="35.05" hidden="false" customHeight="false" outlineLevel="0" collapsed="false">
      <c r="A29" s="7" t="n">
        <v>10</v>
      </c>
      <c r="B29" s="7" t="s">
        <v>202</v>
      </c>
      <c r="C29" s="7" t="s">
        <v>210</v>
      </c>
      <c r="D29" s="7" t="s">
        <v>68</v>
      </c>
      <c r="E29" s="7" t="s">
        <v>5901</v>
      </c>
      <c r="F29" s="7"/>
      <c r="G29" s="7"/>
      <c r="H29" s="7"/>
      <c r="I29" s="7"/>
      <c r="J29" s="7"/>
      <c r="K29" s="7"/>
    </row>
    <row r="30" customFormat="false" ht="35.05" hidden="false" customHeight="false" outlineLevel="0" collapsed="false">
      <c r="A30" s="7" t="n">
        <v>10</v>
      </c>
      <c r="B30" s="7" t="s">
        <v>202</v>
      </c>
      <c r="C30" s="7" t="s">
        <v>210</v>
      </c>
      <c r="D30" s="7" t="s">
        <v>5794</v>
      </c>
      <c r="E30" s="7" t="s">
        <v>5902</v>
      </c>
      <c r="F30" s="7" t="s">
        <v>5903</v>
      </c>
      <c r="G30" s="7"/>
      <c r="H30" s="7" t="s">
        <v>5904</v>
      </c>
      <c r="I30" s="7" t="s">
        <v>5818</v>
      </c>
      <c r="J30" s="7" t="s">
        <v>5818</v>
      </c>
      <c r="K30" s="7" t="s">
        <v>5905</v>
      </c>
    </row>
    <row r="31" customFormat="false" ht="23.85" hidden="false" customHeight="false" outlineLevel="0" collapsed="false">
      <c r="A31" s="7" t="n">
        <v>10</v>
      </c>
      <c r="B31" s="7" t="s">
        <v>202</v>
      </c>
      <c r="C31" s="7" t="s">
        <v>210</v>
      </c>
      <c r="D31" s="7" t="s">
        <v>5906</v>
      </c>
      <c r="E31" s="7" t="s">
        <v>5907</v>
      </c>
      <c r="F31" s="7" t="s">
        <v>5908</v>
      </c>
      <c r="G31" s="7" t="s">
        <v>5909</v>
      </c>
      <c r="H31" s="7" t="s">
        <v>5910</v>
      </c>
      <c r="I31" s="7" t="s">
        <v>5857</v>
      </c>
      <c r="J31" s="7" t="s">
        <v>5857</v>
      </c>
      <c r="K31" s="7" t="s">
        <v>5911</v>
      </c>
    </row>
    <row r="32" customFormat="false" ht="35.05" hidden="false" customHeight="false" outlineLevel="0" collapsed="false">
      <c r="A32" s="7" t="n">
        <v>10</v>
      </c>
      <c r="B32" s="7" t="s">
        <v>202</v>
      </c>
      <c r="C32" s="7" t="s">
        <v>210</v>
      </c>
      <c r="D32" s="7" t="s">
        <v>5912</v>
      </c>
      <c r="E32" s="7" t="s">
        <v>5913</v>
      </c>
      <c r="F32" s="7" t="s">
        <v>5914</v>
      </c>
      <c r="G32" s="7" t="s">
        <v>5915</v>
      </c>
      <c r="H32" s="7" t="s">
        <v>5916</v>
      </c>
      <c r="I32" s="7" t="s">
        <v>5827</v>
      </c>
      <c r="J32" s="7" t="s">
        <v>5827</v>
      </c>
      <c r="K32" s="7" t="s">
        <v>5917</v>
      </c>
    </row>
    <row r="33" customFormat="false" ht="35.05" hidden="false" customHeight="false" outlineLevel="0" collapsed="false">
      <c r="A33" s="7" t="n">
        <v>9</v>
      </c>
      <c r="B33" s="7" t="s">
        <v>186</v>
      </c>
      <c r="C33" s="7" t="s">
        <v>198</v>
      </c>
      <c r="D33" s="7" t="s">
        <v>68</v>
      </c>
      <c r="E33" s="7" t="s">
        <v>5918</v>
      </c>
      <c r="F33" s="7"/>
      <c r="G33" s="7"/>
      <c r="H33" s="7"/>
      <c r="I33" s="7"/>
      <c r="J33" s="7"/>
      <c r="K33" s="7"/>
    </row>
    <row r="34" customFormat="false" ht="35.05" hidden="false" customHeight="false" outlineLevel="0" collapsed="false">
      <c r="A34" s="7" t="n">
        <v>9</v>
      </c>
      <c r="B34" s="7" t="s">
        <v>186</v>
      </c>
      <c r="C34" s="7" t="s">
        <v>198</v>
      </c>
      <c r="D34" s="7" t="s">
        <v>5919</v>
      </c>
      <c r="E34" s="7" t="s">
        <v>5920</v>
      </c>
      <c r="F34" s="7" t="s">
        <v>5921</v>
      </c>
      <c r="G34" s="7"/>
      <c r="H34" s="7" t="s">
        <v>5922</v>
      </c>
      <c r="I34" s="7" t="s">
        <v>5923</v>
      </c>
      <c r="J34" s="7" t="s">
        <v>5827</v>
      </c>
      <c r="K34" s="7" t="s">
        <v>5924</v>
      </c>
    </row>
    <row r="35" customFormat="false" ht="23.85" hidden="false" customHeight="false" outlineLevel="0" collapsed="false">
      <c r="A35" s="7" t="n">
        <v>9</v>
      </c>
      <c r="B35" s="7" t="s">
        <v>186</v>
      </c>
      <c r="C35" s="7" t="s">
        <v>198</v>
      </c>
      <c r="D35" s="7" t="s">
        <v>5919</v>
      </c>
      <c r="E35" s="7" t="s">
        <v>5925</v>
      </c>
      <c r="F35" s="7" t="s">
        <v>5824</v>
      </c>
      <c r="G35" s="7"/>
      <c r="H35" s="7" t="s">
        <v>5926</v>
      </c>
      <c r="I35" s="7" t="s">
        <v>5857</v>
      </c>
      <c r="J35" s="7" t="s">
        <v>5857</v>
      </c>
      <c r="K35" s="7" t="s">
        <v>5927</v>
      </c>
    </row>
    <row r="36" customFormat="false" ht="23.85" hidden="false" customHeight="false" outlineLevel="0" collapsed="false">
      <c r="A36" s="7" t="n">
        <v>5</v>
      </c>
      <c r="B36" s="7" t="s">
        <v>132</v>
      </c>
      <c r="C36" s="7" t="s">
        <v>143</v>
      </c>
      <c r="D36" s="7" t="s">
        <v>68</v>
      </c>
      <c r="E36" s="7" t="s">
        <v>5928</v>
      </c>
      <c r="F36" s="7"/>
      <c r="G36" s="7"/>
      <c r="H36" s="7"/>
      <c r="I36" s="7"/>
      <c r="J36" s="7"/>
      <c r="K36" s="7"/>
    </row>
    <row r="37" customFormat="false" ht="35.05" hidden="false" customHeight="false" outlineLevel="0" collapsed="false">
      <c r="A37" s="7" t="n">
        <v>5</v>
      </c>
      <c r="B37" s="7" t="s">
        <v>132</v>
      </c>
      <c r="C37" s="7" t="s">
        <v>143</v>
      </c>
      <c r="D37" s="7" t="s">
        <v>5794</v>
      </c>
      <c r="E37" s="7" t="s">
        <v>5929</v>
      </c>
      <c r="F37" s="7" t="s">
        <v>5930</v>
      </c>
      <c r="G37" s="7"/>
      <c r="H37" s="7" t="s">
        <v>5931</v>
      </c>
      <c r="I37" s="7" t="s">
        <v>5818</v>
      </c>
      <c r="J37" s="7" t="s">
        <v>5818</v>
      </c>
      <c r="K37" s="7" t="s">
        <v>5932</v>
      </c>
    </row>
    <row r="38" customFormat="false" ht="23.85" hidden="false" customHeight="false" outlineLevel="0" collapsed="false">
      <c r="A38" s="7" t="n">
        <v>5</v>
      </c>
      <c r="B38" s="7" t="s">
        <v>132</v>
      </c>
      <c r="C38" s="7" t="s">
        <v>143</v>
      </c>
      <c r="D38" s="7" t="s">
        <v>5794</v>
      </c>
      <c r="E38" s="7" t="s">
        <v>5933</v>
      </c>
      <c r="F38" s="7" t="s">
        <v>5934</v>
      </c>
      <c r="G38" s="7"/>
      <c r="H38" s="7" t="s">
        <v>5935</v>
      </c>
      <c r="I38" s="7" t="s">
        <v>5818</v>
      </c>
      <c r="J38" s="7" t="s">
        <v>5818</v>
      </c>
      <c r="K38" s="7" t="s">
        <v>5936</v>
      </c>
    </row>
    <row r="39" customFormat="false" ht="68.65" hidden="false" customHeight="false" outlineLevel="0" collapsed="false">
      <c r="A39" s="7" t="n">
        <v>5</v>
      </c>
      <c r="B39" s="7" t="s">
        <v>132</v>
      </c>
      <c r="C39" s="7" t="s">
        <v>143</v>
      </c>
      <c r="D39" s="7" t="s">
        <v>5937</v>
      </c>
      <c r="E39" s="7" t="s">
        <v>5938</v>
      </c>
      <c r="F39" s="7" t="s">
        <v>5939</v>
      </c>
      <c r="G39" s="7" t="s">
        <v>5940</v>
      </c>
      <c r="H39" s="7" t="s">
        <v>5941</v>
      </c>
      <c r="I39" s="7" t="s">
        <v>5812</v>
      </c>
      <c r="J39" s="7" t="s">
        <v>5812</v>
      </c>
      <c r="K39" s="7" t="s">
        <v>5942</v>
      </c>
    </row>
    <row r="40" customFormat="false" ht="35.05" hidden="false" customHeight="false" outlineLevel="0" collapsed="false">
      <c r="A40" s="7" t="n">
        <v>12</v>
      </c>
      <c r="B40" s="7" t="s">
        <v>226</v>
      </c>
      <c r="C40" s="7" t="s">
        <v>235</v>
      </c>
      <c r="D40" s="7" t="s">
        <v>68</v>
      </c>
      <c r="E40" s="7" t="s">
        <v>5943</v>
      </c>
      <c r="F40" s="7"/>
      <c r="G40" s="7"/>
      <c r="H40" s="7"/>
      <c r="I40" s="7"/>
      <c r="J40" s="7"/>
      <c r="K40" s="7"/>
    </row>
    <row r="41" customFormat="false" ht="35.05" hidden="false" customHeight="false" outlineLevel="0" collapsed="false">
      <c r="A41" s="7" t="n">
        <v>12</v>
      </c>
      <c r="B41" s="7" t="s">
        <v>226</v>
      </c>
      <c r="C41" s="7" t="s">
        <v>235</v>
      </c>
      <c r="D41" s="7" t="s">
        <v>5794</v>
      </c>
      <c r="E41" s="7" t="s">
        <v>5944</v>
      </c>
      <c r="F41" s="7" t="s">
        <v>5945</v>
      </c>
      <c r="G41" s="7"/>
      <c r="H41" s="7" t="s">
        <v>5946</v>
      </c>
      <c r="I41" s="7" t="s">
        <v>5805</v>
      </c>
      <c r="J41" s="7" t="s">
        <v>5805</v>
      </c>
      <c r="K41" s="7" t="s">
        <v>5947</v>
      </c>
    </row>
    <row r="42" customFormat="false" ht="35.05" hidden="false" customHeight="false" outlineLevel="0" collapsed="false">
      <c r="A42" s="7" t="n">
        <v>12</v>
      </c>
      <c r="B42" s="7" t="s">
        <v>226</v>
      </c>
      <c r="C42" s="7" t="s">
        <v>235</v>
      </c>
      <c r="D42" s="7" t="s">
        <v>5948</v>
      </c>
      <c r="E42" s="7" t="s">
        <v>5949</v>
      </c>
      <c r="F42" s="7"/>
      <c r="G42" s="7"/>
      <c r="H42" s="7" t="s">
        <v>5950</v>
      </c>
      <c r="I42" s="7" t="s">
        <v>5857</v>
      </c>
      <c r="J42" s="7" t="s">
        <v>5857</v>
      </c>
      <c r="K42" s="7" t="s">
        <v>5951</v>
      </c>
    </row>
    <row r="43" customFormat="false" ht="23.85" hidden="false" customHeight="false" outlineLevel="0" collapsed="false">
      <c r="A43" s="7" t="n">
        <v>12</v>
      </c>
      <c r="B43" s="7" t="s">
        <v>226</v>
      </c>
      <c r="C43" s="7" t="s">
        <v>235</v>
      </c>
      <c r="D43" s="7" t="s">
        <v>5823</v>
      </c>
      <c r="E43" s="7" t="s">
        <v>5952</v>
      </c>
      <c r="F43" s="7"/>
      <c r="G43" s="7"/>
      <c r="H43" s="7" t="s">
        <v>5953</v>
      </c>
      <c r="I43" s="7" t="s">
        <v>5827</v>
      </c>
      <c r="J43" s="7" t="s">
        <v>5827</v>
      </c>
      <c r="K43" s="7" t="s">
        <v>5954</v>
      </c>
    </row>
    <row r="44" customFormat="false" ht="68.65" hidden="false" customHeight="false" outlineLevel="0" collapsed="false">
      <c r="A44" s="7" t="n">
        <v>11</v>
      </c>
      <c r="B44" s="7" t="s">
        <v>213</v>
      </c>
      <c r="C44" s="7" t="s">
        <v>5955</v>
      </c>
      <c r="D44" s="7" t="s">
        <v>68</v>
      </c>
      <c r="E44" s="7" t="s">
        <v>5956</v>
      </c>
      <c r="F44" s="7"/>
      <c r="G44" s="7"/>
      <c r="H44" s="7"/>
      <c r="I44" s="7"/>
      <c r="J44" s="7"/>
      <c r="K44" s="7"/>
    </row>
    <row r="45" customFormat="false" ht="79.85" hidden="false" customHeight="false" outlineLevel="0" collapsed="false">
      <c r="A45" s="7" t="n">
        <v>11</v>
      </c>
      <c r="B45" s="7" t="s">
        <v>213</v>
      </c>
      <c r="C45" s="7" t="s">
        <v>5955</v>
      </c>
      <c r="D45" s="7" t="s">
        <v>5845</v>
      </c>
      <c r="E45" s="7" t="s">
        <v>5957</v>
      </c>
      <c r="F45" s="7" t="s">
        <v>5958</v>
      </c>
      <c r="G45" s="7"/>
      <c r="H45" s="7" t="s">
        <v>5959</v>
      </c>
      <c r="I45" s="7" t="s">
        <v>5805</v>
      </c>
      <c r="J45" s="7" t="s">
        <v>5805</v>
      </c>
      <c r="K45" s="7" t="s">
        <v>5960</v>
      </c>
    </row>
    <row r="46" customFormat="false" ht="35.05" hidden="false" customHeight="false" outlineLevel="0" collapsed="false">
      <c r="A46" s="7" t="n">
        <v>11</v>
      </c>
      <c r="B46" s="7" t="s">
        <v>213</v>
      </c>
      <c r="C46" s="7" t="s">
        <v>5955</v>
      </c>
      <c r="D46" s="7" t="s">
        <v>5845</v>
      </c>
      <c r="E46" s="7" t="s">
        <v>5961</v>
      </c>
      <c r="F46" s="7"/>
      <c r="G46" s="7"/>
      <c r="H46" s="7" t="s">
        <v>5962</v>
      </c>
      <c r="I46" s="7" t="s">
        <v>5818</v>
      </c>
      <c r="J46" s="7" t="s">
        <v>5818</v>
      </c>
      <c r="K46" s="7" t="s">
        <v>5963</v>
      </c>
    </row>
    <row r="47" customFormat="false" ht="23.85" hidden="false" customHeight="false" outlineLevel="0" collapsed="false">
      <c r="A47" s="7" t="n">
        <v>11</v>
      </c>
      <c r="B47" s="7" t="s">
        <v>213</v>
      </c>
      <c r="C47" s="7" t="s">
        <v>5955</v>
      </c>
      <c r="D47" s="7" t="s">
        <v>5964</v>
      </c>
      <c r="E47" s="7" t="s">
        <v>5965</v>
      </c>
      <c r="F47" s="7" t="s">
        <v>5966</v>
      </c>
      <c r="G47" s="7"/>
      <c r="H47" s="7" t="s">
        <v>5967</v>
      </c>
      <c r="I47" s="7" t="s">
        <v>5857</v>
      </c>
      <c r="J47" s="7" t="s">
        <v>5857</v>
      </c>
      <c r="K47" s="7" t="s">
        <v>5968</v>
      </c>
    </row>
    <row r="48" customFormat="false" ht="57.45" hidden="false" customHeight="false" outlineLevel="0" collapsed="false">
      <c r="A48" s="7" t="n">
        <v>11</v>
      </c>
      <c r="B48" s="7" t="s">
        <v>213</v>
      </c>
      <c r="C48" s="7" t="s">
        <v>5955</v>
      </c>
      <c r="D48" s="7" t="s">
        <v>5794</v>
      </c>
      <c r="E48" s="7" t="s">
        <v>5969</v>
      </c>
      <c r="F48" s="7" t="s">
        <v>5970</v>
      </c>
      <c r="G48" s="7"/>
      <c r="H48" s="7" t="s">
        <v>5971</v>
      </c>
      <c r="I48" s="7" t="s">
        <v>5805</v>
      </c>
      <c r="J48" s="7" t="s">
        <v>5805</v>
      </c>
      <c r="K48" s="7" t="s">
        <v>5972</v>
      </c>
    </row>
    <row r="49" customFormat="false" ht="68.65" hidden="false" customHeight="false" outlineLevel="0" collapsed="false">
      <c r="A49" s="7" t="n">
        <v>13</v>
      </c>
      <c r="B49" s="7" t="s">
        <v>238</v>
      </c>
      <c r="C49" s="7" t="s">
        <v>248</v>
      </c>
      <c r="D49" s="7" t="s">
        <v>68</v>
      </c>
      <c r="E49" s="7" t="s">
        <v>5973</v>
      </c>
      <c r="F49" s="7"/>
      <c r="G49" s="7"/>
      <c r="H49" s="7"/>
      <c r="I49" s="7"/>
      <c r="J49" s="7"/>
      <c r="K49" s="7"/>
    </row>
    <row r="50" customFormat="false" ht="91" hidden="false" customHeight="false" outlineLevel="0" collapsed="false">
      <c r="A50" s="7" t="n">
        <v>13</v>
      </c>
      <c r="B50" s="7" t="s">
        <v>238</v>
      </c>
      <c r="C50" s="7" t="s">
        <v>248</v>
      </c>
      <c r="D50" s="7" t="s">
        <v>5974</v>
      </c>
      <c r="E50" s="7" t="s">
        <v>5975</v>
      </c>
      <c r="F50" s="7" t="s">
        <v>5976</v>
      </c>
      <c r="G50" s="7" t="s">
        <v>5977</v>
      </c>
      <c r="H50" s="7" t="s">
        <v>5978</v>
      </c>
      <c r="I50" s="7" t="s">
        <v>5857</v>
      </c>
      <c r="J50" s="7" t="s">
        <v>5857</v>
      </c>
      <c r="K50" s="7" t="s">
        <v>5979</v>
      </c>
    </row>
    <row r="51" customFormat="false" ht="68.65" hidden="false" customHeight="false" outlineLevel="0" collapsed="false">
      <c r="A51" s="7" t="n">
        <v>13</v>
      </c>
      <c r="B51" s="7" t="s">
        <v>238</v>
      </c>
      <c r="C51" s="7" t="s">
        <v>248</v>
      </c>
      <c r="D51" s="7" t="s">
        <v>5974</v>
      </c>
      <c r="E51" s="7" t="s">
        <v>5815</v>
      </c>
      <c r="F51" s="7" t="s">
        <v>5980</v>
      </c>
      <c r="G51" s="7"/>
      <c r="H51" s="7" t="s">
        <v>5981</v>
      </c>
      <c r="I51" s="7" t="s">
        <v>5982</v>
      </c>
      <c r="J51" s="7" t="s">
        <v>5827</v>
      </c>
      <c r="K51" s="7" t="s">
        <v>5983</v>
      </c>
    </row>
    <row r="52" customFormat="false" ht="46.25" hidden="false" customHeight="false" outlineLevel="0" collapsed="false">
      <c r="A52" s="7" t="n">
        <v>13</v>
      </c>
      <c r="B52" s="7" t="s">
        <v>238</v>
      </c>
      <c r="C52" s="7" t="s">
        <v>248</v>
      </c>
      <c r="D52" s="7" t="s">
        <v>5974</v>
      </c>
      <c r="E52" s="7" t="s">
        <v>5984</v>
      </c>
      <c r="F52" s="7" t="s">
        <v>5985</v>
      </c>
      <c r="G52" s="7"/>
      <c r="H52" s="7" t="s">
        <v>5986</v>
      </c>
      <c r="I52" s="7" t="s">
        <v>5857</v>
      </c>
      <c r="J52" s="7" t="s">
        <v>5857</v>
      </c>
      <c r="K52" s="7" t="s">
        <v>5987</v>
      </c>
    </row>
    <row r="53" customFormat="false" ht="46.25" hidden="false" customHeight="false" outlineLevel="0" collapsed="false">
      <c r="A53" s="7" t="n">
        <v>13</v>
      </c>
      <c r="B53" s="7" t="s">
        <v>238</v>
      </c>
      <c r="C53" s="7" t="s">
        <v>248</v>
      </c>
      <c r="D53" s="7" t="s">
        <v>5974</v>
      </c>
      <c r="E53" s="7" t="s">
        <v>5988</v>
      </c>
      <c r="F53" s="7" t="s">
        <v>5989</v>
      </c>
      <c r="G53" s="7"/>
      <c r="H53" s="7" t="s">
        <v>5990</v>
      </c>
      <c r="I53" s="7" t="s">
        <v>5818</v>
      </c>
      <c r="J53" s="7" t="s">
        <v>5818</v>
      </c>
      <c r="K53" s="7" t="s">
        <v>5991</v>
      </c>
    </row>
    <row r="54" customFormat="false" ht="57.45" hidden="false" customHeight="false" outlineLevel="0" collapsed="false">
      <c r="A54" s="7" t="n">
        <v>14</v>
      </c>
      <c r="B54" s="7" t="s">
        <v>251</v>
      </c>
      <c r="C54" s="7" t="s">
        <v>263</v>
      </c>
      <c r="D54" s="7" t="s">
        <v>68</v>
      </c>
      <c r="E54" s="7" t="s">
        <v>5992</v>
      </c>
      <c r="F54" s="7"/>
      <c r="G54" s="7"/>
      <c r="H54" s="7"/>
      <c r="I54" s="7"/>
      <c r="J54" s="7"/>
      <c r="K54" s="7"/>
    </row>
    <row r="55" customFormat="false" ht="91" hidden="false" customHeight="false" outlineLevel="0" collapsed="false">
      <c r="A55" s="7" t="n">
        <v>14</v>
      </c>
      <c r="B55" s="7" t="s">
        <v>251</v>
      </c>
      <c r="C55" s="7" t="s">
        <v>263</v>
      </c>
      <c r="D55" s="7" t="s">
        <v>5993</v>
      </c>
      <c r="E55" s="7" t="s">
        <v>5994</v>
      </c>
      <c r="F55" s="7" t="s">
        <v>5995</v>
      </c>
      <c r="G55" s="7" t="s">
        <v>5996</v>
      </c>
      <c r="H55" s="7" t="s">
        <v>5997</v>
      </c>
      <c r="I55" s="7" t="s">
        <v>5857</v>
      </c>
      <c r="J55" s="7" t="s">
        <v>5857</v>
      </c>
      <c r="K55" s="7" t="s">
        <v>5998</v>
      </c>
    </row>
    <row r="56" customFormat="false" ht="91" hidden="false" customHeight="false" outlineLevel="0" collapsed="false">
      <c r="A56" s="7" t="n">
        <v>14</v>
      </c>
      <c r="B56" s="7" t="s">
        <v>251</v>
      </c>
      <c r="C56" s="7" t="s">
        <v>263</v>
      </c>
      <c r="D56" s="7" t="s">
        <v>5937</v>
      </c>
      <c r="E56" s="7" t="s">
        <v>5999</v>
      </c>
      <c r="F56" s="7" t="s">
        <v>6000</v>
      </c>
      <c r="G56" s="7" t="s">
        <v>6001</v>
      </c>
      <c r="H56" s="7" t="s">
        <v>6002</v>
      </c>
      <c r="I56" s="7" t="s">
        <v>5812</v>
      </c>
      <c r="J56" s="7" t="s">
        <v>5812</v>
      </c>
      <c r="K56" s="7" t="s">
        <v>6003</v>
      </c>
    </row>
    <row r="57" customFormat="false" ht="35.05" hidden="false" customHeight="false" outlineLevel="0" collapsed="false">
      <c r="A57" s="7" t="n">
        <v>14</v>
      </c>
      <c r="B57" s="7" t="s">
        <v>251</v>
      </c>
      <c r="C57" s="7" t="s">
        <v>263</v>
      </c>
      <c r="D57" s="7" t="s">
        <v>6004</v>
      </c>
      <c r="E57" s="7" t="s">
        <v>6005</v>
      </c>
      <c r="F57" s="7"/>
      <c r="G57" s="7"/>
      <c r="H57" s="7" t="s">
        <v>6006</v>
      </c>
      <c r="I57" s="7" t="s">
        <v>5827</v>
      </c>
      <c r="J57" s="7" t="s">
        <v>5827</v>
      </c>
      <c r="K57" s="7" t="s">
        <v>6007</v>
      </c>
    </row>
    <row r="58" customFormat="false" ht="46.25" hidden="false" customHeight="false" outlineLevel="0" collapsed="false">
      <c r="A58" s="7" t="n">
        <v>17</v>
      </c>
      <c r="B58" s="7" t="s">
        <v>294</v>
      </c>
      <c r="C58" s="7" t="s">
        <v>305</v>
      </c>
      <c r="D58" s="7" t="s">
        <v>68</v>
      </c>
      <c r="E58" s="7" t="s">
        <v>6008</v>
      </c>
      <c r="F58" s="7"/>
      <c r="G58" s="7"/>
      <c r="H58" s="7"/>
      <c r="I58" s="7"/>
      <c r="J58" s="7"/>
      <c r="K58" s="7"/>
    </row>
    <row r="59" customFormat="false" ht="35.05" hidden="false" customHeight="false" outlineLevel="0" collapsed="false">
      <c r="A59" s="7" t="n">
        <v>17</v>
      </c>
      <c r="B59" s="7" t="s">
        <v>294</v>
      </c>
      <c r="C59" s="7" t="s">
        <v>305</v>
      </c>
      <c r="D59" s="7" t="s">
        <v>6009</v>
      </c>
      <c r="E59" s="7" t="s">
        <v>6010</v>
      </c>
      <c r="F59" s="7" t="s">
        <v>6011</v>
      </c>
      <c r="G59" s="7"/>
      <c r="H59" s="7" t="s">
        <v>6012</v>
      </c>
      <c r="I59" s="7" t="s">
        <v>5812</v>
      </c>
      <c r="J59" s="7" t="s">
        <v>5812</v>
      </c>
      <c r="K59" s="7" t="s">
        <v>6013</v>
      </c>
    </row>
    <row r="60" customFormat="false" ht="23.85" hidden="false" customHeight="false" outlineLevel="0" collapsed="false">
      <c r="A60" s="7" t="n">
        <v>17</v>
      </c>
      <c r="B60" s="7" t="s">
        <v>294</v>
      </c>
      <c r="C60" s="7" t="s">
        <v>305</v>
      </c>
      <c r="D60" s="7" t="s">
        <v>6009</v>
      </c>
      <c r="E60" s="7" t="s">
        <v>6014</v>
      </c>
      <c r="F60" s="7" t="s">
        <v>6015</v>
      </c>
      <c r="G60" s="7"/>
      <c r="H60" s="7" t="s">
        <v>6016</v>
      </c>
      <c r="I60" s="7" t="s">
        <v>5857</v>
      </c>
      <c r="J60" s="7" t="s">
        <v>5857</v>
      </c>
      <c r="K60" s="7" t="s">
        <v>6013</v>
      </c>
    </row>
    <row r="61" customFormat="false" ht="23.85" hidden="false" customHeight="false" outlineLevel="0" collapsed="false">
      <c r="A61" s="7" t="n">
        <v>17</v>
      </c>
      <c r="B61" s="7" t="s">
        <v>294</v>
      </c>
      <c r="C61" s="7" t="s">
        <v>305</v>
      </c>
      <c r="D61" s="7" t="s">
        <v>5823</v>
      </c>
      <c r="E61" s="7" t="s">
        <v>6017</v>
      </c>
      <c r="F61" s="7"/>
      <c r="G61" s="7"/>
      <c r="H61" s="7" t="s">
        <v>6018</v>
      </c>
      <c r="I61" s="7" t="s">
        <v>5827</v>
      </c>
      <c r="J61" s="7" t="s">
        <v>5827</v>
      </c>
      <c r="K61" s="7" t="s">
        <v>6013</v>
      </c>
    </row>
    <row r="62" customFormat="false" ht="91" hidden="false" customHeight="false" outlineLevel="0" collapsed="false">
      <c r="A62" s="7" t="n">
        <v>17</v>
      </c>
      <c r="B62" s="7" t="s">
        <v>294</v>
      </c>
      <c r="C62" s="7" t="s">
        <v>305</v>
      </c>
      <c r="D62" s="7" t="s">
        <v>6019</v>
      </c>
      <c r="E62" s="7" t="s">
        <v>6020</v>
      </c>
      <c r="F62" s="7" t="s">
        <v>6021</v>
      </c>
      <c r="G62" s="7" t="s">
        <v>6022</v>
      </c>
      <c r="H62" s="7" t="s">
        <v>6023</v>
      </c>
      <c r="I62" s="7" t="s">
        <v>5812</v>
      </c>
      <c r="J62" s="7" t="s">
        <v>5812</v>
      </c>
      <c r="K62" s="7" t="s">
        <v>6024</v>
      </c>
    </row>
    <row r="63" customFormat="false" ht="35.05" hidden="false" customHeight="false" outlineLevel="0" collapsed="false">
      <c r="A63" s="7" t="n">
        <v>16</v>
      </c>
      <c r="B63" s="7" t="s">
        <v>280</v>
      </c>
      <c r="C63" s="7" t="s">
        <v>291</v>
      </c>
      <c r="D63" s="7" t="s">
        <v>68</v>
      </c>
      <c r="E63" s="7" t="s">
        <v>6025</v>
      </c>
      <c r="F63" s="7"/>
      <c r="G63" s="7"/>
      <c r="H63" s="7"/>
      <c r="I63" s="7"/>
      <c r="J63" s="7"/>
      <c r="K63" s="7"/>
    </row>
    <row r="64" customFormat="false" ht="35.05" hidden="false" customHeight="false" outlineLevel="0" collapsed="false">
      <c r="A64" s="7" t="n">
        <v>16</v>
      </c>
      <c r="B64" s="7" t="s">
        <v>280</v>
      </c>
      <c r="C64" s="7" t="s">
        <v>291</v>
      </c>
      <c r="D64" s="7" t="s">
        <v>5794</v>
      </c>
      <c r="E64" s="7" t="s">
        <v>6026</v>
      </c>
      <c r="F64" s="7" t="s">
        <v>6027</v>
      </c>
      <c r="G64" s="7"/>
      <c r="H64" s="7" t="s">
        <v>6028</v>
      </c>
      <c r="I64" s="7" t="s">
        <v>5857</v>
      </c>
      <c r="J64" s="7" t="s">
        <v>5857</v>
      </c>
      <c r="K64" s="7" t="s">
        <v>6029</v>
      </c>
    </row>
    <row r="65" customFormat="false" ht="68.65" hidden="false" customHeight="false" outlineLevel="0" collapsed="false">
      <c r="A65" s="7" t="n">
        <v>16</v>
      </c>
      <c r="B65" s="7" t="s">
        <v>280</v>
      </c>
      <c r="C65" s="7" t="s">
        <v>291</v>
      </c>
      <c r="D65" s="7" t="s">
        <v>6030</v>
      </c>
      <c r="E65" s="7" t="s">
        <v>6031</v>
      </c>
      <c r="F65" s="7" t="s">
        <v>6032</v>
      </c>
      <c r="G65" s="7" t="s">
        <v>6033</v>
      </c>
      <c r="H65" s="7" t="s">
        <v>6034</v>
      </c>
      <c r="I65" s="7" t="s">
        <v>5812</v>
      </c>
      <c r="J65" s="7" t="s">
        <v>5812</v>
      </c>
      <c r="K65" s="7" t="s">
        <v>6035</v>
      </c>
    </row>
    <row r="66" customFormat="false" ht="57.45" hidden="false" customHeight="false" outlineLevel="0" collapsed="false">
      <c r="A66" s="7" t="n">
        <v>15</v>
      </c>
      <c r="B66" s="7" t="s">
        <v>267</v>
      </c>
      <c r="C66" s="7" t="s">
        <v>277</v>
      </c>
      <c r="D66" s="7" t="s">
        <v>68</v>
      </c>
      <c r="E66" s="7" t="s">
        <v>6036</v>
      </c>
      <c r="F66" s="7"/>
      <c r="G66" s="7"/>
      <c r="H66" s="7"/>
      <c r="I66" s="7"/>
      <c r="J66" s="7"/>
      <c r="K66" s="7"/>
    </row>
    <row r="67" customFormat="false" ht="35.05" hidden="false" customHeight="false" outlineLevel="0" collapsed="false">
      <c r="A67" s="7" t="n">
        <v>15</v>
      </c>
      <c r="B67" s="7" t="s">
        <v>267</v>
      </c>
      <c r="C67" s="7" t="s">
        <v>277</v>
      </c>
      <c r="D67" s="7" t="s">
        <v>5794</v>
      </c>
      <c r="E67" s="7" t="s">
        <v>6037</v>
      </c>
      <c r="F67" s="7" t="s">
        <v>6038</v>
      </c>
      <c r="G67" s="7" t="s">
        <v>6039</v>
      </c>
      <c r="H67" s="7" t="s">
        <v>6040</v>
      </c>
      <c r="I67" s="7" t="s">
        <v>5805</v>
      </c>
      <c r="J67" s="7" t="s">
        <v>5805</v>
      </c>
      <c r="K67" s="7" t="s">
        <v>6041</v>
      </c>
    </row>
    <row r="68" customFormat="false" ht="23.85" hidden="false" customHeight="false" outlineLevel="0" collapsed="false">
      <c r="A68" s="7" t="n">
        <v>15</v>
      </c>
      <c r="B68" s="7" t="s">
        <v>267</v>
      </c>
      <c r="C68" s="7" t="s">
        <v>277</v>
      </c>
      <c r="D68" s="7" t="s">
        <v>6042</v>
      </c>
      <c r="E68" s="7" t="s">
        <v>6043</v>
      </c>
      <c r="F68" s="7" t="s">
        <v>6044</v>
      </c>
      <c r="G68" s="7" t="s">
        <v>6045</v>
      </c>
      <c r="H68" s="7" t="s">
        <v>6046</v>
      </c>
      <c r="I68" s="7" t="s">
        <v>5805</v>
      </c>
      <c r="J68" s="7" t="s">
        <v>5805</v>
      </c>
      <c r="K68" s="7" t="s">
        <v>6041</v>
      </c>
    </row>
    <row r="69" customFormat="false" ht="23.85" hidden="false" customHeight="false" outlineLevel="0" collapsed="false">
      <c r="A69" s="7" t="n">
        <v>15</v>
      </c>
      <c r="B69" s="7" t="s">
        <v>267</v>
      </c>
      <c r="C69" s="7" t="s">
        <v>277</v>
      </c>
      <c r="D69" s="7" t="s">
        <v>5794</v>
      </c>
      <c r="E69" s="7" t="s">
        <v>6047</v>
      </c>
      <c r="F69" s="7" t="s">
        <v>6048</v>
      </c>
      <c r="G69" s="7"/>
      <c r="H69" s="7" t="s">
        <v>6049</v>
      </c>
      <c r="I69" s="7" t="s">
        <v>5818</v>
      </c>
      <c r="J69" s="7" t="s">
        <v>5818</v>
      </c>
      <c r="K69" s="7" t="s">
        <v>6050</v>
      </c>
    </row>
    <row r="70" customFormat="false" ht="23.85" hidden="false" customHeight="false" outlineLevel="0" collapsed="false">
      <c r="A70" s="7" t="n">
        <v>15</v>
      </c>
      <c r="B70" s="7" t="s">
        <v>267</v>
      </c>
      <c r="C70" s="7" t="s">
        <v>277</v>
      </c>
      <c r="D70" s="7" t="s">
        <v>5993</v>
      </c>
      <c r="E70" s="7" t="s">
        <v>6051</v>
      </c>
      <c r="F70" s="7"/>
      <c r="G70" s="7"/>
      <c r="H70" s="7" t="s">
        <v>6052</v>
      </c>
      <c r="I70" s="7" t="s">
        <v>5812</v>
      </c>
      <c r="J70" s="7" t="s">
        <v>5812</v>
      </c>
      <c r="K70" s="7" t="s">
        <v>6053</v>
      </c>
    </row>
    <row r="71" customFormat="false" ht="57.45" hidden="false" customHeight="false" outlineLevel="0" collapsed="false">
      <c r="A71" s="7" t="n">
        <v>19</v>
      </c>
      <c r="B71" s="7" t="s">
        <v>320</v>
      </c>
      <c r="C71" s="7" t="s">
        <v>330</v>
      </c>
      <c r="D71" s="7" t="s">
        <v>68</v>
      </c>
      <c r="E71" s="7" t="s">
        <v>6054</v>
      </c>
      <c r="F71" s="7"/>
      <c r="G71" s="7"/>
      <c r="H71" s="7"/>
      <c r="I71" s="7"/>
      <c r="J71" s="7"/>
      <c r="K71" s="7"/>
    </row>
    <row r="72" customFormat="false" ht="57.45" hidden="false" customHeight="false" outlineLevel="0" collapsed="false">
      <c r="A72" s="7" t="n">
        <v>19</v>
      </c>
      <c r="B72" s="7" t="s">
        <v>320</v>
      </c>
      <c r="C72" s="7" t="s">
        <v>330</v>
      </c>
      <c r="D72" s="7" t="s">
        <v>6055</v>
      </c>
      <c r="E72" s="7" t="s">
        <v>6056</v>
      </c>
      <c r="F72" s="7" t="s">
        <v>6057</v>
      </c>
      <c r="G72" s="7"/>
      <c r="H72" s="7" t="s">
        <v>6058</v>
      </c>
      <c r="I72" s="7" t="s">
        <v>5857</v>
      </c>
      <c r="J72" s="7" t="s">
        <v>5857</v>
      </c>
      <c r="K72" s="7" t="s">
        <v>6059</v>
      </c>
    </row>
    <row r="73" customFormat="false" ht="35.05" hidden="false" customHeight="false" outlineLevel="0" collapsed="false">
      <c r="A73" s="7" t="n">
        <v>19</v>
      </c>
      <c r="B73" s="7" t="s">
        <v>320</v>
      </c>
      <c r="C73" s="7" t="s">
        <v>330</v>
      </c>
      <c r="D73" s="7" t="s">
        <v>6055</v>
      </c>
      <c r="E73" s="7" t="s">
        <v>5925</v>
      </c>
      <c r="F73" s="7" t="s">
        <v>6060</v>
      </c>
      <c r="G73" s="7"/>
      <c r="H73" s="7" t="s">
        <v>6061</v>
      </c>
      <c r="I73" s="7" t="s">
        <v>5827</v>
      </c>
      <c r="J73" s="7" t="s">
        <v>5827</v>
      </c>
      <c r="K73" s="7" t="s">
        <v>6059</v>
      </c>
    </row>
    <row r="74" customFormat="false" ht="35.05" hidden="false" customHeight="false" outlineLevel="0" collapsed="false">
      <c r="A74" s="7" t="n">
        <v>19</v>
      </c>
      <c r="B74" s="7" t="s">
        <v>320</v>
      </c>
      <c r="C74" s="7" t="s">
        <v>330</v>
      </c>
      <c r="D74" s="7" t="s">
        <v>6055</v>
      </c>
      <c r="E74" s="7" t="s">
        <v>6062</v>
      </c>
      <c r="F74" s="7" t="s">
        <v>6063</v>
      </c>
      <c r="G74" s="7" t="s">
        <v>6064</v>
      </c>
      <c r="H74" s="7" t="s">
        <v>6065</v>
      </c>
      <c r="I74" s="7" t="s">
        <v>5857</v>
      </c>
      <c r="J74" s="7" t="s">
        <v>5857</v>
      </c>
      <c r="K74" s="7" t="s">
        <v>6066</v>
      </c>
    </row>
    <row r="75" customFormat="false" ht="46.25" hidden="false" customHeight="false" outlineLevel="0" collapsed="false">
      <c r="A75" s="7" t="n">
        <v>19</v>
      </c>
      <c r="B75" s="7" t="s">
        <v>320</v>
      </c>
      <c r="C75" s="7" t="s">
        <v>330</v>
      </c>
      <c r="D75" s="7" t="s">
        <v>6055</v>
      </c>
      <c r="E75" s="7" t="s">
        <v>6067</v>
      </c>
      <c r="F75" s="7" t="s">
        <v>6068</v>
      </c>
      <c r="G75" s="7"/>
      <c r="H75" s="7" t="s">
        <v>6069</v>
      </c>
      <c r="I75" s="7" t="s">
        <v>5827</v>
      </c>
      <c r="J75" s="7" t="s">
        <v>5827</v>
      </c>
      <c r="K75" s="7" t="s">
        <v>6070</v>
      </c>
    </row>
    <row r="76" customFormat="false" ht="46.25" hidden="false" customHeight="false" outlineLevel="0" collapsed="false">
      <c r="A76" s="7" t="n">
        <v>18</v>
      </c>
      <c r="B76" s="7" t="s">
        <v>308</v>
      </c>
      <c r="C76" s="7" t="s">
        <v>317</v>
      </c>
      <c r="D76" s="7" t="s">
        <v>68</v>
      </c>
      <c r="E76" s="7" t="s">
        <v>6071</v>
      </c>
      <c r="F76" s="7"/>
      <c r="G76" s="7"/>
      <c r="H76" s="7"/>
      <c r="I76" s="7"/>
      <c r="J76" s="7"/>
      <c r="K76" s="7"/>
    </row>
    <row r="77" customFormat="false" ht="135.8" hidden="false" customHeight="false" outlineLevel="0" collapsed="false">
      <c r="A77" s="7" t="n">
        <v>18</v>
      </c>
      <c r="B77" s="7" t="s">
        <v>308</v>
      </c>
      <c r="C77" s="7" t="s">
        <v>317</v>
      </c>
      <c r="D77" s="7" t="s">
        <v>5974</v>
      </c>
      <c r="E77" s="7" t="s">
        <v>6014</v>
      </c>
      <c r="F77" s="7" t="s">
        <v>6072</v>
      </c>
      <c r="G77" s="7" t="s">
        <v>6073</v>
      </c>
      <c r="H77" s="7" t="s">
        <v>6074</v>
      </c>
      <c r="I77" s="7" t="s">
        <v>5812</v>
      </c>
      <c r="J77" s="7" t="s">
        <v>5812</v>
      </c>
      <c r="K77" s="7" t="s">
        <v>6075</v>
      </c>
    </row>
    <row r="78" customFormat="false" ht="68.65" hidden="false" customHeight="false" outlineLevel="0" collapsed="false">
      <c r="A78" s="7" t="n">
        <v>18</v>
      </c>
      <c r="B78" s="7" t="s">
        <v>308</v>
      </c>
      <c r="C78" s="7" t="s">
        <v>317</v>
      </c>
      <c r="D78" s="7" t="s">
        <v>5974</v>
      </c>
      <c r="E78" s="7" t="s">
        <v>5815</v>
      </c>
      <c r="F78" s="7" t="s">
        <v>6076</v>
      </c>
      <c r="G78" s="7"/>
      <c r="H78" s="7" t="s">
        <v>6077</v>
      </c>
      <c r="I78" s="7" t="s">
        <v>5857</v>
      </c>
      <c r="J78" s="7" t="s">
        <v>5857</v>
      </c>
      <c r="K78" s="7" t="s">
        <v>6078</v>
      </c>
    </row>
    <row r="79" customFormat="false" ht="46.25" hidden="false" customHeight="false" outlineLevel="0" collapsed="false">
      <c r="A79" s="7" t="n">
        <v>18</v>
      </c>
      <c r="B79" s="7" t="s">
        <v>308</v>
      </c>
      <c r="C79" s="7" t="s">
        <v>317</v>
      </c>
      <c r="D79" s="7" t="s">
        <v>5974</v>
      </c>
      <c r="E79" s="7" t="s">
        <v>5984</v>
      </c>
      <c r="F79" s="7" t="s">
        <v>6079</v>
      </c>
      <c r="G79" s="7"/>
      <c r="H79" s="7" t="s">
        <v>6080</v>
      </c>
      <c r="I79" s="7" t="s">
        <v>5857</v>
      </c>
      <c r="J79" s="7" t="s">
        <v>5857</v>
      </c>
      <c r="K79" s="7" t="s">
        <v>6081</v>
      </c>
    </row>
    <row r="80" customFormat="false" ht="46.25" hidden="false" customHeight="false" outlineLevel="0" collapsed="false">
      <c r="A80" s="7" t="n">
        <v>108</v>
      </c>
      <c r="B80" s="7" t="s">
        <v>1275</v>
      </c>
      <c r="C80" s="7" t="s">
        <v>1284</v>
      </c>
      <c r="D80" s="7" t="s">
        <v>6082</v>
      </c>
      <c r="E80" s="7" t="s">
        <v>6083</v>
      </c>
      <c r="F80" s="7" t="s">
        <v>6084</v>
      </c>
      <c r="G80" s="7"/>
      <c r="H80" s="7" t="s">
        <v>6085</v>
      </c>
      <c r="I80" s="7" t="s">
        <v>5827</v>
      </c>
      <c r="J80" s="7" t="s">
        <v>5827</v>
      </c>
      <c r="K80" s="7" t="s">
        <v>6086</v>
      </c>
    </row>
    <row r="81" customFormat="false" ht="35.05" hidden="false" customHeight="false" outlineLevel="0" collapsed="false">
      <c r="A81" s="7" t="n">
        <v>108</v>
      </c>
      <c r="B81" s="7" t="s">
        <v>1275</v>
      </c>
      <c r="C81" s="7" t="s">
        <v>1284</v>
      </c>
      <c r="D81" s="7" t="s">
        <v>6082</v>
      </c>
      <c r="E81" s="7" t="s">
        <v>6087</v>
      </c>
      <c r="F81" s="7" t="s">
        <v>6088</v>
      </c>
      <c r="G81" s="7"/>
      <c r="H81" s="7" t="s">
        <v>6089</v>
      </c>
      <c r="I81" s="7" t="s">
        <v>5818</v>
      </c>
      <c r="J81" s="7" t="s">
        <v>5818</v>
      </c>
      <c r="K81" s="7" t="s">
        <v>6090</v>
      </c>
    </row>
    <row r="82" customFormat="false" ht="35.05" hidden="false" customHeight="false" outlineLevel="0" collapsed="false">
      <c r="A82" s="7" t="n">
        <v>108</v>
      </c>
      <c r="B82" s="7" t="s">
        <v>1275</v>
      </c>
      <c r="C82" s="7" t="s">
        <v>1284</v>
      </c>
      <c r="D82" s="7" t="s">
        <v>6082</v>
      </c>
      <c r="E82" s="7" t="s">
        <v>6091</v>
      </c>
      <c r="F82" s="7" t="s">
        <v>6092</v>
      </c>
      <c r="G82" s="7"/>
      <c r="H82" s="7" t="s">
        <v>6093</v>
      </c>
      <c r="I82" s="7" t="s">
        <v>5818</v>
      </c>
      <c r="J82" s="7" t="s">
        <v>5818</v>
      </c>
      <c r="K82" s="7" t="s">
        <v>6094</v>
      </c>
    </row>
    <row r="83" customFormat="false" ht="23.85" hidden="false" customHeight="false" outlineLevel="0" collapsed="false">
      <c r="A83" s="7" t="n">
        <v>108</v>
      </c>
      <c r="B83" s="7" t="s">
        <v>1275</v>
      </c>
      <c r="C83" s="7" t="s">
        <v>1284</v>
      </c>
      <c r="D83" s="7" t="s">
        <v>6082</v>
      </c>
      <c r="E83" s="7" t="s">
        <v>6095</v>
      </c>
      <c r="F83" s="7" t="s">
        <v>6096</v>
      </c>
      <c r="G83" s="7"/>
      <c r="H83" s="7" t="s">
        <v>6097</v>
      </c>
      <c r="I83" s="7" t="s">
        <v>5805</v>
      </c>
      <c r="J83" s="7" t="s">
        <v>5805</v>
      </c>
      <c r="K83" s="7" t="s">
        <v>6098</v>
      </c>
    </row>
    <row r="84" customFormat="false" ht="57.45" hidden="false" customHeight="false" outlineLevel="0" collapsed="false">
      <c r="A84" s="7" t="n">
        <v>109</v>
      </c>
      <c r="B84" s="7" t="s">
        <v>1287</v>
      </c>
      <c r="C84" s="7" t="s">
        <v>1297</v>
      </c>
      <c r="D84" s="7" t="s">
        <v>68</v>
      </c>
      <c r="E84" s="7" t="s">
        <v>6099</v>
      </c>
      <c r="F84" s="7"/>
      <c r="G84" s="7"/>
      <c r="H84" s="7"/>
      <c r="I84" s="7"/>
      <c r="J84" s="7"/>
      <c r="K84" s="7"/>
    </row>
    <row r="85" customFormat="false" ht="35.05" hidden="false" customHeight="false" outlineLevel="0" collapsed="false">
      <c r="A85" s="7" t="n">
        <v>109</v>
      </c>
      <c r="B85" s="7" t="s">
        <v>1287</v>
      </c>
      <c r="C85" s="7" t="s">
        <v>1297</v>
      </c>
      <c r="D85" s="7" t="s">
        <v>6055</v>
      </c>
      <c r="E85" s="7" t="s">
        <v>6100</v>
      </c>
      <c r="F85" s="7" t="s">
        <v>6101</v>
      </c>
      <c r="G85" s="7"/>
      <c r="H85" s="7" t="s">
        <v>6102</v>
      </c>
      <c r="I85" s="7" t="s">
        <v>5818</v>
      </c>
      <c r="J85" s="7" t="s">
        <v>5818</v>
      </c>
      <c r="K85" s="7" t="s">
        <v>6103</v>
      </c>
    </row>
    <row r="86" customFormat="false" ht="35.05" hidden="false" customHeight="false" outlineLevel="0" collapsed="false">
      <c r="A86" s="7" t="n">
        <v>109</v>
      </c>
      <c r="B86" s="7" t="s">
        <v>1287</v>
      </c>
      <c r="C86" s="7" t="s">
        <v>1297</v>
      </c>
      <c r="D86" s="7" t="s">
        <v>6055</v>
      </c>
      <c r="E86" s="7" t="s">
        <v>6104</v>
      </c>
      <c r="F86" s="7" t="s">
        <v>6105</v>
      </c>
      <c r="G86" s="7"/>
      <c r="H86" s="7" t="s">
        <v>6106</v>
      </c>
      <c r="I86" s="7" t="s">
        <v>5857</v>
      </c>
      <c r="J86" s="7" t="s">
        <v>5857</v>
      </c>
      <c r="K86" s="7" t="s">
        <v>6103</v>
      </c>
    </row>
    <row r="87" customFormat="false" ht="147" hidden="false" customHeight="false" outlineLevel="0" collapsed="false">
      <c r="A87" s="7" t="n">
        <v>110</v>
      </c>
      <c r="B87" s="7" t="s">
        <v>1300</v>
      </c>
      <c r="C87" s="7" t="s">
        <v>1309</v>
      </c>
      <c r="D87" s="7" t="s">
        <v>6082</v>
      </c>
      <c r="E87" s="7" t="s">
        <v>6107</v>
      </c>
      <c r="F87" s="7" t="s">
        <v>6108</v>
      </c>
      <c r="G87" s="7" t="s">
        <v>6109</v>
      </c>
      <c r="H87" s="7" t="s">
        <v>6110</v>
      </c>
      <c r="I87" s="7" t="s">
        <v>5857</v>
      </c>
      <c r="J87" s="7" t="s">
        <v>5857</v>
      </c>
      <c r="K87" s="7" t="s">
        <v>6111</v>
      </c>
    </row>
    <row r="88" customFormat="false" ht="23.85" hidden="false" customHeight="false" outlineLevel="0" collapsed="false">
      <c r="A88" s="7" t="n">
        <v>110</v>
      </c>
      <c r="B88" s="7" t="s">
        <v>1300</v>
      </c>
      <c r="C88" s="7" t="s">
        <v>1309</v>
      </c>
      <c r="D88" s="7" t="s">
        <v>6082</v>
      </c>
      <c r="E88" s="7" t="s">
        <v>6112</v>
      </c>
      <c r="F88" s="7" t="s">
        <v>6113</v>
      </c>
      <c r="G88" s="7"/>
      <c r="H88" s="7" t="s">
        <v>6114</v>
      </c>
      <c r="I88" s="7" t="s">
        <v>5812</v>
      </c>
      <c r="J88" s="7" t="s">
        <v>5812</v>
      </c>
      <c r="K88" s="7" t="s">
        <v>6115</v>
      </c>
    </row>
    <row r="89" customFormat="false" ht="15" hidden="false" customHeight="false" outlineLevel="0" collapsed="false">
      <c r="A89" s="7" t="n">
        <v>110</v>
      </c>
      <c r="B89" s="7" t="s">
        <v>1300</v>
      </c>
      <c r="C89" s="7" t="s">
        <v>1309</v>
      </c>
      <c r="D89" s="7" t="s">
        <v>6082</v>
      </c>
      <c r="E89" s="7" t="s">
        <v>6116</v>
      </c>
      <c r="F89" s="7" t="s">
        <v>6117</v>
      </c>
      <c r="G89" s="7"/>
      <c r="H89" s="7" t="s">
        <v>6118</v>
      </c>
      <c r="I89" s="7" t="s">
        <v>5812</v>
      </c>
      <c r="J89" s="7" t="s">
        <v>5812</v>
      </c>
      <c r="K89" s="7" t="s">
        <v>6119</v>
      </c>
    </row>
    <row r="90" customFormat="false" ht="23.85" hidden="false" customHeight="false" outlineLevel="0" collapsed="false">
      <c r="A90" s="7" t="n">
        <v>110</v>
      </c>
      <c r="B90" s="7" t="s">
        <v>1300</v>
      </c>
      <c r="C90" s="7" t="s">
        <v>1309</v>
      </c>
      <c r="D90" s="7" t="s">
        <v>5974</v>
      </c>
      <c r="E90" s="7" t="s">
        <v>6120</v>
      </c>
      <c r="F90" s="7" t="s">
        <v>6121</v>
      </c>
      <c r="G90" s="7"/>
      <c r="H90" s="7" t="s">
        <v>6122</v>
      </c>
      <c r="I90" s="7" t="s">
        <v>5812</v>
      </c>
      <c r="J90" s="7" t="s">
        <v>5812</v>
      </c>
      <c r="K90" s="7" t="s">
        <v>6123</v>
      </c>
    </row>
    <row r="91" customFormat="false" ht="46.25" hidden="false" customHeight="false" outlineLevel="0" collapsed="false">
      <c r="A91" s="7" t="n">
        <v>111</v>
      </c>
      <c r="B91" s="7" t="s">
        <v>1312</v>
      </c>
      <c r="C91" s="7" t="s">
        <v>1320</v>
      </c>
      <c r="D91" s="7" t="s">
        <v>68</v>
      </c>
      <c r="E91" s="7" t="s">
        <v>6124</v>
      </c>
      <c r="F91" s="7"/>
      <c r="G91" s="7"/>
      <c r="H91" s="7"/>
      <c r="I91" s="7"/>
      <c r="J91" s="7"/>
      <c r="K91" s="7"/>
    </row>
    <row r="92" customFormat="false" ht="35.05" hidden="false" customHeight="false" outlineLevel="0" collapsed="false">
      <c r="A92" s="7" t="n">
        <v>111</v>
      </c>
      <c r="B92" s="7" t="s">
        <v>1312</v>
      </c>
      <c r="C92" s="7" t="s">
        <v>1320</v>
      </c>
      <c r="D92" s="7" t="s">
        <v>5974</v>
      </c>
      <c r="E92" s="7" t="s">
        <v>6125</v>
      </c>
      <c r="F92" s="7" t="s">
        <v>6126</v>
      </c>
      <c r="G92" s="7" t="s">
        <v>6127</v>
      </c>
      <c r="H92" s="7" t="s">
        <v>6128</v>
      </c>
      <c r="I92" s="7" t="s">
        <v>5812</v>
      </c>
      <c r="J92" s="7" t="s">
        <v>5812</v>
      </c>
      <c r="K92" s="7" t="s">
        <v>6129</v>
      </c>
    </row>
    <row r="93" customFormat="false" ht="35.05" hidden="false" customHeight="false" outlineLevel="0" collapsed="false">
      <c r="A93" s="7" t="n">
        <v>111</v>
      </c>
      <c r="B93" s="7" t="s">
        <v>1312</v>
      </c>
      <c r="C93" s="7" t="s">
        <v>1320</v>
      </c>
      <c r="D93" s="7" t="s">
        <v>5974</v>
      </c>
      <c r="E93" s="7" t="s">
        <v>6130</v>
      </c>
      <c r="F93" s="7" t="s">
        <v>6131</v>
      </c>
      <c r="G93" s="7"/>
      <c r="H93" s="7" t="s">
        <v>6132</v>
      </c>
      <c r="I93" s="7" t="s">
        <v>5857</v>
      </c>
      <c r="J93" s="7" t="s">
        <v>5857</v>
      </c>
      <c r="K93" s="7" t="s">
        <v>6133</v>
      </c>
    </row>
    <row r="94" customFormat="false" ht="23.85" hidden="false" customHeight="false" outlineLevel="0" collapsed="false">
      <c r="A94" s="7" t="n">
        <v>111</v>
      </c>
      <c r="B94" s="7" t="s">
        <v>1312</v>
      </c>
      <c r="C94" s="7" t="s">
        <v>1320</v>
      </c>
      <c r="D94" s="7" t="s">
        <v>5974</v>
      </c>
      <c r="E94" s="7" t="s">
        <v>6134</v>
      </c>
      <c r="F94" s="7" t="s">
        <v>6135</v>
      </c>
      <c r="G94" s="7"/>
      <c r="H94" s="7" t="s">
        <v>6136</v>
      </c>
      <c r="I94" s="7" t="s">
        <v>5857</v>
      </c>
      <c r="J94" s="7" t="s">
        <v>5857</v>
      </c>
      <c r="K94" s="7" t="s">
        <v>6133</v>
      </c>
    </row>
    <row r="95" customFormat="false" ht="57.45" hidden="false" customHeight="false" outlineLevel="0" collapsed="false">
      <c r="A95" s="7" t="n">
        <v>25</v>
      </c>
      <c r="B95" s="7" t="s">
        <v>394</v>
      </c>
      <c r="C95" s="7"/>
      <c r="D95" s="7" t="s">
        <v>68</v>
      </c>
      <c r="E95" s="7" t="s">
        <v>6137</v>
      </c>
      <c r="F95" s="7"/>
      <c r="G95" s="7"/>
      <c r="H95" s="7"/>
      <c r="I95" s="7"/>
      <c r="J95" s="7"/>
      <c r="K95" s="7"/>
    </row>
    <row r="96" customFormat="false" ht="46.25" hidden="false" customHeight="false" outlineLevel="0" collapsed="false">
      <c r="A96" s="7" t="n">
        <v>25</v>
      </c>
      <c r="B96" s="7" t="s">
        <v>394</v>
      </c>
      <c r="C96" s="7"/>
      <c r="D96" s="7" t="s">
        <v>6055</v>
      </c>
      <c r="E96" s="7" t="s">
        <v>6138</v>
      </c>
      <c r="F96" s="7" t="s">
        <v>6139</v>
      </c>
      <c r="G96" s="7"/>
      <c r="H96" s="7" t="s">
        <v>6140</v>
      </c>
      <c r="I96" s="7" t="s">
        <v>5818</v>
      </c>
      <c r="J96" s="7" t="s">
        <v>5818</v>
      </c>
      <c r="K96" s="7" t="s">
        <v>6141</v>
      </c>
    </row>
    <row r="97" customFormat="false" ht="35.05" hidden="false" customHeight="false" outlineLevel="0" collapsed="false">
      <c r="A97" s="7" t="n">
        <v>25</v>
      </c>
      <c r="B97" s="7" t="s">
        <v>394</v>
      </c>
      <c r="C97" s="7"/>
      <c r="D97" s="7" t="s">
        <v>6142</v>
      </c>
      <c r="E97" s="7" t="s">
        <v>6143</v>
      </c>
      <c r="F97" s="7" t="s">
        <v>6144</v>
      </c>
      <c r="G97" s="7" t="s">
        <v>6145</v>
      </c>
      <c r="H97" s="7" t="s">
        <v>6146</v>
      </c>
      <c r="I97" s="7" t="s">
        <v>5812</v>
      </c>
      <c r="J97" s="7" t="s">
        <v>5812</v>
      </c>
      <c r="K97" s="7" t="s">
        <v>6147</v>
      </c>
    </row>
    <row r="98" customFormat="false" ht="35.05" hidden="false" customHeight="false" outlineLevel="0" collapsed="false">
      <c r="A98" s="7" t="n">
        <v>25</v>
      </c>
      <c r="B98" s="7" t="s">
        <v>394</v>
      </c>
      <c r="C98" s="7"/>
      <c r="D98" s="7" t="s">
        <v>6142</v>
      </c>
      <c r="E98" s="7" t="s">
        <v>6148</v>
      </c>
      <c r="F98" s="7" t="s">
        <v>6149</v>
      </c>
      <c r="G98" s="7" t="s">
        <v>6150</v>
      </c>
      <c r="H98" s="7" t="s">
        <v>6151</v>
      </c>
      <c r="I98" s="7" t="s">
        <v>5812</v>
      </c>
      <c r="J98" s="7" t="s">
        <v>5812</v>
      </c>
      <c r="K98" s="7" t="s">
        <v>6147</v>
      </c>
    </row>
    <row r="99" customFormat="false" ht="57.45" hidden="false" customHeight="false" outlineLevel="0" collapsed="false">
      <c r="A99" s="7" t="n">
        <v>22</v>
      </c>
      <c r="B99" s="7" t="s">
        <v>356</v>
      </c>
      <c r="C99" s="7" t="s">
        <v>366</v>
      </c>
      <c r="D99" s="7" t="s">
        <v>6152</v>
      </c>
      <c r="E99" s="7" t="s">
        <v>6153</v>
      </c>
      <c r="F99" s="7"/>
      <c r="G99" s="7"/>
      <c r="H99" s="7"/>
      <c r="I99" s="7"/>
      <c r="J99" s="7"/>
      <c r="K99" s="7"/>
    </row>
    <row r="100" customFormat="false" ht="46.25" hidden="false" customHeight="false" outlineLevel="0" collapsed="false">
      <c r="A100" s="7" t="n">
        <v>22</v>
      </c>
      <c r="B100" s="7" t="s">
        <v>356</v>
      </c>
      <c r="C100" s="7" t="s">
        <v>366</v>
      </c>
      <c r="D100" s="7" t="s">
        <v>6154</v>
      </c>
      <c r="E100" s="7" t="s">
        <v>6155</v>
      </c>
      <c r="F100" s="7" t="s">
        <v>6156</v>
      </c>
      <c r="G100" s="7"/>
      <c r="H100" s="7" t="s">
        <v>6157</v>
      </c>
      <c r="I100" s="7" t="s">
        <v>5827</v>
      </c>
      <c r="J100" s="7" t="s">
        <v>5827</v>
      </c>
      <c r="K100" s="7" t="s">
        <v>6158</v>
      </c>
    </row>
    <row r="101" customFormat="false" ht="35.05" hidden="false" customHeight="false" outlineLevel="0" collapsed="false">
      <c r="A101" s="7" t="n">
        <v>22</v>
      </c>
      <c r="B101" s="7" t="s">
        <v>356</v>
      </c>
      <c r="C101" s="7" t="s">
        <v>366</v>
      </c>
      <c r="D101" s="7" t="s">
        <v>6154</v>
      </c>
      <c r="E101" s="7" t="s">
        <v>6159</v>
      </c>
      <c r="F101" s="7" t="s">
        <v>6160</v>
      </c>
      <c r="G101" s="7"/>
      <c r="H101" s="7" t="s">
        <v>6161</v>
      </c>
      <c r="I101" s="7" t="s">
        <v>5827</v>
      </c>
      <c r="J101" s="7" t="s">
        <v>5827</v>
      </c>
      <c r="K101" s="7" t="s">
        <v>6162</v>
      </c>
    </row>
    <row r="102" customFormat="false" ht="35.05" hidden="false" customHeight="false" outlineLevel="0" collapsed="false">
      <c r="A102" s="7" t="n">
        <v>22</v>
      </c>
      <c r="B102" s="7" t="s">
        <v>356</v>
      </c>
      <c r="C102" s="7" t="s">
        <v>366</v>
      </c>
      <c r="D102" s="7" t="s">
        <v>6154</v>
      </c>
      <c r="E102" s="7" t="s">
        <v>6163</v>
      </c>
      <c r="F102" s="7" t="s">
        <v>6164</v>
      </c>
      <c r="G102" s="7"/>
      <c r="H102" s="7" t="s">
        <v>6165</v>
      </c>
      <c r="I102" s="7" t="s">
        <v>5857</v>
      </c>
      <c r="J102" s="7" t="s">
        <v>5857</v>
      </c>
      <c r="K102" s="7" t="s">
        <v>6166</v>
      </c>
    </row>
    <row r="103" customFormat="false" ht="35.05" hidden="false" customHeight="false" outlineLevel="0" collapsed="false">
      <c r="A103" s="7" t="n">
        <v>22</v>
      </c>
      <c r="B103" s="7" t="s">
        <v>356</v>
      </c>
      <c r="C103" s="7" t="s">
        <v>366</v>
      </c>
      <c r="D103" s="7" t="s">
        <v>6154</v>
      </c>
      <c r="E103" s="7" t="s">
        <v>6167</v>
      </c>
      <c r="F103" s="7" t="s">
        <v>6168</v>
      </c>
      <c r="G103" s="7"/>
      <c r="H103" s="7" t="s">
        <v>6169</v>
      </c>
      <c r="I103" s="7" t="s">
        <v>5857</v>
      </c>
      <c r="J103" s="7" t="s">
        <v>5857</v>
      </c>
      <c r="K103" s="7" t="s">
        <v>6170</v>
      </c>
    </row>
    <row r="104" customFormat="false" ht="35.05" hidden="false" customHeight="false" outlineLevel="0" collapsed="false">
      <c r="A104" s="7" t="n">
        <v>22</v>
      </c>
      <c r="B104" s="7" t="s">
        <v>356</v>
      </c>
      <c r="C104" s="7" t="s">
        <v>366</v>
      </c>
      <c r="D104" s="7" t="s">
        <v>6154</v>
      </c>
      <c r="E104" s="7" t="s">
        <v>5925</v>
      </c>
      <c r="F104" s="7" t="s">
        <v>6171</v>
      </c>
      <c r="G104" s="7"/>
      <c r="H104" s="7" t="s">
        <v>6172</v>
      </c>
      <c r="I104" s="7" t="s">
        <v>5827</v>
      </c>
      <c r="J104" s="7" t="s">
        <v>5827</v>
      </c>
      <c r="K104" s="7" t="s">
        <v>6173</v>
      </c>
    </row>
    <row r="105" customFormat="false" ht="23.85" hidden="false" customHeight="false" outlineLevel="0" collapsed="false">
      <c r="A105" s="7" t="n">
        <v>23</v>
      </c>
      <c r="B105" s="7" t="s">
        <v>369</v>
      </c>
      <c r="C105" s="7" t="s">
        <v>378</v>
      </c>
      <c r="D105" s="7" t="s">
        <v>6152</v>
      </c>
      <c r="E105" s="7" t="s">
        <v>6174</v>
      </c>
      <c r="F105" s="7"/>
      <c r="G105" s="7"/>
      <c r="H105" s="7"/>
      <c r="I105" s="7"/>
      <c r="J105" s="7"/>
      <c r="K105" s="7"/>
    </row>
    <row r="106" customFormat="false" ht="23.85" hidden="false" customHeight="false" outlineLevel="0" collapsed="false">
      <c r="A106" s="7" t="n">
        <v>23</v>
      </c>
      <c r="B106" s="7" t="s">
        <v>369</v>
      </c>
      <c r="C106" s="7" t="s">
        <v>378</v>
      </c>
      <c r="D106" s="7" t="s">
        <v>6152</v>
      </c>
      <c r="E106" s="7" t="s">
        <v>6175</v>
      </c>
      <c r="F106" s="7"/>
      <c r="G106" s="7"/>
      <c r="H106" s="7"/>
      <c r="I106" s="7"/>
      <c r="J106" s="7"/>
      <c r="K106" s="7"/>
    </row>
    <row r="107" customFormat="false" ht="23.85" hidden="false" customHeight="false" outlineLevel="0" collapsed="false">
      <c r="A107" s="7" t="n">
        <v>23</v>
      </c>
      <c r="B107" s="7" t="s">
        <v>369</v>
      </c>
      <c r="C107" s="7" t="s">
        <v>378</v>
      </c>
      <c r="D107" s="7" t="s">
        <v>6152</v>
      </c>
      <c r="E107" s="7" t="s">
        <v>6176</v>
      </c>
      <c r="F107" s="7"/>
      <c r="G107" s="7"/>
      <c r="H107" s="7"/>
      <c r="I107" s="7"/>
      <c r="J107" s="7"/>
      <c r="K107" s="7"/>
    </row>
    <row r="108" customFormat="false" ht="23.85" hidden="false" customHeight="false" outlineLevel="0" collapsed="false">
      <c r="A108" s="7" t="n">
        <v>23</v>
      </c>
      <c r="B108" s="7" t="s">
        <v>369</v>
      </c>
      <c r="C108" s="7" t="s">
        <v>378</v>
      </c>
      <c r="D108" s="7" t="s">
        <v>6152</v>
      </c>
      <c r="E108" s="7" t="s">
        <v>6177</v>
      </c>
      <c r="F108" s="7"/>
      <c r="G108" s="7"/>
      <c r="H108" s="7"/>
      <c r="I108" s="7"/>
      <c r="J108" s="7"/>
      <c r="K108" s="7"/>
    </row>
    <row r="109" customFormat="false" ht="23.85" hidden="false" customHeight="false" outlineLevel="0" collapsed="false">
      <c r="A109" s="7" t="n">
        <v>23</v>
      </c>
      <c r="B109" s="7" t="s">
        <v>369</v>
      </c>
      <c r="C109" s="7" t="s">
        <v>378</v>
      </c>
      <c r="D109" s="7" t="s">
        <v>6152</v>
      </c>
      <c r="E109" s="7" t="s">
        <v>6178</v>
      </c>
      <c r="F109" s="7"/>
      <c r="G109" s="7"/>
      <c r="H109" s="7"/>
      <c r="I109" s="7"/>
      <c r="J109" s="7"/>
      <c r="K109" s="7"/>
    </row>
    <row r="110" customFormat="false" ht="23.85" hidden="false" customHeight="false" outlineLevel="0" collapsed="false">
      <c r="A110" s="7" t="n">
        <v>23</v>
      </c>
      <c r="B110" s="7" t="s">
        <v>369</v>
      </c>
      <c r="C110" s="7" t="s">
        <v>378</v>
      </c>
      <c r="D110" s="7" t="s">
        <v>6152</v>
      </c>
      <c r="E110" s="7" t="s">
        <v>6179</v>
      </c>
      <c r="F110" s="7"/>
      <c r="G110" s="7"/>
      <c r="H110" s="7"/>
      <c r="I110" s="7"/>
      <c r="J110" s="7"/>
      <c r="K110" s="7"/>
    </row>
    <row r="111" customFormat="false" ht="23.85" hidden="false" customHeight="false" outlineLevel="0" collapsed="false">
      <c r="A111" s="7" t="n">
        <v>23</v>
      </c>
      <c r="B111" s="7" t="s">
        <v>369</v>
      </c>
      <c r="C111" s="7" t="s">
        <v>378</v>
      </c>
      <c r="D111" s="7" t="s">
        <v>6152</v>
      </c>
      <c r="E111" s="7" t="s">
        <v>6180</v>
      </c>
      <c r="F111" s="7"/>
      <c r="G111" s="7"/>
      <c r="H111" s="7"/>
      <c r="I111" s="7"/>
      <c r="J111" s="7"/>
      <c r="K111" s="7"/>
    </row>
    <row r="112" customFormat="false" ht="35.05" hidden="false" customHeight="false" outlineLevel="0" collapsed="false">
      <c r="A112" s="7" t="n">
        <v>23</v>
      </c>
      <c r="B112" s="7" t="s">
        <v>369</v>
      </c>
      <c r="C112" s="7" t="s">
        <v>378</v>
      </c>
      <c r="D112" s="7" t="s">
        <v>6154</v>
      </c>
      <c r="E112" s="7" t="s">
        <v>6181</v>
      </c>
      <c r="F112" s="7" t="s">
        <v>6182</v>
      </c>
      <c r="G112" s="7"/>
      <c r="H112" s="7" t="s">
        <v>6183</v>
      </c>
      <c r="I112" s="7" t="s">
        <v>6184</v>
      </c>
      <c r="J112" s="7" t="s">
        <v>5827</v>
      </c>
      <c r="K112" s="7" t="s">
        <v>6185</v>
      </c>
    </row>
    <row r="113" customFormat="false" ht="23.85" hidden="false" customHeight="false" outlineLevel="0" collapsed="false">
      <c r="A113" s="7" t="n">
        <v>23</v>
      </c>
      <c r="B113" s="7" t="s">
        <v>369</v>
      </c>
      <c r="C113" s="7" t="s">
        <v>378</v>
      </c>
      <c r="D113" s="7" t="s">
        <v>6186</v>
      </c>
      <c r="E113" s="7" t="s">
        <v>6187</v>
      </c>
      <c r="F113" s="7" t="s">
        <v>6188</v>
      </c>
      <c r="G113" s="7"/>
      <c r="H113" s="7" t="s">
        <v>6189</v>
      </c>
      <c r="I113" s="7" t="s">
        <v>5827</v>
      </c>
      <c r="J113" s="7" t="s">
        <v>5827</v>
      </c>
      <c r="K113" s="7" t="s">
        <v>6185</v>
      </c>
    </row>
    <row r="114" customFormat="false" ht="46.25" hidden="false" customHeight="false" outlineLevel="0" collapsed="false">
      <c r="A114" s="7" t="n">
        <v>23</v>
      </c>
      <c r="B114" s="7" t="s">
        <v>369</v>
      </c>
      <c r="C114" s="7" t="s">
        <v>378</v>
      </c>
      <c r="D114" s="7" t="s">
        <v>6186</v>
      </c>
      <c r="E114" s="7" t="s">
        <v>6190</v>
      </c>
      <c r="F114" s="7" t="s">
        <v>6191</v>
      </c>
      <c r="G114" s="7"/>
      <c r="H114" s="7" t="s">
        <v>6192</v>
      </c>
      <c r="I114" s="7" t="s">
        <v>5805</v>
      </c>
      <c r="J114" s="7" t="s">
        <v>5805</v>
      </c>
      <c r="K114" s="7" t="s">
        <v>6193</v>
      </c>
    </row>
    <row r="115" customFormat="false" ht="35.05" hidden="false" customHeight="false" outlineLevel="0" collapsed="false">
      <c r="A115" s="7" t="n">
        <v>23</v>
      </c>
      <c r="B115" s="7" t="s">
        <v>369</v>
      </c>
      <c r="C115" s="7" t="s">
        <v>378</v>
      </c>
      <c r="D115" s="7" t="s">
        <v>6186</v>
      </c>
      <c r="E115" s="7" t="s">
        <v>6194</v>
      </c>
      <c r="F115" s="7" t="s">
        <v>6195</v>
      </c>
      <c r="G115" s="7"/>
      <c r="H115" s="7" t="s">
        <v>6196</v>
      </c>
      <c r="I115" s="7" t="s">
        <v>6197</v>
      </c>
      <c r="J115" s="7" t="s">
        <v>5827</v>
      </c>
      <c r="K115" s="7" t="s">
        <v>6185</v>
      </c>
    </row>
    <row r="116" customFormat="false" ht="23.85" hidden="false" customHeight="false" outlineLevel="0" collapsed="false">
      <c r="A116" s="7" t="n">
        <v>23</v>
      </c>
      <c r="B116" s="7" t="s">
        <v>369</v>
      </c>
      <c r="C116" s="7" t="s">
        <v>378</v>
      </c>
      <c r="D116" s="7" t="s">
        <v>6186</v>
      </c>
      <c r="E116" s="7" t="s">
        <v>6198</v>
      </c>
      <c r="F116" s="7" t="s">
        <v>6199</v>
      </c>
      <c r="G116" s="7"/>
      <c r="H116" s="7" t="s">
        <v>6200</v>
      </c>
      <c r="I116" s="7" t="s">
        <v>5827</v>
      </c>
      <c r="J116" s="7" t="s">
        <v>5827</v>
      </c>
      <c r="K116" s="7" t="s">
        <v>6185</v>
      </c>
    </row>
    <row r="117" customFormat="false" ht="79.85" hidden="false" customHeight="false" outlineLevel="0" collapsed="false">
      <c r="A117" s="7" t="n">
        <v>24</v>
      </c>
      <c r="B117" s="7" t="s">
        <v>381</v>
      </c>
      <c r="C117" s="7" t="s">
        <v>391</v>
      </c>
      <c r="D117" s="7" t="s">
        <v>68</v>
      </c>
      <c r="E117" s="7" t="s">
        <v>6201</v>
      </c>
      <c r="F117" s="7"/>
      <c r="G117" s="7"/>
      <c r="H117" s="7"/>
      <c r="I117" s="7"/>
      <c r="J117" s="7"/>
      <c r="K117" s="7"/>
    </row>
    <row r="118" customFormat="false" ht="57.45" hidden="false" customHeight="false" outlineLevel="0" collapsed="false">
      <c r="A118" s="7" t="n">
        <v>24</v>
      </c>
      <c r="B118" s="7" t="s">
        <v>381</v>
      </c>
      <c r="C118" s="7" t="s">
        <v>391</v>
      </c>
      <c r="D118" s="7" t="s">
        <v>5974</v>
      </c>
      <c r="E118" s="7" t="s">
        <v>6202</v>
      </c>
      <c r="F118" s="7" t="s">
        <v>6203</v>
      </c>
      <c r="G118" s="7"/>
      <c r="H118" s="7" t="s">
        <v>6204</v>
      </c>
      <c r="I118" s="7" t="s">
        <v>5818</v>
      </c>
      <c r="J118" s="7" t="s">
        <v>5818</v>
      </c>
      <c r="K118" s="7" t="s">
        <v>6205</v>
      </c>
    </row>
    <row r="119" customFormat="false" ht="23.85" hidden="false" customHeight="false" outlineLevel="0" collapsed="false">
      <c r="A119" s="7" t="n">
        <v>24</v>
      </c>
      <c r="B119" s="7" t="s">
        <v>381</v>
      </c>
      <c r="C119" s="7" t="s">
        <v>391</v>
      </c>
      <c r="D119" s="7" t="s">
        <v>5974</v>
      </c>
      <c r="E119" s="7" t="s">
        <v>6206</v>
      </c>
      <c r="F119" s="7" t="s">
        <v>6207</v>
      </c>
      <c r="G119" s="7" t="s">
        <v>6208</v>
      </c>
      <c r="H119" s="7" t="s">
        <v>6209</v>
      </c>
      <c r="I119" s="7" t="s">
        <v>5812</v>
      </c>
      <c r="J119" s="7" t="s">
        <v>5812</v>
      </c>
      <c r="K119" s="7" t="s">
        <v>6210</v>
      </c>
    </row>
    <row r="120" customFormat="false" ht="35.05" hidden="false" customHeight="false" outlineLevel="0" collapsed="false">
      <c r="A120" s="7" t="n">
        <v>24</v>
      </c>
      <c r="B120" s="7" t="s">
        <v>381</v>
      </c>
      <c r="C120" s="7" t="s">
        <v>391</v>
      </c>
      <c r="D120" s="7" t="s">
        <v>5974</v>
      </c>
      <c r="E120" s="7" t="s">
        <v>6211</v>
      </c>
      <c r="F120" s="7" t="s">
        <v>6212</v>
      </c>
      <c r="G120" s="7"/>
      <c r="H120" s="7" t="s">
        <v>6213</v>
      </c>
      <c r="I120" s="7" t="s">
        <v>5805</v>
      </c>
      <c r="J120" s="7" t="s">
        <v>5805</v>
      </c>
      <c r="K120" s="7" t="s">
        <v>6214</v>
      </c>
    </row>
    <row r="121" customFormat="false" ht="35.05" hidden="false" customHeight="false" outlineLevel="0" collapsed="false">
      <c r="A121" s="7" t="n">
        <v>24</v>
      </c>
      <c r="B121" s="7" t="s">
        <v>381</v>
      </c>
      <c r="C121" s="7" t="s">
        <v>391</v>
      </c>
      <c r="D121" s="7" t="s">
        <v>5974</v>
      </c>
      <c r="E121" s="7" t="s">
        <v>6215</v>
      </c>
      <c r="F121" s="7" t="s">
        <v>6216</v>
      </c>
      <c r="G121" s="7"/>
      <c r="H121" s="7" t="s">
        <v>6217</v>
      </c>
      <c r="I121" s="7" t="s">
        <v>5805</v>
      </c>
      <c r="J121" s="7" t="s">
        <v>5805</v>
      </c>
      <c r="K121" s="7" t="s">
        <v>6218</v>
      </c>
    </row>
    <row r="122" customFormat="false" ht="46.25" hidden="false" customHeight="false" outlineLevel="0" collapsed="false">
      <c r="A122" s="7" t="n">
        <v>21</v>
      </c>
      <c r="B122" s="7" t="s">
        <v>346</v>
      </c>
      <c r="C122" s="7" t="s">
        <v>353</v>
      </c>
      <c r="D122" s="7" t="s">
        <v>68</v>
      </c>
      <c r="E122" s="7" t="s">
        <v>6219</v>
      </c>
      <c r="F122" s="7"/>
      <c r="G122" s="7"/>
      <c r="H122" s="7"/>
      <c r="I122" s="7"/>
      <c r="J122" s="7"/>
      <c r="K122" s="7"/>
    </row>
    <row r="123" customFormat="false" ht="35.05" hidden="false" customHeight="false" outlineLevel="0" collapsed="false">
      <c r="A123" s="7" t="n">
        <v>21</v>
      </c>
      <c r="B123" s="7" t="s">
        <v>346</v>
      </c>
      <c r="C123" s="7" t="s">
        <v>353</v>
      </c>
      <c r="D123" s="7" t="s">
        <v>6055</v>
      </c>
      <c r="E123" s="7" t="s">
        <v>6220</v>
      </c>
      <c r="F123" s="7" t="s">
        <v>6221</v>
      </c>
      <c r="G123" s="7" t="s">
        <v>6222</v>
      </c>
      <c r="H123" s="7" t="s">
        <v>6223</v>
      </c>
      <c r="I123" s="7" t="s">
        <v>5827</v>
      </c>
      <c r="J123" s="7" t="s">
        <v>5827</v>
      </c>
      <c r="K123" s="7" t="s">
        <v>6224</v>
      </c>
    </row>
    <row r="124" customFormat="false" ht="46.25" hidden="false" customHeight="false" outlineLevel="0" collapsed="false">
      <c r="A124" s="7" t="n">
        <v>21</v>
      </c>
      <c r="B124" s="7" t="s">
        <v>346</v>
      </c>
      <c r="C124" s="7" t="s">
        <v>353</v>
      </c>
      <c r="D124" s="7" t="s">
        <v>6055</v>
      </c>
      <c r="E124" s="7" t="s">
        <v>6225</v>
      </c>
      <c r="F124" s="7" t="s">
        <v>6226</v>
      </c>
      <c r="G124" s="7"/>
      <c r="H124" s="7" t="s">
        <v>6227</v>
      </c>
      <c r="I124" s="7" t="s">
        <v>5818</v>
      </c>
      <c r="J124" s="7" t="s">
        <v>5818</v>
      </c>
      <c r="K124" s="7" t="s">
        <v>6228</v>
      </c>
    </row>
    <row r="125" customFormat="false" ht="23.85" hidden="false" customHeight="false" outlineLevel="0" collapsed="false">
      <c r="A125" s="7" t="n">
        <v>21</v>
      </c>
      <c r="B125" s="7" t="s">
        <v>346</v>
      </c>
      <c r="C125" s="7" t="s">
        <v>353</v>
      </c>
      <c r="D125" s="7" t="s">
        <v>6055</v>
      </c>
      <c r="E125" s="7" t="s">
        <v>6229</v>
      </c>
      <c r="F125" s="7" t="s">
        <v>6230</v>
      </c>
      <c r="G125" s="7"/>
      <c r="H125" s="7" t="s">
        <v>6231</v>
      </c>
      <c r="I125" s="7" t="s">
        <v>5812</v>
      </c>
      <c r="J125" s="7" t="s">
        <v>5812</v>
      </c>
      <c r="K125" s="7" t="s">
        <v>6232</v>
      </c>
    </row>
    <row r="126" customFormat="false" ht="57.45" hidden="false" customHeight="false" outlineLevel="0" collapsed="false">
      <c r="A126" s="7" t="n">
        <v>26</v>
      </c>
      <c r="B126" s="7" t="s">
        <v>407</v>
      </c>
      <c r="C126" s="7" t="s">
        <v>416</v>
      </c>
      <c r="D126" s="7" t="s">
        <v>68</v>
      </c>
      <c r="E126" s="7" t="s">
        <v>6233</v>
      </c>
      <c r="F126" s="7"/>
      <c r="G126" s="7"/>
      <c r="H126" s="7"/>
      <c r="I126" s="7"/>
      <c r="J126" s="7"/>
      <c r="K126" s="7"/>
    </row>
    <row r="127" customFormat="false" ht="124.6" hidden="false" customHeight="false" outlineLevel="0" collapsed="false">
      <c r="A127" s="7" t="n">
        <v>26</v>
      </c>
      <c r="B127" s="7" t="s">
        <v>407</v>
      </c>
      <c r="C127" s="7" t="s">
        <v>416</v>
      </c>
      <c r="D127" s="7" t="s">
        <v>5974</v>
      </c>
      <c r="E127" s="7" t="s">
        <v>6234</v>
      </c>
      <c r="F127" s="7" t="s">
        <v>6235</v>
      </c>
      <c r="G127" s="7" t="s">
        <v>6236</v>
      </c>
      <c r="H127" s="7" t="s">
        <v>6237</v>
      </c>
      <c r="I127" s="7" t="s">
        <v>5812</v>
      </c>
      <c r="J127" s="7" t="s">
        <v>5812</v>
      </c>
      <c r="K127" s="7" t="s">
        <v>6238</v>
      </c>
    </row>
    <row r="128" customFormat="false" ht="35.05" hidden="false" customHeight="false" outlineLevel="0" collapsed="false">
      <c r="A128" s="7" t="n">
        <v>26</v>
      </c>
      <c r="B128" s="7" t="s">
        <v>407</v>
      </c>
      <c r="C128" s="7" t="s">
        <v>416</v>
      </c>
      <c r="D128" s="7" t="s">
        <v>5974</v>
      </c>
      <c r="E128" s="7" t="s">
        <v>6239</v>
      </c>
      <c r="F128" s="7" t="s">
        <v>6240</v>
      </c>
      <c r="G128" s="7"/>
      <c r="H128" s="7" t="s">
        <v>6241</v>
      </c>
      <c r="I128" s="7" t="s">
        <v>5818</v>
      </c>
      <c r="J128" s="7" t="s">
        <v>5818</v>
      </c>
      <c r="K128" s="7" t="s">
        <v>6242</v>
      </c>
    </row>
    <row r="129" customFormat="false" ht="23.85" hidden="false" customHeight="false" outlineLevel="0" collapsed="false">
      <c r="A129" s="7" t="n">
        <v>26</v>
      </c>
      <c r="B129" s="7" t="s">
        <v>407</v>
      </c>
      <c r="C129" s="7" t="s">
        <v>416</v>
      </c>
      <c r="D129" s="7" t="s">
        <v>5974</v>
      </c>
      <c r="E129" s="7" t="s">
        <v>6243</v>
      </c>
      <c r="F129" s="7" t="s">
        <v>6244</v>
      </c>
      <c r="G129" s="7"/>
      <c r="H129" s="7" t="s">
        <v>6245</v>
      </c>
      <c r="I129" s="7" t="s">
        <v>5812</v>
      </c>
      <c r="J129" s="7" t="s">
        <v>5812</v>
      </c>
      <c r="K129" s="7"/>
    </row>
    <row r="130" customFormat="false" ht="23.85" hidden="false" customHeight="false" outlineLevel="0" collapsed="false">
      <c r="A130" s="7" t="n">
        <v>20</v>
      </c>
      <c r="B130" s="7" t="s">
        <v>333</v>
      </c>
      <c r="C130" s="7" t="s">
        <v>342</v>
      </c>
      <c r="D130" s="7" t="s">
        <v>6152</v>
      </c>
      <c r="E130" s="7" t="s">
        <v>6246</v>
      </c>
      <c r="F130" s="7"/>
      <c r="G130" s="7"/>
      <c r="H130" s="7"/>
      <c r="I130" s="7"/>
      <c r="J130" s="7"/>
      <c r="K130" s="7"/>
    </row>
    <row r="131" customFormat="false" ht="23.85" hidden="false" customHeight="false" outlineLevel="0" collapsed="false">
      <c r="A131" s="7" t="n">
        <v>20</v>
      </c>
      <c r="B131" s="7" t="s">
        <v>333</v>
      </c>
      <c r="C131" s="7" t="s">
        <v>342</v>
      </c>
      <c r="D131" s="7" t="s">
        <v>6152</v>
      </c>
      <c r="E131" s="7" t="s">
        <v>6247</v>
      </c>
      <c r="F131" s="7"/>
      <c r="G131" s="7"/>
      <c r="H131" s="7"/>
      <c r="I131" s="7"/>
      <c r="J131" s="7"/>
      <c r="K131" s="7"/>
    </row>
    <row r="132" customFormat="false" ht="23.85" hidden="false" customHeight="false" outlineLevel="0" collapsed="false">
      <c r="A132" s="7" t="n">
        <v>20</v>
      </c>
      <c r="B132" s="7" t="s">
        <v>333</v>
      </c>
      <c r="C132" s="7" t="s">
        <v>342</v>
      </c>
      <c r="D132" s="7" t="s">
        <v>6154</v>
      </c>
      <c r="E132" s="7" t="s">
        <v>6248</v>
      </c>
      <c r="F132" s="7" t="s">
        <v>6249</v>
      </c>
      <c r="G132" s="7"/>
      <c r="H132" s="7" t="s">
        <v>6250</v>
      </c>
      <c r="I132" s="7" t="s">
        <v>5812</v>
      </c>
      <c r="J132" s="7" t="s">
        <v>5812</v>
      </c>
      <c r="K132" s="7" t="s">
        <v>6251</v>
      </c>
    </row>
    <row r="133" customFormat="false" ht="35.05" hidden="false" customHeight="false" outlineLevel="0" collapsed="false">
      <c r="A133" s="7" t="n">
        <v>20</v>
      </c>
      <c r="B133" s="7" t="s">
        <v>333</v>
      </c>
      <c r="C133" s="7" t="s">
        <v>342</v>
      </c>
      <c r="D133" s="7" t="s">
        <v>6154</v>
      </c>
      <c r="E133" s="7" t="s">
        <v>6095</v>
      </c>
      <c r="F133" s="7" t="s">
        <v>6252</v>
      </c>
      <c r="G133" s="7"/>
      <c r="H133" s="7" t="s">
        <v>6253</v>
      </c>
      <c r="I133" s="7" t="s">
        <v>5827</v>
      </c>
      <c r="J133" s="7" t="s">
        <v>5827</v>
      </c>
      <c r="K133" s="7" t="s">
        <v>6251</v>
      </c>
    </row>
    <row r="134" customFormat="false" ht="23.85" hidden="false" customHeight="false" outlineLevel="0" collapsed="false">
      <c r="A134" s="7" t="n">
        <v>20</v>
      </c>
      <c r="B134" s="7" t="s">
        <v>333</v>
      </c>
      <c r="C134" s="7" t="s">
        <v>342</v>
      </c>
      <c r="D134" s="7" t="s">
        <v>6154</v>
      </c>
      <c r="E134" s="7" t="s">
        <v>6254</v>
      </c>
      <c r="F134" s="7" t="s">
        <v>6255</v>
      </c>
      <c r="G134" s="7"/>
      <c r="H134" s="7" t="s">
        <v>6256</v>
      </c>
      <c r="I134" s="7" t="s">
        <v>5812</v>
      </c>
      <c r="J134" s="7" t="s">
        <v>5812</v>
      </c>
      <c r="K134" s="7" t="s">
        <v>6251</v>
      </c>
    </row>
    <row r="135" customFormat="false" ht="23.85" hidden="false" customHeight="false" outlineLevel="0" collapsed="false">
      <c r="A135" s="7" t="n">
        <v>20</v>
      </c>
      <c r="B135" s="7" t="s">
        <v>333</v>
      </c>
      <c r="C135" s="7" t="s">
        <v>342</v>
      </c>
      <c r="D135" s="7" t="s">
        <v>6154</v>
      </c>
      <c r="E135" s="7" t="s">
        <v>6254</v>
      </c>
      <c r="F135" s="7" t="s">
        <v>6257</v>
      </c>
      <c r="G135" s="7"/>
      <c r="H135" s="7" t="s">
        <v>6258</v>
      </c>
      <c r="I135" s="7" t="s">
        <v>5812</v>
      </c>
      <c r="J135" s="7" t="s">
        <v>5812</v>
      </c>
      <c r="K135" s="7" t="s">
        <v>6251</v>
      </c>
    </row>
    <row r="136" customFormat="false" ht="23.85" hidden="false" customHeight="false" outlineLevel="0" collapsed="false">
      <c r="A136" s="7" t="n">
        <v>20</v>
      </c>
      <c r="B136" s="7" t="s">
        <v>333</v>
      </c>
      <c r="C136" s="7" t="s">
        <v>342</v>
      </c>
      <c r="D136" s="7" t="s">
        <v>6154</v>
      </c>
      <c r="E136" s="7" t="s">
        <v>6259</v>
      </c>
      <c r="F136" s="7" t="s">
        <v>6260</v>
      </c>
      <c r="G136" s="7"/>
      <c r="H136" s="7" t="s">
        <v>6261</v>
      </c>
      <c r="I136" s="7" t="s">
        <v>5857</v>
      </c>
      <c r="J136" s="7" t="s">
        <v>5857</v>
      </c>
      <c r="K136" s="7" t="s">
        <v>6251</v>
      </c>
    </row>
    <row r="137" customFormat="false" ht="23.85" hidden="false" customHeight="false" outlineLevel="0" collapsed="false">
      <c r="A137" s="7" t="n">
        <v>20</v>
      </c>
      <c r="B137" s="7" t="s">
        <v>333</v>
      </c>
      <c r="C137" s="7" t="s">
        <v>342</v>
      </c>
      <c r="D137" s="7" t="s">
        <v>6154</v>
      </c>
      <c r="E137" s="7" t="s">
        <v>5988</v>
      </c>
      <c r="F137" s="7" t="s">
        <v>6262</v>
      </c>
      <c r="G137" s="7"/>
      <c r="H137" s="7" t="s">
        <v>6263</v>
      </c>
      <c r="I137" s="7" t="s">
        <v>5812</v>
      </c>
      <c r="J137" s="7" t="s">
        <v>5812</v>
      </c>
      <c r="K137" s="7" t="s">
        <v>6251</v>
      </c>
    </row>
    <row r="138" customFormat="false" ht="23.85" hidden="false" customHeight="false" outlineLevel="0" collapsed="false">
      <c r="A138" s="7" t="n">
        <v>20</v>
      </c>
      <c r="B138" s="7" t="s">
        <v>333</v>
      </c>
      <c r="C138" s="7" t="s">
        <v>342</v>
      </c>
      <c r="D138" s="7" t="s">
        <v>6154</v>
      </c>
      <c r="E138" s="7" t="s">
        <v>5988</v>
      </c>
      <c r="F138" s="7" t="s">
        <v>6264</v>
      </c>
      <c r="G138" s="7"/>
      <c r="H138" s="7" t="s">
        <v>6265</v>
      </c>
      <c r="I138" s="7" t="s">
        <v>5827</v>
      </c>
      <c r="J138" s="7" t="s">
        <v>5827</v>
      </c>
      <c r="K138" s="7" t="s">
        <v>6251</v>
      </c>
    </row>
    <row r="139" customFormat="false" ht="35.05" hidden="false" customHeight="false" outlineLevel="0" collapsed="false">
      <c r="A139" s="7" t="n">
        <v>20</v>
      </c>
      <c r="B139" s="7" t="s">
        <v>333</v>
      </c>
      <c r="C139" s="7" t="s">
        <v>342</v>
      </c>
      <c r="D139" s="7" t="s">
        <v>5974</v>
      </c>
      <c r="E139" s="7" t="s">
        <v>6266</v>
      </c>
      <c r="F139" s="7" t="s">
        <v>6267</v>
      </c>
      <c r="G139" s="7" t="s">
        <v>6268</v>
      </c>
      <c r="H139" s="7" t="s">
        <v>6269</v>
      </c>
      <c r="I139" s="7" t="s">
        <v>6270</v>
      </c>
      <c r="J139" s="7" t="s">
        <v>5812</v>
      </c>
      <c r="K139" s="7" t="s">
        <v>6271</v>
      </c>
    </row>
    <row r="140" customFormat="false" ht="68.65" hidden="false" customHeight="false" outlineLevel="0" collapsed="false">
      <c r="A140" s="7" t="n">
        <v>29</v>
      </c>
      <c r="B140" s="7" t="s">
        <v>440</v>
      </c>
      <c r="C140" s="7" t="s">
        <v>451</v>
      </c>
      <c r="D140" s="7" t="s">
        <v>68</v>
      </c>
      <c r="E140" s="7" t="s">
        <v>6272</v>
      </c>
      <c r="F140" s="7"/>
      <c r="G140" s="7"/>
      <c r="H140" s="7"/>
      <c r="I140" s="7"/>
      <c r="J140" s="7"/>
      <c r="K140" s="7"/>
    </row>
    <row r="141" customFormat="false" ht="35.05" hidden="false" customHeight="false" outlineLevel="0" collapsed="false">
      <c r="A141" s="7" t="n">
        <v>29</v>
      </c>
      <c r="B141" s="7" t="s">
        <v>440</v>
      </c>
      <c r="C141" s="7" t="s">
        <v>451</v>
      </c>
      <c r="D141" s="7" t="s">
        <v>6273</v>
      </c>
      <c r="E141" s="7" t="s">
        <v>6274</v>
      </c>
      <c r="F141" s="7" t="s">
        <v>6275</v>
      </c>
      <c r="G141" s="7" t="s">
        <v>6276</v>
      </c>
      <c r="H141" s="7" t="s">
        <v>6277</v>
      </c>
      <c r="I141" s="7" t="s">
        <v>5812</v>
      </c>
      <c r="J141" s="7" t="s">
        <v>5812</v>
      </c>
      <c r="K141" s="7" t="s">
        <v>6278</v>
      </c>
    </row>
    <row r="142" customFormat="false" ht="91" hidden="false" customHeight="false" outlineLevel="0" collapsed="false">
      <c r="A142" s="7" t="n">
        <v>29</v>
      </c>
      <c r="B142" s="7" t="s">
        <v>440</v>
      </c>
      <c r="C142" s="7" t="s">
        <v>451</v>
      </c>
      <c r="D142" s="7" t="s">
        <v>6279</v>
      </c>
      <c r="E142" s="7" t="s">
        <v>6280</v>
      </c>
      <c r="F142" s="7" t="s">
        <v>6281</v>
      </c>
      <c r="G142" s="7" t="s">
        <v>6282</v>
      </c>
      <c r="H142" s="7" t="s">
        <v>6283</v>
      </c>
      <c r="I142" s="7" t="s">
        <v>5857</v>
      </c>
      <c r="J142" s="7" t="s">
        <v>5857</v>
      </c>
      <c r="K142" s="7" t="s">
        <v>6284</v>
      </c>
    </row>
    <row r="143" customFormat="false" ht="57.45" hidden="false" customHeight="false" outlineLevel="0" collapsed="false">
      <c r="A143" s="7" t="n">
        <v>29</v>
      </c>
      <c r="B143" s="7" t="s">
        <v>440</v>
      </c>
      <c r="C143" s="7" t="s">
        <v>451</v>
      </c>
      <c r="D143" s="7" t="s">
        <v>6285</v>
      </c>
      <c r="E143" s="7" t="s">
        <v>6286</v>
      </c>
      <c r="F143" s="7" t="s">
        <v>6287</v>
      </c>
      <c r="G143" s="7" t="s">
        <v>6288</v>
      </c>
      <c r="H143" s="7" t="s">
        <v>6289</v>
      </c>
      <c r="I143" s="7" t="s">
        <v>5812</v>
      </c>
      <c r="J143" s="7" t="s">
        <v>5812</v>
      </c>
      <c r="K143" s="7" t="s">
        <v>6290</v>
      </c>
    </row>
    <row r="144" customFormat="false" ht="57.45" hidden="false" customHeight="false" outlineLevel="0" collapsed="false">
      <c r="A144" s="7" t="n">
        <v>112</v>
      </c>
      <c r="B144" s="7" t="s">
        <v>1323</v>
      </c>
      <c r="C144" s="7" t="s">
        <v>1328</v>
      </c>
      <c r="D144" s="7" t="s">
        <v>68</v>
      </c>
      <c r="E144" s="7" t="s">
        <v>6291</v>
      </c>
      <c r="F144" s="7"/>
      <c r="G144" s="7"/>
      <c r="H144" s="7"/>
      <c r="I144" s="7"/>
      <c r="J144" s="7"/>
      <c r="K144" s="7"/>
    </row>
    <row r="145" customFormat="false" ht="46.25" hidden="false" customHeight="false" outlineLevel="0" collapsed="false">
      <c r="A145" s="7" t="n">
        <v>112</v>
      </c>
      <c r="B145" s="7" t="s">
        <v>1323</v>
      </c>
      <c r="C145" s="7" t="s">
        <v>1328</v>
      </c>
      <c r="D145" s="7" t="s">
        <v>5974</v>
      </c>
      <c r="E145" s="7" t="s">
        <v>6292</v>
      </c>
      <c r="F145" s="7" t="s">
        <v>6293</v>
      </c>
      <c r="G145" s="7" t="s">
        <v>6294</v>
      </c>
      <c r="H145" s="7" t="s">
        <v>6295</v>
      </c>
      <c r="I145" s="7" t="s">
        <v>5857</v>
      </c>
      <c r="J145" s="7" t="s">
        <v>5857</v>
      </c>
      <c r="K145" s="7" t="s">
        <v>6296</v>
      </c>
    </row>
    <row r="146" customFormat="false" ht="35.05" hidden="false" customHeight="false" outlineLevel="0" collapsed="false">
      <c r="A146" s="7" t="n">
        <v>112</v>
      </c>
      <c r="B146" s="7" t="s">
        <v>1323</v>
      </c>
      <c r="C146" s="7" t="s">
        <v>1328</v>
      </c>
      <c r="D146" s="7" t="s">
        <v>6297</v>
      </c>
      <c r="E146" s="7" t="s">
        <v>6298</v>
      </c>
      <c r="F146" s="7" t="s">
        <v>6299</v>
      </c>
      <c r="G146" s="7"/>
      <c r="H146" s="7" t="s">
        <v>6300</v>
      </c>
      <c r="I146" s="7" t="s">
        <v>5827</v>
      </c>
      <c r="J146" s="7" t="s">
        <v>5827</v>
      </c>
      <c r="K146" s="7" t="s">
        <v>6301</v>
      </c>
    </row>
    <row r="147" customFormat="false" ht="68.65" hidden="false" customHeight="false" outlineLevel="0" collapsed="false">
      <c r="A147" s="7" t="n">
        <v>112</v>
      </c>
      <c r="B147" s="7" t="s">
        <v>1323</v>
      </c>
      <c r="C147" s="7" t="s">
        <v>1328</v>
      </c>
      <c r="D147" s="7" t="s">
        <v>6297</v>
      </c>
      <c r="E147" s="7" t="s">
        <v>6302</v>
      </c>
      <c r="F147" s="7" t="s">
        <v>6303</v>
      </c>
      <c r="G147" s="7"/>
      <c r="H147" s="7" t="s">
        <v>6304</v>
      </c>
      <c r="I147" s="7" t="s">
        <v>5818</v>
      </c>
      <c r="J147" s="7" t="s">
        <v>5818</v>
      </c>
      <c r="K147" s="7" t="s">
        <v>6305</v>
      </c>
    </row>
    <row r="148" customFormat="false" ht="23.85" hidden="false" customHeight="false" outlineLevel="0" collapsed="false">
      <c r="A148" s="7" t="n">
        <v>112</v>
      </c>
      <c r="B148" s="7" t="s">
        <v>1323</v>
      </c>
      <c r="C148" s="7" t="s">
        <v>1328</v>
      </c>
      <c r="D148" s="7" t="s">
        <v>5974</v>
      </c>
      <c r="E148" s="7" t="s">
        <v>6306</v>
      </c>
      <c r="F148" s="7" t="s">
        <v>6307</v>
      </c>
      <c r="G148" s="7"/>
      <c r="H148" s="7" t="s">
        <v>6308</v>
      </c>
      <c r="I148" s="7" t="s">
        <v>5857</v>
      </c>
      <c r="J148" s="7" t="s">
        <v>5857</v>
      </c>
      <c r="K148" s="7" t="s">
        <v>6309</v>
      </c>
    </row>
    <row r="149" customFormat="false" ht="102.2" hidden="false" customHeight="false" outlineLevel="0" collapsed="false">
      <c r="A149" s="7" t="n">
        <v>31</v>
      </c>
      <c r="B149" s="7" t="s">
        <v>466</v>
      </c>
      <c r="C149" s="7" t="s">
        <v>474</v>
      </c>
      <c r="D149" s="7" t="s">
        <v>6082</v>
      </c>
      <c r="E149" s="7" t="s">
        <v>6310</v>
      </c>
      <c r="F149" s="7" t="s">
        <v>6311</v>
      </c>
      <c r="G149" s="7" t="s">
        <v>6312</v>
      </c>
      <c r="H149" s="7" t="s">
        <v>6313</v>
      </c>
      <c r="I149" s="7" t="s">
        <v>5857</v>
      </c>
      <c r="J149" s="7" t="s">
        <v>5857</v>
      </c>
      <c r="K149" s="7" t="s">
        <v>6314</v>
      </c>
    </row>
    <row r="150" customFormat="false" ht="23.85" hidden="false" customHeight="false" outlineLevel="0" collapsed="false">
      <c r="A150" s="7" t="n">
        <v>31</v>
      </c>
      <c r="B150" s="7" t="s">
        <v>466</v>
      </c>
      <c r="C150" s="7" t="s">
        <v>474</v>
      </c>
      <c r="D150" s="7" t="s">
        <v>6082</v>
      </c>
      <c r="E150" s="7" t="s">
        <v>6315</v>
      </c>
      <c r="F150" s="7" t="s">
        <v>6316</v>
      </c>
      <c r="G150" s="7"/>
      <c r="H150" s="7" t="s">
        <v>6317</v>
      </c>
      <c r="I150" s="7" t="s">
        <v>5812</v>
      </c>
      <c r="J150" s="7" t="s">
        <v>5812</v>
      </c>
      <c r="K150" s="7" t="s">
        <v>6318</v>
      </c>
    </row>
    <row r="151" customFormat="false" ht="35.05" hidden="false" customHeight="false" outlineLevel="0" collapsed="false">
      <c r="A151" s="7" t="n">
        <v>31</v>
      </c>
      <c r="B151" s="7" t="s">
        <v>466</v>
      </c>
      <c r="C151" s="7" t="s">
        <v>474</v>
      </c>
      <c r="D151" s="7" t="s">
        <v>6082</v>
      </c>
      <c r="E151" s="7" t="s">
        <v>6319</v>
      </c>
      <c r="F151" s="7" t="s">
        <v>6320</v>
      </c>
      <c r="G151" s="7"/>
      <c r="H151" s="7" t="s">
        <v>6321</v>
      </c>
      <c r="I151" s="7" t="s">
        <v>5818</v>
      </c>
      <c r="J151" s="7" t="s">
        <v>5818</v>
      </c>
      <c r="K151" s="7" t="s">
        <v>6318</v>
      </c>
    </row>
    <row r="152" customFormat="false" ht="23.85" hidden="false" customHeight="false" outlineLevel="0" collapsed="false">
      <c r="A152" s="7" t="n">
        <v>31</v>
      </c>
      <c r="B152" s="7" t="s">
        <v>466</v>
      </c>
      <c r="C152" s="7" t="s">
        <v>474</v>
      </c>
      <c r="D152" s="7" t="s">
        <v>6082</v>
      </c>
      <c r="E152" s="7" t="s">
        <v>6322</v>
      </c>
      <c r="F152" s="7" t="s">
        <v>6323</v>
      </c>
      <c r="G152" s="7"/>
      <c r="H152" s="7" t="s">
        <v>6324</v>
      </c>
      <c r="I152" s="7" t="s">
        <v>5818</v>
      </c>
      <c r="J152" s="7" t="s">
        <v>5818</v>
      </c>
      <c r="K152" s="7" t="s">
        <v>6318</v>
      </c>
    </row>
    <row r="153" customFormat="false" ht="57.45" hidden="false" customHeight="false" outlineLevel="0" collapsed="false">
      <c r="A153" s="7" t="n">
        <v>32</v>
      </c>
      <c r="B153" s="7" t="s">
        <v>477</v>
      </c>
      <c r="C153" s="7" t="s">
        <v>485</v>
      </c>
      <c r="D153" s="7" t="s">
        <v>68</v>
      </c>
      <c r="E153" s="7" t="s">
        <v>6325</v>
      </c>
      <c r="F153" s="7"/>
      <c r="G153" s="7"/>
      <c r="H153" s="7"/>
      <c r="I153" s="7"/>
      <c r="J153" s="7"/>
      <c r="K153" s="7"/>
    </row>
    <row r="154" customFormat="false" ht="68.65" hidden="false" customHeight="false" outlineLevel="0" collapsed="false">
      <c r="A154" s="7" t="n">
        <v>32</v>
      </c>
      <c r="B154" s="7" t="s">
        <v>477</v>
      </c>
      <c r="C154" s="7" t="s">
        <v>485</v>
      </c>
      <c r="D154" s="7" t="s">
        <v>6152</v>
      </c>
      <c r="E154" s="7" t="s">
        <v>71</v>
      </c>
      <c r="F154" s="7" t="s">
        <v>6326</v>
      </c>
      <c r="G154" s="7" t="s">
        <v>6327</v>
      </c>
      <c r="H154" s="7" t="s">
        <v>6328</v>
      </c>
      <c r="I154" s="7" t="s">
        <v>5827</v>
      </c>
      <c r="J154" s="7" t="s">
        <v>5827</v>
      </c>
      <c r="K154" s="7" t="s">
        <v>6329</v>
      </c>
    </row>
    <row r="155" customFormat="false" ht="35.05" hidden="false" customHeight="false" outlineLevel="0" collapsed="false">
      <c r="A155" s="7" t="n">
        <v>32</v>
      </c>
      <c r="B155" s="7" t="s">
        <v>477</v>
      </c>
      <c r="C155" s="7" t="s">
        <v>485</v>
      </c>
      <c r="D155" s="7" t="s">
        <v>5974</v>
      </c>
      <c r="E155" s="7" t="s">
        <v>6330</v>
      </c>
      <c r="F155" s="7" t="s">
        <v>6331</v>
      </c>
      <c r="G155" s="7" t="s">
        <v>6332</v>
      </c>
      <c r="H155" s="7" t="s">
        <v>6333</v>
      </c>
      <c r="I155" s="7" t="s">
        <v>5812</v>
      </c>
      <c r="J155" s="7" t="s">
        <v>5812</v>
      </c>
      <c r="K155" s="7" t="s">
        <v>6334</v>
      </c>
    </row>
    <row r="156" customFormat="false" ht="23.85" hidden="false" customHeight="false" outlineLevel="0" collapsed="false">
      <c r="A156" s="7" t="n">
        <v>32</v>
      </c>
      <c r="B156" s="7" t="s">
        <v>477</v>
      </c>
      <c r="C156" s="7" t="s">
        <v>485</v>
      </c>
      <c r="D156" s="7" t="s">
        <v>5974</v>
      </c>
      <c r="E156" s="7" t="s">
        <v>6335</v>
      </c>
      <c r="F156" s="7" t="s">
        <v>6336</v>
      </c>
      <c r="G156" s="7" t="s">
        <v>6337</v>
      </c>
      <c r="H156" s="7" t="s">
        <v>6338</v>
      </c>
      <c r="I156" s="7" t="s">
        <v>5812</v>
      </c>
      <c r="J156" s="7" t="s">
        <v>5812</v>
      </c>
      <c r="K156" s="7" t="s">
        <v>6339</v>
      </c>
    </row>
    <row r="157" customFormat="false" ht="35.05" hidden="false" customHeight="false" outlineLevel="0" collapsed="false">
      <c r="A157" s="7" t="n">
        <v>32</v>
      </c>
      <c r="B157" s="7" t="s">
        <v>477</v>
      </c>
      <c r="C157" s="7" t="s">
        <v>485</v>
      </c>
      <c r="D157" s="7" t="s">
        <v>5974</v>
      </c>
      <c r="E157" s="7" t="s">
        <v>6340</v>
      </c>
      <c r="F157" s="7" t="s">
        <v>6341</v>
      </c>
      <c r="G157" s="7"/>
      <c r="H157" s="7" t="s">
        <v>6342</v>
      </c>
      <c r="I157" s="7" t="s">
        <v>5827</v>
      </c>
      <c r="J157" s="7" t="s">
        <v>5827</v>
      </c>
      <c r="K157" s="7" t="s">
        <v>6343</v>
      </c>
    </row>
    <row r="158" customFormat="false" ht="35.05" hidden="false" customHeight="false" outlineLevel="0" collapsed="false">
      <c r="A158" s="7" t="n">
        <v>32</v>
      </c>
      <c r="B158" s="7" t="s">
        <v>477</v>
      </c>
      <c r="C158" s="7" t="s">
        <v>485</v>
      </c>
      <c r="D158" s="7" t="s">
        <v>6344</v>
      </c>
      <c r="E158" s="7" t="s">
        <v>5820</v>
      </c>
      <c r="F158" s="7" t="s">
        <v>6345</v>
      </c>
      <c r="G158" s="7" t="s">
        <v>6346</v>
      </c>
      <c r="H158" s="7" t="s">
        <v>6347</v>
      </c>
      <c r="I158" s="7" t="s">
        <v>5818</v>
      </c>
      <c r="J158" s="7" t="s">
        <v>5818</v>
      </c>
      <c r="K158" s="7" t="s">
        <v>6348</v>
      </c>
    </row>
    <row r="159" customFormat="false" ht="68.65" hidden="false" customHeight="false" outlineLevel="0" collapsed="false">
      <c r="A159" s="7" t="n">
        <v>30</v>
      </c>
      <c r="B159" s="7" t="s">
        <v>454</v>
      </c>
      <c r="C159" s="7" t="s">
        <v>463</v>
      </c>
      <c r="D159" s="7" t="s">
        <v>68</v>
      </c>
      <c r="E159" s="7" t="s">
        <v>6349</v>
      </c>
      <c r="F159" s="7"/>
      <c r="G159" s="7"/>
      <c r="H159" s="7"/>
      <c r="I159" s="7"/>
      <c r="J159" s="7"/>
      <c r="K159" s="7"/>
    </row>
    <row r="160" customFormat="false" ht="46.25" hidden="false" customHeight="false" outlineLevel="0" collapsed="false">
      <c r="A160" s="7" t="n">
        <v>30</v>
      </c>
      <c r="B160" s="7" t="s">
        <v>454</v>
      </c>
      <c r="C160" s="7" t="s">
        <v>463</v>
      </c>
      <c r="D160" s="7" t="s">
        <v>5974</v>
      </c>
      <c r="E160" s="7" t="s">
        <v>6350</v>
      </c>
      <c r="F160" s="7" t="s">
        <v>6351</v>
      </c>
      <c r="G160" s="7" t="s">
        <v>6352</v>
      </c>
      <c r="H160" s="7" t="s">
        <v>6353</v>
      </c>
      <c r="I160" s="7" t="s">
        <v>5857</v>
      </c>
      <c r="J160" s="7" t="s">
        <v>5857</v>
      </c>
      <c r="K160" s="7" t="s">
        <v>6354</v>
      </c>
    </row>
    <row r="161" customFormat="false" ht="23.85" hidden="false" customHeight="false" outlineLevel="0" collapsed="false">
      <c r="A161" s="7" t="n">
        <v>30</v>
      </c>
      <c r="B161" s="7" t="s">
        <v>454</v>
      </c>
      <c r="C161" s="7" t="s">
        <v>463</v>
      </c>
      <c r="D161" s="7" t="s">
        <v>5974</v>
      </c>
      <c r="E161" s="7" t="s">
        <v>6355</v>
      </c>
      <c r="F161" s="7" t="s">
        <v>6356</v>
      </c>
      <c r="G161" s="7" t="s">
        <v>6357</v>
      </c>
      <c r="H161" s="7" t="s">
        <v>6358</v>
      </c>
      <c r="I161" s="7" t="s">
        <v>5857</v>
      </c>
      <c r="J161" s="7" t="s">
        <v>5857</v>
      </c>
      <c r="K161" s="7" t="s">
        <v>6359</v>
      </c>
    </row>
    <row r="162" customFormat="false" ht="46.25" hidden="false" customHeight="false" outlineLevel="0" collapsed="false">
      <c r="A162" s="7" t="n">
        <v>30</v>
      </c>
      <c r="B162" s="7" t="s">
        <v>454</v>
      </c>
      <c r="C162" s="7" t="s">
        <v>463</v>
      </c>
      <c r="D162" s="7" t="s">
        <v>5974</v>
      </c>
      <c r="E162" s="7" t="s">
        <v>6360</v>
      </c>
      <c r="F162" s="7" t="s">
        <v>6361</v>
      </c>
      <c r="G162" s="7" t="s">
        <v>6362</v>
      </c>
      <c r="H162" s="7" t="s">
        <v>6363</v>
      </c>
      <c r="I162" s="7" t="s">
        <v>5812</v>
      </c>
      <c r="J162" s="7" t="s">
        <v>5812</v>
      </c>
      <c r="K162" s="7" t="s">
        <v>6364</v>
      </c>
    </row>
    <row r="163" customFormat="false" ht="23.85" hidden="false" customHeight="false" outlineLevel="0" collapsed="false">
      <c r="A163" s="7" t="n">
        <v>30</v>
      </c>
      <c r="B163" s="7" t="s">
        <v>454</v>
      </c>
      <c r="C163" s="7" t="s">
        <v>463</v>
      </c>
      <c r="D163" s="7" t="s">
        <v>5974</v>
      </c>
      <c r="E163" s="7" t="s">
        <v>5988</v>
      </c>
      <c r="F163" s="7" t="s">
        <v>6365</v>
      </c>
      <c r="G163" s="7"/>
      <c r="H163" s="7" t="s">
        <v>6366</v>
      </c>
      <c r="I163" s="7" t="s">
        <v>5818</v>
      </c>
      <c r="J163" s="7" t="s">
        <v>5818</v>
      </c>
      <c r="K163" s="7" t="s">
        <v>6354</v>
      </c>
    </row>
    <row r="164" customFormat="false" ht="23.85" hidden="false" customHeight="false" outlineLevel="0" collapsed="false">
      <c r="A164" s="7" t="n">
        <v>36</v>
      </c>
      <c r="B164" s="7" t="s">
        <v>518</v>
      </c>
      <c r="C164" s="7" t="s">
        <v>527</v>
      </c>
      <c r="D164" s="7" t="s">
        <v>6082</v>
      </c>
      <c r="E164" s="7" t="s">
        <v>6367</v>
      </c>
      <c r="F164" s="7" t="s">
        <v>6368</v>
      </c>
      <c r="G164" s="7"/>
      <c r="H164" s="7" t="s">
        <v>6369</v>
      </c>
      <c r="I164" s="7" t="s">
        <v>5827</v>
      </c>
      <c r="J164" s="7" t="s">
        <v>5827</v>
      </c>
      <c r="K164" s="7" t="s">
        <v>6370</v>
      </c>
    </row>
    <row r="165" customFormat="false" ht="23.85" hidden="false" customHeight="false" outlineLevel="0" collapsed="false">
      <c r="A165" s="7" t="n">
        <v>36</v>
      </c>
      <c r="B165" s="7" t="s">
        <v>518</v>
      </c>
      <c r="C165" s="7" t="s">
        <v>527</v>
      </c>
      <c r="D165" s="7" t="s">
        <v>6082</v>
      </c>
      <c r="E165" s="7" t="s">
        <v>6371</v>
      </c>
      <c r="F165" s="7" t="s">
        <v>6372</v>
      </c>
      <c r="G165" s="7"/>
      <c r="H165" s="7" t="s">
        <v>6373</v>
      </c>
      <c r="I165" s="7" t="s">
        <v>5827</v>
      </c>
      <c r="J165" s="7" t="s">
        <v>5827</v>
      </c>
      <c r="K165" s="7" t="s">
        <v>6370</v>
      </c>
    </row>
    <row r="166" customFormat="false" ht="23.85" hidden="false" customHeight="false" outlineLevel="0" collapsed="false">
      <c r="A166" s="7" t="n">
        <v>36</v>
      </c>
      <c r="B166" s="7" t="s">
        <v>518</v>
      </c>
      <c r="C166" s="7" t="s">
        <v>527</v>
      </c>
      <c r="D166" s="7" t="s">
        <v>6082</v>
      </c>
      <c r="E166" s="7" t="s">
        <v>6374</v>
      </c>
      <c r="F166" s="7" t="s">
        <v>6375</v>
      </c>
      <c r="G166" s="7"/>
      <c r="H166" s="7" t="s">
        <v>6376</v>
      </c>
      <c r="I166" s="7" t="s">
        <v>5827</v>
      </c>
      <c r="J166" s="7" t="s">
        <v>5827</v>
      </c>
      <c r="K166" s="7" t="s">
        <v>6370</v>
      </c>
    </row>
    <row r="167" customFormat="false" ht="35.05" hidden="false" customHeight="false" outlineLevel="0" collapsed="false">
      <c r="A167" s="7" t="n">
        <v>36</v>
      </c>
      <c r="B167" s="7" t="s">
        <v>518</v>
      </c>
      <c r="C167" s="7" t="s">
        <v>527</v>
      </c>
      <c r="D167" s="7" t="s">
        <v>6082</v>
      </c>
      <c r="E167" s="7" t="s">
        <v>6377</v>
      </c>
      <c r="F167" s="7" t="s">
        <v>6378</v>
      </c>
      <c r="G167" s="7" t="s">
        <v>6379</v>
      </c>
      <c r="H167" s="7" t="s">
        <v>6380</v>
      </c>
      <c r="I167" s="7" t="s">
        <v>5857</v>
      </c>
      <c r="J167" s="7" t="s">
        <v>5857</v>
      </c>
      <c r="K167" s="7" t="s">
        <v>6370</v>
      </c>
    </row>
    <row r="168" customFormat="false" ht="23.85" hidden="false" customHeight="false" outlineLevel="0" collapsed="false">
      <c r="A168" s="7" t="n">
        <v>36</v>
      </c>
      <c r="B168" s="7" t="s">
        <v>518</v>
      </c>
      <c r="C168" s="7" t="s">
        <v>527</v>
      </c>
      <c r="D168" s="7" t="s">
        <v>5974</v>
      </c>
      <c r="E168" s="7" t="s">
        <v>6381</v>
      </c>
      <c r="F168" s="7" t="s">
        <v>6382</v>
      </c>
      <c r="G168" s="7" t="s">
        <v>6383</v>
      </c>
      <c r="H168" s="7" t="s">
        <v>6384</v>
      </c>
      <c r="I168" s="7" t="s">
        <v>5812</v>
      </c>
      <c r="J168" s="7" t="s">
        <v>5812</v>
      </c>
      <c r="K168" s="7" t="s">
        <v>6385</v>
      </c>
    </row>
    <row r="169" customFormat="false" ht="35.05" hidden="false" customHeight="false" outlineLevel="0" collapsed="false">
      <c r="A169" s="7" t="n">
        <v>35</v>
      </c>
      <c r="B169" s="7" t="s">
        <v>507</v>
      </c>
      <c r="C169" s="7" t="s">
        <v>515</v>
      </c>
      <c r="D169" s="7" t="s">
        <v>6152</v>
      </c>
      <c r="E169" s="7" t="s">
        <v>6386</v>
      </c>
      <c r="F169" s="7"/>
      <c r="G169" s="7"/>
      <c r="H169" s="7"/>
      <c r="I169" s="7"/>
      <c r="J169" s="7"/>
      <c r="K169" s="7"/>
    </row>
    <row r="170" customFormat="false" ht="35.05" hidden="false" customHeight="false" outlineLevel="0" collapsed="false">
      <c r="A170" s="7" t="n">
        <v>35</v>
      </c>
      <c r="B170" s="7" t="s">
        <v>507</v>
      </c>
      <c r="C170" s="7" t="s">
        <v>515</v>
      </c>
      <c r="D170" s="7" t="s">
        <v>6152</v>
      </c>
      <c r="E170" s="7" t="s">
        <v>6387</v>
      </c>
      <c r="F170" s="7"/>
      <c r="G170" s="7"/>
      <c r="H170" s="7"/>
      <c r="I170" s="7"/>
      <c r="J170" s="7"/>
      <c r="K170" s="7"/>
    </row>
    <row r="171" customFormat="false" ht="23.85" hidden="false" customHeight="false" outlineLevel="0" collapsed="false">
      <c r="A171" s="7" t="n">
        <v>35</v>
      </c>
      <c r="B171" s="7" t="s">
        <v>507</v>
      </c>
      <c r="C171" s="7" t="s">
        <v>515</v>
      </c>
      <c r="D171" s="7" t="s">
        <v>6154</v>
      </c>
      <c r="E171" s="7" t="s">
        <v>6095</v>
      </c>
      <c r="F171" s="7" t="s">
        <v>6388</v>
      </c>
      <c r="G171" s="7"/>
      <c r="H171" s="7" t="s">
        <v>6389</v>
      </c>
      <c r="I171" s="7" t="s">
        <v>5818</v>
      </c>
      <c r="J171" s="7" t="s">
        <v>5818</v>
      </c>
      <c r="K171" s="7" t="s">
        <v>6390</v>
      </c>
    </row>
    <row r="172" customFormat="false" ht="23.85" hidden="false" customHeight="false" outlineLevel="0" collapsed="false">
      <c r="A172" s="7" t="n">
        <v>35</v>
      </c>
      <c r="B172" s="7" t="s">
        <v>507</v>
      </c>
      <c r="C172" s="7" t="s">
        <v>515</v>
      </c>
      <c r="D172" s="7" t="s">
        <v>6154</v>
      </c>
      <c r="E172" s="7" t="s">
        <v>6254</v>
      </c>
      <c r="F172" s="7" t="s">
        <v>6391</v>
      </c>
      <c r="G172" s="7"/>
      <c r="H172" s="7" t="s">
        <v>6392</v>
      </c>
      <c r="I172" s="7" t="s">
        <v>5857</v>
      </c>
      <c r="J172" s="7" t="s">
        <v>5857</v>
      </c>
      <c r="K172" s="7" t="s">
        <v>6390</v>
      </c>
    </row>
    <row r="173" customFormat="false" ht="35.05" hidden="false" customHeight="false" outlineLevel="0" collapsed="false">
      <c r="A173" s="7" t="n">
        <v>35</v>
      </c>
      <c r="B173" s="7" t="s">
        <v>507</v>
      </c>
      <c r="C173" s="7" t="s">
        <v>515</v>
      </c>
      <c r="D173" s="7" t="s">
        <v>6154</v>
      </c>
      <c r="E173" s="7" t="s">
        <v>6254</v>
      </c>
      <c r="F173" s="7" t="s">
        <v>6257</v>
      </c>
      <c r="G173" s="7"/>
      <c r="H173" s="7" t="s">
        <v>6393</v>
      </c>
      <c r="I173" s="7" t="s">
        <v>5827</v>
      </c>
      <c r="J173" s="7" t="s">
        <v>5827</v>
      </c>
      <c r="K173" s="7" t="s">
        <v>6390</v>
      </c>
    </row>
    <row r="174" customFormat="false" ht="35.05" hidden="false" customHeight="false" outlineLevel="0" collapsed="false">
      <c r="A174" s="7" t="n">
        <v>35</v>
      </c>
      <c r="B174" s="7" t="s">
        <v>507</v>
      </c>
      <c r="C174" s="7" t="s">
        <v>515</v>
      </c>
      <c r="D174" s="7" t="s">
        <v>6154</v>
      </c>
      <c r="E174" s="7" t="s">
        <v>5988</v>
      </c>
      <c r="F174" s="7" t="s">
        <v>6394</v>
      </c>
      <c r="G174" s="7"/>
      <c r="H174" s="7" t="s">
        <v>6395</v>
      </c>
      <c r="I174" s="7" t="s">
        <v>5857</v>
      </c>
      <c r="J174" s="7" t="s">
        <v>5857</v>
      </c>
      <c r="K174" s="7" t="s">
        <v>6390</v>
      </c>
    </row>
    <row r="175" customFormat="false" ht="23.85" hidden="false" customHeight="false" outlineLevel="0" collapsed="false">
      <c r="A175" s="7" t="n">
        <v>35</v>
      </c>
      <c r="B175" s="7" t="s">
        <v>507</v>
      </c>
      <c r="C175" s="7" t="s">
        <v>515</v>
      </c>
      <c r="D175" s="7" t="s">
        <v>6154</v>
      </c>
      <c r="E175" s="7" t="s">
        <v>5988</v>
      </c>
      <c r="F175" s="7" t="s">
        <v>6396</v>
      </c>
      <c r="G175" s="7"/>
      <c r="H175" s="7" t="s">
        <v>6397</v>
      </c>
      <c r="I175" s="7" t="s">
        <v>6398</v>
      </c>
      <c r="J175" s="7" t="s">
        <v>5827</v>
      </c>
      <c r="K175" s="7" t="s">
        <v>6390</v>
      </c>
    </row>
    <row r="176" customFormat="false" ht="35.05" hidden="false" customHeight="false" outlineLevel="0" collapsed="false">
      <c r="A176" s="7" t="n">
        <v>35</v>
      </c>
      <c r="B176" s="7" t="s">
        <v>507</v>
      </c>
      <c r="C176" s="7" t="s">
        <v>515</v>
      </c>
      <c r="D176" s="7" t="s">
        <v>68</v>
      </c>
      <c r="E176" s="7" t="s">
        <v>6399</v>
      </c>
      <c r="F176" s="7"/>
      <c r="G176" s="7"/>
      <c r="H176" s="7"/>
      <c r="I176" s="7"/>
      <c r="J176" s="7"/>
      <c r="K176" s="7"/>
    </row>
    <row r="177" customFormat="false" ht="46.25" hidden="false" customHeight="false" outlineLevel="0" collapsed="false">
      <c r="A177" s="7" t="n">
        <v>38</v>
      </c>
      <c r="B177" s="7" t="s">
        <v>541</v>
      </c>
      <c r="C177" s="7" t="s">
        <v>547</v>
      </c>
      <c r="D177" s="7" t="s">
        <v>68</v>
      </c>
      <c r="E177" s="7" t="s">
        <v>6400</v>
      </c>
      <c r="F177" s="7"/>
      <c r="G177" s="7"/>
      <c r="H177" s="7"/>
      <c r="I177" s="7"/>
      <c r="J177" s="7"/>
      <c r="K177" s="7"/>
    </row>
    <row r="178" customFormat="false" ht="35.05" hidden="false" customHeight="false" outlineLevel="0" collapsed="false">
      <c r="A178" s="7" t="n">
        <v>38</v>
      </c>
      <c r="B178" s="7" t="s">
        <v>541</v>
      </c>
      <c r="C178" s="7" t="s">
        <v>547</v>
      </c>
      <c r="D178" s="7" t="s">
        <v>6401</v>
      </c>
      <c r="E178" s="7" t="s">
        <v>6402</v>
      </c>
      <c r="F178" s="7" t="s">
        <v>6403</v>
      </c>
      <c r="G178" s="7"/>
      <c r="H178" s="7" t="s">
        <v>6404</v>
      </c>
      <c r="I178" s="7" t="s">
        <v>5805</v>
      </c>
      <c r="J178" s="7" t="s">
        <v>5805</v>
      </c>
      <c r="K178" s="7" t="s">
        <v>6405</v>
      </c>
    </row>
    <row r="179" customFormat="false" ht="23.85" hidden="false" customHeight="false" outlineLevel="0" collapsed="false">
      <c r="A179" s="7" t="n">
        <v>38</v>
      </c>
      <c r="B179" s="7" t="s">
        <v>541</v>
      </c>
      <c r="C179" s="7" t="s">
        <v>547</v>
      </c>
      <c r="D179" s="7" t="s">
        <v>6401</v>
      </c>
      <c r="E179" s="7" t="s">
        <v>6406</v>
      </c>
      <c r="F179" s="7" t="s">
        <v>6407</v>
      </c>
      <c r="G179" s="7"/>
      <c r="H179" s="7" t="s">
        <v>6408</v>
      </c>
      <c r="I179" s="7" t="s">
        <v>6409</v>
      </c>
      <c r="J179" s="7" t="s">
        <v>5818</v>
      </c>
      <c r="K179" s="7" t="s">
        <v>6410</v>
      </c>
    </row>
    <row r="180" customFormat="false" ht="23.85" hidden="false" customHeight="false" outlineLevel="0" collapsed="false">
      <c r="A180" s="7" t="n">
        <v>38</v>
      </c>
      <c r="B180" s="7" t="s">
        <v>541</v>
      </c>
      <c r="C180" s="7" t="s">
        <v>547</v>
      </c>
      <c r="D180" s="7" t="s">
        <v>6401</v>
      </c>
      <c r="E180" s="7" t="s">
        <v>6411</v>
      </c>
      <c r="F180" s="7" t="s">
        <v>6412</v>
      </c>
      <c r="G180" s="7"/>
      <c r="H180" s="7" t="s">
        <v>6413</v>
      </c>
      <c r="I180" s="7" t="s">
        <v>6414</v>
      </c>
      <c r="J180" s="7" t="s">
        <v>5827</v>
      </c>
      <c r="K180" s="7" t="s">
        <v>6410</v>
      </c>
    </row>
    <row r="181" customFormat="false" ht="35.05" hidden="false" customHeight="false" outlineLevel="0" collapsed="false">
      <c r="A181" s="7" t="n">
        <v>38</v>
      </c>
      <c r="B181" s="7" t="s">
        <v>541</v>
      </c>
      <c r="C181" s="7" t="s">
        <v>547</v>
      </c>
      <c r="D181" s="7" t="s">
        <v>6401</v>
      </c>
      <c r="E181" s="7" t="s">
        <v>6415</v>
      </c>
      <c r="F181" s="7" t="s">
        <v>6416</v>
      </c>
      <c r="G181" s="7"/>
      <c r="H181" s="7" t="s">
        <v>6417</v>
      </c>
      <c r="I181" s="7" t="s">
        <v>6418</v>
      </c>
      <c r="J181" s="7" t="s">
        <v>5857</v>
      </c>
      <c r="K181" s="7" t="s">
        <v>6410</v>
      </c>
    </row>
    <row r="182" customFormat="false" ht="23.85" hidden="false" customHeight="false" outlineLevel="0" collapsed="false">
      <c r="A182" s="7" t="n">
        <v>38</v>
      </c>
      <c r="B182" s="7" t="s">
        <v>541</v>
      </c>
      <c r="C182" s="7" t="s">
        <v>547</v>
      </c>
      <c r="D182" s="7" t="s">
        <v>5974</v>
      </c>
      <c r="E182" s="7" t="s">
        <v>6419</v>
      </c>
      <c r="F182" s="7" t="s">
        <v>6420</v>
      </c>
      <c r="G182" s="7" t="s">
        <v>6421</v>
      </c>
      <c r="H182" s="7" t="s">
        <v>6422</v>
      </c>
      <c r="I182" s="7" t="s">
        <v>5812</v>
      </c>
      <c r="J182" s="7" t="s">
        <v>5812</v>
      </c>
      <c r="K182" s="7" t="s">
        <v>6423</v>
      </c>
    </row>
    <row r="183" customFormat="false" ht="57.45" hidden="false" customHeight="false" outlineLevel="0" collapsed="false">
      <c r="A183" s="7" t="n">
        <v>40</v>
      </c>
      <c r="B183" s="7" t="s">
        <v>563</v>
      </c>
      <c r="C183" s="7" t="s">
        <v>569</v>
      </c>
      <c r="D183" s="7" t="s">
        <v>68</v>
      </c>
      <c r="E183" s="7" t="s">
        <v>6424</v>
      </c>
      <c r="F183" s="7"/>
      <c r="G183" s="7"/>
      <c r="H183" s="7"/>
      <c r="I183" s="7"/>
      <c r="J183" s="7"/>
      <c r="K183" s="7"/>
    </row>
    <row r="184" customFormat="false" ht="35.05" hidden="false" customHeight="false" outlineLevel="0" collapsed="false">
      <c r="A184" s="7" t="n">
        <v>40</v>
      </c>
      <c r="B184" s="7" t="s">
        <v>563</v>
      </c>
      <c r="C184" s="7" t="s">
        <v>569</v>
      </c>
      <c r="D184" s="7" t="s">
        <v>6425</v>
      </c>
      <c r="E184" s="7" t="s">
        <v>6426</v>
      </c>
      <c r="F184" s="7" t="s">
        <v>6427</v>
      </c>
      <c r="G184" s="7"/>
      <c r="H184" s="7" t="s">
        <v>6428</v>
      </c>
      <c r="I184" s="7" t="s">
        <v>5857</v>
      </c>
      <c r="J184" s="7" t="s">
        <v>5857</v>
      </c>
      <c r="K184" s="7" t="s">
        <v>6429</v>
      </c>
    </row>
    <row r="185" customFormat="false" ht="23.85" hidden="false" customHeight="false" outlineLevel="0" collapsed="false">
      <c r="A185" s="7" t="n">
        <v>40</v>
      </c>
      <c r="B185" s="7" t="s">
        <v>563</v>
      </c>
      <c r="C185" s="7" t="s">
        <v>569</v>
      </c>
      <c r="D185" s="7" t="s">
        <v>6425</v>
      </c>
      <c r="E185" s="7" t="s">
        <v>6430</v>
      </c>
      <c r="F185" s="7" t="s">
        <v>6431</v>
      </c>
      <c r="G185" s="7"/>
      <c r="H185" s="7" t="s">
        <v>6432</v>
      </c>
      <c r="I185" s="7" t="s">
        <v>5812</v>
      </c>
      <c r="J185" s="7" t="s">
        <v>5812</v>
      </c>
      <c r="K185" s="7"/>
    </row>
    <row r="186" customFormat="false" ht="35.05" hidden="false" customHeight="false" outlineLevel="0" collapsed="false">
      <c r="A186" s="7" t="n">
        <v>40</v>
      </c>
      <c r="B186" s="7" t="s">
        <v>563</v>
      </c>
      <c r="C186" s="7" t="s">
        <v>569</v>
      </c>
      <c r="D186" s="7" t="s">
        <v>6433</v>
      </c>
      <c r="E186" s="7" t="s">
        <v>6434</v>
      </c>
      <c r="F186" s="7" t="s">
        <v>6435</v>
      </c>
      <c r="G186" s="7"/>
      <c r="H186" s="7" t="s">
        <v>6436</v>
      </c>
      <c r="I186" s="7" t="s">
        <v>6437</v>
      </c>
      <c r="J186" s="7" t="s">
        <v>5827</v>
      </c>
      <c r="K186" s="7" t="s">
        <v>6438</v>
      </c>
    </row>
    <row r="187" customFormat="false" ht="23.85" hidden="false" customHeight="false" outlineLevel="0" collapsed="false">
      <c r="A187" s="7" t="n">
        <v>40</v>
      </c>
      <c r="B187" s="7" t="s">
        <v>563</v>
      </c>
      <c r="C187" s="7" t="s">
        <v>569</v>
      </c>
      <c r="D187" s="7" t="s">
        <v>6439</v>
      </c>
      <c r="E187" s="7" t="s">
        <v>6440</v>
      </c>
      <c r="F187" s="7" t="s">
        <v>6441</v>
      </c>
      <c r="G187" s="7"/>
      <c r="H187" s="7" t="s">
        <v>6442</v>
      </c>
      <c r="I187" s="7" t="s">
        <v>5812</v>
      </c>
      <c r="J187" s="7" t="s">
        <v>5812</v>
      </c>
      <c r="K187" s="7" t="s">
        <v>6443</v>
      </c>
    </row>
    <row r="188" customFormat="false" ht="57.45" hidden="false" customHeight="false" outlineLevel="0" collapsed="false">
      <c r="A188" s="7" t="n">
        <v>27</v>
      </c>
      <c r="B188" s="7" t="s">
        <v>419</v>
      </c>
      <c r="C188" s="7" t="s">
        <v>428</v>
      </c>
      <c r="D188" s="7" t="s">
        <v>68</v>
      </c>
      <c r="E188" s="7" t="s">
        <v>6444</v>
      </c>
      <c r="F188" s="7"/>
      <c r="G188" s="7"/>
      <c r="H188" s="7"/>
      <c r="I188" s="7"/>
      <c r="J188" s="7"/>
      <c r="K188" s="7"/>
    </row>
    <row r="189" customFormat="false" ht="46.25" hidden="false" customHeight="false" outlineLevel="0" collapsed="false">
      <c r="A189" s="7" t="n">
        <v>27</v>
      </c>
      <c r="B189" s="7" t="s">
        <v>419</v>
      </c>
      <c r="C189" s="7" t="s">
        <v>428</v>
      </c>
      <c r="D189" s="7" t="s">
        <v>6445</v>
      </c>
      <c r="E189" s="7" t="s">
        <v>6355</v>
      </c>
      <c r="F189" s="7" t="s">
        <v>6446</v>
      </c>
      <c r="G189" s="7" t="s">
        <v>6447</v>
      </c>
      <c r="H189" s="7" t="s">
        <v>6442</v>
      </c>
      <c r="I189" s="7" t="s">
        <v>5812</v>
      </c>
      <c r="J189" s="7" t="s">
        <v>5812</v>
      </c>
      <c r="K189" s="7" t="s">
        <v>6448</v>
      </c>
    </row>
    <row r="190" customFormat="false" ht="46.25" hidden="false" customHeight="false" outlineLevel="0" collapsed="false">
      <c r="A190" s="7" t="n">
        <v>27</v>
      </c>
      <c r="B190" s="7" t="s">
        <v>419</v>
      </c>
      <c r="C190" s="7" t="s">
        <v>428</v>
      </c>
      <c r="D190" s="7" t="s">
        <v>6445</v>
      </c>
      <c r="E190" s="7" t="s">
        <v>6298</v>
      </c>
      <c r="F190" s="7" t="s">
        <v>6449</v>
      </c>
      <c r="G190" s="7"/>
      <c r="H190" s="7" t="s">
        <v>6450</v>
      </c>
      <c r="I190" s="7" t="s">
        <v>5812</v>
      </c>
      <c r="J190" s="7" t="s">
        <v>5812</v>
      </c>
      <c r="K190" s="7" t="s">
        <v>6448</v>
      </c>
    </row>
    <row r="191" customFormat="false" ht="46.25" hidden="false" customHeight="false" outlineLevel="0" collapsed="false">
      <c r="A191" s="7" t="n">
        <v>27</v>
      </c>
      <c r="B191" s="7" t="s">
        <v>419</v>
      </c>
      <c r="C191" s="7" t="s">
        <v>428</v>
      </c>
      <c r="D191" s="7" t="s">
        <v>6445</v>
      </c>
      <c r="E191" s="7" t="s">
        <v>6419</v>
      </c>
      <c r="F191" s="7" t="s">
        <v>6451</v>
      </c>
      <c r="G191" s="7" t="s">
        <v>6452</v>
      </c>
      <c r="H191" s="7" t="s">
        <v>6442</v>
      </c>
      <c r="I191" s="7" t="s">
        <v>5812</v>
      </c>
      <c r="J191" s="7" t="s">
        <v>5812</v>
      </c>
      <c r="K191" s="7" t="s">
        <v>6448</v>
      </c>
    </row>
    <row r="192" customFormat="false" ht="23.85" hidden="false" customHeight="false" outlineLevel="0" collapsed="false">
      <c r="A192" s="7" t="n">
        <v>27</v>
      </c>
      <c r="B192" s="7" t="s">
        <v>419</v>
      </c>
      <c r="C192" s="7" t="s">
        <v>428</v>
      </c>
      <c r="D192" s="7" t="s">
        <v>6453</v>
      </c>
      <c r="E192" s="7" t="s">
        <v>6454</v>
      </c>
      <c r="F192" s="7" t="s">
        <v>6455</v>
      </c>
      <c r="G192" s="7" t="s">
        <v>6456</v>
      </c>
      <c r="H192" s="7" t="s">
        <v>6457</v>
      </c>
      <c r="I192" s="7" t="s">
        <v>5812</v>
      </c>
      <c r="J192" s="7" t="s">
        <v>5812</v>
      </c>
      <c r="K192" s="7" t="s">
        <v>6458</v>
      </c>
    </row>
    <row r="193" customFormat="false" ht="57.45" hidden="false" customHeight="false" outlineLevel="0" collapsed="false">
      <c r="A193" s="7" t="n">
        <v>28</v>
      </c>
      <c r="B193" s="7" t="s">
        <v>432</v>
      </c>
      <c r="C193" s="7" t="s">
        <v>438</v>
      </c>
      <c r="D193" s="7" t="s">
        <v>68</v>
      </c>
      <c r="E193" s="7" t="s">
        <v>6459</v>
      </c>
      <c r="F193" s="7"/>
      <c r="G193" s="7"/>
      <c r="H193" s="7"/>
      <c r="I193" s="7"/>
      <c r="J193" s="7"/>
      <c r="K193" s="7"/>
    </row>
    <row r="194" customFormat="false" ht="46.25" hidden="false" customHeight="false" outlineLevel="0" collapsed="false">
      <c r="A194" s="7" t="n">
        <v>28</v>
      </c>
      <c r="B194" s="7" t="s">
        <v>432</v>
      </c>
      <c r="C194" s="7" t="s">
        <v>438</v>
      </c>
      <c r="D194" s="7" t="s">
        <v>6460</v>
      </c>
      <c r="E194" s="7" t="s">
        <v>6355</v>
      </c>
      <c r="F194" s="7" t="s">
        <v>6461</v>
      </c>
      <c r="G194" s="7" t="s">
        <v>6462</v>
      </c>
      <c r="H194" s="7" t="s">
        <v>6442</v>
      </c>
      <c r="I194" s="7" t="s">
        <v>5812</v>
      </c>
      <c r="J194" s="7" t="s">
        <v>5812</v>
      </c>
      <c r="K194" s="7" t="s">
        <v>6448</v>
      </c>
    </row>
    <row r="195" customFormat="false" ht="46.25" hidden="false" customHeight="false" outlineLevel="0" collapsed="false">
      <c r="A195" s="7" t="n">
        <v>28</v>
      </c>
      <c r="B195" s="7" t="s">
        <v>432</v>
      </c>
      <c r="C195" s="7" t="s">
        <v>438</v>
      </c>
      <c r="D195" s="7" t="s">
        <v>6460</v>
      </c>
      <c r="E195" s="7" t="s">
        <v>6298</v>
      </c>
      <c r="F195" s="7" t="s">
        <v>6463</v>
      </c>
      <c r="G195" s="7"/>
      <c r="H195" s="7" t="s">
        <v>6442</v>
      </c>
      <c r="I195" s="7" t="s">
        <v>5812</v>
      </c>
      <c r="J195" s="7" t="s">
        <v>5812</v>
      </c>
      <c r="K195" s="7" t="s">
        <v>6448</v>
      </c>
    </row>
    <row r="196" customFormat="false" ht="46.25" hidden="false" customHeight="false" outlineLevel="0" collapsed="false">
      <c r="A196" s="7" t="n">
        <v>28</v>
      </c>
      <c r="B196" s="7" t="s">
        <v>432</v>
      </c>
      <c r="C196" s="7" t="s">
        <v>438</v>
      </c>
      <c r="D196" s="7" t="s">
        <v>6460</v>
      </c>
      <c r="E196" s="7" t="s">
        <v>6419</v>
      </c>
      <c r="F196" s="7" t="s">
        <v>6464</v>
      </c>
      <c r="G196" s="7" t="s">
        <v>6452</v>
      </c>
      <c r="H196" s="7" t="s">
        <v>6442</v>
      </c>
      <c r="I196" s="7" t="s">
        <v>5812</v>
      </c>
      <c r="J196" s="7" t="s">
        <v>5812</v>
      </c>
      <c r="K196" s="7" t="s">
        <v>6448</v>
      </c>
    </row>
    <row r="197" customFormat="false" ht="23.85" hidden="false" customHeight="false" outlineLevel="0" collapsed="false">
      <c r="A197" s="7" t="n">
        <v>28</v>
      </c>
      <c r="B197" s="7" t="s">
        <v>432</v>
      </c>
      <c r="C197" s="7" t="s">
        <v>438</v>
      </c>
      <c r="D197" s="7" t="s">
        <v>6439</v>
      </c>
      <c r="E197" s="7" t="s">
        <v>6465</v>
      </c>
      <c r="F197" s="7" t="s">
        <v>6466</v>
      </c>
      <c r="G197" s="7"/>
      <c r="H197" s="7" t="s">
        <v>6442</v>
      </c>
      <c r="I197" s="7" t="s">
        <v>5812</v>
      </c>
      <c r="J197" s="7" t="s">
        <v>5812</v>
      </c>
      <c r="K197" s="7" t="s">
        <v>6458</v>
      </c>
    </row>
    <row r="198" customFormat="false" ht="35.05" hidden="false" customHeight="false" outlineLevel="0" collapsed="false">
      <c r="A198" s="7" t="n">
        <v>28</v>
      </c>
      <c r="B198" s="7" t="s">
        <v>432</v>
      </c>
      <c r="C198" s="7" t="s">
        <v>438</v>
      </c>
      <c r="D198" s="7" t="s">
        <v>6467</v>
      </c>
      <c r="E198" s="7" t="s">
        <v>6468</v>
      </c>
      <c r="F198" s="7" t="s">
        <v>6469</v>
      </c>
      <c r="G198" s="7"/>
      <c r="H198" s="7" t="s">
        <v>6470</v>
      </c>
      <c r="I198" s="7" t="s">
        <v>5818</v>
      </c>
      <c r="J198" s="7" t="s">
        <v>5818</v>
      </c>
      <c r="K198" s="7" t="s">
        <v>6471</v>
      </c>
    </row>
    <row r="199" customFormat="false" ht="79.85" hidden="false" customHeight="false" outlineLevel="0" collapsed="false">
      <c r="A199" s="7" t="n">
        <v>34</v>
      </c>
      <c r="B199" s="7" t="s">
        <v>498</v>
      </c>
      <c r="C199" s="7" t="s">
        <v>503</v>
      </c>
      <c r="D199" s="7" t="s">
        <v>68</v>
      </c>
      <c r="E199" s="7" t="s">
        <v>6472</v>
      </c>
      <c r="F199" s="7"/>
      <c r="G199" s="7"/>
      <c r="H199" s="7"/>
      <c r="I199" s="7"/>
      <c r="J199" s="7"/>
      <c r="K199" s="7"/>
    </row>
    <row r="200" customFormat="false" ht="23.85" hidden="false" customHeight="false" outlineLevel="0" collapsed="false">
      <c r="A200" s="7" t="n">
        <v>34</v>
      </c>
      <c r="B200" s="7" t="s">
        <v>498</v>
      </c>
      <c r="C200" s="7" t="s">
        <v>503</v>
      </c>
      <c r="D200" s="7" t="s">
        <v>6473</v>
      </c>
      <c r="E200" s="7" t="s">
        <v>6474</v>
      </c>
      <c r="F200" s="7" t="s">
        <v>6475</v>
      </c>
      <c r="G200" s="7" t="s">
        <v>6476</v>
      </c>
      <c r="H200" s="7" t="s">
        <v>6477</v>
      </c>
      <c r="I200" s="7" t="s">
        <v>5812</v>
      </c>
      <c r="J200" s="7" t="s">
        <v>5812</v>
      </c>
      <c r="K200" s="7"/>
    </row>
    <row r="201" customFormat="false" ht="35.05" hidden="false" customHeight="false" outlineLevel="0" collapsed="false">
      <c r="A201" s="7" t="n">
        <v>34</v>
      </c>
      <c r="B201" s="7" t="s">
        <v>498</v>
      </c>
      <c r="C201" s="7" t="s">
        <v>503</v>
      </c>
      <c r="D201" s="7" t="s">
        <v>5974</v>
      </c>
      <c r="E201" s="7" t="s">
        <v>6478</v>
      </c>
      <c r="F201" s="7" t="s">
        <v>6479</v>
      </c>
      <c r="G201" s="7"/>
      <c r="H201" s="7" t="s">
        <v>6480</v>
      </c>
      <c r="I201" s="7" t="s">
        <v>5812</v>
      </c>
      <c r="J201" s="7" t="s">
        <v>5812</v>
      </c>
      <c r="K201" s="7" t="s">
        <v>5843</v>
      </c>
    </row>
    <row r="202" customFormat="false" ht="23.85" hidden="false" customHeight="false" outlineLevel="0" collapsed="false">
      <c r="A202" s="7" t="n">
        <v>34</v>
      </c>
      <c r="B202" s="7" t="s">
        <v>498</v>
      </c>
      <c r="C202" s="7" t="s">
        <v>503</v>
      </c>
      <c r="D202" s="7" t="s">
        <v>6481</v>
      </c>
      <c r="E202" s="7" t="s">
        <v>6482</v>
      </c>
      <c r="F202" s="7" t="s">
        <v>6483</v>
      </c>
      <c r="G202" s="7"/>
      <c r="H202" s="7" t="s">
        <v>6484</v>
      </c>
      <c r="I202" s="7" t="s">
        <v>5812</v>
      </c>
      <c r="J202" s="7" t="s">
        <v>5812</v>
      </c>
      <c r="K202" s="7"/>
    </row>
    <row r="203" customFormat="false" ht="68.65" hidden="false" customHeight="false" outlineLevel="0" collapsed="false">
      <c r="A203" s="7" t="n">
        <v>33</v>
      </c>
      <c r="B203" s="7" t="s">
        <v>488</v>
      </c>
      <c r="C203" s="7" t="s">
        <v>495</v>
      </c>
      <c r="D203" s="7" t="s">
        <v>68</v>
      </c>
      <c r="E203" s="7" t="s">
        <v>6485</v>
      </c>
      <c r="F203" s="7"/>
      <c r="G203" s="7"/>
      <c r="H203" s="7"/>
      <c r="I203" s="7"/>
      <c r="J203" s="7"/>
      <c r="K203" s="7"/>
    </row>
    <row r="204" customFormat="false" ht="68.65" hidden="false" customHeight="false" outlineLevel="0" collapsed="false">
      <c r="A204" s="7" t="n">
        <v>33</v>
      </c>
      <c r="B204" s="7" t="s">
        <v>488</v>
      </c>
      <c r="C204" s="7" t="s">
        <v>495</v>
      </c>
      <c r="D204" s="7" t="s">
        <v>5974</v>
      </c>
      <c r="E204" s="7" t="s">
        <v>6486</v>
      </c>
      <c r="F204" s="7" t="s">
        <v>6487</v>
      </c>
      <c r="G204" s="7"/>
      <c r="H204" s="7" t="s">
        <v>6488</v>
      </c>
      <c r="I204" s="7" t="s">
        <v>5805</v>
      </c>
      <c r="J204" s="7" t="s">
        <v>5805</v>
      </c>
      <c r="K204" s="7" t="s">
        <v>6489</v>
      </c>
    </row>
    <row r="205" customFormat="false" ht="46.25" hidden="false" customHeight="false" outlineLevel="0" collapsed="false">
      <c r="A205" s="7" t="n">
        <v>33</v>
      </c>
      <c r="B205" s="7" t="s">
        <v>488</v>
      </c>
      <c r="C205" s="7" t="s">
        <v>495</v>
      </c>
      <c r="D205" s="7" t="s">
        <v>5974</v>
      </c>
      <c r="E205" s="7" t="s">
        <v>6490</v>
      </c>
      <c r="F205" s="7" t="s">
        <v>6491</v>
      </c>
      <c r="G205" s="7"/>
      <c r="H205" s="7" t="s">
        <v>6492</v>
      </c>
      <c r="I205" s="7" t="s">
        <v>5812</v>
      </c>
      <c r="J205" s="7" t="s">
        <v>5812</v>
      </c>
      <c r="K205" s="7" t="s">
        <v>6493</v>
      </c>
    </row>
    <row r="206" customFormat="false" ht="35.05" hidden="false" customHeight="false" outlineLevel="0" collapsed="false">
      <c r="A206" s="7" t="n">
        <v>33</v>
      </c>
      <c r="B206" s="7" t="s">
        <v>488</v>
      </c>
      <c r="C206" s="7" t="s">
        <v>495</v>
      </c>
      <c r="D206" s="7" t="s">
        <v>5974</v>
      </c>
      <c r="E206" s="7" t="s">
        <v>6494</v>
      </c>
      <c r="F206" s="7" t="s">
        <v>6495</v>
      </c>
      <c r="G206" s="7"/>
      <c r="H206" s="7" t="s">
        <v>6496</v>
      </c>
      <c r="I206" s="7" t="s">
        <v>5812</v>
      </c>
      <c r="J206" s="7" t="s">
        <v>5812</v>
      </c>
      <c r="K206" s="7"/>
    </row>
    <row r="207" customFormat="false" ht="23.85" hidden="false" customHeight="false" outlineLevel="0" collapsed="false">
      <c r="A207" s="7" t="n">
        <v>33</v>
      </c>
      <c r="B207" s="7" t="s">
        <v>488</v>
      </c>
      <c r="C207" s="7" t="s">
        <v>495</v>
      </c>
      <c r="D207" s="7" t="s">
        <v>5974</v>
      </c>
      <c r="E207" s="7" t="s">
        <v>6497</v>
      </c>
      <c r="F207" s="7" t="s">
        <v>6498</v>
      </c>
      <c r="G207" s="7"/>
      <c r="H207" s="7" t="s">
        <v>6496</v>
      </c>
      <c r="I207" s="7" t="s">
        <v>5812</v>
      </c>
      <c r="J207" s="7" t="s">
        <v>5812</v>
      </c>
      <c r="K207" s="7"/>
    </row>
    <row r="208" customFormat="false" ht="68.65" hidden="false" customHeight="false" outlineLevel="0" collapsed="false">
      <c r="A208" s="7" t="n">
        <v>43</v>
      </c>
      <c r="B208" s="7" t="s">
        <v>596</v>
      </c>
      <c r="C208" s="7" t="s">
        <v>603</v>
      </c>
      <c r="D208" s="7" t="s">
        <v>68</v>
      </c>
      <c r="E208" s="7" t="s">
        <v>6499</v>
      </c>
      <c r="F208" s="7"/>
      <c r="G208" s="7"/>
      <c r="H208" s="7"/>
      <c r="I208" s="7"/>
      <c r="J208" s="7"/>
      <c r="K208" s="7"/>
    </row>
    <row r="209" customFormat="false" ht="46.25" hidden="false" customHeight="false" outlineLevel="0" collapsed="false">
      <c r="A209" s="7" t="n">
        <v>43</v>
      </c>
      <c r="B209" s="7" t="s">
        <v>596</v>
      </c>
      <c r="C209" s="7" t="s">
        <v>603</v>
      </c>
      <c r="D209" s="7" t="s">
        <v>6297</v>
      </c>
      <c r="E209" s="7" t="s">
        <v>6500</v>
      </c>
      <c r="F209" s="7" t="s">
        <v>6501</v>
      </c>
      <c r="G209" s="7"/>
      <c r="H209" s="7" t="s">
        <v>6502</v>
      </c>
      <c r="I209" s="7" t="s">
        <v>5818</v>
      </c>
      <c r="J209" s="7" t="s">
        <v>5818</v>
      </c>
      <c r="K209" s="7" t="s">
        <v>6503</v>
      </c>
    </row>
    <row r="210" customFormat="false" ht="35.05" hidden="false" customHeight="false" outlineLevel="0" collapsed="false">
      <c r="A210" s="7" t="n">
        <v>43</v>
      </c>
      <c r="B210" s="7" t="s">
        <v>596</v>
      </c>
      <c r="C210" s="7" t="s">
        <v>603</v>
      </c>
      <c r="D210" s="7" t="s">
        <v>5974</v>
      </c>
      <c r="E210" s="7" t="s">
        <v>6504</v>
      </c>
      <c r="F210" s="7" t="s">
        <v>6505</v>
      </c>
      <c r="G210" s="7" t="s">
        <v>6506</v>
      </c>
      <c r="H210" s="7" t="s">
        <v>6507</v>
      </c>
      <c r="I210" s="7" t="s">
        <v>5812</v>
      </c>
      <c r="J210" s="7" t="s">
        <v>5812</v>
      </c>
      <c r="K210" s="7" t="s">
        <v>6508</v>
      </c>
    </row>
    <row r="211" customFormat="false" ht="23.85" hidden="false" customHeight="false" outlineLevel="0" collapsed="false">
      <c r="A211" s="7" t="n">
        <v>43</v>
      </c>
      <c r="B211" s="7" t="s">
        <v>596</v>
      </c>
      <c r="C211" s="7" t="s">
        <v>603</v>
      </c>
      <c r="D211" s="7" t="s">
        <v>5974</v>
      </c>
      <c r="E211" s="7" t="s">
        <v>6509</v>
      </c>
      <c r="F211" s="7" t="s">
        <v>6510</v>
      </c>
      <c r="G211" s="7" t="s">
        <v>6511</v>
      </c>
      <c r="H211" s="7" t="s">
        <v>6512</v>
      </c>
      <c r="I211" s="7" t="s">
        <v>5812</v>
      </c>
      <c r="J211" s="7" t="s">
        <v>5812</v>
      </c>
      <c r="K211" s="7" t="s">
        <v>6513</v>
      </c>
    </row>
    <row r="212" customFormat="false" ht="23.85" hidden="false" customHeight="false" outlineLevel="0" collapsed="false">
      <c r="A212" s="7" t="n">
        <v>43</v>
      </c>
      <c r="B212" s="7" t="s">
        <v>596</v>
      </c>
      <c r="C212" s="7" t="s">
        <v>603</v>
      </c>
      <c r="D212" s="7" t="s">
        <v>5974</v>
      </c>
      <c r="E212" s="7" t="s">
        <v>6514</v>
      </c>
      <c r="F212" s="7" t="s">
        <v>6515</v>
      </c>
      <c r="G212" s="7"/>
      <c r="H212" s="7" t="s">
        <v>6512</v>
      </c>
      <c r="I212" s="7" t="s">
        <v>5812</v>
      </c>
      <c r="J212" s="7" t="s">
        <v>5812</v>
      </c>
      <c r="K212" s="7" t="s">
        <v>6513</v>
      </c>
    </row>
    <row r="213" customFormat="false" ht="35.05" hidden="false" customHeight="false" outlineLevel="0" collapsed="false">
      <c r="A213" s="7" t="n">
        <v>43</v>
      </c>
      <c r="B213" s="7" t="s">
        <v>596</v>
      </c>
      <c r="C213" s="7" t="s">
        <v>603</v>
      </c>
      <c r="D213" s="7" t="s">
        <v>6516</v>
      </c>
      <c r="E213" s="7" t="s">
        <v>6517</v>
      </c>
      <c r="F213" s="7" t="s">
        <v>6518</v>
      </c>
      <c r="G213" s="7"/>
      <c r="H213" s="7" t="s">
        <v>6519</v>
      </c>
      <c r="I213" s="7" t="s">
        <v>5818</v>
      </c>
      <c r="J213" s="7" t="s">
        <v>5818</v>
      </c>
      <c r="K213" s="7" t="s">
        <v>6520</v>
      </c>
    </row>
    <row r="214" customFormat="false" ht="35.05" hidden="false" customHeight="false" outlineLevel="0" collapsed="false">
      <c r="A214" s="7" t="n">
        <v>39</v>
      </c>
      <c r="B214" s="7" t="s">
        <v>550</v>
      </c>
      <c r="C214" s="7" t="s">
        <v>560</v>
      </c>
      <c r="D214" s="7" t="s">
        <v>6154</v>
      </c>
      <c r="E214" s="7" t="s">
        <v>6521</v>
      </c>
      <c r="F214" s="7" t="s">
        <v>6522</v>
      </c>
      <c r="G214" s="7"/>
      <c r="H214" s="7" t="s">
        <v>6523</v>
      </c>
      <c r="I214" s="7" t="s">
        <v>5818</v>
      </c>
      <c r="J214" s="7" t="s">
        <v>5818</v>
      </c>
      <c r="K214" s="7" t="s">
        <v>6524</v>
      </c>
    </row>
    <row r="215" customFormat="false" ht="68.65" hidden="false" customHeight="false" outlineLevel="0" collapsed="false">
      <c r="A215" s="7" t="n">
        <v>39</v>
      </c>
      <c r="B215" s="7" t="s">
        <v>550</v>
      </c>
      <c r="C215" s="7" t="s">
        <v>560</v>
      </c>
      <c r="D215" s="7" t="s">
        <v>5870</v>
      </c>
      <c r="E215" s="7" t="s">
        <v>6525</v>
      </c>
      <c r="F215" s="7" t="s">
        <v>6526</v>
      </c>
      <c r="G215" s="7"/>
      <c r="H215" s="7" t="s">
        <v>6527</v>
      </c>
      <c r="I215" s="7" t="s">
        <v>5818</v>
      </c>
      <c r="J215" s="7" t="s">
        <v>5818</v>
      </c>
      <c r="K215" s="7" t="s">
        <v>6528</v>
      </c>
    </row>
    <row r="216" customFormat="false" ht="68.65" hidden="false" customHeight="false" outlineLevel="0" collapsed="false">
      <c r="A216" s="7" t="n">
        <v>39</v>
      </c>
      <c r="B216" s="7" t="s">
        <v>550</v>
      </c>
      <c r="C216" s="7" t="s">
        <v>560</v>
      </c>
      <c r="D216" s="7" t="s">
        <v>5870</v>
      </c>
      <c r="E216" s="7" t="s">
        <v>6529</v>
      </c>
      <c r="F216" s="7" t="s">
        <v>6530</v>
      </c>
      <c r="G216" s="7"/>
      <c r="H216" s="7" t="s">
        <v>6531</v>
      </c>
      <c r="I216" s="7" t="s">
        <v>5805</v>
      </c>
      <c r="J216" s="7" t="s">
        <v>5805</v>
      </c>
      <c r="K216" s="7" t="s">
        <v>6532</v>
      </c>
    </row>
    <row r="217" customFormat="false" ht="23.85" hidden="false" customHeight="false" outlineLevel="0" collapsed="false">
      <c r="A217" s="7" t="n">
        <v>39</v>
      </c>
      <c r="B217" s="7" t="s">
        <v>550</v>
      </c>
      <c r="C217" s="7" t="s">
        <v>560</v>
      </c>
      <c r="D217" s="7" t="s">
        <v>5870</v>
      </c>
      <c r="E217" s="7" t="s">
        <v>6533</v>
      </c>
      <c r="F217" s="7"/>
      <c r="G217" s="7"/>
      <c r="H217" s="7" t="s">
        <v>6534</v>
      </c>
      <c r="I217" s="7" t="s">
        <v>5857</v>
      </c>
      <c r="J217" s="7" t="s">
        <v>5857</v>
      </c>
      <c r="K217" s="7" t="s">
        <v>6535</v>
      </c>
    </row>
    <row r="218" customFormat="false" ht="57.45" hidden="false" customHeight="false" outlineLevel="0" collapsed="false">
      <c r="A218" s="7" t="n">
        <v>113</v>
      </c>
      <c r="B218" s="7" t="s">
        <v>1331</v>
      </c>
      <c r="C218" s="7" t="s">
        <v>1339</v>
      </c>
      <c r="D218" s="7" t="s">
        <v>68</v>
      </c>
      <c r="E218" s="7" t="s">
        <v>6536</v>
      </c>
      <c r="F218" s="7"/>
      <c r="G218" s="7"/>
      <c r="H218" s="7"/>
      <c r="I218" s="7"/>
      <c r="J218" s="7"/>
      <c r="K218" s="7"/>
    </row>
    <row r="219" customFormat="false" ht="35.05" hidden="false" customHeight="false" outlineLevel="0" collapsed="false">
      <c r="A219" s="7" t="n">
        <v>113</v>
      </c>
      <c r="B219" s="7" t="s">
        <v>1331</v>
      </c>
      <c r="C219" s="7" t="s">
        <v>1339</v>
      </c>
      <c r="D219" s="7" t="s">
        <v>6425</v>
      </c>
      <c r="E219" s="7" t="s">
        <v>6537</v>
      </c>
      <c r="F219" s="7" t="s">
        <v>6538</v>
      </c>
      <c r="G219" s="7"/>
      <c r="H219" s="7" t="s">
        <v>6539</v>
      </c>
      <c r="I219" s="7" t="s">
        <v>6540</v>
      </c>
      <c r="J219" s="7" t="s">
        <v>5827</v>
      </c>
      <c r="K219" s="7" t="s">
        <v>6541</v>
      </c>
    </row>
    <row r="220" customFormat="false" ht="23.85" hidden="false" customHeight="false" outlineLevel="0" collapsed="false">
      <c r="A220" s="7" t="n">
        <v>113</v>
      </c>
      <c r="B220" s="7" t="s">
        <v>1331</v>
      </c>
      <c r="C220" s="7" t="s">
        <v>1339</v>
      </c>
      <c r="D220" s="7" t="s">
        <v>6425</v>
      </c>
      <c r="E220" s="7" t="s">
        <v>6095</v>
      </c>
      <c r="F220" s="7" t="s">
        <v>6542</v>
      </c>
      <c r="G220" s="7"/>
      <c r="H220" s="7" t="s">
        <v>6543</v>
      </c>
      <c r="I220" s="7" t="s">
        <v>5818</v>
      </c>
      <c r="J220" s="7" t="s">
        <v>5818</v>
      </c>
      <c r="K220" s="7" t="s">
        <v>6544</v>
      </c>
    </row>
    <row r="221" customFormat="false" ht="23.85" hidden="false" customHeight="false" outlineLevel="0" collapsed="false">
      <c r="A221" s="7" t="n">
        <v>113</v>
      </c>
      <c r="B221" s="7" t="s">
        <v>1331</v>
      </c>
      <c r="C221" s="7" t="s">
        <v>1339</v>
      </c>
      <c r="D221" s="7" t="s">
        <v>6425</v>
      </c>
      <c r="E221" s="7" t="s">
        <v>6545</v>
      </c>
      <c r="F221" s="7" t="s">
        <v>6546</v>
      </c>
      <c r="G221" s="7"/>
      <c r="H221" s="7" t="s">
        <v>6547</v>
      </c>
      <c r="I221" s="7" t="s">
        <v>5818</v>
      </c>
      <c r="J221" s="7" t="s">
        <v>5818</v>
      </c>
      <c r="K221" s="7" t="s">
        <v>6548</v>
      </c>
    </row>
    <row r="222" customFormat="false" ht="46.25" hidden="false" customHeight="false" outlineLevel="0" collapsed="false">
      <c r="A222" s="7" t="n">
        <v>114</v>
      </c>
      <c r="B222" s="7" t="s">
        <v>1342</v>
      </c>
      <c r="C222" s="7" t="s">
        <v>1347</v>
      </c>
      <c r="D222" s="7" t="s">
        <v>6154</v>
      </c>
      <c r="E222" s="7" t="s">
        <v>6549</v>
      </c>
      <c r="F222" s="7" t="s">
        <v>6550</v>
      </c>
      <c r="G222" s="7" t="s">
        <v>6551</v>
      </c>
      <c r="H222" s="7" t="s">
        <v>6552</v>
      </c>
      <c r="I222" s="7" t="s">
        <v>6553</v>
      </c>
      <c r="J222" s="7" t="s">
        <v>5827</v>
      </c>
      <c r="K222" s="7" t="s">
        <v>6554</v>
      </c>
    </row>
    <row r="223" customFormat="false" ht="46.25" hidden="false" customHeight="false" outlineLevel="0" collapsed="false">
      <c r="A223" s="7" t="n">
        <v>114</v>
      </c>
      <c r="B223" s="7" t="s">
        <v>1342</v>
      </c>
      <c r="C223" s="7" t="s">
        <v>1347</v>
      </c>
      <c r="D223" s="7" t="s">
        <v>6154</v>
      </c>
      <c r="E223" s="7" t="s">
        <v>6555</v>
      </c>
      <c r="F223" s="7" t="s">
        <v>6556</v>
      </c>
      <c r="G223" s="7"/>
      <c r="H223" s="7" t="s">
        <v>6557</v>
      </c>
      <c r="I223" s="7" t="s">
        <v>5812</v>
      </c>
      <c r="J223" s="7" t="s">
        <v>5812</v>
      </c>
      <c r="K223" s="7" t="s">
        <v>6554</v>
      </c>
    </row>
    <row r="224" customFormat="false" ht="46.25" hidden="false" customHeight="false" outlineLevel="0" collapsed="false">
      <c r="A224" s="7" t="n">
        <v>114</v>
      </c>
      <c r="B224" s="7" t="s">
        <v>1342</v>
      </c>
      <c r="C224" s="7" t="s">
        <v>1347</v>
      </c>
      <c r="D224" s="7" t="s">
        <v>6154</v>
      </c>
      <c r="E224" s="7" t="s">
        <v>6558</v>
      </c>
      <c r="F224" s="7" t="s">
        <v>6559</v>
      </c>
      <c r="G224" s="7"/>
      <c r="H224" s="7" t="s">
        <v>6560</v>
      </c>
      <c r="I224" s="7" t="s">
        <v>5812</v>
      </c>
      <c r="J224" s="7" t="s">
        <v>5812</v>
      </c>
      <c r="K224" s="7" t="s">
        <v>6554</v>
      </c>
    </row>
    <row r="225" customFormat="false" ht="46.25" hidden="false" customHeight="false" outlineLevel="0" collapsed="false">
      <c r="A225" s="7" t="n">
        <v>114</v>
      </c>
      <c r="B225" s="7" t="s">
        <v>1342</v>
      </c>
      <c r="C225" s="7" t="s">
        <v>1347</v>
      </c>
      <c r="D225" s="7" t="s">
        <v>6154</v>
      </c>
      <c r="E225" s="7" t="s">
        <v>6561</v>
      </c>
      <c r="F225" s="7" t="s">
        <v>6562</v>
      </c>
      <c r="G225" s="7"/>
      <c r="H225" s="7" t="s">
        <v>6563</v>
      </c>
      <c r="I225" s="7" t="s">
        <v>5812</v>
      </c>
      <c r="J225" s="7" t="s">
        <v>5812</v>
      </c>
      <c r="K225" s="7"/>
    </row>
    <row r="226" customFormat="false" ht="46.25" hidden="false" customHeight="false" outlineLevel="0" collapsed="false">
      <c r="A226" s="7" t="n">
        <v>114</v>
      </c>
      <c r="B226" s="7" t="s">
        <v>1342</v>
      </c>
      <c r="C226" s="7" t="s">
        <v>1347</v>
      </c>
      <c r="D226" s="7" t="s">
        <v>5974</v>
      </c>
      <c r="E226" s="7" t="s">
        <v>6564</v>
      </c>
      <c r="F226" s="7" t="s">
        <v>6565</v>
      </c>
      <c r="G226" s="7" t="s">
        <v>6566</v>
      </c>
      <c r="H226" s="7" t="s">
        <v>6567</v>
      </c>
      <c r="I226" s="7" t="s">
        <v>5812</v>
      </c>
      <c r="J226" s="7" t="s">
        <v>5812</v>
      </c>
      <c r="K226" s="7" t="s">
        <v>6568</v>
      </c>
    </row>
    <row r="227" customFormat="false" ht="46.25" hidden="false" customHeight="false" outlineLevel="0" collapsed="false">
      <c r="A227" s="7" t="n">
        <v>114</v>
      </c>
      <c r="B227" s="7" t="s">
        <v>1342</v>
      </c>
      <c r="C227" s="7" t="s">
        <v>1347</v>
      </c>
      <c r="D227" s="7" t="s">
        <v>6439</v>
      </c>
      <c r="E227" s="7" t="s">
        <v>6569</v>
      </c>
      <c r="F227" s="7" t="s">
        <v>6570</v>
      </c>
      <c r="G227" s="7" t="s">
        <v>6571</v>
      </c>
      <c r="H227" s="7" t="s">
        <v>6572</v>
      </c>
      <c r="I227" s="7" t="s">
        <v>6573</v>
      </c>
      <c r="J227" s="7" t="s">
        <v>5857</v>
      </c>
      <c r="K227" s="7" t="s">
        <v>6554</v>
      </c>
    </row>
    <row r="228" customFormat="false" ht="46.25" hidden="false" customHeight="false" outlineLevel="0" collapsed="false">
      <c r="A228" s="7" t="n">
        <v>37</v>
      </c>
      <c r="B228" s="7" t="s">
        <v>530</v>
      </c>
      <c r="C228" s="7" t="s">
        <v>538</v>
      </c>
      <c r="D228" s="7" t="s">
        <v>6152</v>
      </c>
      <c r="E228" s="7" t="s">
        <v>6574</v>
      </c>
      <c r="F228" s="7"/>
      <c r="G228" s="7"/>
      <c r="H228" s="7"/>
      <c r="I228" s="7"/>
      <c r="J228" s="7"/>
      <c r="K228" s="7"/>
    </row>
    <row r="229" customFormat="false" ht="35.05" hidden="false" customHeight="false" outlineLevel="0" collapsed="false">
      <c r="A229" s="7" t="n">
        <v>37</v>
      </c>
      <c r="B229" s="7" t="s">
        <v>530</v>
      </c>
      <c r="C229" s="7" t="s">
        <v>538</v>
      </c>
      <c r="D229" s="7" t="s">
        <v>6154</v>
      </c>
      <c r="E229" s="7" t="s">
        <v>6575</v>
      </c>
      <c r="F229" s="7" t="s">
        <v>6576</v>
      </c>
      <c r="G229" s="7"/>
      <c r="H229" s="7" t="s">
        <v>6577</v>
      </c>
      <c r="I229" s="7" t="s">
        <v>5818</v>
      </c>
      <c r="J229" s="7" t="s">
        <v>5818</v>
      </c>
      <c r="K229" s="7" t="s">
        <v>6578</v>
      </c>
    </row>
    <row r="230" customFormat="false" ht="35.05" hidden="false" customHeight="false" outlineLevel="0" collapsed="false">
      <c r="A230" s="7" t="n">
        <v>37</v>
      </c>
      <c r="B230" s="7" t="s">
        <v>530</v>
      </c>
      <c r="C230" s="7" t="s">
        <v>538</v>
      </c>
      <c r="D230" s="7" t="s">
        <v>6154</v>
      </c>
      <c r="E230" s="7" t="s">
        <v>6579</v>
      </c>
      <c r="F230" s="7" t="s">
        <v>6580</v>
      </c>
      <c r="G230" s="7"/>
      <c r="H230" s="7" t="s">
        <v>6581</v>
      </c>
      <c r="I230" s="7" t="s">
        <v>6582</v>
      </c>
      <c r="J230" s="7" t="s">
        <v>5827</v>
      </c>
      <c r="K230" s="7" t="s">
        <v>6578</v>
      </c>
    </row>
    <row r="231" customFormat="false" ht="15" hidden="false" customHeight="false" outlineLevel="0" collapsed="false">
      <c r="A231" s="7" t="n">
        <v>37</v>
      </c>
      <c r="B231" s="7" t="s">
        <v>530</v>
      </c>
      <c r="C231" s="7" t="s">
        <v>538</v>
      </c>
      <c r="D231" s="7" t="s">
        <v>6154</v>
      </c>
      <c r="E231" s="7" t="s">
        <v>6579</v>
      </c>
      <c r="F231" s="7" t="s">
        <v>6583</v>
      </c>
      <c r="G231" s="7"/>
      <c r="H231" s="7" t="s">
        <v>6512</v>
      </c>
      <c r="I231" s="7" t="s">
        <v>5812</v>
      </c>
      <c r="J231" s="7" t="s">
        <v>5812</v>
      </c>
      <c r="K231" s="7" t="s">
        <v>6578</v>
      </c>
    </row>
    <row r="232" customFormat="false" ht="23.85" hidden="false" customHeight="false" outlineLevel="0" collapsed="false">
      <c r="A232" s="7" t="n">
        <v>37</v>
      </c>
      <c r="B232" s="7" t="s">
        <v>530</v>
      </c>
      <c r="C232" s="7" t="s">
        <v>538</v>
      </c>
      <c r="D232" s="7" t="s">
        <v>6154</v>
      </c>
      <c r="E232" s="7" t="s">
        <v>6584</v>
      </c>
      <c r="F232" s="7" t="s">
        <v>6585</v>
      </c>
      <c r="G232" s="7"/>
      <c r="H232" s="7" t="s">
        <v>6586</v>
      </c>
      <c r="I232" s="7" t="s">
        <v>5812</v>
      </c>
      <c r="J232" s="7" t="s">
        <v>5812</v>
      </c>
      <c r="K232" s="7" t="s">
        <v>6578</v>
      </c>
    </row>
    <row r="233" customFormat="false" ht="23.85" hidden="false" customHeight="false" outlineLevel="0" collapsed="false">
      <c r="A233" s="7" t="n">
        <v>37</v>
      </c>
      <c r="B233" s="7" t="s">
        <v>530</v>
      </c>
      <c r="C233" s="7" t="s">
        <v>538</v>
      </c>
      <c r="D233" s="7" t="s">
        <v>6186</v>
      </c>
      <c r="E233" s="7" t="s">
        <v>6587</v>
      </c>
      <c r="F233" s="7" t="s">
        <v>6588</v>
      </c>
      <c r="G233" s="7" t="s">
        <v>6589</v>
      </c>
      <c r="H233" s="7" t="s">
        <v>6590</v>
      </c>
      <c r="I233" s="7" t="s">
        <v>5812</v>
      </c>
      <c r="J233" s="7" t="s">
        <v>5812</v>
      </c>
      <c r="K233" s="7" t="s">
        <v>6591</v>
      </c>
    </row>
    <row r="234" customFormat="false" ht="35.05" hidden="false" customHeight="false" outlineLevel="0" collapsed="false">
      <c r="A234" s="7" t="n">
        <v>41</v>
      </c>
      <c r="B234" s="7" t="s">
        <v>572</v>
      </c>
      <c r="C234" s="7" t="s">
        <v>582</v>
      </c>
      <c r="D234" s="7" t="s">
        <v>6154</v>
      </c>
      <c r="E234" s="7" t="s">
        <v>6107</v>
      </c>
      <c r="F234" s="7" t="s">
        <v>6592</v>
      </c>
      <c r="G234" s="7"/>
      <c r="H234" s="7" t="s">
        <v>6593</v>
      </c>
      <c r="I234" s="7" t="s">
        <v>5857</v>
      </c>
      <c r="J234" s="7" t="s">
        <v>5857</v>
      </c>
      <c r="K234" s="7" t="s">
        <v>6594</v>
      </c>
    </row>
    <row r="235" customFormat="false" ht="23.85" hidden="false" customHeight="false" outlineLevel="0" collapsed="false">
      <c r="A235" s="7" t="n">
        <v>41</v>
      </c>
      <c r="B235" s="7" t="s">
        <v>572</v>
      </c>
      <c r="C235" s="7" t="s">
        <v>582</v>
      </c>
      <c r="D235" s="7" t="s">
        <v>6154</v>
      </c>
      <c r="E235" s="7" t="s">
        <v>6595</v>
      </c>
      <c r="F235" s="7" t="s">
        <v>6596</v>
      </c>
      <c r="G235" s="7"/>
      <c r="H235" s="7" t="s">
        <v>6597</v>
      </c>
      <c r="I235" s="7" t="s">
        <v>5818</v>
      </c>
      <c r="J235" s="7" t="s">
        <v>5818</v>
      </c>
      <c r="K235" s="7" t="s">
        <v>6598</v>
      </c>
    </row>
    <row r="236" customFormat="false" ht="23.85" hidden="false" customHeight="false" outlineLevel="0" collapsed="false">
      <c r="A236" s="7" t="n">
        <v>41</v>
      </c>
      <c r="B236" s="7" t="s">
        <v>572</v>
      </c>
      <c r="C236" s="7" t="s">
        <v>582</v>
      </c>
      <c r="D236" s="7" t="s">
        <v>6154</v>
      </c>
      <c r="E236" s="7" t="s">
        <v>6595</v>
      </c>
      <c r="F236" s="7" t="s">
        <v>6599</v>
      </c>
      <c r="G236" s="7"/>
      <c r="H236" s="7" t="s">
        <v>6600</v>
      </c>
      <c r="I236" s="7" t="s">
        <v>5812</v>
      </c>
      <c r="J236" s="7" t="s">
        <v>5812</v>
      </c>
      <c r="K236" s="7"/>
    </row>
    <row r="237" customFormat="false" ht="23.85" hidden="false" customHeight="false" outlineLevel="0" collapsed="false">
      <c r="A237" s="7" t="n">
        <v>41</v>
      </c>
      <c r="B237" s="7" t="s">
        <v>572</v>
      </c>
      <c r="C237" s="7" t="s">
        <v>582</v>
      </c>
      <c r="D237" s="7" t="s">
        <v>6154</v>
      </c>
      <c r="E237" s="7" t="s">
        <v>6601</v>
      </c>
      <c r="F237" s="7" t="s">
        <v>6602</v>
      </c>
      <c r="G237" s="7"/>
      <c r="H237" s="7" t="s">
        <v>6603</v>
      </c>
      <c r="I237" s="7" t="s">
        <v>5812</v>
      </c>
      <c r="J237" s="7" t="s">
        <v>5812</v>
      </c>
      <c r="K237" s="7" t="s">
        <v>6598</v>
      </c>
    </row>
    <row r="238" customFormat="false" ht="35.05" hidden="false" customHeight="false" outlineLevel="0" collapsed="false">
      <c r="A238" s="7" t="n">
        <v>41</v>
      </c>
      <c r="B238" s="7" t="s">
        <v>572</v>
      </c>
      <c r="C238" s="7" t="s">
        <v>582</v>
      </c>
      <c r="D238" s="7" t="s">
        <v>6604</v>
      </c>
      <c r="E238" s="7" t="s">
        <v>6605</v>
      </c>
      <c r="F238" s="7" t="s">
        <v>6606</v>
      </c>
      <c r="G238" s="7"/>
      <c r="H238" s="7" t="s">
        <v>6607</v>
      </c>
      <c r="I238" s="7" t="s">
        <v>6608</v>
      </c>
      <c r="J238" s="7" t="s">
        <v>5827</v>
      </c>
      <c r="K238" s="7" t="s">
        <v>6598</v>
      </c>
    </row>
    <row r="239" customFormat="false" ht="23.85" hidden="false" customHeight="false" outlineLevel="0" collapsed="false">
      <c r="A239" s="7" t="n">
        <v>41</v>
      </c>
      <c r="B239" s="7" t="s">
        <v>572</v>
      </c>
      <c r="C239" s="7" t="s">
        <v>582</v>
      </c>
      <c r="D239" s="7" t="s">
        <v>6439</v>
      </c>
      <c r="E239" s="7" t="s">
        <v>6609</v>
      </c>
      <c r="F239" s="7" t="s">
        <v>6610</v>
      </c>
      <c r="G239" s="7"/>
      <c r="H239" s="7" t="s">
        <v>6442</v>
      </c>
      <c r="I239" s="7" t="s">
        <v>5812</v>
      </c>
      <c r="J239" s="7" t="s">
        <v>5812</v>
      </c>
      <c r="K239" s="7" t="s">
        <v>6611</v>
      </c>
    </row>
    <row r="240" customFormat="false" ht="68.65" hidden="false" customHeight="false" outlineLevel="0" collapsed="false">
      <c r="A240" s="7" t="n">
        <v>44</v>
      </c>
      <c r="B240" s="7" t="s">
        <v>606</v>
      </c>
      <c r="C240" s="7" t="s">
        <v>614</v>
      </c>
      <c r="D240" s="7" t="s">
        <v>68</v>
      </c>
      <c r="E240" s="7" t="s">
        <v>6612</v>
      </c>
      <c r="F240" s="7"/>
      <c r="G240" s="7"/>
      <c r="H240" s="7"/>
      <c r="I240" s="7"/>
      <c r="J240" s="7"/>
      <c r="K240" s="7"/>
    </row>
    <row r="241" customFormat="false" ht="35.05" hidden="false" customHeight="false" outlineLevel="0" collapsed="false">
      <c r="A241" s="7" t="n">
        <v>44</v>
      </c>
      <c r="B241" s="7" t="s">
        <v>606</v>
      </c>
      <c r="C241" s="7" t="s">
        <v>614</v>
      </c>
      <c r="D241" s="7" t="s">
        <v>6297</v>
      </c>
      <c r="E241" s="7" t="s">
        <v>6613</v>
      </c>
      <c r="F241" s="7" t="s">
        <v>6614</v>
      </c>
      <c r="G241" s="7"/>
      <c r="H241" s="7" t="s">
        <v>6615</v>
      </c>
      <c r="I241" s="7" t="s">
        <v>5857</v>
      </c>
      <c r="J241" s="7" t="s">
        <v>5857</v>
      </c>
      <c r="K241" s="7" t="s">
        <v>6616</v>
      </c>
    </row>
    <row r="242" customFormat="false" ht="23.85" hidden="false" customHeight="false" outlineLevel="0" collapsed="false">
      <c r="A242" s="7" t="n">
        <v>44</v>
      </c>
      <c r="B242" s="7" t="s">
        <v>606</v>
      </c>
      <c r="C242" s="7" t="s">
        <v>614</v>
      </c>
      <c r="D242" s="7" t="s">
        <v>6297</v>
      </c>
      <c r="E242" s="7" t="s">
        <v>6613</v>
      </c>
      <c r="F242" s="7" t="s">
        <v>6617</v>
      </c>
      <c r="G242" s="7"/>
      <c r="H242" s="7" t="s">
        <v>6618</v>
      </c>
      <c r="I242" s="7" t="s">
        <v>5857</v>
      </c>
      <c r="J242" s="7" t="s">
        <v>5857</v>
      </c>
      <c r="K242" s="7" t="s">
        <v>6616</v>
      </c>
    </row>
    <row r="243" customFormat="false" ht="35.05" hidden="false" customHeight="false" outlineLevel="0" collapsed="false">
      <c r="A243" s="7" t="n">
        <v>44</v>
      </c>
      <c r="B243" s="7" t="s">
        <v>606</v>
      </c>
      <c r="C243" s="7" t="s">
        <v>614</v>
      </c>
      <c r="D243" s="7" t="s">
        <v>6619</v>
      </c>
      <c r="E243" s="7" t="s">
        <v>5571</v>
      </c>
      <c r="F243" s="7" t="s">
        <v>6620</v>
      </c>
      <c r="G243" s="7"/>
      <c r="H243" s="7" t="s">
        <v>6621</v>
      </c>
      <c r="I243" s="7" t="s">
        <v>5857</v>
      </c>
      <c r="J243" s="7" t="s">
        <v>5857</v>
      </c>
      <c r="K243" s="7" t="s">
        <v>6622</v>
      </c>
    </row>
    <row r="244" customFormat="false" ht="35.05" hidden="false" customHeight="false" outlineLevel="0" collapsed="false">
      <c r="A244" s="7" t="n">
        <v>44</v>
      </c>
      <c r="B244" s="7" t="s">
        <v>606</v>
      </c>
      <c r="C244" s="7" t="s">
        <v>614</v>
      </c>
      <c r="D244" s="7" t="s">
        <v>6619</v>
      </c>
      <c r="E244" s="7" t="s">
        <v>6584</v>
      </c>
      <c r="F244" s="7" t="s">
        <v>6623</v>
      </c>
      <c r="G244" s="7"/>
      <c r="H244" s="7" t="s">
        <v>6624</v>
      </c>
      <c r="I244" s="7" t="s">
        <v>5857</v>
      </c>
      <c r="J244" s="7" t="s">
        <v>5857</v>
      </c>
      <c r="K244" s="7" t="s">
        <v>6625</v>
      </c>
    </row>
    <row r="245" customFormat="false" ht="35.05" hidden="false" customHeight="false" outlineLevel="0" collapsed="false">
      <c r="A245" s="7" t="n">
        <v>44</v>
      </c>
      <c r="B245" s="7" t="s">
        <v>606</v>
      </c>
      <c r="C245" s="7" t="s">
        <v>614</v>
      </c>
      <c r="D245" s="7" t="s">
        <v>5974</v>
      </c>
      <c r="E245" s="7" t="s">
        <v>6626</v>
      </c>
      <c r="F245" s="7" t="s">
        <v>6627</v>
      </c>
      <c r="G245" s="7" t="s">
        <v>6628</v>
      </c>
      <c r="H245" s="7" t="s">
        <v>6629</v>
      </c>
      <c r="I245" s="7" t="s">
        <v>5812</v>
      </c>
      <c r="J245" s="7" t="s">
        <v>5812</v>
      </c>
      <c r="K245" s="7" t="s">
        <v>6630</v>
      </c>
    </row>
    <row r="246" customFormat="false" ht="46.25" hidden="false" customHeight="false" outlineLevel="0" collapsed="false">
      <c r="A246" s="7" t="n">
        <v>52</v>
      </c>
      <c r="B246" s="7" t="s">
        <v>695</v>
      </c>
      <c r="C246" s="7" t="s">
        <v>705</v>
      </c>
      <c r="D246" s="7" t="s">
        <v>6154</v>
      </c>
      <c r="E246" s="7" t="s">
        <v>6631</v>
      </c>
      <c r="F246" s="7" t="s">
        <v>6632</v>
      </c>
      <c r="G246" s="7"/>
      <c r="H246" s="7" t="s">
        <v>6633</v>
      </c>
      <c r="I246" s="7" t="s">
        <v>5827</v>
      </c>
      <c r="J246" s="7" t="s">
        <v>5827</v>
      </c>
      <c r="K246" s="7" t="s">
        <v>6634</v>
      </c>
    </row>
    <row r="247" customFormat="false" ht="46.25" hidden="false" customHeight="false" outlineLevel="0" collapsed="false">
      <c r="A247" s="7" t="n">
        <v>52</v>
      </c>
      <c r="B247" s="7" t="s">
        <v>695</v>
      </c>
      <c r="C247" s="7" t="s">
        <v>705</v>
      </c>
      <c r="D247" s="7" t="s">
        <v>6154</v>
      </c>
      <c r="E247" s="7" t="s">
        <v>6635</v>
      </c>
      <c r="F247" s="7" t="s">
        <v>6636</v>
      </c>
      <c r="G247" s="7"/>
      <c r="H247" s="7" t="s">
        <v>6637</v>
      </c>
      <c r="I247" s="7" t="s">
        <v>5827</v>
      </c>
      <c r="J247" s="7" t="s">
        <v>5827</v>
      </c>
      <c r="K247" s="7" t="s">
        <v>6638</v>
      </c>
    </row>
    <row r="248" customFormat="false" ht="46.25" hidden="false" customHeight="false" outlineLevel="0" collapsed="false">
      <c r="A248" s="7" t="n">
        <v>52</v>
      </c>
      <c r="B248" s="7" t="s">
        <v>695</v>
      </c>
      <c r="C248" s="7" t="s">
        <v>705</v>
      </c>
      <c r="D248" s="7" t="s">
        <v>6154</v>
      </c>
      <c r="E248" s="7" t="s">
        <v>6639</v>
      </c>
      <c r="F248" s="7" t="s">
        <v>6640</v>
      </c>
      <c r="G248" s="7"/>
      <c r="H248" s="7" t="s">
        <v>6641</v>
      </c>
      <c r="I248" s="7" t="s">
        <v>5818</v>
      </c>
      <c r="J248" s="7" t="s">
        <v>5818</v>
      </c>
      <c r="K248" s="7" t="s">
        <v>6642</v>
      </c>
    </row>
    <row r="249" customFormat="false" ht="57.45" hidden="false" customHeight="false" outlineLevel="0" collapsed="false">
      <c r="A249" s="7" t="n">
        <v>52</v>
      </c>
      <c r="B249" s="7" t="s">
        <v>695</v>
      </c>
      <c r="C249" s="7" t="s">
        <v>705</v>
      </c>
      <c r="D249" s="7" t="s">
        <v>6643</v>
      </c>
      <c r="E249" s="7" t="s">
        <v>6330</v>
      </c>
      <c r="F249" s="7" t="s">
        <v>6644</v>
      </c>
      <c r="G249" s="7" t="s">
        <v>6645</v>
      </c>
      <c r="H249" s="7" t="s">
        <v>6646</v>
      </c>
      <c r="I249" s="7" t="s">
        <v>5805</v>
      </c>
      <c r="J249" s="7" t="s">
        <v>5805</v>
      </c>
      <c r="K249" s="7" t="s">
        <v>6647</v>
      </c>
    </row>
    <row r="250" customFormat="false" ht="35.05" hidden="false" customHeight="false" outlineLevel="0" collapsed="false">
      <c r="A250" s="7" t="n">
        <v>52</v>
      </c>
      <c r="B250" s="7" t="s">
        <v>695</v>
      </c>
      <c r="C250" s="7" t="s">
        <v>705</v>
      </c>
      <c r="D250" s="7" t="s">
        <v>6648</v>
      </c>
      <c r="E250" s="7" t="s">
        <v>6649</v>
      </c>
      <c r="F250" s="7" t="s">
        <v>6650</v>
      </c>
      <c r="G250" s="7"/>
      <c r="H250" s="7" t="s">
        <v>6651</v>
      </c>
      <c r="I250" s="7" t="s">
        <v>5857</v>
      </c>
      <c r="J250" s="7" t="s">
        <v>5857</v>
      </c>
      <c r="K250" s="7" t="s">
        <v>6652</v>
      </c>
    </row>
    <row r="251" customFormat="false" ht="57.45" hidden="false" customHeight="false" outlineLevel="0" collapsed="false">
      <c r="A251" s="7" t="n">
        <v>46</v>
      </c>
      <c r="B251" s="7" t="s">
        <v>632</v>
      </c>
      <c r="C251" s="7" t="s">
        <v>642</v>
      </c>
      <c r="D251" s="7" t="s">
        <v>68</v>
      </c>
      <c r="E251" s="7" t="s">
        <v>6653</v>
      </c>
      <c r="F251" s="7"/>
      <c r="G251" s="7"/>
      <c r="H251" s="7"/>
      <c r="I251" s="7"/>
      <c r="J251" s="7"/>
      <c r="K251" s="7"/>
    </row>
    <row r="252" customFormat="false" ht="35.05" hidden="false" customHeight="false" outlineLevel="0" collapsed="false">
      <c r="A252" s="7" t="n">
        <v>46</v>
      </c>
      <c r="B252" s="7" t="s">
        <v>632</v>
      </c>
      <c r="C252" s="7" t="s">
        <v>642</v>
      </c>
      <c r="D252" s="7" t="s">
        <v>6654</v>
      </c>
      <c r="E252" s="7" t="s">
        <v>6655</v>
      </c>
      <c r="F252" s="7" t="s">
        <v>6656</v>
      </c>
      <c r="G252" s="7" t="s">
        <v>6657</v>
      </c>
      <c r="H252" s="7" t="s">
        <v>6658</v>
      </c>
      <c r="I252" s="7" t="s">
        <v>6659</v>
      </c>
      <c r="J252" s="7" t="s">
        <v>5857</v>
      </c>
      <c r="K252" s="7" t="s">
        <v>6660</v>
      </c>
    </row>
    <row r="253" customFormat="false" ht="46.25" hidden="false" customHeight="false" outlineLevel="0" collapsed="false">
      <c r="A253" s="7" t="n">
        <v>46</v>
      </c>
      <c r="B253" s="7" t="s">
        <v>632</v>
      </c>
      <c r="C253" s="7" t="s">
        <v>642</v>
      </c>
      <c r="D253" s="7" t="s">
        <v>5794</v>
      </c>
      <c r="E253" s="7" t="s">
        <v>6661</v>
      </c>
      <c r="F253" s="7" t="s">
        <v>6662</v>
      </c>
      <c r="G253" s="7"/>
      <c r="H253" s="7" t="s">
        <v>6663</v>
      </c>
      <c r="I253" s="7" t="s">
        <v>5805</v>
      </c>
      <c r="J253" s="7" t="s">
        <v>5805</v>
      </c>
      <c r="K253" s="7" t="s">
        <v>6664</v>
      </c>
    </row>
    <row r="254" customFormat="false" ht="35.05" hidden="false" customHeight="false" outlineLevel="0" collapsed="false">
      <c r="A254" s="7" t="n">
        <v>46</v>
      </c>
      <c r="B254" s="7" t="s">
        <v>632</v>
      </c>
      <c r="C254" s="7" t="s">
        <v>642</v>
      </c>
      <c r="D254" s="7" t="s">
        <v>5948</v>
      </c>
      <c r="E254" s="7" t="s">
        <v>6665</v>
      </c>
      <c r="F254" s="7" t="s">
        <v>6666</v>
      </c>
      <c r="G254" s="7"/>
      <c r="H254" s="7" t="s">
        <v>6667</v>
      </c>
      <c r="I254" s="7" t="s">
        <v>6668</v>
      </c>
      <c r="J254" s="7" t="s">
        <v>5812</v>
      </c>
      <c r="K254" s="7" t="s">
        <v>6669</v>
      </c>
    </row>
    <row r="255" customFormat="false" ht="68.65" hidden="false" customHeight="false" outlineLevel="0" collapsed="false">
      <c r="A255" s="7" t="n">
        <v>49</v>
      </c>
      <c r="B255" s="7" t="s">
        <v>665</v>
      </c>
      <c r="C255" s="7" t="s">
        <v>671</v>
      </c>
      <c r="D255" s="7" t="s">
        <v>68</v>
      </c>
      <c r="E255" s="7" t="s">
        <v>6670</v>
      </c>
      <c r="F255" s="7"/>
      <c r="G255" s="7"/>
      <c r="H255" s="7"/>
      <c r="I255" s="7"/>
      <c r="J255" s="7"/>
      <c r="K255" s="7"/>
    </row>
    <row r="256" customFormat="false" ht="35.05" hidden="false" customHeight="false" outlineLevel="0" collapsed="false">
      <c r="A256" s="7" t="n">
        <v>49</v>
      </c>
      <c r="B256" s="7" t="s">
        <v>665</v>
      </c>
      <c r="C256" s="7" t="s">
        <v>671</v>
      </c>
      <c r="D256" s="7" t="s">
        <v>6671</v>
      </c>
      <c r="E256" s="7" t="s">
        <v>6672</v>
      </c>
      <c r="F256" s="7" t="s">
        <v>6673</v>
      </c>
      <c r="G256" s="7"/>
      <c r="H256" s="7" t="s">
        <v>6674</v>
      </c>
      <c r="I256" s="7" t="s">
        <v>5818</v>
      </c>
      <c r="J256" s="7" t="s">
        <v>5818</v>
      </c>
      <c r="K256" s="7" t="s">
        <v>6675</v>
      </c>
    </row>
    <row r="257" customFormat="false" ht="46.25" hidden="false" customHeight="false" outlineLevel="0" collapsed="false">
      <c r="A257" s="7" t="n">
        <v>49</v>
      </c>
      <c r="B257" s="7" t="s">
        <v>665</v>
      </c>
      <c r="C257" s="7" t="s">
        <v>671</v>
      </c>
      <c r="D257" s="7" t="s">
        <v>6671</v>
      </c>
      <c r="E257" s="7" t="s">
        <v>6676</v>
      </c>
      <c r="F257" s="7" t="s">
        <v>6677</v>
      </c>
      <c r="G257" s="7"/>
      <c r="H257" s="7" t="s">
        <v>6678</v>
      </c>
      <c r="I257" s="7" t="s">
        <v>5818</v>
      </c>
      <c r="J257" s="7" t="s">
        <v>5818</v>
      </c>
      <c r="K257" s="7" t="s">
        <v>6675</v>
      </c>
    </row>
    <row r="258" customFormat="false" ht="35.05" hidden="false" customHeight="false" outlineLevel="0" collapsed="false">
      <c r="A258" s="7" t="n">
        <v>49</v>
      </c>
      <c r="B258" s="7" t="s">
        <v>665</v>
      </c>
      <c r="C258" s="7" t="s">
        <v>671</v>
      </c>
      <c r="D258" s="7" t="s">
        <v>6671</v>
      </c>
      <c r="E258" s="7" t="s">
        <v>6679</v>
      </c>
      <c r="F258" s="7" t="s">
        <v>6680</v>
      </c>
      <c r="G258" s="7"/>
      <c r="H258" s="7" t="s">
        <v>6681</v>
      </c>
      <c r="I258" s="7" t="s">
        <v>5857</v>
      </c>
      <c r="J258" s="7" t="s">
        <v>5857</v>
      </c>
      <c r="K258" s="7" t="s">
        <v>6675</v>
      </c>
    </row>
    <row r="259" customFormat="false" ht="23.85" hidden="false" customHeight="false" outlineLevel="0" collapsed="false">
      <c r="A259" s="7" t="n">
        <v>49</v>
      </c>
      <c r="B259" s="7" t="s">
        <v>665</v>
      </c>
      <c r="C259" s="7" t="s">
        <v>671</v>
      </c>
      <c r="D259" s="7" t="s">
        <v>6682</v>
      </c>
      <c r="E259" s="7" t="s">
        <v>6635</v>
      </c>
      <c r="F259" s="7" t="s">
        <v>6683</v>
      </c>
      <c r="G259" s="7" t="s">
        <v>6684</v>
      </c>
      <c r="H259" s="7" t="s">
        <v>6685</v>
      </c>
      <c r="I259" s="7" t="s">
        <v>5827</v>
      </c>
      <c r="J259" s="7" t="s">
        <v>5827</v>
      </c>
      <c r="K259" s="7" t="s">
        <v>6675</v>
      </c>
    </row>
    <row r="260" customFormat="false" ht="68.65" hidden="false" customHeight="false" outlineLevel="0" collapsed="false">
      <c r="A260" s="7" t="n">
        <v>45</v>
      </c>
      <c r="B260" s="7" t="s">
        <v>617</v>
      </c>
      <c r="C260" s="7" t="s">
        <v>629</v>
      </c>
      <c r="D260" s="7" t="s">
        <v>68</v>
      </c>
      <c r="E260" s="7" t="s">
        <v>6686</v>
      </c>
      <c r="F260" s="7"/>
      <c r="G260" s="7"/>
      <c r="H260" s="7"/>
      <c r="I260" s="7"/>
      <c r="J260" s="7"/>
      <c r="K260" s="7"/>
    </row>
    <row r="261" customFormat="false" ht="35.05" hidden="false" customHeight="false" outlineLevel="0" collapsed="false">
      <c r="A261" s="7" t="n">
        <v>45</v>
      </c>
      <c r="B261" s="7" t="s">
        <v>617</v>
      </c>
      <c r="C261" s="7" t="s">
        <v>629</v>
      </c>
      <c r="D261" s="7" t="s">
        <v>6687</v>
      </c>
      <c r="E261" s="7" t="s">
        <v>6688</v>
      </c>
      <c r="F261" s="7" t="s">
        <v>6689</v>
      </c>
      <c r="G261" s="7" t="s">
        <v>6690</v>
      </c>
      <c r="H261" s="7" t="s">
        <v>6691</v>
      </c>
      <c r="I261" s="7" t="s">
        <v>6692</v>
      </c>
      <c r="J261" s="7" t="s">
        <v>5827</v>
      </c>
      <c r="K261" s="7" t="s">
        <v>6693</v>
      </c>
    </row>
    <row r="262" customFormat="false" ht="35.05" hidden="false" customHeight="false" outlineLevel="0" collapsed="false">
      <c r="A262" s="7" t="n">
        <v>45</v>
      </c>
      <c r="B262" s="7" t="s">
        <v>617</v>
      </c>
      <c r="C262" s="7" t="s">
        <v>629</v>
      </c>
      <c r="D262" s="7" t="s">
        <v>6687</v>
      </c>
      <c r="E262" s="7" t="s">
        <v>6694</v>
      </c>
      <c r="F262" s="7" t="s">
        <v>6695</v>
      </c>
      <c r="G262" s="7"/>
      <c r="H262" s="7" t="s">
        <v>6696</v>
      </c>
      <c r="I262" s="7" t="s">
        <v>5818</v>
      </c>
      <c r="J262" s="7" t="s">
        <v>5818</v>
      </c>
      <c r="K262" s="7" t="s">
        <v>6697</v>
      </c>
    </row>
    <row r="263" customFormat="false" ht="23.85" hidden="false" customHeight="false" outlineLevel="0" collapsed="false">
      <c r="A263" s="7" t="n">
        <v>45</v>
      </c>
      <c r="B263" s="7" t="s">
        <v>617</v>
      </c>
      <c r="C263" s="7" t="s">
        <v>629</v>
      </c>
      <c r="D263" s="7" t="s">
        <v>6687</v>
      </c>
      <c r="E263" s="7" t="s">
        <v>6698</v>
      </c>
      <c r="F263" s="7" t="s">
        <v>6699</v>
      </c>
      <c r="G263" s="7"/>
      <c r="H263" s="7" t="s">
        <v>6700</v>
      </c>
      <c r="I263" s="7" t="s">
        <v>5818</v>
      </c>
      <c r="J263" s="7" t="s">
        <v>5818</v>
      </c>
      <c r="K263" s="7" t="s">
        <v>6697</v>
      </c>
    </row>
    <row r="264" customFormat="false" ht="23.85" hidden="false" customHeight="false" outlineLevel="0" collapsed="false">
      <c r="A264" s="7" t="n">
        <v>45</v>
      </c>
      <c r="B264" s="7" t="s">
        <v>617</v>
      </c>
      <c r="C264" s="7" t="s">
        <v>629</v>
      </c>
      <c r="D264" s="7" t="s">
        <v>6687</v>
      </c>
      <c r="E264" s="7" t="s">
        <v>532</v>
      </c>
      <c r="F264" s="7" t="s">
        <v>6701</v>
      </c>
      <c r="G264" s="7"/>
      <c r="H264" s="7" t="s">
        <v>6702</v>
      </c>
      <c r="I264" s="7" t="s">
        <v>6692</v>
      </c>
      <c r="J264" s="7" t="s">
        <v>5827</v>
      </c>
      <c r="K264" s="7" t="s">
        <v>6697</v>
      </c>
    </row>
    <row r="265" customFormat="false" ht="35.05" hidden="false" customHeight="false" outlineLevel="0" collapsed="false">
      <c r="A265" s="7" t="n">
        <v>45</v>
      </c>
      <c r="B265" s="7" t="s">
        <v>617</v>
      </c>
      <c r="C265" s="7" t="s">
        <v>629</v>
      </c>
      <c r="D265" s="7" t="s">
        <v>5974</v>
      </c>
      <c r="E265" s="7" t="s">
        <v>6703</v>
      </c>
      <c r="F265" s="7" t="s">
        <v>6704</v>
      </c>
      <c r="G265" s="7"/>
      <c r="H265" s="7" t="s">
        <v>6705</v>
      </c>
      <c r="I265" s="7" t="s">
        <v>5812</v>
      </c>
      <c r="J265" s="7" t="s">
        <v>5812</v>
      </c>
      <c r="K265" s="7" t="s">
        <v>6706</v>
      </c>
    </row>
    <row r="266" customFormat="false" ht="57.45" hidden="false" customHeight="false" outlineLevel="0" collapsed="false">
      <c r="A266" s="7" t="n">
        <v>48</v>
      </c>
      <c r="B266" s="7" t="s">
        <v>655</v>
      </c>
      <c r="C266" s="7" t="s">
        <v>662</v>
      </c>
      <c r="D266" s="7" t="s">
        <v>68</v>
      </c>
      <c r="E266" s="7" t="s">
        <v>6707</v>
      </c>
      <c r="F266" s="7"/>
      <c r="G266" s="7"/>
      <c r="H266" s="7"/>
      <c r="I266" s="7"/>
      <c r="J266" s="7"/>
      <c r="K266" s="7"/>
    </row>
    <row r="267" customFormat="false" ht="46.25" hidden="false" customHeight="false" outlineLevel="0" collapsed="false">
      <c r="A267" s="7" t="n">
        <v>48</v>
      </c>
      <c r="B267" s="7" t="s">
        <v>655</v>
      </c>
      <c r="C267" s="7" t="s">
        <v>662</v>
      </c>
      <c r="D267" s="7" t="s">
        <v>5974</v>
      </c>
      <c r="E267" s="7" t="s">
        <v>6419</v>
      </c>
      <c r="F267" s="7" t="s">
        <v>6708</v>
      </c>
      <c r="G267" s="7" t="s">
        <v>6709</v>
      </c>
      <c r="H267" s="7" t="s">
        <v>6710</v>
      </c>
      <c r="I267" s="7" t="s">
        <v>6711</v>
      </c>
      <c r="J267" s="7" t="s">
        <v>5857</v>
      </c>
      <c r="K267" s="7" t="s">
        <v>6712</v>
      </c>
    </row>
    <row r="268" customFormat="false" ht="35.05" hidden="false" customHeight="false" outlineLevel="0" collapsed="false">
      <c r="A268" s="7" t="n">
        <v>48</v>
      </c>
      <c r="B268" s="7" t="s">
        <v>655</v>
      </c>
      <c r="C268" s="7" t="s">
        <v>662</v>
      </c>
      <c r="D268" s="7" t="s">
        <v>5974</v>
      </c>
      <c r="E268" s="7" t="s">
        <v>6509</v>
      </c>
      <c r="F268" s="7" t="s">
        <v>6713</v>
      </c>
      <c r="G268" s="7" t="s">
        <v>6714</v>
      </c>
      <c r="H268" s="7" t="s">
        <v>6715</v>
      </c>
      <c r="I268" s="7" t="s">
        <v>5857</v>
      </c>
      <c r="J268" s="7" t="s">
        <v>5857</v>
      </c>
      <c r="K268" s="7" t="s">
        <v>6716</v>
      </c>
    </row>
    <row r="269" customFormat="false" ht="23.85" hidden="false" customHeight="false" outlineLevel="0" collapsed="false">
      <c r="A269" s="7" t="n">
        <v>48</v>
      </c>
      <c r="B269" s="7" t="s">
        <v>655</v>
      </c>
      <c r="C269" s="7" t="s">
        <v>662</v>
      </c>
      <c r="D269" s="7" t="s">
        <v>6717</v>
      </c>
      <c r="E269" s="7" t="s">
        <v>6718</v>
      </c>
      <c r="F269" s="7" t="s">
        <v>6719</v>
      </c>
      <c r="G269" s="7"/>
      <c r="H269" s="7" t="s">
        <v>6720</v>
      </c>
      <c r="I269" s="7" t="s">
        <v>5827</v>
      </c>
      <c r="J269" s="7" t="s">
        <v>5827</v>
      </c>
      <c r="K269" s="7" t="s">
        <v>6716</v>
      </c>
    </row>
    <row r="270" customFormat="false" ht="46.25" hidden="false" customHeight="false" outlineLevel="0" collapsed="false">
      <c r="A270" s="7" t="n">
        <v>48</v>
      </c>
      <c r="B270" s="7" t="s">
        <v>655</v>
      </c>
      <c r="C270" s="7" t="s">
        <v>662</v>
      </c>
      <c r="D270" s="7" t="s">
        <v>6717</v>
      </c>
      <c r="E270" s="7" t="s">
        <v>6721</v>
      </c>
      <c r="F270" s="7" t="s">
        <v>6722</v>
      </c>
      <c r="G270" s="7"/>
      <c r="H270" s="7" t="s">
        <v>6723</v>
      </c>
      <c r="I270" s="7" t="s">
        <v>5827</v>
      </c>
      <c r="J270" s="7" t="s">
        <v>5827</v>
      </c>
      <c r="K270" s="7" t="s">
        <v>6716</v>
      </c>
    </row>
    <row r="271" customFormat="false" ht="57.45" hidden="false" customHeight="false" outlineLevel="0" collapsed="false">
      <c r="A271" s="7" t="n">
        <v>48</v>
      </c>
      <c r="B271" s="7" t="s">
        <v>655</v>
      </c>
      <c r="C271" s="7" t="s">
        <v>662</v>
      </c>
      <c r="D271" s="7" t="s">
        <v>5974</v>
      </c>
      <c r="E271" s="7" t="s">
        <v>6724</v>
      </c>
      <c r="F271" s="7" t="s">
        <v>6725</v>
      </c>
      <c r="G271" s="7"/>
      <c r="H271" s="7" t="s">
        <v>6726</v>
      </c>
      <c r="I271" s="7" t="s">
        <v>6727</v>
      </c>
      <c r="J271" s="7" t="s">
        <v>5805</v>
      </c>
      <c r="K271" s="7" t="s">
        <v>6728</v>
      </c>
    </row>
    <row r="272" customFormat="false" ht="57.45" hidden="false" customHeight="false" outlineLevel="0" collapsed="false">
      <c r="A272" s="7" t="n">
        <v>51</v>
      </c>
      <c r="B272" s="7" t="s">
        <v>685</v>
      </c>
      <c r="C272" s="7" t="s">
        <v>692</v>
      </c>
      <c r="D272" s="7" t="s">
        <v>68</v>
      </c>
      <c r="E272" s="7" t="s">
        <v>6729</v>
      </c>
      <c r="F272" s="7"/>
      <c r="G272" s="7"/>
      <c r="H272" s="7"/>
      <c r="I272" s="7"/>
      <c r="J272" s="7"/>
      <c r="K272" s="7"/>
    </row>
    <row r="273" customFormat="false" ht="35.05" hidden="false" customHeight="false" outlineLevel="0" collapsed="false">
      <c r="A273" s="7" t="n">
        <v>51</v>
      </c>
      <c r="B273" s="7" t="s">
        <v>685</v>
      </c>
      <c r="C273" s="7" t="s">
        <v>692</v>
      </c>
      <c r="D273" s="7" t="s">
        <v>5974</v>
      </c>
      <c r="E273" s="7" t="s">
        <v>6730</v>
      </c>
      <c r="F273" s="7" t="s">
        <v>6731</v>
      </c>
      <c r="G273" s="7" t="s">
        <v>6732</v>
      </c>
      <c r="H273" s="7" t="s">
        <v>6733</v>
      </c>
      <c r="I273" s="7" t="s">
        <v>5818</v>
      </c>
      <c r="J273" s="7" t="s">
        <v>5818</v>
      </c>
      <c r="K273" s="7" t="s">
        <v>6734</v>
      </c>
    </row>
    <row r="274" customFormat="false" ht="23.85" hidden="false" customHeight="false" outlineLevel="0" collapsed="false">
      <c r="A274" s="7" t="n">
        <v>51</v>
      </c>
      <c r="B274" s="7" t="s">
        <v>685</v>
      </c>
      <c r="C274" s="7" t="s">
        <v>692</v>
      </c>
      <c r="D274" s="7" t="s">
        <v>5974</v>
      </c>
      <c r="E274" s="7" t="s">
        <v>6735</v>
      </c>
      <c r="F274" s="7" t="s">
        <v>6736</v>
      </c>
      <c r="G274" s="7"/>
      <c r="H274" s="7" t="s">
        <v>6737</v>
      </c>
      <c r="I274" s="7" t="s">
        <v>6692</v>
      </c>
      <c r="J274" s="7" t="s">
        <v>5827</v>
      </c>
      <c r="K274" s="7" t="s">
        <v>6734</v>
      </c>
    </row>
    <row r="275" customFormat="false" ht="35.05" hidden="false" customHeight="false" outlineLevel="0" collapsed="false">
      <c r="A275" s="7" t="n">
        <v>51</v>
      </c>
      <c r="B275" s="7" t="s">
        <v>685</v>
      </c>
      <c r="C275" s="7" t="s">
        <v>692</v>
      </c>
      <c r="D275" s="7" t="s">
        <v>5974</v>
      </c>
      <c r="E275" s="7" t="s">
        <v>6738</v>
      </c>
      <c r="F275" s="7" t="s">
        <v>6739</v>
      </c>
      <c r="G275" s="7"/>
      <c r="H275" s="7" t="s">
        <v>6740</v>
      </c>
      <c r="I275" s="7" t="s">
        <v>5805</v>
      </c>
      <c r="J275" s="7" t="s">
        <v>5805</v>
      </c>
      <c r="K275" s="7" t="s">
        <v>6741</v>
      </c>
    </row>
    <row r="276" customFormat="false" ht="23.85" hidden="false" customHeight="false" outlineLevel="0" collapsed="false">
      <c r="A276" s="7" t="n">
        <v>51</v>
      </c>
      <c r="B276" s="7" t="s">
        <v>685</v>
      </c>
      <c r="C276" s="7" t="s">
        <v>692</v>
      </c>
      <c r="D276" s="7" t="s">
        <v>5974</v>
      </c>
      <c r="E276" s="7" t="s">
        <v>5820</v>
      </c>
      <c r="F276" s="7" t="s">
        <v>6742</v>
      </c>
      <c r="G276" s="7"/>
      <c r="H276" s="7" t="s">
        <v>6442</v>
      </c>
      <c r="I276" s="7" t="s">
        <v>5812</v>
      </c>
      <c r="J276" s="7" t="s">
        <v>5812</v>
      </c>
      <c r="K276" s="7"/>
    </row>
    <row r="277" customFormat="false" ht="23.85" hidden="false" customHeight="false" outlineLevel="0" collapsed="false">
      <c r="A277" s="7" t="n">
        <v>50</v>
      </c>
      <c r="B277" s="7" t="s">
        <v>674</v>
      </c>
      <c r="C277" s="7" t="s">
        <v>682</v>
      </c>
      <c r="D277" s="7" t="s">
        <v>6082</v>
      </c>
      <c r="E277" s="7" t="s">
        <v>6743</v>
      </c>
      <c r="F277" s="7" t="s">
        <v>6744</v>
      </c>
      <c r="G277" s="7"/>
      <c r="H277" s="7" t="s">
        <v>6745</v>
      </c>
      <c r="I277" s="7" t="s">
        <v>6692</v>
      </c>
      <c r="J277" s="7" t="s">
        <v>5827</v>
      </c>
      <c r="K277" s="7" t="s">
        <v>6697</v>
      </c>
    </row>
    <row r="278" customFormat="false" ht="23.85" hidden="false" customHeight="false" outlineLevel="0" collapsed="false">
      <c r="A278" s="7" t="n">
        <v>50</v>
      </c>
      <c r="B278" s="7" t="s">
        <v>674</v>
      </c>
      <c r="C278" s="7" t="s">
        <v>682</v>
      </c>
      <c r="D278" s="7" t="s">
        <v>6082</v>
      </c>
      <c r="E278" s="7" t="s">
        <v>6746</v>
      </c>
      <c r="F278" s="7" t="s">
        <v>6747</v>
      </c>
      <c r="G278" s="7" t="s">
        <v>6748</v>
      </c>
      <c r="H278" s="7" t="s">
        <v>6749</v>
      </c>
      <c r="I278" s="7" t="s">
        <v>5812</v>
      </c>
      <c r="J278" s="7" t="s">
        <v>5812</v>
      </c>
      <c r="K278" s="7"/>
    </row>
    <row r="279" customFormat="false" ht="23.85" hidden="false" customHeight="false" outlineLevel="0" collapsed="false">
      <c r="A279" s="7" t="n">
        <v>50</v>
      </c>
      <c r="B279" s="7" t="s">
        <v>674</v>
      </c>
      <c r="C279" s="7" t="s">
        <v>682</v>
      </c>
      <c r="D279" s="7" t="s">
        <v>6082</v>
      </c>
      <c r="E279" s="7" t="s">
        <v>6750</v>
      </c>
      <c r="F279" s="7" t="s">
        <v>6751</v>
      </c>
      <c r="G279" s="7"/>
      <c r="H279" s="7" t="s">
        <v>6752</v>
      </c>
      <c r="I279" s="7" t="s">
        <v>5812</v>
      </c>
      <c r="J279" s="7" t="s">
        <v>5812</v>
      </c>
      <c r="K279" s="7"/>
    </row>
    <row r="280" customFormat="false" ht="35.05" hidden="false" customHeight="false" outlineLevel="0" collapsed="false">
      <c r="A280" s="7" t="n">
        <v>50</v>
      </c>
      <c r="B280" s="7" t="s">
        <v>674</v>
      </c>
      <c r="C280" s="7" t="s">
        <v>682</v>
      </c>
      <c r="D280" s="7" t="s">
        <v>6082</v>
      </c>
      <c r="E280" s="7" t="s">
        <v>6753</v>
      </c>
      <c r="F280" s="7" t="s">
        <v>6754</v>
      </c>
      <c r="G280" s="7"/>
      <c r="H280" s="7" t="s">
        <v>6755</v>
      </c>
      <c r="I280" s="7" t="s">
        <v>5818</v>
      </c>
      <c r="J280" s="7" t="s">
        <v>5818</v>
      </c>
      <c r="K280" s="7" t="s">
        <v>6756</v>
      </c>
    </row>
    <row r="281" customFormat="false" ht="23.85" hidden="false" customHeight="false" outlineLevel="0" collapsed="false">
      <c r="A281" s="7" t="n">
        <v>50</v>
      </c>
      <c r="B281" s="7" t="s">
        <v>674</v>
      </c>
      <c r="C281" s="7" t="s">
        <v>682</v>
      </c>
      <c r="D281" s="7" t="s">
        <v>6757</v>
      </c>
      <c r="E281" s="7" t="s">
        <v>6758</v>
      </c>
      <c r="F281" s="7" t="s">
        <v>6759</v>
      </c>
      <c r="G281" s="7"/>
      <c r="H281" s="7" t="s">
        <v>6760</v>
      </c>
      <c r="I281" s="7" t="s">
        <v>5812</v>
      </c>
      <c r="J281" s="7" t="s">
        <v>5812</v>
      </c>
      <c r="K281" s="7"/>
    </row>
    <row r="282" customFormat="false" ht="79.85" hidden="false" customHeight="false" outlineLevel="0" collapsed="false">
      <c r="A282" s="7" t="n">
        <v>47</v>
      </c>
      <c r="B282" s="7" t="s">
        <v>645</v>
      </c>
      <c r="C282" s="7" t="s">
        <v>652</v>
      </c>
      <c r="D282" s="7" t="s">
        <v>68</v>
      </c>
      <c r="E282" s="7" t="s">
        <v>6761</v>
      </c>
      <c r="F282" s="7"/>
      <c r="G282" s="7"/>
      <c r="H282" s="7"/>
      <c r="I282" s="7"/>
      <c r="J282" s="7"/>
      <c r="K282" s="7"/>
    </row>
    <row r="283" customFormat="false" ht="35.05" hidden="false" customHeight="false" outlineLevel="0" collapsed="false">
      <c r="A283" s="7" t="n">
        <v>47</v>
      </c>
      <c r="B283" s="7" t="s">
        <v>645</v>
      </c>
      <c r="C283" s="7" t="s">
        <v>652</v>
      </c>
      <c r="D283" s="7" t="s">
        <v>6762</v>
      </c>
      <c r="E283" s="7" t="s">
        <v>6763</v>
      </c>
      <c r="F283" s="7" t="s">
        <v>6764</v>
      </c>
      <c r="G283" s="7"/>
      <c r="H283" s="7" t="s">
        <v>6765</v>
      </c>
      <c r="I283" s="7" t="s">
        <v>5818</v>
      </c>
      <c r="J283" s="7" t="s">
        <v>5818</v>
      </c>
      <c r="K283" s="7" t="s">
        <v>6766</v>
      </c>
    </row>
    <row r="284" customFormat="false" ht="35.05" hidden="false" customHeight="false" outlineLevel="0" collapsed="false">
      <c r="A284" s="7" t="n">
        <v>47</v>
      </c>
      <c r="B284" s="7" t="s">
        <v>645</v>
      </c>
      <c r="C284" s="7" t="s">
        <v>652</v>
      </c>
      <c r="D284" s="7" t="s">
        <v>6762</v>
      </c>
      <c r="E284" s="7" t="s">
        <v>6767</v>
      </c>
      <c r="F284" s="7" t="s">
        <v>6768</v>
      </c>
      <c r="G284" s="7" t="s">
        <v>6769</v>
      </c>
      <c r="H284" s="7" t="s">
        <v>6770</v>
      </c>
      <c r="I284" s="7" t="s">
        <v>5818</v>
      </c>
      <c r="J284" s="7" t="s">
        <v>5818</v>
      </c>
      <c r="K284" s="7" t="s">
        <v>6766</v>
      </c>
    </row>
    <row r="285" customFormat="false" ht="35.05" hidden="false" customHeight="false" outlineLevel="0" collapsed="false">
      <c r="A285" s="7" t="n">
        <v>47</v>
      </c>
      <c r="B285" s="7" t="s">
        <v>645</v>
      </c>
      <c r="C285" s="7" t="s">
        <v>652</v>
      </c>
      <c r="D285" s="7" t="s">
        <v>6762</v>
      </c>
      <c r="E285" s="7" t="s">
        <v>6771</v>
      </c>
      <c r="F285" s="7" t="s">
        <v>6772</v>
      </c>
      <c r="G285" s="7"/>
      <c r="H285" s="7" t="s">
        <v>6773</v>
      </c>
      <c r="I285" s="7" t="s">
        <v>5818</v>
      </c>
      <c r="J285" s="7" t="s">
        <v>5818</v>
      </c>
      <c r="K285" s="7" t="s">
        <v>6766</v>
      </c>
    </row>
    <row r="286" customFormat="false" ht="23.85" hidden="false" customHeight="false" outlineLevel="0" collapsed="false">
      <c r="A286" s="7" t="n">
        <v>47</v>
      </c>
      <c r="B286" s="7" t="s">
        <v>645</v>
      </c>
      <c r="C286" s="7" t="s">
        <v>652</v>
      </c>
      <c r="D286" s="7" t="s">
        <v>5974</v>
      </c>
      <c r="E286" s="7" t="s">
        <v>6774</v>
      </c>
      <c r="F286" s="7" t="s">
        <v>6775</v>
      </c>
      <c r="G286" s="7"/>
      <c r="H286" s="7" t="s">
        <v>6776</v>
      </c>
      <c r="I286" s="7" t="s">
        <v>5812</v>
      </c>
      <c r="J286" s="7" t="s">
        <v>5812</v>
      </c>
      <c r="K286" s="7"/>
    </row>
    <row r="287" customFormat="false" ht="68.65" hidden="false" customHeight="false" outlineLevel="0" collapsed="false">
      <c r="A287" s="7" t="n">
        <v>54</v>
      </c>
      <c r="B287" s="7" t="s">
        <v>719</v>
      </c>
      <c r="C287" s="7" t="s">
        <v>730</v>
      </c>
      <c r="D287" s="7" t="s">
        <v>68</v>
      </c>
      <c r="E287" s="7" t="s">
        <v>6777</v>
      </c>
      <c r="F287" s="7"/>
      <c r="G287" s="7"/>
      <c r="H287" s="7"/>
      <c r="I287" s="7"/>
      <c r="J287" s="7"/>
      <c r="K287" s="7"/>
    </row>
    <row r="288" customFormat="false" ht="46.25" hidden="false" customHeight="false" outlineLevel="0" collapsed="false">
      <c r="A288" s="7" t="n">
        <v>54</v>
      </c>
      <c r="B288" s="7" t="s">
        <v>719</v>
      </c>
      <c r="C288" s="7" t="s">
        <v>730</v>
      </c>
      <c r="D288" s="7" t="s">
        <v>5974</v>
      </c>
      <c r="E288" s="7" t="s">
        <v>6778</v>
      </c>
      <c r="F288" s="7" t="s">
        <v>6779</v>
      </c>
      <c r="G288" s="7" t="s">
        <v>6780</v>
      </c>
      <c r="H288" s="7" t="s">
        <v>6781</v>
      </c>
      <c r="I288" s="7" t="s">
        <v>5827</v>
      </c>
      <c r="J288" s="7" t="s">
        <v>5827</v>
      </c>
      <c r="K288" s="7" t="s">
        <v>6693</v>
      </c>
    </row>
    <row r="289" customFormat="false" ht="23.85" hidden="false" customHeight="false" outlineLevel="0" collapsed="false">
      <c r="A289" s="7" t="n">
        <v>54</v>
      </c>
      <c r="B289" s="7" t="s">
        <v>719</v>
      </c>
      <c r="C289" s="7" t="s">
        <v>730</v>
      </c>
      <c r="D289" s="7" t="s">
        <v>5974</v>
      </c>
      <c r="E289" s="7" t="s">
        <v>6782</v>
      </c>
      <c r="F289" s="7" t="s">
        <v>6783</v>
      </c>
      <c r="G289" s="7"/>
      <c r="H289" s="7" t="s">
        <v>6784</v>
      </c>
      <c r="I289" s="7" t="s">
        <v>5818</v>
      </c>
      <c r="J289" s="7" t="s">
        <v>5818</v>
      </c>
      <c r="K289" s="7" t="s">
        <v>6697</v>
      </c>
    </row>
    <row r="290" customFormat="false" ht="68.65" hidden="false" customHeight="false" outlineLevel="0" collapsed="false">
      <c r="A290" s="7" t="n">
        <v>54</v>
      </c>
      <c r="B290" s="7" t="s">
        <v>719</v>
      </c>
      <c r="C290" s="7" t="s">
        <v>730</v>
      </c>
      <c r="D290" s="7" t="s">
        <v>6785</v>
      </c>
      <c r="E290" s="7" t="s">
        <v>6786</v>
      </c>
      <c r="F290" s="7" t="s">
        <v>6787</v>
      </c>
      <c r="G290" s="7" t="s">
        <v>6788</v>
      </c>
      <c r="H290" s="7" t="s">
        <v>6789</v>
      </c>
      <c r="I290" s="7" t="s">
        <v>5827</v>
      </c>
      <c r="J290" s="7" t="s">
        <v>5827</v>
      </c>
      <c r="K290" s="7" t="s">
        <v>6790</v>
      </c>
    </row>
    <row r="291" customFormat="false" ht="23.85" hidden="false" customHeight="false" outlineLevel="0" collapsed="false">
      <c r="A291" s="7" t="n">
        <v>54</v>
      </c>
      <c r="B291" s="7" t="s">
        <v>719</v>
      </c>
      <c r="C291" s="7" t="s">
        <v>730</v>
      </c>
      <c r="D291" s="7" t="s">
        <v>5974</v>
      </c>
      <c r="E291" s="7" t="s">
        <v>6791</v>
      </c>
      <c r="F291" s="7" t="s">
        <v>6792</v>
      </c>
      <c r="G291" s="7"/>
      <c r="H291" s="7" t="s">
        <v>6793</v>
      </c>
      <c r="I291" s="7" t="s">
        <v>5812</v>
      </c>
      <c r="J291" s="7" t="s">
        <v>5812</v>
      </c>
      <c r="K291" s="7"/>
    </row>
    <row r="292" customFormat="false" ht="91" hidden="false" customHeight="false" outlineLevel="0" collapsed="false">
      <c r="A292" s="7" t="n">
        <v>53</v>
      </c>
      <c r="B292" s="7" t="s">
        <v>708</v>
      </c>
      <c r="C292" s="7" t="s">
        <v>716</v>
      </c>
      <c r="D292" s="7" t="s">
        <v>68</v>
      </c>
      <c r="E292" s="7" t="s">
        <v>6794</v>
      </c>
      <c r="F292" s="7"/>
      <c r="G292" s="7"/>
      <c r="H292" s="7"/>
      <c r="I292" s="7"/>
      <c r="J292" s="7"/>
      <c r="K292" s="7"/>
    </row>
    <row r="293" customFormat="false" ht="46.25" hidden="false" customHeight="false" outlineLevel="0" collapsed="false">
      <c r="A293" s="7" t="n">
        <v>53</v>
      </c>
      <c r="B293" s="7" t="s">
        <v>708</v>
      </c>
      <c r="C293" s="7" t="s">
        <v>716</v>
      </c>
      <c r="D293" s="7" t="s">
        <v>6795</v>
      </c>
      <c r="E293" s="7" t="s">
        <v>6796</v>
      </c>
      <c r="F293" s="7" t="s">
        <v>6797</v>
      </c>
      <c r="G293" s="7"/>
      <c r="H293" s="7" t="s">
        <v>6798</v>
      </c>
      <c r="I293" s="7" t="s">
        <v>5857</v>
      </c>
      <c r="J293" s="7" t="s">
        <v>5857</v>
      </c>
      <c r="K293" s="7" t="s">
        <v>6799</v>
      </c>
    </row>
    <row r="294" customFormat="false" ht="46.25" hidden="false" customHeight="false" outlineLevel="0" collapsed="false">
      <c r="A294" s="7" t="n">
        <v>53</v>
      </c>
      <c r="B294" s="7" t="s">
        <v>708</v>
      </c>
      <c r="C294" s="7" t="s">
        <v>716</v>
      </c>
      <c r="D294" s="7" t="s">
        <v>6800</v>
      </c>
      <c r="E294" s="7" t="s">
        <v>6801</v>
      </c>
      <c r="F294" s="7" t="s">
        <v>6802</v>
      </c>
      <c r="G294" s="7"/>
      <c r="H294" s="7" t="s">
        <v>6803</v>
      </c>
      <c r="I294" s="7" t="s">
        <v>5857</v>
      </c>
      <c r="J294" s="7" t="s">
        <v>5857</v>
      </c>
      <c r="K294" s="7" t="s">
        <v>6804</v>
      </c>
    </row>
    <row r="295" customFormat="false" ht="46.25" hidden="false" customHeight="false" outlineLevel="0" collapsed="false">
      <c r="A295" s="7" t="n">
        <v>53</v>
      </c>
      <c r="B295" s="7" t="s">
        <v>708</v>
      </c>
      <c r="C295" s="7" t="s">
        <v>716</v>
      </c>
      <c r="D295" s="7" t="s">
        <v>6805</v>
      </c>
      <c r="E295" s="7" t="s">
        <v>6806</v>
      </c>
      <c r="F295" s="7" t="s">
        <v>6807</v>
      </c>
      <c r="G295" s="7"/>
      <c r="H295" s="7" t="s">
        <v>6808</v>
      </c>
      <c r="I295" s="7" t="s">
        <v>5805</v>
      </c>
      <c r="J295" s="7" t="s">
        <v>5805</v>
      </c>
      <c r="K295" s="7" t="s">
        <v>6809</v>
      </c>
    </row>
    <row r="296" customFormat="false" ht="57.45" hidden="false" customHeight="false" outlineLevel="0" collapsed="false">
      <c r="A296" s="7" t="n">
        <v>62</v>
      </c>
      <c r="B296" s="7" t="s">
        <v>808</v>
      </c>
      <c r="C296" s="7" t="s">
        <v>817</v>
      </c>
      <c r="D296" s="7" t="s">
        <v>68</v>
      </c>
      <c r="E296" s="7" t="s">
        <v>6810</v>
      </c>
      <c r="F296" s="7"/>
      <c r="G296" s="7"/>
      <c r="H296" s="7"/>
      <c r="I296" s="7"/>
      <c r="J296" s="7"/>
      <c r="K296" s="7"/>
    </row>
    <row r="297" customFormat="false" ht="46.25" hidden="false" customHeight="false" outlineLevel="0" collapsed="false">
      <c r="A297" s="7" t="n">
        <v>62</v>
      </c>
      <c r="B297" s="7" t="s">
        <v>808</v>
      </c>
      <c r="C297" s="7" t="s">
        <v>817</v>
      </c>
      <c r="D297" s="7" t="s">
        <v>5974</v>
      </c>
      <c r="E297" s="7" t="s">
        <v>6811</v>
      </c>
      <c r="F297" s="7" t="s">
        <v>6812</v>
      </c>
      <c r="G297" s="7" t="s">
        <v>6813</v>
      </c>
      <c r="H297" s="7" t="s">
        <v>6814</v>
      </c>
      <c r="I297" s="7" t="s">
        <v>5857</v>
      </c>
      <c r="J297" s="7" t="s">
        <v>5857</v>
      </c>
      <c r="K297" s="7" t="s">
        <v>6815</v>
      </c>
    </row>
    <row r="298" customFormat="false" ht="35.05" hidden="false" customHeight="false" outlineLevel="0" collapsed="false">
      <c r="A298" s="7" t="n">
        <v>62</v>
      </c>
      <c r="B298" s="7" t="s">
        <v>808</v>
      </c>
      <c r="C298" s="7" t="s">
        <v>817</v>
      </c>
      <c r="D298" s="7" t="s">
        <v>5974</v>
      </c>
      <c r="E298" s="7" t="s">
        <v>6816</v>
      </c>
      <c r="F298" s="7" t="s">
        <v>6817</v>
      </c>
      <c r="G298" s="7"/>
      <c r="H298" s="7" t="s">
        <v>6818</v>
      </c>
      <c r="I298" s="7" t="s">
        <v>5857</v>
      </c>
      <c r="J298" s="7" t="s">
        <v>5857</v>
      </c>
      <c r="K298" s="7" t="s">
        <v>6716</v>
      </c>
    </row>
    <row r="299" customFormat="false" ht="35.05" hidden="false" customHeight="false" outlineLevel="0" collapsed="false">
      <c r="A299" s="7" t="n">
        <v>62</v>
      </c>
      <c r="B299" s="7" t="s">
        <v>808</v>
      </c>
      <c r="C299" s="7" t="s">
        <v>817</v>
      </c>
      <c r="D299" s="7" t="s">
        <v>6819</v>
      </c>
      <c r="E299" s="7" t="s">
        <v>6820</v>
      </c>
      <c r="F299" s="7" t="s">
        <v>6821</v>
      </c>
      <c r="G299" s="7"/>
      <c r="H299" s="7" t="s">
        <v>6822</v>
      </c>
      <c r="I299" s="7" t="s">
        <v>5827</v>
      </c>
      <c r="J299" s="7" t="s">
        <v>5827</v>
      </c>
      <c r="K299" s="7" t="s">
        <v>6716</v>
      </c>
    </row>
    <row r="300" customFormat="false" ht="23.85" hidden="false" customHeight="false" outlineLevel="0" collapsed="false">
      <c r="A300" s="7" t="n">
        <v>62</v>
      </c>
      <c r="B300" s="7" t="s">
        <v>808</v>
      </c>
      <c r="C300" s="7" t="s">
        <v>817</v>
      </c>
      <c r="D300" s="7" t="s">
        <v>5974</v>
      </c>
      <c r="E300" s="7" t="s">
        <v>6823</v>
      </c>
      <c r="F300" s="7" t="s">
        <v>6824</v>
      </c>
      <c r="G300" s="7"/>
      <c r="H300" s="7" t="s">
        <v>6825</v>
      </c>
      <c r="I300" s="7" t="s">
        <v>5812</v>
      </c>
      <c r="J300" s="7" t="s">
        <v>5812</v>
      </c>
      <c r="K300" s="7"/>
    </row>
    <row r="301" customFormat="false" ht="68.65" hidden="false" customHeight="false" outlineLevel="0" collapsed="false">
      <c r="A301" s="7" t="n">
        <v>70</v>
      </c>
      <c r="B301" s="7" t="s">
        <v>901</v>
      </c>
      <c r="C301" s="7" t="s">
        <v>908</v>
      </c>
      <c r="D301" s="7" t="s">
        <v>68</v>
      </c>
      <c r="E301" s="7" t="s">
        <v>6826</v>
      </c>
      <c r="F301" s="7"/>
      <c r="G301" s="7"/>
      <c r="H301" s="7"/>
      <c r="I301" s="7"/>
      <c r="J301" s="7"/>
      <c r="K301" s="7"/>
    </row>
    <row r="302" customFormat="false" ht="35.05" hidden="false" customHeight="false" outlineLevel="0" collapsed="false">
      <c r="A302" s="7" t="n">
        <v>70</v>
      </c>
      <c r="B302" s="7" t="s">
        <v>901</v>
      </c>
      <c r="C302" s="7" t="s">
        <v>908</v>
      </c>
      <c r="D302" s="7" t="s">
        <v>6827</v>
      </c>
      <c r="E302" s="7" t="s">
        <v>71</v>
      </c>
      <c r="F302" s="7" t="s">
        <v>6828</v>
      </c>
      <c r="G302" s="7" t="s">
        <v>6829</v>
      </c>
      <c r="H302" s="7" t="s">
        <v>6830</v>
      </c>
      <c r="I302" s="7" t="s">
        <v>5827</v>
      </c>
      <c r="J302" s="7" t="s">
        <v>5827</v>
      </c>
      <c r="K302" s="7" t="s">
        <v>6831</v>
      </c>
    </row>
    <row r="303" customFormat="false" ht="23.85" hidden="false" customHeight="false" outlineLevel="0" collapsed="false">
      <c r="A303" s="7" t="n">
        <v>70</v>
      </c>
      <c r="B303" s="7" t="s">
        <v>901</v>
      </c>
      <c r="C303" s="7" t="s">
        <v>908</v>
      </c>
      <c r="D303" s="7" t="s">
        <v>6827</v>
      </c>
      <c r="E303" s="7" t="s">
        <v>6832</v>
      </c>
      <c r="F303" s="7" t="s">
        <v>6833</v>
      </c>
      <c r="G303" s="7" t="s">
        <v>6834</v>
      </c>
      <c r="H303" s="7" t="s">
        <v>6835</v>
      </c>
      <c r="I303" s="7" t="s">
        <v>5827</v>
      </c>
      <c r="J303" s="7" t="s">
        <v>5827</v>
      </c>
      <c r="K303" s="7" t="s">
        <v>6831</v>
      </c>
    </row>
    <row r="304" customFormat="false" ht="23.85" hidden="false" customHeight="false" outlineLevel="0" collapsed="false">
      <c r="A304" s="7" t="n">
        <v>70</v>
      </c>
      <c r="B304" s="7" t="s">
        <v>901</v>
      </c>
      <c r="C304" s="7" t="s">
        <v>908</v>
      </c>
      <c r="D304" s="7" t="s">
        <v>6827</v>
      </c>
      <c r="E304" s="7" t="s">
        <v>6836</v>
      </c>
      <c r="F304" s="7" t="s">
        <v>6837</v>
      </c>
      <c r="G304" s="7" t="s">
        <v>6838</v>
      </c>
      <c r="H304" s="7" t="s">
        <v>6839</v>
      </c>
      <c r="I304" s="7" t="s">
        <v>5827</v>
      </c>
      <c r="J304" s="7" t="s">
        <v>5827</v>
      </c>
      <c r="K304" s="7" t="s">
        <v>6831</v>
      </c>
    </row>
    <row r="305" customFormat="false" ht="35.05" hidden="false" customHeight="false" outlineLevel="0" collapsed="false">
      <c r="A305" s="7" t="n">
        <v>70</v>
      </c>
      <c r="B305" s="7" t="s">
        <v>901</v>
      </c>
      <c r="C305" s="7" t="s">
        <v>908</v>
      </c>
      <c r="D305" s="7" t="s">
        <v>6827</v>
      </c>
      <c r="E305" s="7" t="s">
        <v>6840</v>
      </c>
      <c r="F305" s="7" t="s">
        <v>6841</v>
      </c>
      <c r="G305" s="7" t="s">
        <v>6842</v>
      </c>
      <c r="H305" s="7" t="s">
        <v>6843</v>
      </c>
      <c r="I305" s="7" t="s">
        <v>5827</v>
      </c>
      <c r="J305" s="7" t="s">
        <v>5827</v>
      </c>
      <c r="K305" s="7" t="s">
        <v>6844</v>
      </c>
    </row>
    <row r="306" customFormat="false" ht="23.85" hidden="false" customHeight="false" outlineLevel="0" collapsed="false">
      <c r="A306" s="7" t="n">
        <v>70</v>
      </c>
      <c r="B306" s="7" t="s">
        <v>901</v>
      </c>
      <c r="C306" s="7" t="s">
        <v>908</v>
      </c>
      <c r="D306" s="7" t="s">
        <v>6827</v>
      </c>
      <c r="E306" s="7" t="s">
        <v>6845</v>
      </c>
      <c r="F306" s="7" t="s">
        <v>6846</v>
      </c>
      <c r="G306" s="7" t="s">
        <v>6829</v>
      </c>
      <c r="H306" s="7" t="s">
        <v>6847</v>
      </c>
      <c r="I306" s="7" t="s">
        <v>5827</v>
      </c>
      <c r="J306" s="7" t="s">
        <v>5827</v>
      </c>
      <c r="K306" s="7" t="s">
        <v>6848</v>
      </c>
    </row>
    <row r="307" customFormat="false" ht="35.05" hidden="false" customHeight="false" outlineLevel="0" collapsed="false">
      <c r="A307" s="7" t="n">
        <v>70</v>
      </c>
      <c r="B307" s="7" t="s">
        <v>901</v>
      </c>
      <c r="C307" s="7" t="s">
        <v>908</v>
      </c>
      <c r="D307" s="7" t="s">
        <v>6849</v>
      </c>
      <c r="E307" s="7" t="s">
        <v>6850</v>
      </c>
      <c r="F307" s="7" t="s">
        <v>6851</v>
      </c>
      <c r="G307" s="7"/>
      <c r="H307" s="7" t="s">
        <v>6852</v>
      </c>
      <c r="I307" s="7" t="s">
        <v>5827</v>
      </c>
      <c r="J307" s="7" t="s">
        <v>5827</v>
      </c>
      <c r="K307" s="7" t="s">
        <v>6848</v>
      </c>
    </row>
    <row r="308" customFormat="false" ht="68.65" hidden="false" customHeight="false" outlineLevel="0" collapsed="false">
      <c r="A308" s="7" t="n">
        <v>61</v>
      </c>
      <c r="B308" s="7" t="s">
        <v>799</v>
      </c>
      <c r="C308" s="7" t="s">
        <v>805</v>
      </c>
      <c r="D308" s="7" t="s">
        <v>68</v>
      </c>
      <c r="E308" s="7" t="s">
        <v>6853</v>
      </c>
      <c r="F308" s="7"/>
      <c r="G308" s="7"/>
      <c r="H308" s="7"/>
      <c r="I308" s="7"/>
      <c r="J308" s="7"/>
      <c r="K308" s="7"/>
    </row>
    <row r="309" customFormat="false" ht="57.45" hidden="false" customHeight="false" outlineLevel="0" collapsed="false">
      <c r="A309" s="7" t="n">
        <v>61</v>
      </c>
      <c r="B309" s="7" t="s">
        <v>799</v>
      </c>
      <c r="C309" s="7" t="s">
        <v>805</v>
      </c>
      <c r="D309" s="7" t="s">
        <v>6854</v>
      </c>
      <c r="E309" s="7" t="s">
        <v>6855</v>
      </c>
      <c r="F309" s="7" t="s">
        <v>6856</v>
      </c>
      <c r="G309" s="7" t="s">
        <v>6857</v>
      </c>
      <c r="H309" s="7" t="s">
        <v>6858</v>
      </c>
      <c r="I309" s="7" t="s">
        <v>5857</v>
      </c>
      <c r="J309" s="7" t="s">
        <v>5857</v>
      </c>
      <c r="K309" s="7" t="s">
        <v>6859</v>
      </c>
    </row>
    <row r="310" customFormat="false" ht="46.25" hidden="false" customHeight="false" outlineLevel="0" collapsed="false">
      <c r="A310" s="7" t="n">
        <v>61</v>
      </c>
      <c r="B310" s="7" t="s">
        <v>799</v>
      </c>
      <c r="C310" s="7" t="s">
        <v>805</v>
      </c>
      <c r="D310" s="7" t="s">
        <v>5974</v>
      </c>
      <c r="E310" s="7" t="s">
        <v>6860</v>
      </c>
      <c r="F310" s="7" t="s">
        <v>6861</v>
      </c>
      <c r="G310" s="7" t="s">
        <v>6862</v>
      </c>
      <c r="H310" s="7" t="s">
        <v>6863</v>
      </c>
      <c r="I310" s="7" t="s">
        <v>5857</v>
      </c>
      <c r="J310" s="7" t="s">
        <v>5857</v>
      </c>
      <c r="K310" s="7" t="s">
        <v>6864</v>
      </c>
    </row>
    <row r="311" customFormat="false" ht="35.05" hidden="false" customHeight="false" outlineLevel="0" collapsed="false">
      <c r="A311" s="7" t="n">
        <v>61</v>
      </c>
      <c r="B311" s="7" t="s">
        <v>799</v>
      </c>
      <c r="C311" s="7" t="s">
        <v>805</v>
      </c>
      <c r="D311" s="7" t="s">
        <v>5974</v>
      </c>
      <c r="E311" s="7" t="s">
        <v>6865</v>
      </c>
      <c r="F311" s="7" t="s">
        <v>6866</v>
      </c>
      <c r="G311" s="7" t="s">
        <v>6867</v>
      </c>
      <c r="H311" s="7" t="s">
        <v>6868</v>
      </c>
      <c r="I311" s="7" t="s">
        <v>5812</v>
      </c>
      <c r="J311" s="7" t="s">
        <v>5812</v>
      </c>
      <c r="K311" s="7" t="s">
        <v>6869</v>
      </c>
    </row>
    <row r="312" customFormat="false" ht="23.85" hidden="false" customHeight="false" outlineLevel="0" collapsed="false">
      <c r="A312" s="7" t="n">
        <v>61</v>
      </c>
      <c r="B312" s="7" t="s">
        <v>799</v>
      </c>
      <c r="C312" s="7" t="s">
        <v>805</v>
      </c>
      <c r="D312" s="7" t="s">
        <v>5974</v>
      </c>
      <c r="E312" s="7" t="s">
        <v>6870</v>
      </c>
      <c r="F312" s="7" t="s">
        <v>6871</v>
      </c>
      <c r="G312" s="7" t="s">
        <v>6872</v>
      </c>
      <c r="H312" s="7" t="s">
        <v>6873</v>
      </c>
      <c r="I312" s="7" t="s">
        <v>5812</v>
      </c>
      <c r="J312" s="7" t="s">
        <v>5812</v>
      </c>
      <c r="K312" s="7" t="s">
        <v>6874</v>
      </c>
    </row>
    <row r="313" customFormat="false" ht="57.45" hidden="false" customHeight="false" outlineLevel="0" collapsed="false">
      <c r="A313" s="7" t="n">
        <v>61</v>
      </c>
      <c r="B313" s="7" t="s">
        <v>799</v>
      </c>
      <c r="C313" s="7" t="s">
        <v>805</v>
      </c>
      <c r="D313" s="7" t="s">
        <v>6854</v>
      </c>
      <c r="E313" s="7" t="s">
        <v>6875</v>
      </c>
      <c r="F313" s="7" t="s">
        <v>6876</v>
      </c>
      <c r="G313" s="7" t="s">
        <v>6877</v>
      </c>
      <c r="H313" s="7" t="s">
        <v>6878</v>
      </c>
      <c r="I313" s="7" t="s">
        <v>5818</v>
      </c>
      <c r="J313" s="7" t="s">
        <v>5818</v>
      </c>
      <c r="K313" s="7" t="s">
        <v>6879</v>
      </c>
    </row>
    <row r="314" customFormat="false" ht="91" hidden="false" customHeight="false" outlineLevel="0" collapsed="false">
      <c r="A314" s="7" t="n">
        <v>63</v>
      </c>
      <c r="B314" s="7" t="s">
        <v>820</v>
      </c>
      <c r="C314" s="7" t="s">
        <v>829</v>
      </c>
      <c r="D314" s="7" t="s">
        <v>68</v>
      </c>
      <c r="E314" s="7" t="s">
        <v>6880</v>
      </c>
      <c r="F314" s="7"/>
      <c r="G314" s="7"/>
      <c r="H314" s="7"/>
      <c r="I314" s="7"/>
      <c r="J314" s="7"/>
      <c r="K314" s="7"/>
    </row>
    <row r="315" customFormat="false" ht="46.25" hidden="false" customHeight="false" outlineLevel="0" collapsed="false">
      <c r="A315" s="7" t="n">
        <v>63</v>
      </c>
      <c r="B315" s="7" t="s">
        <v>820</v>
      </c>
      <c r="C315" s="7" t="s">
        <v>829</v>
      </c>
      <c r="D315" s="7" t="s">
        <v>5974</v>
      </c>
      <c r="E315" s="7" t="s">
        <v>6881</v>
      </c>
      <c r="F315" s="7" t="s">
        <v>6882</v>
      </c>
      <c r="G315" s="7" t="s">
        <v>6883</v>
      </c>
      <c r="H315" s="7" t="s">
        <v>6884</v>
      </c>
      <c r="I315" s="7" t="s">
        <v>5827</v>
      </c>
      <c r="J315" s="7" t="s">
        <v>5827</v>
      </c>
      <c r="K315" s="7" t="s">
        <v>6885</v>
      </c>
    </row>
    <row r="316" customFormat="false" ht="35.05" hidden="false" customHeight="false" outlineLevel="0" collapsed="false">
      <c r="A316" s="7" t="n">
        <v>63</v>
      </c>
      <c r="B316" s="7" t="s">
        <v>820</v>
      </c>
      <c r="C316" s="7" t="s">
        <v>829</v>
      </c>
      <c r="D316" s="7" t="s">
        <v>6886</v>
      </c>
      <c r="E316" s="7" t="s">
        <v>6887</v>
      </c>
      <c r="F316" s="7" t="s">
        <v>6888</v>
      </c>
      <c r="G316" s="7" t="s">
        <v>6889</v>
      </c>
      <c r="H316" s="7" t="s">
        <v>6890</v>
      </c>
      <c r="I316" s="7" t="s">
        <v>5827</v>
      </c>
      <c r="J316" s="7" t="s">
        <v>5827</v>
      </c>
      <c r="K316" s="7" t="s">
        <v>6891</v>
      </c>
    </row>
    <row r="317" customFormat="false" ht="35.05" hidden="false" customHeight="false" outlineLevel="0" collapsed="false">
      <c r="A317" s="7" t="n">
        <v>63</v>
      </c>
      <c r="B317" s="7" t="s">
        <v>820</v>
      </c>
      <c r="C317" s="7" t="s">
        <v>829</v>
      </c>
      <c r="D317" s="7" t="s">
        <v>5974</v>
      </c>
      <c r="E317" s="7" t="s">
        <v>6892</v>
      </c>
      <c r="F317" s="7" t="s">
        <v>6893</v>
      </c>
      <c r="G317" s="7"/>
      <c r="H317" s="7" t="s">
        <v>6894</v>
      </c>
      <c r="I317" s="7" t="s">
        <v>5827</v>
      </c>
      <c r="J317" s="7" t="s">
        <v>5827</v>
      </c>
      <c r="K317" s="7" t="s">
        <v>6895</v>
      </c>
    </row>
    <row r="318" customFormat="false" ht="35.05" hidden="false" customHeight="false" outlineLevel="0" collapsed="false">
      <c r="A318" s="7" t="n">
        <v>63</v>
      </c>
      <c r="B318" s="7" t="s">
        <v>820</v>
      </c>
      <c r="C318" s="7" t="s">
        <v>829</v>
      </c>
      <c r="D318" s="7" t="s">
        <v>5974</v>
      </c>
      <c r="E318" s="7" t="s">
        <v>6896</v>
      </c>
      <c r="F318" s="7" t="s">
        <v>6897</v>
      </c>
      <c r="G318" s="7"/>
      <c r="H318" s="7" t="s">
        <v>6898</v>
      </c>
      <c r="I318" s="7" t="s">
        <v>5827</v>
      </c>
      <c r="J318" s="7" t="s">
        <v>5827</v>
      </c>
      <c r="K318" s="7" t="s">
        <v>6899</v>
      </c>
    </row>
    <row r="319" customFormat="false" ht="79.85" hidden="false" customHeight="false" outlineLevel="0" collapsed="false">
      <c r="A319" s="7" t="n">
        <v>69</v>
      </c>
      <c r="B319" s="7" t="s">
        <v>889</v>
      </c>
      <c r="C319" s="7" t="s">
        <v>6900</v>
      </c>
      <c r="D319" s="7" t="s">
        <v>68</v>
      </c>
      <c r="E319" s="7" t="s">
        <v>6901</v>
      </c>
      <c r="F319" s="7"/>
      <c r="G319" s="7"/>
      <c r="H319" s="7"/>
      <c r="I319" s="7"/>
      <c r="J319" s="7"/>
      <c r="K319" s="7"/>
    </row>
    <row r="320" customFormat="false" ht="35.05" hidden="false" customHeight="false" outlineLevel="0" collapsed="false">
      <c r="A320" s="7" t="n">
        <v>69</v>
      </c>
      <c r="B320" s="7" t="s">
        <v>889</v>
      </c>
      <c r="C320" s="7" t="s">
        <v>6900</v>
      </c>
      <c r="D320" s="7" t="s">
        <v>6902</v>
      </c>
      <c r="E320" s="7" t="s">
        <v>6903</v>
      </c>
      <c r="F320" s="7" t="s">
        <v>6904</v>
      </c>
      <c r="G320" s="7"/>
      <c r="H320" s="7" t="s">
        <v>6905</v>
      </c>
      <c r="I320" s="7" t="s">
        <v>5812</v>
      </c>
      <c r="J320" s="7" t="s">
        <v>5812</v>
      </c>
      <c r="K320" s="7" t="s">
        <v>6906</v>
      </c>
    </row>
    <row r="321" customFormat="false" ht="46.25" hidden="false" customHeight="false" outlineLevel="0" collapsed="false">
      <c r="A321" s="7" t="n">
        <v>69</v>
      </c>
      <c r="B321" s="7" t="s">
        <v>889</v>
      </c>
      <c r="C321" s="7" t="s">
        <v>6900</v>
      </c>
      <c r="D321" s="7" t="s">
        <v>6902</v>
      </c>
      <c r="E321" s="7" t="s">
        <v>6907</v>
      </c>
      <c r="F321" s="7" t="s">
        <v>6908</v>
      </c>
      <c r="G321" s="7"/>
      <c r="H321" s="7" t="s">
        <v>6909</v>
      </c>
      <c r="I321" s="7" t="s">
        <v>6910</v>
      </c>
      <c r="J321" s="7" t="s">
        <v>5812</v>
      </c>
      <c r="K321" s="7" t="s">
        <v>6911</v>
      </c>
    </row>
    <row r="322" customFormat="false" ht="35.05" hidden="false" customHeight="false" outlineLevel="0" collapsed="false">
      <c r="A322" s="7" t="n">
        <v>69</v>
      </c>
      <c r="B322" s="7" t="s">
        <v>889</v>
      </c>
      <c r="C322" s="7" t="s">
        <v>6900</v>
      </c>
      <c r="D322" s="7" t="s">
        <v>6902</v>
      </c>
      <c r="E322" s="7" t="s">
        <v>6912</v>
      </c>
      <c r="F322" s="7" t="s">
        <v>6913</v>
      </c>
      <c r="G322" s="7"/>
      <c r="H322" s="7" t="s">
        <v>6914</v>
      </c>
      <c r="I322" s="7" t="s">
        <v>5812</v>
      </c>
      <c r="J322" s="7" t="s">
        <v>5812</v>
      </c>
      <c r="K322" s="7"/>
    </row>
    <row r="323" customFormat="false" ht="57.45" hidden="false" customHeight="false" outlineLevel="0" collapsed="false">
      <c r="A323" s="7" t="n">
        <v>55</v>
      </c>
      <c r="B323" s="7" t="s">
        <v>733</v>
      </c>
      <c r="C323" s="7" t="s">
        <v>741</v>
      </c>
      <c r="D323" s="7" t="s">
        <v>68</v>
      </c>
      <c r="E323" s="7" t="s">
        <v>6915</v>
      </c>
      <c r="F323" s="7"/>
      <c r="G323" s="7"/>
      <c r="H323" s="7"/>
      <c r="I323" s="7"/>
      <c r="J323" s="7"/>
      <c r="K323" s="7"/>
    </row>
    <row r="324" customFormat="false" ht="23.85" hidden="false" customHeight="false" outlineLevel="0" collapsed="false">
      <c r="A324" s="7" t="n">
        <v>55</v>
      </c>
      <c r="B324" s="7" t="s">
        <v>733</v>
      </c>
      <c r="C324" s="7" t="s">
        <v>741</v>
      </c>
      <c r="D324" s="7" t="s">
        <v>5974</v>
      </c>
      <c r="E324" s="7" t="s">
        <v>6916</v>
      </c>
      <c r="F324" s="7" t="s">
        <v>6917</v>
      </c>
      <c r="G324" s="7"/>
      <c r="H324" s="7" t="s">
        <v>6918</v>
      </c>
      <c r="I324" s="7" t="s">
        <v>5827</v>
      </c>
      <c r="J324" s="7" t="s">
        <v>5827</v>
      </c>
      <c r="K324" s="7" t="s">
        <v>6919</v>
      </c>
    </row>
    <row r="325" customFormat="false" ht="46.25" hidden="false" customHeight="false" outlineLevel="0" collapsed="false">
      <c r="A325" s="7" t="n">
        <v>55</v>
      </c>
      <c r="B325" s="7" t="s">
        <v>733</v>
      </c>
      <c r="C325" s="7" t="s">
        <v>741</v>
      </c>
      <c r="D325" s="7" t="s">
        <v>5974</v>
      </c>
      <c r="E325" s="7" t="s">
        <v>6920</v>
      </c>
      <c r="F325" s="7" t="s">
        <v>6921</v>
      </c>
      <c r="G325" s="7"/>
      <c r="H325" s="7" t="s">
        <v>6922</v>
      </c>
      <c r="I325" s="7" t="s">
        <v>5812</v>
      </c>
      <c r="J325" s="7" t="s">
        <v>5812</v>
      </c>
      <c r="K325" s="7" t="s">
        <v>6923</v>
      </c>
    </row>
    <row r="326" customFormat="false" ht="23.85" hidden="false" customHeight="false" outlineLevel="0" collapsed="false">
      <c r="A326" s="7" t="n">
        <v>55</v>
      </c>
      <c r="B326" s="7" t="s">
        <v>733</v>
      </c>
      <c r="C326" s="7" t="s">
        <v>741</v>
      </c>
      <c r="D326" s="7" t="s">
        <v>5974</v>
      </c>
      <c r="E326" s="7" t="s">
        <v>6569</v>
      </c>
      <c r="F326" s="7" t="s">
        <v>6924</v>
      </c>
      <c r="G326" s="7"/>
      <c r="H326" s="7" t="s">
        <v>6442</v>
      </c>
      <c r="I326" s="7" t="s">
        <v>5812</v>
      </c>
      <c r="J326" s="7" t="s">
        <v>5812</v>
      </c>
      <c r="K326" s="7" t="s">
        <v>6925</v>
      </c>
    </row>
    <row r="327" customFormat="false" ht="57.45" hidden="false" customHeight="false" outlineLevel="0" collapsed="false">
      <c r="A327" s="7" t="n">
        <v>58</v>
      </c>
      <c r="B327" s="7" t="s">
        <v>766</v>
      </c>
      <c r="C327" s="7" t="s">
        <v>774</v>
      </c>
      <c r="D327" s="7" t="s">
        <v>68</v>
      </c>
      <c r="E327" s="7" t="s">
        <v>6926</v>
      </c>
      <c r="F327" s="7"/>
      <c r="G327" s="7"/>
      <c r="H327" s="7"/>
      <c r="I327" s="7"/>
      <c r="J327" s="7"/>
      <c r="K327" s="7"/>
    </row>
    <row r="328" customFormat="false" ht="35.05" hidden="false" customHeight="false" outlineLevel="0" collapsed="false">
      <c r="A328" s="7" t="n">
        <v>58</v>
      </c>
      <c r="B328" s="7" t="s">
        <v>766</v>
      </c>
      <c r="C328" s="7" t="s">
        <v>774</v>
      </c>
      <c r="D328" s="7" t="s">
        <v>5974</v>
      </c>
      <c r="E328" s="7" t="s">
        <v>6927</v>
      </c>
      <c r="F328" s="7" t="s">
        <v>6928</v>
      </c>
      <c r="G328" s="7" t="s">
        <v>6929</v>
      </c>
      <c r="H328" s="7" t="s">
        <v>6930</v>
      </c>
      <c r="I328" s="7" t="s">
        <v>5812</v>
      </c>
      <c r="J328" s="7" t="s">
        <v>5812</v>
      </c>
      <c r="K328" s="7" t="s">
        <v>6931</v>
      </c>
    </row>
    <row r="329" customFormat="false" ht="46.25" hidden="false" customHeight="false" outlineLevel="0" collapsed="false">
      <c r="A329" s="7" t="n">
        <v>58</v>
      </c>
      <c r="B329" s="7" t="s">
        <v>766</v>
      </c>
      <c r="C329" s="7" t="s">
        <v>774</v>
      </c>
      <c r="D329" s="7" t="s">
        <v>6619</v>
      </c>
      <c r="E329" s="7" t="s">
        <v>6932</v>
      </c>
      <c r="F329" s="7" t="s">
        <v>6933</v>
      </c>
      <c r="G329" s="7"/>
      <c r="H329" s="7" t="s">
        <v>6934</v>
      </c>
      <c r="I329" s="7" t="s">
        <v>5818</v>
      </c>
      <c r="J329" s="7" t="s">
        <v>5818</v>
      </c>
      <c r="K329" s="7" t="s">
        <v>6935</v>
      </c>
    </row>
    <row r="330" customFormat="false" ht="23.85" hidden="false" customHeight="false" outlineLevel="0" collapsed="false">
      <c r="A330" s="7" t="n">
        <v>58</v>
      </c>
      <c r="B330" s="7" t="s">
        <v>766</v>
      </c>
      <c r="C330" s="7" t="s">
        <v>774</v>
      </c>
      <c r="D330" s="7" t="s">
        <v>6619</v>
      </c>
      <c r="E330" s="7" t="s">
        <v>6936</v>
      </c>
      <c r="F330" s="7" t="s">
        <v>6937</v>
      </c>
      <c r="G330" s="7"/>
      <c r="H330" s="7" t="s">
        <v>6938</v>
      </c>
      <c r="I330" s="7" t="s">
        <v>5818</v>
      </c>
      <c r="J330" s="7" t="s">
        <v>5818</v>
      </c>
      <c r="K330" s="7" t="s">
        <v>6939</v>
      </c>
    </row>
    <row r="331" customFormat="false" ht="23.85" hidden="false" customHeight="false" outlineLevel="0" collapsed="false">
      <c r="A331" s="7" t="n">
        <v>58</v>
      </c>
      <c r="B331" s="7" t="s">
        <v>766</v>
      </c>
      <c r="C331" s="7" t="s">
        <v>774</v>
      </c>
      <c r="D331" s="7" t="s">
        <v>6619</v>
      </c>
      <c r="E331" s="7" t="s">
        <v>6095</v>
      </c>
      <c r="F331" s="7" t="s">
        <v>6940</v>
      </c>
      <c r="G331" s="7"/>
      <c r="H331" s="7" t="s">
        <v>6941</v>
      </c>
      <c r="I331" s="7" t="s">
        <v>5818</v>
      </c>
      <c r="J331" s="7" t="s">
        <v>5818</v>
      </c>
      <c r="K331" s="7" t="s">
        <v>6942</v>
      </c>
    </row>
    <row r="332" customFormat="false" ht="23.85" hidden="false" customHeight="false" outlineLevel="0" collapsed="false">
      <c r="A332" s="7" t="n">
        <v>58</v>
      </c>
      <c r="B332" s="7" t="s">
        <v>766</v>
      </c>
      <c r="C332" s="7" t="s">
        <v>774</v>
      </c>
      <c r="D332" s="7" t="s">
        <v>5974</v>
      </c>
      <c r="E332" s="7" t="s">
        <v>6943</v>
      </c>
      <c r="F332" s="7" t="s">
        <v>6944</v>
      </c>
      <c r="G332" s="7" t="s">
        <v>6945</v>
      </c>
      <c r="H332" s="7" t="s">
        <v>6512</v>
      </c>
      <c r="I332" s="7" t="s">
        <v>5812</v>
      </c>
      <c r="J332" s="7" t="s">
        <v>5812</v>
      </c>
      <c r="K332" s="7" t="s">
        <v>6946</v>
      </c>
    </row>
    <row r="333" customFormat="false" ht="35.05" hidden="false" customHeight="false" outlineLevel="0" collapsed="false">
      <c r="A333" s="7" t="n">
        <v>59</v>
      </c>
      <c r="B333" s="7" t="s">
        <v>777</v>
      </c>
      <c r="C333" s="7" t="s">
        <v>786</v>
      </c>
      <c r="D333" s="7" t="s">
        <v>6152</v>
      </c>
      <c r="E333" s="7" t="s">
        <v>6947</v>
      </c>
      <c r="F333" s="7"/>
      <c r="G333" s="7"/>
      <c r="H333" s="7"/>
      <c r="I333" s="7"/>
      <c r="J333" s="7"/>
      <c r="K333" s="7"/>
    </row>
    <row r="334" customFormat="false" ht="15" hidden="false" customHeight="false" outlineLevel="0" collapsed="false">
      <c r="A334" s="7" t="n">
        <v>59</v>
      </c>
      <c r="B334" s="7" t="s">
        <v>777</v>
      </c>
      <c r="C334" s="7" t="s">
        <v>786</v>
      </c>
      <c r="D334" s="7" t="s">
        <v>6152</v>
      </c>
      <c r="E334" s="7" t="s">
        <v>6948</v>
      </c>
      <c r="F334" s="7"/>
      <c r="G334" s="7"/>
      <c r="H334" s="7"/>
      <c r="I334" s="7"/>
      <c r="J334" s="7"/>
      <c r="K334" s="7"/>
    </row>
    <row r="335" customFormat="false" ht="23.85" hidden="false" customHeight="false" outlineLevel="0" collapsed="false">
      <c r="A335" s="7" t="n">
        <v>59</v>
      </c>
      <c r="B335" s="7" t="s">
        <v>777</v>
      </c>
      <c r="C335" s="7" t="s">
        <v>786</v>
      </c>
      <c r="D335" s="7" t="s">
        <v>6152</v>
      </c>
      <c r="E335" s="7" t="s">
        <v>6949</v>
      </c>
      <c r="F335" s="7"/>
      <c r="G335" s="7"/>
      <c r="H335" s="7"/>
      <c r="I335" s="7"/>
      <c r="J335" s="7"/>
      <c r="K335" s="7"/>
    </row>
    <row r="336" customFormat="false" ht="35.05" hidden="false" customHeight="false" outlineLevel="0" collapsed="false">
      <c r="A336" s="7" t="n">
        <v>59</v>
      </c>
      <c r="B336" s="7" t="s">
        <v>777</v>
      </c>
      <c r="C336" s="7" t="s">
        <v>786</v>
      </c>
      <c r="D336" s="7" t="s">
        <v>6154</v>
      </c>
      <c r="E336" s="7" t="s">
        <v>6950</v>
      </c>
      <c r="F336" s="7" t="s">
        <v>6951</v>
      </c>
      <c r="G336" s="7" t="s">
        <v>6952</v>
      </c>
      <c r="H336" s="7" t="s">
        <v>6953</v>
      </c>
      <c r="I336" s="7" t="s">
        <v>5812</v>
      </c>
      <c r="J336" s="7" t="s">
        <v>5812</v>
      </c>
      <c r="K336" s="7" t="s">
        <v>6954</v>
      </c>
    </row>
    <row r="337" customFormat="false" ht="23.85" hidden="false" customHeight="false" outlineLevel="0" collapsed="false">
      <c r="A337" s="7" t="n">
        <v>59</v>
      </c>
      <c r="B337" s="7" t="s">
        <v>777</v>
      </c>
      <c r="C337" s="7" t="s">
        <v>786</v>
      </c>
      <c r="D337" s="7" t="s">
        <v>6154</v>
      </c>
      <c r="E337" s="7" t="s">
        <v>6955</v>
      </c>
      <c r="F337" s="7" t="s">
        <v>6956</v>
      </c>
      <c r="G337" s="7" t="s">
        <v>6952</v>
      </c>
      <c r="H337" s="7" t="s">
        <v>6957</v>
      </c>
      <c r="I337" s="7" t="s">
        <v>5812</v>
      </c>
      <c r="J337" s="7" t="s">
        <v>5812</v>
      </c>
      <c r="K337" s="7" t="s">
        <v>6954</v>
      </c>
    </row>
    <row r="338" customFormat="false" ht="68.65" hidden="false" customHeight="false" outlineLevel="0" collapsed="false">
      <c r="A338" s="7" t="n">
        <v>59</v>
      </c>
      <c r="B338" s="7" t="s">
        <v>777</v>
      </c>
      <c r="C338" s="7" t="s">
        <v>786</v>
      </c>
      <c r="D338" s="7" t="s">
        <v>6154</v>
      </c>
      <c r="E338" s="7" t="s">
        <v>6958</v>
      </c>
      <c r="F338" s="7" t="s">
        <v>6959</v>
      </c>
      <c r="G338" s="7" t="s">
        <v>6952</v>
      </c>
      <c r="H338" s="7" t="s">
        <v>6960</v>
      </c>
      <c r="I338" s="7" t="s">
        <v>6961</v>
      </c>
      <c r="J338" s="7" t="s">
        <v>5818</v>
      </c>
      <c r="K338" s="7" t="s">
        <v>6962</v>
      </c>
    </row>
    <row r="339" customFormat="false" ht="46.25" hidden="false" customHeight="false" outlineLevel="0" collapsed="false">
      <c r="A339" s="7" t="n">
        <v>59</v>
      </c>
      <c r="B339" s="7" t="s">
        <v>777</v>
      </c>
      <c r="C339" s="7" t="s">
        <v>786</v>
      </c>
      <c r="D339" s="7" t="s">
        <v>6154</v>
      </c>
      <c r="E339" s="7" t="s">
        <v>6958</v>
      </c>
      <c r="F339" s="7" t="s">
        <v>6963</v>
      </c>
      <c r="G339" s="7" t="s">
        <v>6952</v>
      </c>
      <c r="H339" s="7" t="s">
        <v>6964</v>
      </c>
      <c r="I339" s="7" t="s">
        <v>6965</v>
      </c>
      <c r="J339" s="7" t="s">
        <v>5812</v>
      </c>
      <c r="K339" s="7" t="s">
        <v>6966</v>
      </c>
    </row>
    <row r="340" customFormat="false" ht="46.25" hidden="false" customHeight="false" outlineLevel="0" collapsed="false">
      <c r="A340" s="7" t="n">
        <v>59</v>
      </c>
      <c r="B340" s="7" t="s">
        <v>777</v>
      </c>
      <c r="C340" s="7" t="s">
        <v>786</v>
      </c>
      <c r="D340" s="7" t="s">
        <v>6154</v>
      </c>
      <c r="E340" s="7" t="s">
        <v>6967</v>
      </c>
      <c r="F340" s="7" t="s">
        <v>6968</v>
      </c>
      <c r="G340" s="7" t="s">
        <v>6952</v>
      </c>
      <c r="H340" s="7" t="s">
        <v>6969</v>
      </c>
      <c r="I340" s="7" t="s">
        <v>6970</v>
      </c>
      <c r="J340" s="7" t="s">
        <v>5812</v>
      </c>
      <c r="K340" s="7" t="s">
        <v>6971</v>
      </c>
    </row>
    <row r="341" customFormat="false" ht="57.45" hidden="false" customHeight="false" outlineLevel="0" collapsed="false">
      <c r="A341" s="7" t="n">
        <v>59</v>
      </c>
      <c r="B341" s="7" t="s">
        <v>777</v>
      </c>
      <c r="C341" s="7" t="s">
        <v>786</v>
      </c>
      <c r="D341" s="7" t="s">
        <v>6154</v>
      </c>
      <c r="E341" s="7" t="s">
        <v>6967</v>
      </c>
      <c r="F341" s="7" t="s">
        <v>6972</v>
      </c>
      <c r="G341" s="7" t="s">
        <v>6952</v>
      </c>
      <c r="H341" s="7" t="s">
        <v>6973</v>
      </c>
      <c r="I341" s="7" t="s">
        <v>6974</v>
      </c>
      <c r="J341" s="7" t="s">
        <v>5857</v>
      </c>
      <c r="K341" s="7" t="s">
        <v>6975</v>
      </c>
    </row>
    <row r="342" customFormat="false" ht="23.85" hidden="false" customHeight="false" outlineLevel="0" collapsed="false">
      <c r="A342" s="7" t="n">
        <v>59</v>
      </c>
      <c r="B342" s="7" t="s">
        <v>777</v>
      </c>
      <c r="C342" s="7" t="s">
        <v>786</v>
      </c>
      <c r="D342" s="7" t="s">
        <v>6976</v>
      </c>
      <c r="E342" s="7" t="s">
        <v>6977</v>
      </c>
      <c r="F342" s="7" t="s">
        <v>6978</v>
      </c>
      <c r="G342" s="7" t="s">
        <v>6979</v>
      </c>
      <c r="H342" s="7" t="s">
        <v>6980</v>
      </c>
      <c r="I342" s="7" t="s">
        <v>5812</v>
      </c>
      <c r="J342" s="7" t="s">
        <v>5812</v>
      </c>
      <c r="K342" s="7" t="s">
        <v>6981</v>
      </c>
    </row>
    <row r="343" customFormat="false" ht="23.85" hidden="false" customHeight="false" outlineLevel="0" collapsed="false">
      <c r="A343" s="7" t="n">
        <v>59</v>
      </c>
      <c r="B343" s="7" t="s">
        <v>777</v>
      </c>
      <c r="C343" s="7" t="s">
        <v>786</v>
      </c>
      <c r="D343" s="7" t="s">
        <v>6982</v>
      </c>
      <c r="E343" s="7" t="s">
        <v>6014</v>
      </c>
      <c r="F343" s="7" t="s">
        <v>6983</v>
      </c>
      <c r="G343" s="7" t="s">
        <v>6984</v>
      </c>
      <c r="H343" s="7" t="s">
        <v>6985</v>
      </c>
      <c r="I343" s="7" t="s">
        <v>5812</v>
      </c>
      <c r="J343" s="7" t="s">
        <v>5812</v>
      </c>
      <c r="K343" s="7" t="s">
        <v>6986</v>
      </c>
    </row>
    <row r="344" customFormat="false" ht="23.85" hidden="false" customHeight="false" outlineLevel="0" collapsed="false">
      <c r="A344" s="7" t="n">
        <v>59</v>
      </c>
      <c r="B344" s="7" t="s">
        <v>777</v>
      </c>
      <c r="C344" s="7" t="s">
        <v>786</v>
      </c>
      <c r="D344" s="7" t="s">
        <v>6186</v>
      </c>
      <c r="E344" s="7" t="s">
        <v>6987</v>
      </c>
      <c r="F344" s="7" t="s">
        <v>6988</v>
      </c>
      <c r="G344" s="7" t="s">
        <v>6989</v>
      </c>
      <c r="H344" s="7" t="s">
        <v>6990</v>
      </c>
      <c r="I344" s="7" t="s">
        <v>5812</v>
      </c>
      <c r="J344" s="7" t="s">
        <v>5812</v>
      </c>
      <c r="K344" s="7" t="s">
        <v>6986</v>
      </c>
    </row>
    <row r="345" customFormat="false" ht="46.25" hidden="false" customHeight="false" outlineLevel="0" collapsed="false">
      <c r="A345" s="7" t="n">
        <v>59</v>
      </c>
      <c r="B345" s="7" t="s">
        <v>777</v>
      </c>
      <c r="C345" s="7" t="s">
        <v>786</v>
      </c>
      <c r="D345" s="7" t="s">
        <v>6186</v>
      </c>
      <c r="E345" s="7" t="s">
        <v>6991</v>
      </c>
      <c r="F345" s="7" t="s">
        <v>6992</v>
      </c>
      <c r="G345" s="7" t="s">
        <v>6993</v>
      </c>
      <c r="H345" s="7" t="s">
        <v>6994</v>
      </c>
      <c r="I345" s="7" t="s">
        <v>5805</v>
      </c>
      <c r="J345" s="7" t="s">
        <v>5805</v>
      </c>
      <c r="K345" s="7" t="s">
        <v>6995</v>
      </c>
    </row>
    <row r="346" customFormat="false" ht="35.05" hidden="false" customHeight="false" outlineLevel="0" collapsed="false">
      <c r="A346" s="7" t="n">
        <v>60</v>
      </c>
      <c r="B346" s="7" t="s">
        <v>789</v>
      </c>
      <c r="C346" s="7" t="s">
        <v>796</v>
      </c>
      <c r="D346" s="7" t="s">
        <v>68</v>
      </c>
      <c r="E346" s="7" t="s">
        <v>6996</v>
      </c>
      <c r="F346" s="7"/>
      <c r="G346" s="7"/>
      <c r="H346" s="7"/>
      <c r="I346" s="7"/>
      <c r="J346" s="7"/>
      <c r="K346" s="7"/>
    </row>
    <row r="347" customFormat="false" ht="23.85" hidden="false" customHeight="false" outlineLevel="0" collapsed="false">
      <c r="A347" s="7" t="n">
        <v>60</v>
      </c>
      <c r="B347" s="7" t="s">
        <v>789</v>
      </c>
      <c r="C347" s="7" t="s">
        <v>796</v>
      </c>
      <c r="D347" s="7" t="s">
        <v>5974</v>
      </c>
      <c r="E347" s="7" t="s">
        <v>5820</v>
      </c>
      <c r="F347" s="7" t="s">
        <v>6997</v>
      </c>
      <c r="G347" s="7" t="s">
        <v>6998</v>
      </c>
      <c r="H347" s="7" t="s">
        <v>6442</v>
      </c>
      <c r="I347" s="7" t="s">
        <v>5812</v>
      </c>
      <c r="J347" s="7" t="s">
        <v>5812</v>
      </c>
      <c r="K347" s="7" t="s">
        <v>6999</v>
      </c>
    </row>
    <row r="348" customFormat="false" ht="46.25" hidden="false" customHeight="false" outlineLevel="0" collapsed="false">
      <c r="A348" s="7" t="n">
        <v>60</v>
      </c>
      <c r="B348" s="7" t="s">
        <v>789</v>
      </c>
      <c r="C348" s="7" t="s">
        <v>796</v>
      </c>
      <c r="D348" s="7" t="s">
        <v>5974</v>
      </c>
      <c r="E348" s="7" t="s">
        <v>7000</v>
      </c>
      <c r="F348" s="7" t="s">
        <v>7001</v>
      </c>
      <c r="G348" s="7"/>
      <c r="H348" s="7" t="s">
        <v>7002</v>
      </c>
      <c r="I348" s="7" t="s">
        <v>5818</v>
      </c>
      <c r="J348" s="7" t="s">
        <v>5818</v>
      </c>
      <c r="K348" s="7" t="s">
        <v>7003</v>
      </c>
    </row>
    <row r="349" customFormat="false" ht="23.85" hidden="false" customHeight="false" outlineLevel="0" collapsed="false">
      <c r="A349" s="7" t="n">
        <v>60</v>
      </c>
      <c r="B349" s="7" t="s">
        <v>789</v>
      </c>
      <c r="C349" s="7" t="s">
        <v>796</v>
      </c>
      <c r="D349" s="7" t="s">
        <v>5974</v>
      </c>
      <c r="E349" s="7" t="s">
        <v>7004</v>
      </c>
      <c r="F349" s="7" t="s">
        <v>7005</v>
      </c>
      <c r="G349" s="7"/>
      <c r="H349" s="7" t="s">
        <v>7006</v>
      </c>
      <c r="I349" s="7" t="s">
        <v>5812</v>
      </c>
      <c r="J349" s="7" t="s">
        <v>5812</v>
      </c>
      <c r="K349" s="7"/>
    </row>
    <row r="350" customFormat="false" ht="57.45" hidden="false" customHeight="false" outlineLevel="0" collapsed="false">
      <c r="A350" s="7" t="n">
        <v>57</v>
      </c>
      <c r="B350" s="7" t="s">
        <v>756</v>
      </c>
      <c r="C350" s="7" t="s">
        <v>763</v>
      </c>
      <c r="D350" s="7" t="s">
        <v>68</v>
      </c>
      <c r="E350" s="7" t="s">
        <v>7007</v>
      </c>
      <c r="F350" s="7"/>
      <c r="G350" s="7"/>
      <c r="H350" s="7"/>
      <c r="I350" s="7"/>
      <c r="J350" s="7"/>
      <c r="K350" s="7"/>
    </row>
    <row r="351" customFormat="false" ht="35.05" hidden="false" customHeight="false" outlineLevel="0" collapsed="false">
      <c r="A351" s="7" t="n">
        <v>57</v>
      </c>
      <c r="B351" s="7" t="s">
        <v>756</v>
      </c>
      <c r="C351" s="7" t="s">
        <v>763</v>
      </c>
      <c r="D351" s="7" t="s">
        <v>5974</v>
      </c>
      <c r="E351" s="7" t="s">
        <v>7008</v>
      </c>
      <c r="F351" s="7" t="s">
        <v>7009</v>
      </c>
      <c r="G351" s="7" t="s">
        <v>7010</v>
      </c>
      <c r="H351" s="7" t="s">
        <v>7011</v>
      </c>
      <c r="I351" s="7" t="s">
        <v>5812</v>
      </c>
      <c r="J351" s="7" t="s">
        <v>5812</v>
      </c>
      <c r="K351" s="7" t="s">
        <v>7012</v>
      </c>
    </row>
    <row r="352" customFormat="false" ht="46.25" hidden="false" customHeight="false" outlineLevel="0" collapsed="false">
      <c r="A352" s="7" t="n">
        <v>57</v>
      </c>
      <c r="B352" s="7" t="s">
        <v>756</v>
      </c>
      <c r="C352" s="7" t="s">
        <v>763</v>
      </c>
      <c r="D352" s="7" t="s">
        <v>5974</v>
      </c>
      <c r="E352" s="7" t="s">
        <v>6266</v>
      </c>
      <c r="F352" s="7" t="s">
        <v>7013</v>
      </c>
      <c r="G352" s="7" t="s">
        <v>7014</v>
      </c>
      <c r="H352" s="7" t="s">
        <v>7015</v>
      </c>
      <c r="I352" s="7" t="s">
        <v>5812</v>
      </c>
      <c r="J352" s="7" t="s">
        <v>5812</v>
      </c>
      <c r="K352" s="7" t="s">
        <v>7016</v>
      </c>
    </row>
    <row r="353" customFormat="false" ht="23.85" hidden="false" customHeight="false" outlineLevel="0" collapsed="false">
      <c r="A353" s="7" t="n">
        <v>57</v>
      </c>
      <c r="B353" s="7" t="s">
        <v>756</v>
      </c>
      <c r="C353" s="7" t="s">
        <v>763</v>
      </c>
      <c r="D353" s="7" t="s">
        <v>5974</v>
      </c>
      <c r="E353" s="7" t="s">
        <v>7017</v>
      </c>
      <c r="F353" s="7" t="s">
        <v>7018</v>
      </c>
      <c r="G353" s="7" t="s">
        <v>7019</v>
      </c>
      <c r="H353" s="7" t="s">
        <v>7020</v>
      </c>
      <c r="I353" s="7" t="s">
        <v>5812</v>
      </c>
      <c r="J353" s="7" t="s">
        <v>5812</v>
      </c>
      <c r="K353" s="7" t="s">
        <v>7012</v>
      </c>
    </row>
    <row r="354" customFormat="false" ht="35.05" hidden="false" customHeight="false" outlineLevel="0" collapsed="false">
      <c r="A354" s="7" t="n">
        <v>57</v>
      </c>
      <c r="B354" s="7" t="s">
        <v>756</v>
      </c>
      <c r="C354" s="7" t="s">
        <v>763</v>
      </c>
      <c r="D354" s="7" t="s">
        <v>6344</v>
      </c>
      <c r="E354" s="7" t="s">
        <v>7021</v>
      </c>
      <c r="F354" s="7" t="s">
        <v>7022</v>
      </c>
      <c r="G354" s="7"/>
      <c r="H354" s="7" t="s">
        <v>7023</v>
      </c>
      <c r="I354" s="7" t="s">
        <v>5818</v>
      </c>
      <c r="J354" s="7" t="s">
        <v>5818</v>
      </c>
      <c r="K354" s="7" t="s">
        <v>7024</v>
      </c>
    </row>
    <row r="355" customFormat="false" ht="35.05" hidden="false" customHeight="false" outlineLevel="0" collapsed="false">
      <c r="A355" s="7" t="n">
        <v>57</v>
      </c>
      <c r="B355" s="7" t="s">
        <v>756</v>
      </c>
      <c r="C355" s="7" t="s">
        <v>763</v>
      </c>
      <c r="D355" s="7" t="s">
        <v>6344</v>
      </c>
      <c r="E355" s="7" t="s">
        <v>7025</v>
      </c>
      <c r="F355" s="7" t="s">
        <v>7026</v>
      </c>
      <c r="G355" s="7"/>
      <c r="H355" s="7" t="s">
        <v>7027</v>
      </c>
      <c r="I355" s="7" t="s">
        <v>5857</v>
      </c>
      <c r="J355" s="7" t="s">
        <v>5857</v>
      </c>
      <c r="K355" s="7" t="s">
        <v>7028</v>
      </c>
    </row>
    <row r="356" customFormat="false" ht="46.25" hidden="false" customHeight="false" outlineLevel="0" collapsed="false">
      <c r="A356" s="7" t="n">
        <v>66</v>
      </c>
      <c r="B356" s="7" t="s">
        <v>854</v>
      </c>
      <c r="C356" s="7" t="s">
        <v>862</v>
      </c>
      <c r="D356" s="7" t="s">
        <v>6082</v>
      </c>
      <c r="E356" s="7" t="s">
        <v>7029</v>
      </c>
      <c r="F356" s="7" t="s">
        <v>7030</v>
      </c>
      <c r="G356" s="7" t="s">
        <v>7031</v>
      </c>
      <c r="H356" s="7" t="s">
        <v>7032</v>
      </c>
      <c r="I356" s="7" t="s">
        <v>5818</v>
      </c>
      <c r="J356" s="7" t="s">
        <v>5818</v>
      </c>
      <c r="K356" s="7" t="s">
        <v>7033</v>
      </c>
    </row>
    <row r="357" customFormat="false" ht="35.05" hidden="false" customHeight="false" outlineLevel="0" collapsed="false">
      <c r="A357" s="7" t="n">
        <v>66</v>
      </c>
      <c r="B357" s="7" t="s">
        <v>854</v>
      </c>
      <c r="C357" s="7" t="s">
        <v>862</v>
      </c>
      <c r="D357" s="7" t="s">
        <v>6082</v>
      </c>
      <c r="E357" s="7" t="s">
        <v>7029</v>
      </c>
      <c r="F357" s="7" t="s">
        <v>7034</v>
      </c>
      <c r="G357" s="7"/>
      <c r="H357" s="7" t="s">
        <v>7035</v>
      </c>
      <c r="I357" s="7" t="s">
        <v>5857</v>
      </c>
      <c r="J357" s="7" t="s">
        <v>5857</v>
      </c>
      <c r="K357" s="7" t="s">
        <v>7033</v>
      </c>
    </row>
    <row r="358" customFormat="false" ht="23.85" hidden="false" customHeight="false" outlineLevel="0" collapsed="false">
      <c r="A358" s="7" t="n">
        <v>66</v>
      </c>
      <c r="B358" s="7" t="s">
        <v>854</v>
      </c>
      <c r="C358" s="7" t="s">
        <v>862</v>
      </c>
      <c r="D358" s="7" t="s">
        <v>6082</v>
      </c>
      <c r="E358" s="7" t="s">
        <v>7029</v>
      </c>
      <c r="F358" s="7" t="s">
        <v>7036</v>
      </c>
      <c r="G358" s="7"/>
      <c r="H358" s="7" t="s">
        <v>7037</v>
      </c>
      <c r="I358" s="7" t="s">
        <v>5812</v>
      </c>
      <c r="J358" s="7" t="s">
        <v>5812</v>
      </c>
      <c r="K358" s="7" t="s">
        <v>7033</v>
      </c>
    </row>
    <row r="359" customFormat="false" ht="46.25" hidden="false" customHeight="false" outlineLevel="0" collapsed="false">
      <c r="A359" s="7" t="n">
        <v>66</v>
      </c>
      <c r="B359" s="7" t="s">
        <v>854</v>
      </c>
      <c r="C359" s="7" t="s">
        <v>862</v>
      </c>
      <c r="D359" s="7" t="s">
        <v>6082</v>
      </c>
      <c r="E359" s="7" t="s">
        <v>7038</v>
      </c>
      <c r="F359" s="7" t="s">
        <v>7039</v>
      </c>
      <c r="G359" s="7"/>
      <c r="H359" s="7" t="s">
        <v>7040</v>
      </c>
      <c r="I359" s="7" t="s">
        <v>5818</v>
      </c>
      <c r="J359" s="7" t="s">
        <v>5818</v>
      </c>
      <c r="K359" s="7" t="s">
        <v>7033</v>
      </c>
    </row>
    <row r="360" customFormat="false" ht="23.85" hidden="false" customHeight="false" outlineLevel="0" collapsed="false">
      <c r="A360" s="7" t="n">
        <v>66</v>
      </c>
      <c r="B360" s="7" t="s">
        <v>854</v>
      </c>
      <c r="C360" s="7" t="s">
        <v>862</v>
      </c>
      <c r="D360" s="7" t="s">
        <v>5974</v>
      </c>
      <c r="E360" s="7" t="s">
        <v>7041</v>
      </c>
      <c r="F360" s="7" t="s">
        <v>7042</v>
      </c>
      <c r="G360" s="7"/>
      <c r="H360" s="7" t="s">
        <v>7043</v>
      </c>
      <c r="I360" s="7" t="s">
        <v>5812</v>
      </c>
      <c r="J360" s="7" t="s">
        <v>5812</v>
      </c>
      <c r="K360" s="7" t="s">
        <v>7044</v>
      </c>
    </row>
    <row r="361" customFormat="false" ht="35.05" hidden="false" customHeight="false" outlineLevel="0" collapsed="false">
      <c r="A361" s="7" t="n">
        <v>75</v>
      </c>
      <c r="B361" s="7" t="s">
        <v>954</v>
      </c>
      <c r="C361" s="7" t="s">
        <v>962</v>
      </c>
      <c r="D361" s="7" t="s">
        <v>6082</v>
      </c>
      <c r="E361" s="7" t="s">
        <v>7045</v>
      </c>
      <c r="F361" s="7" t="s">
        <v>7046</v>
      </c>
      <c r="G361" s="7" t="s">
        <v>7047</v>
      </c>
      <c r="H361" s="7" t="s">
        <v>7048</v>
      </c>
      <c r="I361" s="7" t="s">
        <v>5827</v>
      </c>
      <c r="J361" s="7" t="s">
        <v>5827</v>
      </c>
      <c r="K361" s="7" t="s">
        <v>7049</v>
      </c>
    </row>
    <row r="362" customFormat="false" ht="46.25" hidden="false" customHeight="false" outlineLevel="0" collapsed="false">
      <c r="A362" s="7" t="n">
        <v>75</v>
      </c>
      <c r="B362" s="7" t="s">
        <v>954</v>
      </c>
      <c r="C362" s="7" t="s">
        <v>962</v>
      </c>
      <c r="D362" s="7" t="s">
        <v>5974</v>
      </c>
      <c r="E362" s="7" t="s">
        <v>7050</v>
      </c>
      <c r="F362" s="7" t="s">
        <v>7051</v>
      </c>
      <c r="G362" s="7" t="s">
        <v>7052</v>
      </c>
      <c r="H362" s="7" t="s">
        <v>7053</v>
      </c>
      <c r="I362" s="7" t="s">
        <v>5827</v>
      </c>
      <c r="J362" s="7" t="s">
        <v>5827</v>
      </c>
      <c r="K362" s="7" t="s">
        <v>7049</v>
      </c>
    </row>
    <row r="363" customFormat="false" ht="23.85" hidden="false" customHeight="false" outlineLevel="0" collapsed="false">
      <c r="A363" s="7" t="n">
        <v>75</v>
      </c>
      <c r="B363" s="7" t="s">
        <v>954</v>
      </c>
      <c r="C363" s="7" t="s">
        <v>962</v>
      </c>
      <c r="D363" s="7" t="s">
        <v>6082</v>
      </c>
      <c r="E363" s="7" t="s">
        <v>7054</v>
      </c>
      <c r="F363" s="7" t="s">
        <v>7055</v>
      </c>
      <c r="G363" s="7"/>
      <c r="H363" s="7" t="s">
        <v>7056</v>
      </c>
      <c r="I363" s="7" t="s">
        <v>5812</v>
      </c>
      <c r="J363" s="7" t="s">
        <v>5812</v>
      </c>
      <c r="K363" s="7" t="s">
        <v>7057</v>
      </c>
    </row>
    <row r="364" customFormat="false" ht="23.85" hidden="false" customHeight="false" outlineLevel="0" collapsed="false">
      <c r="A364" s="7" t="n">
        <v>75</v>
      </c>
      <c r="B364" s="7" t="s">
        <v>954</v>
      </c>
      <c r="C364" s="7" t="s">
        <v>962</v>
      </c>
      <c r="D364" s="7" t="s">
        <v>6082</v>
      </c>
      <c r="E364" s="7" t="s">
        <v>7058</v>
      </c>
      <c r="F364" s="7" t="s">
        <v>7059</v>
      </c>
      <c r="G364" s="7"/>
      <c r="H364" s="7" t="s">
        <v>7060</v>
      </c>
      <c r="I364" s="7" t="s">
        <v>5812</v>
      </c>
      <c r="J364" s="7" t="s">
        <v>5812</v>
      </c>
      <c r="K364" s="7"/>
    </row>
    <row r="365" customFormat="false" ht="23.85" hidden="false" customHeight="false" outlineLevel="0" collapsed="false">
      <c r="A365" s="7" t="n">
        <v>75</v>
      </c>
      <c r="B365" s="7" t="s">
        <v>954</v>
      </c>
      <c r="C365" s="7" t="s">
        <v>962</v>
      </c>
      <c r="D365" s="7" t="s">
        <v>6082</v>
      </c>
      <c r="E365" s="7" t="s">
        <v>7061</v>
      </c>
      <c r="F365" s="7" t="s">
        <v>7062</v>
      </c>
      <c r="G365" s="7"/>
      <c r="H365" s="7" t="s">
        <v>7063</v>
      </c>
      <c r="I365" s="7" t="s">
        <v>5812</v>
      </c>
      <c r="J365" s="7" t="s">
        <v>5812</v>
      </c>
      <c r="K365" s="7"/>
    </row>
    <row r="366" customFormat="false" ht="46.25" hidden="false" customHeight="false" outlineLevel="0" collapsed="false">
      <c r="A366" s="7" t="n">
        <v>67</v>
      </c>
      <c r="B366" s="7" t="s">
        <v>865</v>
      </c>
      <c r="C366" s="7" t="s">
        <v>874</v>
      </c>
      <c r="D366" s="7" t="s">
        <v>68</v>
      </c>
      <c r="E366" s="7" t="s">
        <v>7064</v>
      </c>
      <c r="F366" s="7"/>
      <c r="G366" s="7"/>
      <c r="H366" s="7"/>
      <c r="I366" s="7"/>
      <c r="J366" s="7"/>
      <c r="K366" s="7"/>
    </row>
    <row r="367" customFormat="false" ht="46.25" hidden="false" customHeight="false" outlineLevel="0" collapsed="false">
      <c r="A367" s="7" t="n">
        <v>67</v>
      </c>
      <c r="B367" s="7" t="s">
        <v>865</v>
      </c>
      <c r="C367" s="7" t="s">
        <v>874</v>
      </c>
      <c r="D367" s="7" t="s">
        <v>5974</v>
      </c>
      <c r="E367" s="7" t="s">
        <v>5815</v>
      </c>
      <c r="F367" s="7" t="s">
        <v>7065</v>
      </c>
      <c r="G367" s="7" t="s">
        <v>7066</v>
      </c>
      <c r="H367" s="7" t="s">
        <v>7067</v>
      </c>
      <c r="I367" s="7" t="s">
        <v>5812</v>
      </c>
      <c r="J367" s="7" t="s">
        <v>5812</v>
      </c>
      <c r="K367" s="7" t="s">
        <v>7068</v>
      </c>
    </row>
    <row r="368" customFormat="false" ht="23.85" hidden="false" customHeight="false" outlineLevel="0" collapsed="false">
      <c r="A368" s="7" t="n">
        <v>67</v>
      </c>
      <c r="B368" s="7" t="s">
        <v>865</v>
      </c>
      <c r="C368" s="7" t="s">
        <v>874</v>
      </c>
      <c r="D368" s="7" t="s">
        <v>5974</v>
      </c>
      <c r="E368" s="7" t="s">
        <v>5815</v>
      </c>
      <c r="F368" s="7" t="s">
        <v>7069</v>
      </c>
      <c r="G368" s="7"/>
      <c r="H368" s="7" t="s">
        <v>7070</v>
      </c>
      <c r="I368" s="7" t="s">
        <v>5812</v>
      </c>
      <c r="J368" s="7" t="s">
        <v>5812</v>
      </c>
      <c r="K368" s="7" t="s">
        <v>7071</v>
      </c>
    </row>
    <row r="369" customFormat="false" ht="35.05" hidden="false" customHeight="false" outlineLevel="0" collapsed="false">
      <c r="A369" s="7" t="n">
        <v>67</v>
      </c>
      <c r="B369" s="7" t="s">
        <v>865</v>
      </c>
      <c r="C369" s="7" t="s">
        <v>874</v>
      </c>
      <c r="D369" s="7" t="s">
        <v>5974</v>
      </c>
      <c r="E369" s="7" t="s">
        <v>6465</v>
      </c>
      <c r="F369" s="7" t="s">
        <v>7072</v>
      </c>
      <c r="G369" s="7"/>
      <c r="H369" s="7" t="s">
        <v>7073</v>
      </c>
      <c r="I369" s="7" t="s">
        <v>5812</v>
      </c>
      <c r="J369" s="7" t="s">
        <v>5812</v>
      </c>
      <c r="K369" s="7" t="s">
        <v>7071</v>
      </c>
    </row>
    <row r="370" customFormat="false" ht="46.25" hidden="false" customHeight="false" outlineLevel="0" collapsed="false">
      <c r="A370" s="7" t="n">
        <v>67</v>
      </c>
      <c r="B370" s="7" t="s">
        <v>865</v>
      </c>
      <c r="C370" s="7" t="s">
        <v>874</v>
      </c>
      <c r="D370" s="7" t="s">
        <v>7074</v>
      </c>
      <c r="E370" s="7" t="s">
        <v>7075</v>
      </c>
      <c r="F370" s="7" t="s">
        <v>7076</v>
      </c>
      <c r="G370" s="7"/>
      <c r="H370" s="7" t="s">
        <v>7077</v>
      </c>
      <c r="I370" s="7" t="s">
        <v>5818</v>
      </c>
      <c r="J370" s="7" t="s">
        <v>5818</v>
      </c>
      <c r="K370" s="7" t="s">
        <v>7078</v>
      </c>
    </row>
    <row r="371" customFormat="false" ht="79.85" hidden="false" customHeight="false" outlineLevel="0" collapsed="false">
      <c r="A371" s="7" t="n">
        <v>87</v>
      </c>
      <c r="B371" s="7" t="s">
        <v>1081</v>
      </c>
      <c r="C371" s="7"/>
      <c r="D371" s="7" t="s">
        <v>68</v>
      </c>
      <c r="E371" s="7" t="s">
        <v>7079</v>
      </c>
      <c r="F371" s="7"/>
      <c r="G371" s="7"/>
      <c r="H371" s="7"/>
      <c r="I371" s="7"/>
      <c r="J371" s="7"/>
      <c r="K371" s="7"/>
    </row>
    <row r="372" customFormat="false" ht="46.25" hidden="false" customHeight="false" outlineLevel="0" collapsed="false">
      <c r="A372" s="7" t="n">
        <v>87</v>
      </c>
      <c r="B372" s="7" t="s">
        <v>1081</v>
      </c>
      <c r="C372" s="7"/>
      <c r="D372" s="7" t="s">
        <v>7080</v>
      </c>
      <c r="E372" s="7" t="s">
        <v>7081</v>
      </c>
      <c r="F372" s="7" t="s">
        <v>7082</v>
      </c>
      <c r="G372" s="7"/>
      <c r="H372" s="7" t="s">
        <v>7083</v>
      </c>
      <c r="I372" s="7" t="s">
        <v>5857</v>
      </c>
      <c r="J372" s="7" t="s">
        <v>5857</v>
      </c>
      <c r="K372" s="7" t="s">
        <v>7084</v>
      </c>
    </row>
    <row r="373" customFormat="false" ht="23.85" hidden="false" customHeight="false" outlineLevel="0" collapsed="false">
      <c r="A373" s="7" t="n">
        <v>87</v>
      </c>
      <c r="B373" s="7" t="s">
        <v>1081</v>
      </c>
      <c r="C373" s="7"/>
      <c r="D373" s="7" t="s">
        <v>7080</v>
      </c>
      <c r="E373" s="7" t="s">
        <v>7085</v>
      </c>
      <c r="F373" s="7" t="s">
        <v>7086</v>
      </c>
      <c r="G373" s="7"/>
      <c r="H373" s="7" t="s">
        <v>7087</v>
      </c>
      <c r="I373" s="7" t="s">
        <v>5812</v>
      </c>
      <c r="J373" s="7" t="s">
        <v>5812</v>
      </c>
      <c r="K373" s="7" t="s">
        <v>7084</v>
      </c>
    </row>
    <row r="374" customFormat="false" ht="23.85" hidden="false" customHeight="false" outlineLevel="0" collapsed="false">
      <c r="A374" s="7" t="n">
        <v>87</v>
      </c>
      <c r="B374" s="7" t="s">
        <v>1081</v>
      </c>
      <c r="C374" s="7"/>
      <c r="D374" s="7" t="s">
        <v>7088</v>
      </c>
      <c r="E374" s="7" t="s">
        <v>6750</v>
      </c>
      <c r="F374" s="7" t="s">
        <v>7089</v>
      </c>
      <c r="G374" s="7"/>
      <c r="H374" s="7" t="s">
        <v>7090</v>
      </c>
      <c r="I374" s="7" t="s">
        <v>5812</v>
      </c>
      <c r="J374" s="7" t="s">
        <v>5812</v>
      </c>
      <c r="K374" s="7" t="s">
        <v>7091</v>
      </c>
    </row>
    <row r="375" customFormat="false" ht="68.65" hidden="false" customHeight="false" outlineLevel="0" collapsed="false">
      <c r="A375" s="7" t="n">
        <v>56</v>
      </c>
      <c r="B375" s="7" t="s">
        <v>744</v>
      </c>
      <c r="C375" s="7" t="s">
        <v>753</v>
      </c>
      <c r="D375" s="7" t="s">
        <v>6152</v>
      </c>
      <c r="E375" s="7" t="s">
        <v>7092</v>
      </c>
      <c r="F375" s="7"/>
      <c r="G375" s="7"/>
      <c r="H375" s="7"/>
      <c r="I375" s="7"/>
      <c r="J375" s="7"/>
      <c r="K375" s="7"/>
    </row>
    <row r="376" customFormat="false" ht="46.25" hidden="false" customHeight="false" outlineLevel="0" collapsed="false">
      <c r="A376" s="7" t="n">
        <v>56</v>
      </c>
      <c r="B376" s="7" t="s">
        <v>744</v>
      </c>
      <c r="C376" s="7" t="s">
        <v>753</v>
      </c>
      <c r="D376" s="7" t="s">
        <v>6154</v>
      </c>
      <c r="E376" s="7" t="s">
        <v>7093</v>
      </c>
      <c r="F376" s="7" t="s">
        <v>7094</v>
      </c>
      <c r="G376" s="7"/>
      <c r="H376" s="7" t="s">
        <v>7095</v>
      </c>
      <c r="I376" s="7" t="s">
        <v>5827</v>
      </c>
      <c r="J376" s="7" t="s">
        <v>5827</v>
      </c>
      <c r="K376" s="7" t="s">
        <v>7096</v>
      </c>
    </row>
    <row r="377" customFormat="false" ht="46.25" hidden="false" customHeight="false" outlineLevel="0" collapsed="false">
      <c r="A377" s="7" t="n">
        <v>56</v>
      </c>
      <c r="B377" s="7" t="s">
        <v>744</v>
      </c>
      <c r="C377" s="7" t="s">
        <v>753</v>
      </c>
      <c r="D377" s="7" t="s">
        <v>6154</v>
      </c>
      <c r="E377" s="7" t="s">
        <v>7097</v>
      </c>
      <c r="F377" s="7" t="s">
        <v>7098</v>
      </c>
      <c r="G377" s="7"/>
      <c r="H377" s="7" t="s">
        <v>7099</v>
      </c>
      <c r="I377" s="7" t="s">
        <v>5827</v>
      </c>
      <c r="J377" s="7" t="s">
        <v>5827</v>
      </c>
      <c r="K377" s="7" t="s">
        <v>7100</v>
      </c>
    </row>
    <row r="378" customFormat="false" ht="35.05" hidden="false" customHeight="false" outlineLevel="0" collapsed="false">
      <c r="A378" s="7" t="n">
        <v>56</v>
      </c>
      <c r="B378" s="7" t="s">
        <v>744</v>
      </c>
      <c r="C378" s="7" t="s">
        <v>753</v>
      </c>
      <c r="D378" s="7" t="s">
        <v>6154</v>
      </c>
      <c r="E378" s="7" t="s">
        <v>7101</v>
      </c>
      <c r="F378" s="7" t="s">
        <v>7102</v>
      </c>
      <c r="G378" s="7"/>
      <c r="H378" s="7" t="s">
        <v>7103</v>
      </c>
      <c r="I378" s="7" t="s">
        <v>5812</v>
      </c>
      <c r="J378" s="7" t="s">
        <v>5812</v>
      </c>
      <c r="K378" s="7"/>
    </row>
    <row r="379" customFormat="false" ht="23.85" hidden="false" customHeight="false" outlineLevel="0" collapsed="false">
      <c r="A379" s="7" t="n">
        <v>56</v>
      </c>
      <c r="B379" s="7" t="s">
        <v>744</v>
      </c>
      <c r="C379" s="7" t="s">
        <v>753</v>
      </c>
      <c r="D379" s="7" t="s">
        <v>6154</v>
      </c>
      <c r="E379" s="7" t="s">
        <v>7104</v>
      </c>
      <c r="F379" s="7" t="s">
        <v>7105</v>
      </c>
      <c r="G379" s="7"/>
      <c r="H379" s="7" t="s">
        <v>7106</v>
      </c>
      <c r="I379" s="7" t="s">
        <v>5812</v>
      </c>
      <c r="J379" s="7" t="s">
        <v>5812</v>
      </c>
      <c r="K379" s="7" t="s">
        <v>7096</v>
      </c>
    </row>
    <row r="380" customFormat="false" ht="23.85" hidden="false" customHeight="false" outlineLevel="0" collapsed="false">
      <c r="A380" s="7" t="n">
        <v>56</v>
      </c>
      <c r="B380" s="7" t="s">
        <v>744</v>
      </c>
      <c r="C380" s="7" t="s">
        <v>753</v>
      </c>
      <c r="D380" s="7" t="s">
        <v>5974</v>
      </c>
      <c r="E380" s="7" t="s">
        <v>7107</v>
      </c>
      <c r="F380" s="7" t="s">
        <v>7108</v>
      </c>
      <c r="G380" s="7" t="s">
        <v>7109</v>
      </c>
      <c r="H380" s="7" t="s">
        <v>7110</v>
      </c>
      <c r="I380" s="7" t="s">
        <v>5812</v>
      </c>
      <c r="J380" s="7" t="s">
        <v>5812</v>
      </c>
      <c r="K380" s="7" t="s">
        <v>7111</v>
      </c>
    </row>
    <row r="381" customFormat="false" ht="35.05" hidden="false" customHeight="false" outlineLevel="0" collapsed="false">
      <c r="A381" s="7" t="n">
        <v>56</v>
      </c>
      <c r="B381" s="7" t="s">
        <v>744</v>
      </c>
      <c r="C381" s="7" t="s">
        <v>753</v>
      </c>
      <c r="D381" s="7" t="s">
        <v>5974</v>
      </c>
      <c r="E381" s="7" t="s">
        <v>5824</v>
      </c>
      <c r="F381" s="7" t="s">
        <v>7112</v>
      </c>
      <c r="G381" s="7"/>
      <c r="H381" s="7" t="s">
        <v>7113</v>
      </c>
      <c r="I381" s="7" t="s">
        <v>5812</v>
      </c>
      <c r="J381" s="7" t="s">
        <v>5812</v>
      </c>
      <c r="K381" s="7" t="s">
        <v>7114</v>
      </c>
    </row>
    <row r="382" customFormat="false" ht="68.65" hidden="false" customHeight="false" outlineLevel="0" collapsed="false">
      <c r="A382" s="7" t="n">
        <v>65</v>
      </c>
      <c r="B382" s="7" t="s">
        <v>843</v>
      </c>
      <c r="C382" s="7" t="s">
        <v>851</v>
      </c>
      <c r="D382" s="7" t="s">
        <v>68</v>
      </c>
      <c r="E382" s="7" t="s">
        <v>7115</v>
      </c>
      <c r="F382" s="7"/>
      <c r="G382" s="7"/>
      <c r="H382" s="7"/>
      <c r="I382" s="7"/>
      <c r="J382" s="7"/>
      <c r="K382" s="7"/>
    </row>
    <row r="383" customFormat="false" ht="79.85" hidden="false" customHeight="false" outlineLevel="0" collapsed="false">
      <c r="A383" s="7" t="n">
        <v>65</v>
      </c>
      <c r="B383" s="7" t="s">
        <v>843</v>
      </c>
      <c r="C383" s="7" t="s">
        <v>851</v>
      </c>
      <c r="D383" s="7" t="s">
        <v>5974</v>
      </c>
      <c r="E383" s="7" t="s">
        <v>7116</v>
      </c>
      <c r="F383" s="7" t="s">
        <v>7117</v>
      </c>
      <c r="G383" s="7" t="s">
        <v>7118</v>
      </c>
      <c r="H383" s="7" t="s">
        <v>7119</v>
      </c>
      <c r="I383" s="7" t="s">
        <v>5812</v>
      </c>
      <c r="J383" s="7" t="s">
        <v>5812</v>
      </c>
      <c r="K383" s="7" t="s">
        <v>7120</v>
      </c>
    </row>
    <row r="384" customFormat="false" ht="35.05" hidden="false" customHeight="false" outlineLevel="0" collapsed="false">
      <c r="A384" s="7" t="n">
        <v>65</v>
      </c>
      <c r="B384" s="7" t="s">
        <v>843</v>
      </c>
      <c r="C384" s="7" t="s">
        <v>851</v>
      </c>
      <c r="D384" s="7" t="s">
        <v>5974</v>
      </c>
      <c r="E384" s="7" t="s">
        <v>6569</v>
      </c>
      <c r="F384" s="7" t="s">
        <v>7121</v>
      </c>
      <c r="G384" s="7"/>
      <c r="H384" s="7" t="s">
        <v>7122</v>
      </c>
      <c r="I384" s="7" t="s">
        <v>5812</v>
      </c>
      <c r="J384" s="7" t="s">
        <v>5812</v>
      </c>
      <c r="K384" s="7" t="s">
        <v>7123</v>
      </c>
    </row>
    <row r="385" customFormat="false" ht="23.85" hidden="false" customHeight="false" outlineLevel="0" collapsed="false">
      <c r="A385" s="7" t="n">
        <v>65</v>
      </c>
      <c r="B385" s="7" t="s">
        <v>843</v>
      </c>
      <c r="C385" s="7" t="s">
        <v>851</v>
      </c>
      <c r="D385" s="7" t="s">
        <v>5974</v>
      </c>
      <c r="E385" s="7" t="s">
        <v>7124</v>
      </c>
      <c r="F385" s="7" t="s">
        <v>7125</v>
      </c>
      <c r="G385" s="7"/>
      <c r="H385" s="7" t="s">
        <v>7122</v>
      </c>
      <c r="I385" s="7" t="s">
        <v>5812</v>
      </c>
      <c r="J385" s="7" t="s">
        <v>5812</v>
      </c>
      <c r="K385" s="7" t="s">
        <v>7123</v>
      </c>
    </row>
    <row r="386" customFormat="false" ht="68.65" hidden="false" customHeight="false" outlineLevel="0" collapsed="false">
      <c r="A386" s="7" t="n">
        <v>42</v>
      </c>
      <c r="B386" s="7" t="s">
        <v>585</v>
      </c>
      <c r="C386" s="7" t="s">
        <v>593</v>
      </c>
      <c r="D386" s="7" t="s">
        <v>68</v>
      </c>
      <c r="E386" s="7" t="s">
        <v>7126</v>
      </c>
      <c r="F386" s="7"/>
      <c r="G386" s="7"/>
      <c r="H386" s="7"/>
      <c r="I386" s="7"/>
      <c r="J386" s="7"/>
      <c r="K386" s="7"/>
    </row>
    <row r="387" customFormat="false" ht="46.25" hidden="false" customHeight="false" outlineLevel="0" collapsed="false">
      <c r="A387" s="7" t="n">
        <v>42</v>
      </c>
      <c r="B387" s="7" t="s">
        <v>585</v>
      </c>
      <c r="C387" s="7" t="s">
        <v>593</v>
      </c>
      <c r="D387" s="7" t="s">
        <v>5974</v>
      </c>
      <c r="E387" s="7" t="s">
        <v>7127</v>
      </c>
      <c r="F387" s="7" t="s">
        <v>7128</v>
      </c>
      <c r="G387" s="7"/>
      <c r="H387" s="7" t="s">
        <v>7129</v>
      </c>
      <c r="I387" s="7" t="s">
        <v>5812</v>
      </c>
      <c r="J387" s="7" t="s">
        <v>5812</v>
      </c>
      <c r="K387" s="7" t="s">
        <v>7130</v>
      </c>
    </row>
    <row r="388" customFormat="false" ht="35.05" hidden="false" customHeight="false" outlineLevel="0" collapsed="false">
      <c r="A388" s="7" t="n">
        <v>42</v>
      </c>
      <c r="B388" s="7" t="s">
        <v>585</v>
      </c>
      <c r="C388" s="7" t="s">
        <v>593</v>
      </c>
      <c r="D388" s="7" t="s">
        <v>5974</v>
      </c>
      <c r="E388" s="7" t="s">
        <v>7131</v>
      </c>
      <c r="F388" s="7" t="s">
        <v>7132</v>
      </c>
      <c r="G388" s="7"/>
      <c r="H388" s="7" t="s">
        <v>6512</v>
      </c>
      <c r="I388" s="7" t="s">
        <v>5812</v>
      </c>
      <c r="J388" s="7" t="s">
        <v>5812</v>
      </c>
      <c r="K388" s="7" t="s">
        <v>7133</v>
      </c>
    </row>
    <row r="389" customFormat="false" ht="79.85" hidden="false" customHeight="false" outlineLevel="0" collapsed="false">
      <c r="A389" s="7" t="n">
        <v>74</v>
      </c>
      <c r="B389" s="7" t="s">
        <v>944</v>
      </c>
      <c r="C389" s="7" t="s">
        <v>951</v>
      </c>
      <c r="D389" s="7" t="s">
        <v>68</v>
      </c>
      <c r="E389" s="7" t="s">
        <v>7134</v>
      </c>
      <c r="F389" s="7"/>
      <c r="G389" s="7"/>
      <c r="H389" s="7"/>
      <c r="I389" s="7"/>
      <c r="J389" s="7"/>
      <c r="K389" s="7"/>
    </row>
    <row r="390" customFormat="false" ht="46.25" hidden="false" customHeight="false" outlineLevel="0" collapsed="false">
      <c r="A390" s="7" t="n">
        <v>74</v>
      </c>
      <c r="B390" s="7" t="s">
        <v>944</v>
      </c>
      <c r="C390" s="7" t="s">
        <v>951</v>
      </c>
      <c r="D390" s="7" t="s">
        <v>7135</v>
      </c>
      <c r="E390" s="7" t="s">
        <v>7136</v>
      </c>
      <c r="F390" s="7" t="s">
        <v>7137</v>
      </c>
      <c r="G390" s="7" t="s">
        <v>7138</v>
      </c>
      <c r="H390" s="7" t="s">
        <v>7139</v>
      </c>
      <c r="I390" s="7" t="s">
        <v>5827</v>
      </c>
      <c r="J390" s="7" t="s">
        <v>5827</v>
      </c>
      <c r="K390" s="7" t="s">
        <v>7140</v>
      </c>
    </row>
    <row r="391" customFormat="false" ht="57.45" hidden="false" customHeight="false" outlineLevel="0" collapsed="false">
      <c r="A391" s="7" t="n">
        <v>74</v>
      </c>
      <c r="B391" s="7" t="s">
        <v>944</v>
      </c>
      <c r="C391" s="7" t="s">
        <v>951</v>
      </c>
      <c r="D391" s="7" t="s">
        <v>7088</v>
      </c>
      <c r="E391" s="7" t="s">
        <v>7041</v>
      </c>
      <c r="F391" s="7" t="s">
        <v>7141</v>
      </c>
      <c r="G391" s="7"/>
      <c r="H391" s="7" t="s">
        <v>7142</v>
      </c>
      <c r="I391" s="7" t="s">
        <v>5857</v>
      </c>
      <c r="J391" s="7" t="s">
        <v>5857</v>
      </c>
      <c r="K391" s="7" t="s">
        <v>7143</v>
      </c>
    </row>
    <row r="392" customFormat="false" ht="35.05" hidden="false" customHeight="false" outlineLevel="0" collapsed="false">
      <c r="A392" s="7" t="n">
        <v>74</v>
      </c>
      <c r="B392" s="7" t="s">
        <v>944</v>
      </c>
      <c r="C392" s="7" t="s">
        <v>951</v>
      </c>
      <c r="D392" s="7" t="s">
        <v>7088</v>
      </c>
      <c r="E392" s="7" t="s">
        <v>7144</v>
      </c>
      <c r="F392" s="7" t="s">
        <v>7145</v>
      </c>
      <c r="G392" s="7"/>
      <c r="H392" s="7" t="s">
        <v>7146</v>
      </c>
      <c r="I392" s="7" t="s">
        <v>5818</v>
      </c>
      <c r="J392" s="7" t="s">
        <v>5818</v>
      </c>
      <c r="K392" s="7" t="s">
        <v>7147</v>
      </c>
    </row>
    <row r="393" customFormat="false" ht="23.85" hidden="false" customHeight="false" outlineLevel="0" collapsed="false">
      <c r="A393" s="7" t="n">
        <v>74</v>
      </c>
      <c r="B393" s="7" t="s">
        <v>944</v>
      </c>
      <c r="C393" s="7" t="s">
        <v>951</v>
      </c>
      <c r="D393" s="7" t="s">
        <v>7088</v>
      </c>
      <c r="E393" s="7" t="s">
        <v>7148</v>
      </c>
      <c r="F393" s="7" t="s">
        <v>7149</v>
      </c>
      <c r="G393" s="7"/>
      <c r="H393" s="7" t="s">
        <v>7150</v>
      </c>
      <c r="I393" s="7" t="s">
        <v>5805</v>
      </c>
      <c r="J393" s="7" t="s">
        <v>5805</v>
      </c>
      <c r="K393" s="7" t="s">
        <v>7151</v>
      </c>
    </row>
    <row r="394" customFormat="false" ht="68.65" hidden="false" customHeight="false" outlineLevel="0" collapsed="false">
      <c r="A394" s="7" t="n">
        <v>78</v>
      </c>
      <c r="B394" s="7" t="s">
        <v>986</v>
      </c>
      <c r="C394" s="7" t="s">
        <v>994</v>
      </c>
      <c r="D394" s="7" t="s">
        <v>68</v>
      </c>
      <c r="E394" s="7" t="s">
        <v>7152</v>
      </c>
      <c r="F394" s="7"/>
      <c r="G394" s="7"/>
      <c r="H394" s="7"/>
      <c r="I394" s="7"/>
      <c r="J394" s="7"/>
      <c r="K394" s="7"/>
    </row>
    <row r="395" customFormat="false" ht="35.05" hidden="false" customHeight="false" outlineLevel="0" collapsed="false">
      <c r="A395" s="7" t="n">
        <v>78</v>
      </c>
      <c r="B395" s="7" t="s">
        <v>986</v>
      </c>
      <c r="C395" s="7" t="s">
        <v>994</v>
      </c>
      <c r="D395" s="7" t="s">
        <v>6082</v>
      </c>
      <c r="E395" s="7" t="s">
        <v>7153</v>
      </c>
      <c r="F395" s="7" t="s">
        <v>7154</v>
      </c>
      <c r="G395" s="7"/>
      <c r="H395" s="7" t="s">
        <v>7155</v>
      </c>
      <c r="I395" s="7" t="s">
        <v>5818</v>
      </c>
      <c r="J395" s="7" t="s">
        <v>5818</v>
      </c>
      <c r="K395" s="7" t="s">
        <v>7156</v>
      </c>
    </row>
    <row r="396" customFormat="false" ht="68.65" hidden="false" customHeight="false" outlineLevel="0" collapsed="false">
      <c r="A396" s="7" t="n">
        <v>78</v>
      </c>
      <c r="B396" s="7" t="s">
        <v>986</v>
      </c>
      <c r="C396" s="7" t="s">
        <v>994</v>
      </c>
      <c r="D396" s="7" t="s">
        <v>6082</v>
      </c>
      <c r="E396" s="7" t="s">
        <v>7157</v>
      </c>
      <c r="F396" s="7" t="s">
        <v>7158</v>
      </c>
      <c r="G396" s="7" t="s">
        <v>7159</v>
      </c>
      <c r="H396" s="7" t="s">
        <v>7160</v>
      </c>
      <c r="I396" s="7" t="s">
        <v>5857</v>
      </c>
      <c r="J396" s="7" t="s">
        <v>5857</v>
      </c>
      <c r="K396" s="7" t="s">
        <v>7161</v>
      </c>
    </row>
    <row r="397" customFormat="false" ht="23.85" hidden="false" customHeight="false" outlineLevel="0" collapsed="false">
      <c r="A397" s="7" t="n">
        <v>78</v>
      </c>
      <c r="B397" s="7" t="s">
        <v>986</v>
      </c>
      <c r="C397" s="7" t="s">
        <v>994</v>
      </c>
      <c r="D397" s="7" t="s">
        <v>6082</v>
      </c>
      <c r="E397" s="7" t="s">
        <v>7162</v>
      </c>
      <c r="F397" s="7" t="s">
        <v>7163</v>
      </c>
      <c r="G397" s="7"/>
      <c r="H397" s="7" t="s">
        <v>7164</v>
      </c>
      <c r="I397" s="7" t="s">
        <v>5812</v>
      </c>
      <c r="J397" s="7" t="s">
        <v>5812</v>
      </c>
      <c r="K397" s="7" t="s">
        <v>7156</v>
      </c>
    </row>
    <row r="398" customFormat="false" ht="23.85" hidden="false" customHeight="false" outlineLevel="0" collapsed="false">
      <c r="A398" s="7" t="n">
        <v>78</v>
      </c>
      <c r="B398" s="7" t="s">
        <v>986</v>
      </c>
      <c r="C398" s="7" t="s">
        <v>994</v>
      </c>
      <c r="D398" s="7" t="s">
        <v>6082</v>
      </c>
      <c r="E398" s="7" t="s">
        <v>6595</v>
      </c>
      <c r="F398" s="7" t="s">
        <v>7165</v>
      </c>
      <c r="G398" s="7"/>
      <c r="H398" s="7" t="s">
        <v>7166</v>
      </c>
      <c r="I398" s="7" t="s">
        <v>5818</v>
      </c>
      <c r="J398" s="7" t="s">
        <v>5818</v>
      </c>
      <c r="K398" s="7" t="s">
        <v>7156</v>
      </c>
    </row>
    <row r="399" customFormat="false" ht="68.65" hidden="false" customHeight="false" outlineLevel="0" collapsed="false">
      <c r="A399" s="7" t="n">
        <v>72</v>
      </c>
      <c r="B399" s="7" t="s">
        <v>922</v>
      </c>
      <c r="C399" s="7" t="s">
        <v>930</v>
      </c>
      <c r="D399" s="7" t="s">
        <v>6082</v>
      </c>
      <c r="E399" s="7" t="s">
        <v>7167</v>
      </c>
      <c r="F399" s="7" t="s">
        <v>7168</v>
      </c>
      <c r="G399" s="7" t="s">
        <v>7169</v>
      </c>
      <c r="H399" s="7" t="s">
        <v>7170</v>
      </c>
      <c r="I399" s="7" t="s">
        <v>5812</v>
      </c>
      <c r="J399" s="7" t="s">
        <v>5812</v>
      </c>
      <c r="K399" s="7"/>
    </row>
    <row r="400" customFormat="false" ht="35.05" hidden="false" customHeight="false" outlineLevel="0" collapsed="false">
      <c r="A400" s="7" t="n">
        <v>72</v>
      </c>
      <c r="B400" s="7" t="s">
        <v>922</v>
      </c>
      <c r="C400" s="7" t="s">
        <v>930</v>
      </c>
      <c r="D400" s="7" t="s">
        <v>6082</v>
      </c>
      <c r="E400" s="7" t="s">
        <v>7171</v>
      </c>
      <c r="F400" s="7" t="s">
        <v>7172</v>
      </c>
      <c r="G400" s="7" t="s">
        <v>7173</v>
      </c>
      <c r="H400" s="7" t="s">
        <v>7174</v>
      </c>
      <c r="I400" s="7" t="s">
        <v>5812</v>
      </c>
      <c r="J400" s="7" t="s">
        <v>5812</v>
      </c>
      <c r="K400" s="7"/>
    </row>
    <row r="401" customFormat="false" ht="35.05" hidden="false" customHeight="false" outlineLevel="0" collapsed="false">
      <c r="A401" s="7" t="n">
        <v>72</v>
      </c>
      <c r="B401" s="7" t="s">
        <v>922</v>
      </c>
      <c r="C401" s="7" t="s">
        <v>930</v>
      </c>
      <c r="D401" s="7" t="s">
        <v>5974</v>
      </c>
      <c r="E401" s="7" t="s">
        <v>6564</v>
      </c>
      <c r="F401" s="7" t="s">
        <v>7175</v>
      </c>
      <c r="G401" s="7"/>
      <c r="H401" s="7" t="s">
        <v>6512</v>
      </c>
      <c r="I401" s="7" t="s">
        <v>5812</v>
      </c>
      <c r="J401" s="7" t="s">
        <v>5812</v>
      </c>
      <c r="K401" s="7" t="s">
        <v>7176</v>
      </c>
    </row>
    <row r="402" customFormat="false" ht="23.85" hidden="false" customHeight="false" outlineLevel="0" collapsed="false">
      <c r="A402" s="7" t="n">
        <v>72</v>
      </c>
      <c r="B402" s="7" t="s">
        <v>922</v>
      </c>
      <c r="C402" s="7" t="s">
        <v>930</v>
      </c>
      <c r="D402" s="7" t="s">
        <v>5974</v>
      </c>
      <c r="E402" s="7" t="s">
        <v>6569</v>
      </c>
      <c r="F402" s="7" t="s">
        <v>7177</v>
      </c>
      <c r="G402" s="7"/>
      <c r="H402" s="7" t="s">
        <v>6512</v>
      </c>
      <c r="I402" s="7" t="s">
        <v>5812</v>
      </c>
      <c r="J402" s="7" t="s">
        <v>5812</v>
      </c>
      <c r="K402" s="7" t="s">
        <v>7178</v>
      </c>
    </row>
    <row r="403" customFormat="false" ht="79.85" hidden="false" customHeight="false" outlineLevel="0" collapsed="false">
      <c r="A403" s="7" t="n">
        <v>76</v>
      </c>
      <c r="B403" s="7" t="s">
        <v>965</v>
      </c>
      <c r="C403" s="7" t="s">
        <v>973</v>
      </c>
      <c r="D403" s="7" t="s">
        <v>68</v>
      </c>
      <c r="E403" s="7" t="s">
        <v>7179</v>
      </c>
      <c r="F403" s="7"/>
      <c r="G403" s="7"/>
      <c r="H403" s="7"/>
      <c r="I403" s="7"/>
      <c r="J403" s="7"/>
      <c r="K403" s="7"/>
    </row>
    <row r="404" customFormat="false" ht="46.25" hidden="false" customHeight="false" outlineLevel="0" collapsed="false">
      <c r="A404" s="7" t="n">
        <v>76</v>
      </c>
      <c r="B404" s="7" t="s">
        <v>965</v>
      </c>
      <c r="C404" s="7" t="s">
        <v>973</v>
      </c>
      <c r="D404" s="7" t="s">
        <v>5974</v>
      </c>
      <c r="E404" s="7" t="s">
        <v>6419</v>
      </c>
      <c r="F404" s="7" t="s">
        <v>7180</v>
      </c>
      <c r="G404" s="7" t="s">
        <v>7181</v>
      </c>
      <c r="H404" s="7" t="s">
        <v>7182</v>
      </c>
      <c r="I404" s="7" t="s">
        <v>5812</v>
      </c>
      <c r="J404" s="7" t="s">
        <v>5812</v>
      </c>
      <c r="K404" s="7" t="s">
        <v>7183</v>
      </c>
    </row>
    <row r="405" customFormat="false" ht="46.25" hidden="false" customHeight="false" outlineLevel="0" collapsed="false">
      <c r="A405" s="7" t="n">
        <v>76</v>
      </c>
      <c r="B405" s="7" t="s">
        <v>965</v>
      </c>
      <c r="C405" s="7" t="s">
        <v>973</v>
      </c>
      <c r="D405" s="7" t="s">
        <v>5974</v>
      </c>
      <c r="E405" s="7" t="s">
        <v>7184</v>
      </c>
      <c r="F405" s="7" t="s">
        <v>7185</v>
      </c>
      <c r="G405" s="7"/>
      <c r="H405" s="7" t="s">
        <v>7186</v>
      </c>
      <c r="I405" s="7" t="s">
        <v>5812</v>
      </c>
      <c r="J405" s="7" t="s">
        <v>5812</v>
      </c>
      <c r="K405" s="7" t="s">
        <v>7187</v>
      </c>
    </row>
    <row r="406" customFormat="false" ht="23.85" hidden="false" customHeight="false" outlineLevel="0" collapsed="false">
      <c r="A406" s="7" t="n">
        <v>76</v>
      </c>
      <c r="B406" s="7" t="s">
        <v>965</v>
      </c>
      <c r="C406" s="7" t="s">
        <v>973</v>
      </c>
      <c r="D406" s="7" t="s">
        <v>5974</v>
      </c>
      <c r="E406" s="7" t="s">
        <v>6411</v>
      </c>
      <c r="F406" s="7" t="s">
        <v>7188</v>
      </c>
      <c r="G406" s="7"/>
      <c r="H406" s="7" t="s">
        <v>6512</v>
      </c>
      <c r="I406" s="7" t="s">
        <v>5812</v>
      </c>
      <c r="J406" s="7" t="s">
        <v>5812</v>
      </c>
      <c r="K406" s="7" t="s">
        <v>7189</v>
      </c>
    </row>
    <row r="407" customFormat="false" ht="35.05" hidden="false" customHeight="false" outlineLevel="0" collapsed="false">
      <c r="A407" s="7" t="n">
        <v>76</v>
      </c>
      <c r="B407" s="7" t="s">
        <v>965</v>
      </c>
      <c r="C407" s="7" t="s">
        <v>973</v>
      </c>
      <c r="D407" s="7" t="s">
        <v>5974</v>
      </c>
      <c r="E407" s="7" t="s">
        <v>6569</v>
      </c>
      <c r="F407" s="7" t="s">
        <v>7190</v>
      </c>
      <c r="G407" s="7"/>
      <c r="H407" s="7" t="s">
        <v>7191</v>
      </c>
      <c r="I407" s="7" t="s">
        <v>5812</v>
      </c>
      <c r="J407" s="7" t="s">
        <v>5812</v>
      </c>
      <c r="K407" s="7" t="s">
        <v>7192</v>
      </c>
    </row>
    <row r="408" customFormat="false" ht="57.45" hidden="false" customHeight="false" outlineLevel="0" collapsed="false">
      <c r="A408" s="7" t="n">
        <v>77</v>
      </c>
      <c r="B408" s="7" t="s">
        <v>976</v>
      </c>
      <c r="C408" s="7" t="s">
        <v>983</v>
      </c>
      <c r="D408" s="7" t="s">
        <v>7193</v>
      </c>
      <c r="E408" s="7" t="s">
        <v>7194</v>
      </c>
      <c r="F408" s="7" t="s">
        <v>7195</v>
      </c>
      <c r="G408" s="7"/>
      <c r="H408" s="7" t="s">
        <v>7196</v>
      </c>
      <c r="I408" s="7" t="s">
        <v>5812</v>
      </c>
      <c r="J408" s="7" t="s">
        <v>5812</v>
      </c>
      <c r="K408" s="7" t="s">
        <v>7197</v>
      </c>
    </row>
    <row r="409" customFormat="false" ht="46.25" hidden="false" customHeight="false" outlineLevel="0" collapsed="false">
      <c r="A409" s="7" t="n">
        <v>77</v>
      </c>
      <c r="B409" s="7" t="s">
        <v>976</v>
      </c>
      <c r="C409" s="7" t="s">
        <v>983</v>
      </c>
      <c r="D409" s="7" t="s">
        <v>5974</v>
      </c>
      <c r="E409" s="7" t="s">
        <v>7198</v>
      </c>
      <c r="F409" s="7" t="s">
        <v>7199</v>
      </c>
      <c r="G409" s="7" t="s">
        <v>7200</v>
      </c>
      <c r="H409" s="7" t="s">
        <v>7201</v>
      </c>
      <c r="I409" s="7" t="s">
        <v>5812</v>
      </c>
      <c r="J409" s="7" t="s">
        <v>5812</v>
      </c>
      <c r="K409" s="7" t="s">
        <v>7202</v>
      </c>
    </row>
    <row r="410" customFormat="false" ht="35.05" hidden="false" customHeight="false" outlineLevel="0" collapsed="false">
      <c r="A410" s="7" t="n">
        <v>77</v>
      </c>
      <c r="B410" s="7" t="s">
        <v>976</v>
      </c>
      <c r="C410" s="7" t="s">
        <v>983</v>
      </c>
      <c r="D410" s="7" t="s">
        <v>6439</v>
      </c>
      <c r="E410" s="7" t="s">
        <v>5824</v>
      </c>
      <c r="F410" s="7" t="s">
        <v>7203</v>
      </c>
      <c r="G410" s="7" t="s">
        <v>7204</v>
      </c>
      <c r="H410" s="7" t="s">
        <v>6512</v>
      </c>
      <c r="I410" s="7" t="s">
        <v>5812</v>
      </c>
      <c r="J410" s="7" t="s">
        <v>5812</v>
      </c>
      <c r="K410" s="7" t="s">
        <v>7205</v>
      </c>
    </row>
    <row r="411" customFormat="false" ht="35.05" hidden="false" customHeight="false" outlineLevel="0" collapsed="false">
      <c r="A411" s="7" t="n">
        <v>77</v>
      </c>
      <c r="B411" s="7" t="s">
        <v>976</v>
      </c>
      <c r="C411" s="7" t="s">
        <v>983</v>
      </c>
      <c r="D411" s="7" t="s">
        <v>6297</v>
      </c>
      <c r="E411" s="7" t="s">
        <v>7206</v>
      </c>
      <c r="F411" s="7" t="s">
        <v>7207</v>
      </c>
      <c r="G411" s="7"/>
      <c r="H411" s="7" t="s">
        <v>7208</v>
      </c>
      <c r="I411" s="7" t="s">
        <v>5812</v>
      </c>
      <c r="J411" s="7" t="s">
        <v>5812</v>
      </c>
      <c r="K411" s="7" t="s">
        <v>7209</v>
      </c>
    </row>
    <row r="412" customFormat="false" ht="57.45" hidden="false" customHeight="false" outlineLevel="0" collapsed="false">
      <c r="A412" s="7" t="n">
        <v>94</v>
      </c>
      <c r="B412" s="7" t="s">
        <v>1153</v>
      </c>
      <c r="C412" s="7" t="s">
        <v>1162</v>
      </c>
      <c r="D412" s="7" t="s">
        <v>68</v>
      </c>
      <c r="E412" s="7" t="s">
        <v>7210</v>
      </c>
      <c r="F412" s="7"/>
      <c r="G412" s="7"/>
      <c r="H412" s="7"/>
      <c r="I412" s="7"/>
      <c r="J412" s="7"/>
      <c r="K412" s="7"/>
    </row>
    <row r="413" customFormat="false" ht="23.85" hidden="false" customHeight="false" outlineLevel="0" collapsed="false">
      <c r="A413" s="7" t="n">
        <v>94</v>
      </c>
      <c r="B413" s="7" t="s">
        <v>1153</v>
      </c>
      <c r="C413" s="7" t="s">
        <v>1162</v>
      </c>
      <c r="D413" s="7" t="s">
        <v>5974</v>
      </c>
      <c r="E413" s="7" t="s">
        <v>7211</v>
      </c>
      <c r="F413" s="7" t="s">
        <v>7212</v>
      </c>
      <c r="G413" s="7" t="s">
        <v>7213</v>
      </c>
      <c r="H413" s="7" t="s">
        <v>7214</v>
      </c>
      <c r="I413" s="7" t="s">
        <v>5812</v>
      </c>
      <c r="J413" s="7" t="s">
        <v>5812</v>
      </c>
      <c r="K413" s="7" t="s">
        <v>7215</v>
      </c>
    </row>
    <row r="414" customFormat="false" ht="23.85" hidden="false" customHeight="false" outlineLevel="0" collapsed="false">
      <c r="A414" s="7" t="n">
        <v>94</v>
      </c>
      <c r="B414" s="7" t="s">
        <v>1153</v>
      </c>
      <c r="C414" s="7" t="s">
        <v>1162</v>
      </c>
      <c r="D414" s="7" t="s">
        <v>5974</v>
      </c>
      <c r="E414" s="7" t="s">
        <v>6298</v>
      </c>
      <c r="F414" s="7" t="s">
        <v>7216</v>
      </c>
      <c r="G414" s="7" t="s">
        <v>7217</v>
      </c>
      <c r="H414" s="7" t="s">
        <v>6512</v>
      </c>
      <c r="I414" s="7" t="s">
        <v>5812</v>
      </c>
      <c r="J414" s="7" t="s">
        <v>5812</v>
      </c>
      <c r="K414" s="7" t="s">
        <v>7218</v>
      </c>
    </row>
    <row r="415" customFormat="false" ht="23.85" hidden="false" customHeight="false" outlineLevel="0" collapsed="false">
      <c r="A415" s="7" t="n">
        <v>94</v>
      </c>
      <c r="B415" s="7" t="s">
        <v>1153</v>
      </c>
      <c r="C415" s="7" t="s">
        <v>1162</v>
      </c>
      <c r="D415" s="7" t="s">
        <v>5974</v>
      </c>
      <c r="E415" s="7" t="s">
        <v>7219</v>
      </c>
      <c r="F415" s="7" t="s">
        <v>7220</v>
      </c>
      <c r="G415" s="7"/>
      <c r="H415" s="7" t="s">
        <v>7221</v>
      </c>
      <c r="I415" s="7" t="s">
        <v>5812</v>
      </c>
      <c r="J415" s="7" t="s">
        <v>5812</v>
      </c>
      <c r="K415" s="7" t="s">
        <v>7222</v>
      </c>
    </row>
    <row r="416" customFormat="false" ht="68.65" hidden="false" customHeight="false" outlineLevel="0" collapsed="false">
      <c r="A416" s="7" t="n">
        <v>89</v>
      </c>
      <c r="B416" s="7" t="s">
        <v>1101</v>
      </c>
      <c r="C416" s="7" t="s">
        <v>1107</v>
      </c>
      <c r="D416" s="7" t="s">
        <v>68</v>
      </c>
      <c r="E416" s="7" t="s">
        <v>7223</v>
      </c>
      <c r="F416" s="7"/>
      <c r="G416" s="7"/>
      <c r="H416" s="7"/>
      <c r="I416" s="7"/>
      <c r="J416" s="7"/>
      <c r="K416" s="7"/>
    </row>
    <row r="417" customFormat="false" ht="35.05" hidden="false" customHeight="false" outlineLevel="0" collapsed="false">
      <c r="A417" s="7" t="n">
        <v>89</v>
      </c>
      <c r="B417" s="7" t="s">
        <v>1101</v>
      </c>
      <c r="C417" s="7" t="s">
        <v>1107</v>
      </c>
      <c r="D417" s="7" t="s">
        <v>5974</v>
      </c>
      <c r="E417" s="7" t="s">
        <v>7224</v>
      </c>
      <c r="F417" s="7" t="s">
        <v>7225</v>
      </c>
      <c r="G417" s="7" t="s">
        <v>7226</v>
      </c>
      <c r="H417" s="7" t="s">
        <v>7227</v>
      </c>
      <c r="I417" s="7" t="s">
        <v>5812</v>
      </c>
      <c r="J417" s="7" t="s">
        <v>5812</v>
      </c>
      <c r="K417" s="7" t="s">
        <v>7228</v>
      </c>
    </row>
    <row r="418" customFormat="false" ht="23.85" hidden="false" customHeight="false" outlineLevel="0" collapsed="false">
      <c r="A418" s="7" t="n">
        <v>89</v>
      </c>
      <c r="B418" s="7" t="s">
        <v>1101</v>
      </c>
      <c r="C418" s="7" t="s">
        <v>1107</v>
      </c>
      <c r="D418" s="7" t="s">
        <v>5974</v>
      </c>
      <c r="E418" s="7" t="s">
        <v>7229</v>
      </c>
      <c r="F418" s="7" t="s">
        <v>7230</v>
      </c>
      <c r="G418" s="7" t="s">
        <v>7231</v>
      </c>
      <c r="H418" s="7" t="s">
        <v>7232</v>
      </c>
      <c r="I418" s="7" t="s">
        <v>5812</v>
      </c>
      <c r="J418" s="7" t="s">
        <v>5812</v>
      </c>
      <c r="K418" s="7" t="s">
        <v>7233</v>
      </c>
    </row>
    <row r="419" customFormat="false" ht="23.85" hidden="false" customHeight="false" outlineLevel="0" collapsed="false">
      <c r="A419" s="7" t="n">
        <v>89</v>
      </c>
      <c r="B419" s="7" t="s">
        <v>1101</v>
      </c>
      <c r="C419" s="7" t="s">
        <v>1107</v>
      </c>
      <c r="D419" s="7" t="s">
        <v>5974</v>
      </c>
      <c r="E419" s="7" t="s">
        <v>7234</v>
      </c>
      <c r="F419" s="7" t="s">
        <v>7235</v>
      </c>
      <c r="G419" s="7"/>
      <c r="H419" s="7" t="s">
        <v>6512</v>
      </c>
      <c r="I419" s="7" t="s">
        <v>5812</v>
      </c>
      <c r="J419" s="7" t="s">
        <v>5812</v>
      </c>
      <c r="K419" s="7" t="s">
        <v>7233</v>
      </c>
    </row>
    <row r="420" customFormat="false" ht="46.25" hidden="false" customHeight="false" outlineLevel="0" collapsed="false">
      <c r="A420" s="7" t="n">
        <v>73</v>
      </c>
      <c r="B420" s="7" t="s">
        <v>933</v>
      </c>
      <c r="C420" s="7" t="s">
        <v>941</v>
      </c>
      <c r="D420" s="7" t="s">
        <v>68</v>
      </c>
      <c r="E420" s="7" t="s">
        <v>7236</v>
      </c>
      <c r="F420" s="7"/>
      <c r="G420" s="7"/>
      <c r="H420" s="7"/>
      <c r="I420" s="7"/>
      <c r="J420" s="7"/>
      <c r="K420" s="7"/>
    </row>
    <row r="421" customFormat="false" ht="57.45" hidden="false" customHeight="false" outlineLevel="0" collapsed="false">
      <c r="A421" s="7" t="n">
        <v>73</v>
      </c>
      <c r="B421" s="7" t="s">
        <v>933</v>
      </c>
      <c r="C421" s="7" t="s">
        <v>941</v>
      </c>
      <c r="D421" s="7" t="s">
        <v>5974</v>
      </c>
      <c r="E421" s="7" t="s">
        <v>7237</v>
      </c>
      <c r="F421" s="7" t="s">
        <v>7238</v>
      </c>
      <c r="G421" s="7" t="s">
        <v>7239</v>
      </c>
      <c r="H421" s="7" t="s">
        <v>7240</v>
      </c>
      <c r="I421" s="7" t="s">
        <v>5812</v>
      </c>
      <c r="J421" s="7" t="s">
        <v>5812</v>
      </c>
      <c r="K421" s="7" t="s">
        <v>7241</v>
      </c>
    </row>
    <row r="422" customFormat="false" ht="35.05" hidden="false" customHeight="false" outlineLevel="0" collapsed="false">
      <c r="A422" s="7" t="n">
        <v>73</v>
      </c>
      <c r="B422" s="7" t="s">
        <v>933</v>
      </c>
      <c r="C422" s="7" t="s">
        <v>941</v>
      </c>
      <c r="D422" s="7" t="s">
        <v>5974</v>
      </c>
      <c r="E422" s="7" t="s">
        <v>7242</v>
      </c>
      <c r="F422" s="7" t="s">
        <v>7243</v>
      </c>
      <c r="G422" s="7"/>
      <c r="H422" s="7" t="s">
        <v>6512</v>
      </c>
      <c r="I422" s="7" t="s">
        <v>5812</v>
      </c>
      <c r="J422" s="7" t="s">
        <v>5812</v>
      </c>
      <c r="K422" s="7" t="s">
        <v>7244</v>
      </c>
    </row>
    <row r="423" customFormat="false" ht="35.05" hidden="false" customHeight="false" outlineLevel="0" collapsed="false">
      <c r="A423" s="7" t="n">
        <v>73</v>
      </c>
      <c r="B423" s="7" t="s">
        <v>933</v>
      </c>
      <c r="C423" s="7" t="s">
        <v>941</v>
      </c>
      <c r="D423" s="7" t="s">
        <v>5974</v>
      </c>
      <c r="E423" s="7" t="s">
        <v>7245</v>
      </c>
      <c r="F423" s="7" t="s">
        <v>7246</v>
      </c>
      <c r="G423" s="7" t="s">
        <v>7247</v>
      </c>
      <c r="H423" s="7" t="s">
        <v>6512</v>
      </c>
      <c r="I423" s="7" t="s">
        <v>5812</v>
      </c>
      <c r="J423" s="7" t="s">
        <v>5812</v>
      </c>
      <c r="K423" s="7" t="s">
        <v>7244</v>
      </c>
    </row>
    <row r="424" customFormat="false" ht="46.25" hidden="false" customHeight="false" outlineLevel="0" collapsed="false">
      <c r="A424" s="7" t="n">
        <v>86</v>
      </c>
      <c r="B424" s="7" t="s">
        <v>1070</v>
      </c>
      <c r="C424" s="7" t="s">
        <v>1078</v>
      </c>
      <c r="D424" s="7" t="s">
        <v>68</v>
      </c>
      <c r="E424" s="7" t="s">
        <v>7248</v>
      </c>
      <c r="F424" s="7"/>
      <c r="G424" s="7"/>
      <c r="H424" s="7"/>
      <c r="I424" s="7"/>
      <c r="J424" s="7"/>
      <c r="K424" s="7"/>
    </row>
    <row r="425" customFormat="false" ht="35.05" hidden="false" customHeight="false" outlineLevel="0" collapsed="false">
      <c r="A425" s="7" t="n">
        <v>86</v>
      </c>
      <c r="B425" s="7" t="s">
        <v>1070</v>
      </c>
      <c r="C425" s="7" t="s">
        <v>1078</v>
      </c>
      <c r="D425" s="7" t="s">
        <v>5974</v>
      </c>
      <c r="E425" s="7" t="s">
        <v>7249</v>
      </c>
      <c r="F425" s="7" t="s">
        <v>7250</v>
      </c>
      <c r="G425" s="7" t="s">
        <v>7251</v>
      </c>
      <c r="H425" s="7" t="s">
        <v>7252</v>
      </c>
      <c r="I425" s="7" t="s">
        <v>5812</v>
      </c>
      <c r="J425" s="7" t="s">
        <v>5812</v>
      </c>
      <c r="K425" s="7" t="s">
        <v>7253</v>
      </c>
    </row>
    <row r="426" customFormat="false" ht="35.05" hidden="false" customHeight="false" outlineLevel="0" collapsed="false">
      <c r="A426" s="7" t="n">
        <v>86</v>
      </c>
      <c r="B426" s="7" t="s">
        <v>1070</v>
      </c>
      <c r="C426" s="7" t="s">
        <v>1078</v>
      </c>
      <c r="D426" s="7" t="s">
        <v>6439</v>
      </c>
      <c r="E426" s="7" t="s">
        <v>7254</v>
      </c>
      <c r="F426" s="7" t="s">
        <v>7255</v>
      </c>
      <c r="G426" s="7"/>
      <c r="H426" s="7" t="s">
        <v>7256</v>
      </c>
      <c r="I426" s="7" t="s">
        <v>5812</v>
      </c>
      <c r="J426" s="7" t="s">
        <v>5812</v>
      </c>
      <c r="K426" s="7" t="s">
        <v>7257</v>
      </c>
    </row>
    <row r="427" customFormat="false" ht="35.05" hidden="false" customHeight="false" outlineLevel="0" collapsed="false">
      <c r="A427" s="7" t="n">
        <v>86</v>
      </c>
      <c r="B427" s="7" t="s">
        <v>1070</v>
      </c>
      <c r="C427" s="7" t="s">
        <v>1078</v>
      </c>
      <c r="D427" s="7" t="s">
        <v>5974</v>
      </c>
      <c r="E427" s="7" t="s">
        <v>7258</v>
      </c>
      <c r="F427" s="7" t="s">
        <v>7259</v>
      </c>
      <c r="G427" s="7"/>
      <c r="H427" s="7" t="s">
        <v>6512</v>
      </c>
      <c r="I427" s="7" t="s">
        <v>5812</v>
      </c>
      <c r="J427" s="7" t="s">
        <v>5812</v>
      </c>
      <c r="K427" s="7" t="s">
        <v>7260</v>
      </c>
    </row>
    <row r="428" customFormat="false" ht="35.05" hidden="false" customHeight="false" outlineLevel="0" collapsed="false">
      <c r="A428" s="7" t="n">
        <v>97</v>
      </c>
      <c r="B428" s="7" t="s">
        <v>1187</v>
      </c>
      <c r="C428" s="7" t="s">
        <v>1194</v>
      </c>
      <c r="D428" s="7" t="s">
        <v>68</v>
      </c>
      <c r="E428" s="7" t="s">
        <v>7261</v>
      </c>
      <c r="F428" s="7"/>
      <c r="G428" s="7"/>
      <c r="H428" s="7"/>
      <c r="I428" s="7"/>
      <c r="J428" s="7"/>
      <c r="K428" s="7"/>
    </row>
    <row r="429" customFormat="false" ht="35.05" hidden="false" customHeight="false" outlineLevel="0" collapsed="false">
      <c r="A429" s="7" t="n">
        <v>97</v>
      </c>
      <c r="B429" s="7" t="s">
        <v>1187</v>
      </c>
      <c r="C429" s="7" t="s">
        <v>1194</v>
      </c>
      <c r="D429" s="7" t="s">
        <v>7262</v>
      </c>
      <c r="E429" s="7" t="s">
        <v>6655</v>
      </c>
      <c r="F429" s="7" t="s">
        <v>7263</v>
      </c>
      <c r="G429" s="7" t="s">
        <v>7264</v>
      </c>
      <c r="H429" s="7" t="s">
        <v>7265</v>
      </c>
      <c r="I429" s="7" t="s">
        <v>5818</v>
      </c>
      <c r="J429" s="7" t="s">
        <v>5818</v>
      </c>
      <c r="K429" s="7" t="s">
        <v>7266</v>
      </c>
    </row>
    <row r="430" customFormat="false" ht="35.05" hidden="false" customHeight="false" outlineLevel="0" collapsed="false">
      <c r="A430" s="7" t="n">
        <v>97</v>
      </c>
      <c r="B430" s="7" t="s">
        <v>1187</v>
      </c>
      <c r="C430" s="7" t="s">
        <v>1194</v>
      </c>
      <c r="D430" s="7" t="s">
        <v>6082</v>
      </c>
      <c r="E430" s="7" t="s">
        <v>7267</v>
      </c>
      <c r="F430" s="7" t="s">
        <v>7268</v>
      </c>
      <c r="G430" s="7"/>
      <c r="H430" s="7" t="s">
        <v>7269</v>
      </c>
      <c r="I430" s="7" t="s">
        <v>5818</v>
      </c>
      <c r="J430" s="7" t="s">
        <v>5818</v>
      </c>
      <c r="K430" s="7" t="s">
        <v>7270</v>
      </c>
    </row>
    <row r="431" customFormat="false" ht="23.85" hidden="false" customHeight="false" outlineLevel="0" collapsed="false">
      <c r="A431" s="7" t="n">
        <v>97</v>
      </c>
      <c r="B431" s="7" t="s">
        <v>1187</v>
      </c>
      <c r="C431" s="7" t="s">
        <v>1194</v>
      </c>
      <c r="D431" s="7" t="s">
        <v>6186</v>
      </c>
      <c r="E431" s="7" t="s">
        <v>7271</v>
      </c>
      <c r="F431" s="7" t="s">
        <v>7272</v>
      </c>
      <c r="G431" s="7"/>
      <c r="H431" s="7" t="s">
        <v>7273</v>
      </c>
      <c r="I431" s="7" t="s">
        <v>5812</v>
      </c>
      <c r="J431" s="7" t="s">
        <v>5812</v>
      </c>
      <c r="K431" s="7" t="s">
        <v>7270</v>
      </c>
    </row>
    <row r="432" customFormat="false" ht="46.25" hidden="false" customHeight="false" outlineLevel="0" collapsed="false">
      <c r="A432" s="7" t="n">
        <v>71</v>
      </c>
      <c r="B432" s="7" t="s">
        <v>911</v>
      </c>
      <c r="C432" s="7" t="s">
        <v>919</v>
      </c>
      <c r="D432" s="7" t="s">
        <v>68</v>
      </c>
      <c r="E432" s="7" t="s">
        <v>7274</v>
      </c>
      <c r="F432" s="7"/>
      <c r="G432" s="7"/>
      <c r="H432" s="7"/>
      <c r="I432" s="7"/>
      <c r="J432" s="7"/>
      <c r="K432" s="7"/>
    </row>
    <row r="433" customFormat="false" ht="57.45" hidden="false" customHeight="false" outlineLevel="0" collapsed="false">
      <c r="A433" s="7" t="n">
        <v>71</v>
      </c>
      <c r="B433" s="7" t="s">
        <v>911</v>
      </c>
      <c r="C433" s="7" t="s">
        <v>919</v>
      </c>
      <c r="D433" s="7" t="s">
        <v>5974</v>
      </c>
      <c r="E433" s="7" t="s">
        <v>7275</v>
      </c>
      <c r="F433" s="7" t="s">
        <v>7276</v>
      </c>
      <c r="G433" s="7"/>
      <c r="H433" s="7" t="s">
        <v>7277</v>
      </c>
      <c r="I433" s="7" t="s">
        <v>5805</v>
      </c>
      <c r="J433" s="7" t="s">
        <v>5805</v>
      </c>
      <c r="K433" s="7" t="s">
        <v>7278</v>
      </c>
    </row>
    <row r="434" customFormat="false" ht="23.85" hidden="false" customHeight="false" outlineLevel="0" collapsed="false">
      <c r="A434" s="7" t="n">
        <v>71</v>
      </c>
      <c r="B434" s="7" t="s">
        <v>911</v>
      </c>
      <c r="C434" s="7" t="s">
        <v>919</v>
      </c>
      <c r="D434" s="7" t="s">
        <v>5974</v>
      </c>
      <c r="E434" s="7" t="s">
        <v>7279</v>
      </c>
      <c r="F434" s="7" t="s">
        <v>7280</v>
      </c>
      <c r="G434" s="7"/>
      <c r="H434" s="7" t="s">
        <v>7281</v>
      </c>
      <c r="I434" s="7" t="s">
        <v>5812</v>
      </c>
      <c r="J434" s="7" t="s">
        <v>5812</v>
      </c>
      <c r="K434" s="7" t="s">
        <v>7282</v>
      </c>
    </row>
    <row r="435" customFormat="false" ht="23.85" hidden="false" customHeight="false" outlineLevel="0" collapsed="false">
      <c r="A435" s="7" t="n">
        <v>71</v>
      </c>
      <c r="B435" s="7" t="s">
        <v>911</v>
      </c>
      <c r="C435" s="7" t="s">
        <v>919</v>
      </c>
      <c r="D435" s="7" t="s">
        <v>5974</v>
      </c>
      <c r="E435" s="7" t="s">
        <v>7283</v>
      </c>
      <c r="F435" s="7" t="s">
        <v>7284</v>
      </c>
      <c r="G435" s="7"/>
      <c r="H435" s="7" t="s">
        <v>6512</v>
      </c>
      <c r="I435" s="7" t="s">
        <v>5812</v>
      </c>
      <c r="J435" s="7" t="s">
        <v>5812</v>
      </c>
      <c r="K435" s="7" t="s">
        <v>7282</v>
      </c>
    </row>
    <row r="436" customFormat="false" ht="57.45" hidden="false" customHeight="false" outlineLevel="0" collapsed="false">
      <c r="A436" s="7" t="n">
        <v>88</v>
      </c>
      <c r="B436" s="7" t="s">
        <v>1092</v>
      </c>
      <c r="C436" s="7" t="s">
        <v>1098</v>
      </c>
      <c r="D436" s="7" t="s">
        <v>68</v>
      </c>
      <c r="E436" s="7" t="s">
        <v>7285</v>
      </c>
      <c r="F436" s="7"/>
      <c r="G436" s="7"/>
      <c r="H436" s="7"/>
      <c r="I436" s="7"/>
      <c r="J436" s="7"/>
      <c r="K436" s="7"/>
    </row>
    <row r="437" customFormat="false" ht="46.25" hidden="false" customHeight="false" outlineLevel="0" collapsed="false">
      <c r="A437" s="7" t="n">
        <v>88</v>
      </c>
      <c r="B437" s="7" t="s">
        <v>1092</v>
      </c>
      <c r="C437" s="7" t="s">
        <v>1098</v>
      </c>
      <c r="D437" s="7" t="s">
        <v>5974</v>
      </c>
      <c r="E437" s="7" t="s">
        <v>7286</v>
      </c>
      <c r="F437" s="7" t="s">
        <v>7287</v>
      </c>
      <c r="G437" s="7"/>
      <c r="H437" s="7" t="s">
        <v>7288</v>
      </c>
      <c r="I437" s="7" t="s">
        <v>5812</v>
      </c>
      <c r="J437" s="7" t="s">
        <v>5812</v>
      </c>
      <c r="K437" s="7" t="s">
        <v>7289</v>
      </c>
    </row>
    <row r="438" customFormat="false" ht="35.05" hidden="false" customHeight="false" outlineLevel="0" collapsed="false">
      <c r="A438" s="7" t="n">
        <v>88</v>
      </c>
      <c r="B438" s="7" t="s">
        <v>1092</v>
      </c>
      <c r="C438" s="7" t="s">
        <v>1098</v>
      </c>
      <c r="D438" s="7" t="s">
        <v>5870</v>
      </c>
      <c r="E438" s="7" t="s">
        <v>7290</v>
      </c>
      <c r="F438" s="7" t="s">
        <v>7291</v>
      </c>
      <c r="G438" s="7"/>
      <c r="H438" s="7" t="s">
        <v>7292</v>
      </c>
      <c r="I438" s="7" t="s">
        <v>5818</v>
      </c>
      <c r="J438" s="7" t="s">
        <v>5818</v>
      </c>
      <c r="K438" s="7" t="s">
        <v>7293</v>
      </c>
    </row>
    <row r="439" customFormat="false" ht="68.65" hidden="false" customHeight="false" outlineLevel="0" collapsed="false">
      <c r="A439" s="7" t="n">
        <v>115</v>
      </c>
      <c r="B439" s="7" t="s">
        <v>1350</v>
      </c>
      <c r="C439" s="7" t="s">
        <v>1356</v>
      </c>
      <c r="D439" s="7" t="s">
        <v>68</v>
      </c>
      <c r="E439" s="7" t="s">
        <v>7294</v>
      </c>
      <c r="F439" s="7"/>
      <c r="G439" s="7"/>
      <c r="H439" s="7"/>
      <c r="I439" s="7"/>
      <c r="J439" s="7"/>
      <c r="K439" s="7"/>
    </row>
    <row r="440" customFormat="false" ht="23.85" hidden="false" customHeight="false" outlineLevel="0" collapsed="false">
      <c r="A440" s="7" t="n">
        <v>115</v>
      </c>
      <c r="B440" s="7" t="s">
        <v>1350</v>
      </c>
      <c r="C440" s="7" t="s">
        <v>1356</v>
      </c>
      <c r="D440" s="7" t="s">
        <v>5974</v>
      </c>
      <c r="E440" s="7" t="s">
        <v>7295</v>
      </c>
      <c r="F440" s="7" t="s">
        <v>7296</v>
      </c>
      <c r="G440" s="7" t="s">
        <v>7297</v>
      </c>
      <c r="H440" s="7" t="s">
        <v>7298</v>
      </c>
      <c r="I440" s="7" t="s">
        <v>5812</v>
      </c>
      <c r="J440" s="7" t="s">
        <v>5812</v>
      </c>
      <c r="K440" s="7" t="s">
        <v>7299</v>
      </c>
    </row>
    <row r="441" customFormat="false" ht="23.85" hidden="false" customHeight="false" outlineLevel="0" collapsed="false">
      <c r="A441" s="7" t="n">
        <v>115</v>
      </c>
      <c r="B441" s="7" t="s">
        <v>1350</v>
      </c>
      <c r="C441" s="7" t="s">
        <v>1356</v>
      </c>
      <c r="D441" s="7" t="s">
        <v>5974</v>
      </c>
      <c r="E441" s="7" t="s">
        <v>7300</v>
      </c>
      <c r="F441" s="7" t="s">
        <v>7301</v>
      </c>
      <c r="G441" s="7" t="s">
        <v>7302</v>
      </c>
      <c r="H441" s="7" t="s">
        <v>7303</v>
      </c>
      <c r="I441" s="7" t="s">
        <v>5812</v>
      </c>
      <c r="J441" s="7" t="s">
        <v>5812</v>
      </c>
      <c r="K441" s="7" t="s">
        <v>7299</v>
      </c>
    </row>
    <row r="442" customFormat="false" ht="23.85" hidden="false" customHeight="false" outlineLevel="0" collapsed="false">
      <c r="A442" s="7" t="n">
        <v>115</v>
      </c>
      <c r="B442" s="7" t="s">
        <v>1350</v>
      </c>
      <c r="C442" s="7" t="s">
        <v>1356</v>
      </c>
      <c r="D442" s="7" t="s">
        <v>5974</v>
      </c>
      <c r="E442" s="7" t="s">
        <v>7304</v>
      </c>
      <c r="F442" s="7" t="s">
        <v>7305</v>
      </c>
      <c r="G442" s="7"/>
      <c r="H442" s="7" t="s">
        <v>7306</v>
      </c>
      <c r="I442" s="7" t="s">
        <v>5812</v>
      </c>
      <c r="J442" s="7" t="s">
        <v>5812</v>
      </c>
      <c r="K442" s="7"/>
    </row>
    <row r="443" customFormat="false" ht="79.85" hidden="false" customHeight="false" outlineLevel="0" collapsed="false">
      <c r="A443" s="7" t="n">
        <v>84</v>
      </c>
      <c r="B443" s="7" t="s">
        <v>1048</v>
      </c>
      <c r="C443" s="7" t="s">
        <v>1056</v>
      </c>
      <c r="D443" s="7" t="s">
        <v>7307</v>
      </c>
      <c r="E443" s="7" t="s">
        <v>7308</v>
      </c>
      <c r="F443" s="7" t="s">
        <v>7309</v>
      </c>
      <c r="G443" s="7" t="s">
        <v>7310</v>
      </c>
      <c r="H443" s="7" t="s">
        <v>7311</v>
      </c>
      <c r="I443" s="7" t="s">
        <v>5812</v>
      </c>
      <c r="J443" s="7" t="s">
        <v>5812</v>
      </c>
      <c r="K443" s="7" t="s">
        <v>7312</v>
      </c>
    </row>
    <row r="444" customFormat="false" ht="23.85" hidden="false" customHeight="false" outlineLevel="0" collapsed="false">
      <c r="A444" s="7" t="n">
        <v>84</v>
      </c>
      <c r="B444" s="7" t="s">
        <v>1048</v>
      </c>
      <c r="C444" s="7" t="s">
        <v>1056</v>
      </c>
      <c r="D444" s="7" t="s">
        <v>7307</v>
      </c>
      <c r="E444" s="7" t="s">
        <v>7313</v>
      </c>
      <c r="F444" s="7" t="s">
        <v>7314</v>
      </c>
      <c r="G444" s="7" t="s">
        <v>7315</v>
      </c>
      <c r="H444" s="7" t="s">
        <v>7316</v>
      </c>
      <c r="I444" s="7" t="s">
        <v>5818</v>
      </c>
      <c r="J444" s="7" t="s">
        <v>5818</v>
      </c>
      <c r="K444" s="7" t="s">
        <v>7317</v>
      </c>
    </row>
    <row r="445" customFormat="false" ht="57.45" hidden="false" customHeight="false" outlineLevel="0" collapsed="false">
      <c r="A445" s="7" t="n">
        <v>84</v>
      </c>
      <c r="B445" s="7" t="s">
        <v>1048</v>
      </c>
      <c r="C445" s="7" t="s">
        <v>1056</v>
      </c>
      <c r="D445" s="7" t="s">
        <v>7307</v>
      </c>
      <c r="E445" s="7" t="s">
        <v>7318</v>
      </c>
      <c r="F445" s="7" t="s">
        <v>7319</v>
      </c>
      <c r="G445" s="7" t="s">
        <v>7320</v>
      </c>
      <c r="H445" s="7" t="s">
        <v>7321</v>
      </c>
      <c r="I445" s="7" t="s">
        <v>5857</v>
      </c>
      <c r="J445" s="7" t="s">
        <v>5857</v>
      </c>
      <c r="K445" s="7" t="s">
        <v>7322</v>
      </c>
    </row>
    <row r="446" customFormat="false" ht="46.25" hidden="false" customHeight="false" outlineLevel="0" collapsed="false">
      <c r="A446" s="7" t="n">
        <v>84</v>
      </c>
      <c r="B446" s="7" t="s">
        <v>1048</v>
      </c>
      <c r="C446" s="7" t="s">
        <v>1056</v>
      </c>
      <c r="D446" s="7" t="s">
        <v>7307</v>
      </c>
      <c r="E446" s="7" t="s">
        <v>7323</v>
      </c>
      <c r="F446" s="7" t="s">
        <v>7324</v>
      </c>
      <c r="G446" s="7" t="s">
        <v>7325</v>
      </c>
      <c r="H446" s="7" t="s">
        <v>7326</v>
      </c>
      <c r="I446" s="7" t="s">
        <v>5812</v>
      </c>
      <c r="J446" s="7" t="s">
        <v>5812</v>
      </c>
      <c r="K446" s="7"/>
    </row>
    <row r="447" customFormat="false" ht="23.85" hidden="false" customHeight="false" outlineLevel="0" collapsed="false">
      <c r="A447" s="7" t="n">
        <v>84</v>
      </c>
      <c r="B447" s="7" t="s">
        <v>1048</v>
      </c>
      <c r="C447" s="7" t="s">
        <v>1056</v>
      </c>
      <c r="D447" s="7" t="s">
        <v>5974</v>
      </c>
      <c r="E447" s="7" t="s">
        <v>7327</v>
      </c>
      <c r="F447" s="7" t="s">
        <v>7328</v>
      </c>
      <c r="G447" s="7" t="s">
        <v>7329</v>
      </c>
      <c r="H447" s="7" t="s">
        <v>7330</v>
      </c>
      <c r="I447" s="7" t="s">
        <v>5812</v>
      </c>
      <c r="J447" s="7" t="s">
        <v>5812</v>
      </c>
      <c r="K447" s="7" t="s">
        <v>7331</v>
      </c>
    </row>
    <row r="448" customFormat="false" ht="79.85" hidden="false" customHeight="false" outlineLevel="0" collapsed="false">
      <c r="A448" s="7" t="n">
        <v>92</v>
      </c>
      <c r="B448" s="7" t="s">
        <v>1132</v>
      </c>
      <c r="C448" s="7" t="s">
        <v>1140</v>
      </c>
      <c r="D448" s="7" t="s">
        <v>7332</v>
      </c>
      <c r="E448" s="7" t="s">
        <v>7333</v>
      </c>
      <c r="F448" s="7" t="s">
        <v>7334</v>
      </c>
      <c r="G448" s="7" t="s">
        <v>7335</v>
      </c>
      <c r="H448" s="7" t="s">
        <v>7336</v>
      </c>
      <c r="I448" s="7" t="s">
        <v>5805</v>
      </c>
      <c r="J448" s="7" t="s">
        <v>5805</v>
      </c>
      <c r="K448" s="7" t="s">
        <v>7337</v>
      </c>
    </row>
    <row r="449" customFormat="false" ht="46.25" hidden="false" customHeight="false" outlineLevel="0" collapsed="false">
      <c r="A449" s="7" t="n">
        <v>92</v>
      </c>
      <c r="B449" s="7" t="s">
        <v>1132</v>
      </c>
      <c r="C449" s="7" t="s">
        <v>1140</v>
      </c>
      <c r="D449" s="7" t="s">
        <v>7307</v>
      </c>
      <c r="E449" s="7" t="s">
        <v>7338</v>
      </c>
      <c r="F449" s="7" t="s">
        <v>7339</v>
      </c>
      <c r="G449" s="7"/>
      <c r="H449" s="7" t="s">
        <v>7340</v>
      </c>
      <c r="I449" s="7" t="s">
        <v>5818</v>
      </c>
      <c r="J449" s="7" t="s">
        <v>5818</v>
      </c>
      <c r="K449" s="7" t="s">
        <v>7341</v>
      </c>
    </row>
    <row r="450" customFormat="false" ht="23.85" hidden="false" customHeight="false" outlineLevel="0" collapsed="false">
      <c r="A450" s="7" t="n">
        <v>92</v>
      </c>
      <c r="B450" s="7" t="s">
        <v>1132</v>
      </c>
      <c r="C450" s="7" t="s">
        <v>1140</v>
      </c>
      <c r="D450" s="7" t="s">
        <v>7307</v>
      </c>
      <c r="E450" s="7" t="s">
        <v>7342</v>
      </c>
      <c r="F450" s="7" t="s">
        <v>7343</v>
      </c>
      <c r="G450" s="7"/>
      <c r="H450" s="7" t="s">
        <v>7344</v>
      </c>
      <c r="I450" s="7" t="s">
        <v>5857</v>
      </c>
      <c r="J450" s="7" t="s">
        <v>5857</v>
      </c>
      <c r="K450" s="7" t="s">
        <v>7337</v>
      </c>
    </row>
    <row r="451" customFormat="false" ht="23.85" hidden="false" customHeight="false" outlineLevel="0" collapsed="false">
      <c r="A451" s="7" t="n">
        <v>92</v>
      </c>
      <c r="B451" s="7" t="s">
        <v>1132</v>
      </c>
      <c r="C451" s="7" t="s">
        <v>1140</v>
      </c>
      <c r="D451" s="7" t="s">
        <v>7307</v>
      </c>
      <c r="E451" s="7" t="s">
        <v>7345</v>
      </c>
      <c r="F451" s="7" t="s">
        <v>7346</v>
      </c>
      <c r="G451" s="7" t="s">
        <v>7347</v>
      </c>
      <c r="H451" s="7" t="s">
        <v>7348</v>
      </c>
      <c r="I451" s="7" t="s">
        <v>5857</v>
      </c>
      <c r="J451" s="7" t="s">
        <v>5857</v>
      </c>
      <c r="K451" s="7" t="s">
        <v>7337</v>
      </c>
    </row>
    <row r="452" customFormat="false" ht="23.85" hidden="false" customHeight="false" outlineLevel="0" collapsed="false">
      <c r="A452" s="7" t="n">
        <v>92</v>
      </c>
      <c r="B452" s="7" t="s">
        <v>1132</v>
      </c>
      <c r="C452" s="7" t="s">
        <v>1140</v>
      </c>
      <c r="D452" s="7" t="s">
        <v>7307</v>
      </c>
      <c r="E452" s="7" t="s">
        <v>6521</v>
      </c>
      <c r="F452" s="7" t="s">
        <v>7349</v>
      </c>
      <c r="G452" s="7"/>
      <c r="H452" s="7" t="s">
        <v>7350</v>
      </c>
      <c r="I452" s="7" t="s">
        <v>5812</v>
      </c>
      <c r="J452" s="7" t="s">
        <v>5812</v>
      </c>
      <c r="K452" s="7"/>
    </row>
    <row r="453" customFormat="false" ht="57.45" hidden="false" customHeight="false" outlineLevel="0" collapsed="false">
      <c r="A453" s="7" t="n">
        <v>91</v>
      </c>
      <c r="B453" s="7" t="s">
        <v>1121</v>
      </c>
      <c r="C453" s="7" t="s">
        <v>1129</v>
      </c>
      <c r="D453" s="7" t="s">
        <v>68</v>
      </c>
      <c r="E453" s="7" t="s">
        <v>7351</v>
      </c>
      <c r="F453" s="7"/>
      <c r="G453" s="7"/>
      <c r="H453" s="7"/>
      <c r="I453" s="7"/>
      <c r="J453" s="7"/>
      <c r="K453" s="7"/>
    </row>
    <row r="454" customFormat="false" ht="46.25" hidden="false" customHeight="false" outlineLevel="0" collapsed="false">
      <c r="A454" s="7" t="n">
        <v>91</v>
      </c>
      <c r="B454" s="7" t="s">
        <v>1121</v>
      </c>
      <c r="C454" s="7" t="s">
        <v>1129</v>
      </c>
      <c r="D454" s="7" t="s">
        <v>5974</v>
      </c>
      <c r="E454" s="7" t="s">
        <v>7352</v>
      </c>
      <c r="F454" s="7" t="s">
        <v>7353</v>
      </c>
      <c r="G454" s="7" t="s">
        <v>7354</v>
      </c>
      <c r="H454" s="7" t="s">
        <v>7355</v>
      </c>
      <c r="I454" s="7" t="s">
        <v>5812</v>
      </c>
      <c r="J454" s="7" t="s">
        <v>5812</v>
      </c>
      <c r="K454" s="7" t="s">
        <v>7356</v>
      </c>
    </row>
    <row r="455" customFormat="false" ht="35.05" hidden="false" customHeight="false" outlineLevel="0" collapsed="false">
      <c r="A455" s="7" t="n">
        <v>91</v>
      </c>
      <c r="B455" s="7" t="s">
        <v>1121</v>
      </c>
      <c r="C455" s="7" t="s">
        <v>1129</v>
      </c>
      <c r="D455" s="7" t="s">
        <v>5974</v>
      </c>
      <c r="E455" s="7" t="s">
        <v>7357</v>
      </c>
      <c r="F455" s="7" t="s">
        <v>7358</v>
      </c>
      <c r="G455" s="7" t="s">
        <v>7359</v>
      </c>
      <c r="H455" s="7" t="s">
        <v>7303</v>
      </c>
      <c r="I455" s="7" t="s">
        <v>5812</v>
      </c>
      <c r="J455" s="7" t="s">
        <v>5812</v>
      </c>
      <c r="K455" s="7" t="s">
        <v>7356</v>
      </c>
    </row>
    <row r="456" customFormat="false" ht="57.45" hidden="false" customHeight="false" outlineLevel="0" collapsed="false">
      <c r="A456" s="7" t="n">
        <v>91</v>
      </c>
      <c r="B456" s="7" t="s">
        <v>1121</v>
      </c>
      <c r="C456" s="7" t="s">
        <v>1129</v>
      </c>
      <c r="D456" s="7" t="s">
        <v>5974</v>
      </c>
      <c r="E456" s="7" t="s">
        <v>7360</v>
      </c>
      <c r="F456" s="7" t="s">
        <v>7361</v>
      </c>
      <c r="G456" s="7" t="s">
        <v>7362</v>
      </c>
      <c r="H456" s="7" t="s">
        <v>7363</v>
      </c>
      <c r="I456" s="7" t="s">
        <v>5818</v>
      </c>
      <c r="J456" s="7" t="s">
        <v>5818</v>
      </c>
      <c r="K456" s="7" t="s">
        <v>7364</v>
      </c>
    </row>
    <row r="457" customFormat="false" ht="35.05" hidden="false" customHeight="false" outlineLevel="0" collapsed="false">
      <c r="A457" s="7" t="n">
        <v>91</v>
      </c>
      <c r="B457" s="7" t="s">
        <v>1121</v>
      </c>
      <c r="C457" s="7" t="s">
        <v>1129</v>
      </c>
      <c r="D457" s="7" t="s">
        <v>5974</v>
      </c>
      <c r="E457" s="7" t="s">
        <v>7365</v>
      </c>
      <c r="F457" s="7" t="s">
        <v>7366</v>
      </c>
      <c r="G457" s="7" t="s">
        <v>7367</v>
      </c>
      <c r="H457" s="7" t="s">
        <v>7368</v>
      </c>
      <c r="I457" s="7" t="s">
        <v>5812</v>
      </c>
      <c r="J457" s="7" t="s">
        <v>5812</v>
      </c>
      <c r="K457" s="7"/>
    </row>
    <row r="458" customFormat="false" ht="57.45" hidden="false" customHeight="false" outlineLevel="0" collapsed="false">
      <c r="A458" s="7" t="n">
        <v>68</v>
      </c>
      <c r="B458" s="7" t="s">
        <v>877</v>
      </c>
      <c r="C458" s="7" t="s">
        <v>886</v>
      </c>
      <c r="D458" s="7" t="s">
        <v>68</v>
      </c>
      <c r="E458" s="7" t="s">
        <v>7369</v>
      </c>
      <c r="F458" s="7"/>
      <c r="G458" s="7"/>
      <c r="H458" s="7"/>
      <c r="I458" s="7"/>
      <c r="J458" s="7"/>
      <c r="K458" s="7"/>
    </row>
    <row r="459" customFormat="false" ht="35.05" hidden="false" customHeight="false" outlineLevel="0" collapsed="false">
      <c r="A459" s="7" t="n">
        <v>68</v>
      </c>
      <c r="B459" s="7" t="s">
        <v>877</v>
      </c>
      <c r="C459" s="7" t="s">
        <v>886</v>
      </c>
      <c r="D459" s="7" t="s">
        <v>7370</v>
      </c>
      <c r="E459" s="7" t="s">
        <v>7371</v>
      </c>
      <c r="F459" s="7" t="s">
        <v>7372</v>
      </c>
      <c r="G459" s="7"/>
      <c r="H459" s="7" t="s">
        <v>7373</v>
      </c>
      <c r="I459" s="7" t="s">
        <v>5812</v>
      </c>
      <c r="J459" s="7" t="s">
        <v>5812</v>
      </c>
      <c r="K459" s="7" t="s">
        <v>7374</v>
      </c>
    </row>
    <row r="460" customFormat="false" ht="23.85" hidden="false" customHeight="false" outlineLevel="0" collapsed="false">
      <c r="A460" s="7" t="n">
        <v>68</v>
      </c>
      <c r="B460" s="7" t="s">
        <v>877</v>
      </c>
      <c r="C460" s="7" t="s">
        <v>886</v>
      </c>
      <c r="D460" s="7" t="s">
        <v>7370</v>
      </c>
      <c r="E460" s="7" t="s">
        <v>7375</v>
      </c>
      <c r="F460" s="7" t="s">
        <v>7376</v>
      </c>
      <c r="G460" s="7"/>
      <c r="H460" s="7" t="s">
        <v>7377</v>
      </c>
      <c r="I460" s="7" t="s">
        <v>5812</v>
      </c>
      <c r="J460" s="7" t="s">
        <v>5812</v>
      </c>
      <c r="K460" s="7" t="s">
        <v>7378</v>
      </c>
    </row>
    <row r="461" customFormat="false" ht="23.85" hidden="false" customHeight="false" outlineLevel="0" collapsed="false">
      <c r="A461" s="7" t="n">
        <v>68</v>
      </c>
      <c r="B461" s="7" t="s">
        <v>877</v>
      </c>
      <c r="C461" s="7" t="s">
        <v>886</v>
      </c>
      <c r="D461" s="7" t="s">
        <v>7370</v>
      </c>
      <c r="E461" s="7" t="s">
        <v>7379</v>
      </c>
      <c r="F461" s="7" t="s">
        <v>7380</v>
      </c>
      <c r="G461" s="7"/>
      <c r="H461" s="7" t="s">
        <v>7381</v>
      </c>
      <c r="I461" s="7" t="s">
        <v>5812</v>
      </c>
      <c r="J461" s="7" t="s">
        <v>5812</v>
      </c>
      <c r="K461" s="7" t="s">
        <v>7378</v>
      </c>
    </row>
    <row r="462" customFormat="false" ht="57.45" hidden="false" customHeight="false" outlineLevel="0" collapsed="false">
      <c r="A462" s="7" t="n">
        <v>68</v>
      </c>
      <c r="B462" s="7" t="s">
        <v>877</v>
      </c>
      <c r="C462" s="7" t="s">
        <v>886</v>
      </c>
      <c r="D462" s="7" t="s">
        <v>5974</v>
      </c>
      <c r="E462" s="7" t="s">
        <v>7382</v>
      </c>
      <c r="F462" s="7" t="s">
        <v>7383</v>
      </c>
      <c r="G462" s="7"/>
      <c r="H462" s="7" t="s">
        <v>7384</v>
      </c>
      <c r="I462" s="7" t="s">
        <v>7385</v>
      </c>
      <c r="J462" s="7" t="s">
        <v>5812</v>
      </c>
      <c r="K462" s="7" t="s">
        <v>7386</v>
      </c>
    </row>
    <row r="463" customFormat="false" ht="46.25" hidden="false" customHeight="false" outlineLevel="0" collapsed="false">
      <c r="A463" s="7" t="n">
        <v>68</v>
      </c>
      <c r="B463" s="7" t="s">
        <v>877</v>
      </c>
      <c r="C463" s="7" t="s">
        <v>886</v>
      </c>
      <c r="D463" s="7" t="s">
        <v>5974</v>
      </c>
      <c r="E463" s="7" t="s">
        <v>6569</v>
      </c>
      <c r="F463" s="7" t="s">
        <v>7387</v>
      </c>
      <c r="G463" s="7" t="s">
        <v>7388</v>
      </c>
      <c r="H463" s="7" t="s">
        <v>6442</v>
      </c>
      <c r="I463" s="7" t="s">
        <v>5812</v>
      </c>
      <c r="J463" s="7" t="s">
        <v>5812</v>
      </c>
      <c r="K463" s="7" t="s">
        <v>7389</v>
      </c>
    </row>
    <row r="464" customFormat="false" ht="35.05" hidden="false" customHeight="false" outlineLevel="0" collapsed="false">
      <c r="A464" s="7" t="n">
        <v>64</v>
      </c>
      <c r="B464" s="7" t="s">
        <v>832</v>
      </c>
      <c r="C464" s="7" t="s">
        <v>840</v>
      </c>
      <c r="D464" s="7" t="s">
        <v>6152</v>
      </c>
      <c r="E464" s="7" t="s">
        <v>7390</v>
      </c>
      <c r="F464" s="7"/>
      <c r="G464" s="7"/>
      <c r="H464" s="7"/>
      <c r="I464" s="7"/>
      <c r="J464" s="7"/>
      <c r="K464" s="7"/>
    </row>
    <row r="465" customFormat="false" ht="23.85" hidden="false" customHeight="false" outlineLevel="0" collapsed="false">
      <c r="A465" s="7" t="n">
        <v>64</v>
      </c>
      <c r="B465" s="7" t="s">
        <v>832</v>
      </c>
      <c r="C465" s="7" t="s">
        <v>840</v>
      </c>
      <c r="D465" s="7" t="s">
        <v>6152</v>
      </c>
      <c r="E465" s="7" t="s">
        <v>7391</v>
      </c>
      <c r="F465" s="7"/>
      <c r="G465" s="7"/>
      <c r="H465" s="7"/>
      <c r="I465" s="7"/>
      <c r="J465" s="7"/>
      <c r="K465" s="7"/>
    </row>
    <row r="466" customFormat="false" ht="23.85" hidden="false" customHeight="false" outlineLevel="0" collapsed="false">
      <c r="A466" s="7" t="n">
        <v>64</v>
      </c>
      <c r="B466" s="7" t="s">
        <v>832</v>
      </c>
      <c r="C466" s="7" t="s">
        <v>840</v>
      </c>
      <c r="D466" s="7" t="s">
        <v>6152</v>
      </c>
      <c r="E466" s="7" t="s">
        <v>7392</v>
      </c>
      <c r="F466" s="7"/>
      <c r="G466" s="7"/>
      <c r="H466" s="7"/>
      <c r="I466" s="7"/>
      <c r="J466" s="7"/>
      <c r="K466" s="7"/>
    </row>
    <row r="467" customFormat="false" ht="23.85" hidden="false" customHeight="false" outlineLevel="0" collapsed="false">
      <c r="A467" s="7" t="n">
        <v>64</v>
      </c>
      <c r="B467" s="7" t="s">
        <v>832</v>
      </c>
      <c r="C467" s="7" t="s">
        <v>840</v>
      </c>
      <c r="D467" s="7" t="s">
        <v>6152</v>
      </c>
      <c r="E467" s="7" t="s">
        <v>7393</v>
      </c>
      <c r="F467" s="7"/>
      <c r="G467" s="7"/>
      <c r="H467" s="7"/>
      <c r="I467" s="7"/>
      <c r="J467" s="7"/>
      <c r="K467" s="7"/>
    </row>
    <row r="468" customFormat="false" ht="35.05" hidden="false" customHeight="false" outlineLevel="0" collapsed="false">
      <c r="A468" s="7" t="n">
        <v>64</v>
      </c>
      <c r="B468" s="7" t="s">
        <v>832</v>
      </c>
      <c r="C468" s="7" t="s">
        <v>840</v>
      </c>
      <c r="D468" s="7" t="s">
        <v>6154</v>
      </c>
      <c r="E468" s="7" t="s">
        <v>7000</v>
      </c>
      <c r="F468" s="7" t="s">
        <v>7394</v>
      </c>
      <c r="G468" s="7"/>
      <c r="H468" s="7" t="s">
        <v>7395</v>
      </c>
      <c r="I468" s="7" t="s">
        <v>7396</v>
      </c>
      <c r="J468" s="7" t="s">
        <v>5812</v>
      </c>
      <c r="K468" s="7" t="s">
        <v>7397</v>
      </c>
    </row>
    <row r="469" customFormat="false" ht="23.85" hidden="false" customHeight="false" outlineLevel="0" collapsed="false">
      <c r="A469" s="7" t="n">
        <v>64</v>
      </c>
      <c r="B469" s="7" t="s">
        <v>832</v>
      </c>
      <c r="C469" s="7" t="s">
        <v>840</v>
      </c>
      <c r="D469" s="7" t="s">
        <v>6154</v>
      </c>
      <c r="E469" s="7" t="s">
        <v>7398</v>
      </c>
      <c r="F469" s="7" t="s">
        <v>7399</v>
      </c>
      <c r="G469" s="7"/>
      <c r="H469" s="7" t="s">
        <v>7400</v>
      </c>
      <c r="I469" s="7" t="s">
        <v>5812</v>
      </c>
      <c r="J469" s="7" t="s">
        <v>5812</v>
      </c>
      <c r="K469" s="7"/>
    </row>
    <row r="470" customFormat="false" ht="35.05" hidden="false" customHeight="false" outlineLevel="0" collapsed="false">
      <c r="A470" s="7" t="n">
        <v>64</v>
      </c>
      <c r="B470" s="7" t="s">
        <v>832</v>
      </c>
      <c r="C470" s="7" t="s">
        <v>840</v>
      </c>
      <c r="D470" s="7" t="s">
        <v>6154</v>
      </c>
      <c r="E470" s="7" t="s">
        <v>6134</v>
      </c>
      <c r="F470" s="7" t="s">
        <v>7401</v>
      </c>
      <c r="G470" s="7"/>
      <c r="H470" s="7" t="s">
        <v>7402</v>
      </c>
      <c r="I470" s="7" t="s">
        <v>6437</v>
      </c>
      <c r="J470" s="7" t="s">
        <v>5827</v>
      </c>
      <c r="K470" s="7" t="s">
        <v>7403</v>
      </c>
    </row>
    <row r="471" customFormat="false" ht="35.05" hidden="false" customHeight="false" outlineLevel="0" collapsed="false">
      <c r="A471" s="7" t="n">
        <v>64</v>
      </c>
      <c r="B471" s="7" t="s">
        <v>832</v>
      </c>
      <c r="C471" s="7" t="s">
        <v>840</v>
      </c>
      <c r="D471" s="7" t="s">
        <v>5974</v>
      </c>
      <c r="E471" s="7" t="s">
        <v>5824</v>
      </c>
      <c r="F471" s="7" t="s">
        <v>7404</v>
      </c>
      <c r="G471" s="7"/>
      <c r="H471" s="7" t="s">
        <v>7405</v>
      </c>
      <c r="I471" s="7" t="s">
        <v>7406</v>
      </c>
      <c r="J471" s="7" t="s">
        <v>5812</v>
      </c>
      <c r="K471" s="7" t="s">
        <v>7407</v>
      </c>
    </row>
    <row r="472" customFormat="false" ht="79.85" hidden="false" customHeight="false" outlineLevel="0" collapsed="false">
      <c r="A472" s="7" t="n">
        <v>93</v>
      </c>
      <c r="B472" s="7" t="s">
        <v>1143</v>
      </c>
      <c r="C472" s="7" t="s">
        <v>1150</v>
      </c>
      <c r="D472" s="7" t="s">
        <v>68</v>
      </c>
      <c r="E472" s="7" t="s">
        <v>7408</v>
      </c>
      <c r="F472" s="7"/>
      <c r="G472" s="7"/>
      <c r="H472" s="7"/>
      <c r="I472" s="7"/>
      <c r="J472" s="7"/>
      <c r="K472" s="7"/>
    </row>
    <row r="473" customFormat="false" ht="46.25" hidden="false" customHeight="false" outlineLevel="0" collapsed="false">
      <c r="A473" s="7" t="n">
        <v>93</v>
      </c>
      <c r="B473" s="7" t="s">
        <v>1143</v>
      </c>
      <c r="C473" s="7" t="s">
        <v>1150</v>
      </c>
      <c r="D473" s="7" t="s">
        <v>7332</v>
      </c>
      <c r="E473" s="7" t="s">
        <v>7409</v>
      </c>
      <c r="F473" s="7" t="s">
        <v>7410</v>
      </c>
      <c r="G473" s="7" t="s">
        <v>7411</v>
      </c>
      <c r="H473" s="7" t="s">
        <v>7412</v>
      </c>
      <c r="I473" s="7" t="s">
        <v>5812</v>
      </c>
      <c r="J473" s="7" t="s">
        <v>5812</v>
      </c>
      <c r="K473" s="7" t="s">
        <v>7413</v>
      </c>
    </row>
    <row r="474" customFormat="false" ht="23.85" hidden="false" customHeight="false" outlineLevel="0" collapsed="false">
      <c r="A474" s="7" t="n">
        <v>93</v>
      </c>
      <c r="B474" s="7" t="s">
        <v>1143</v>
      </c>
      <c r="C474" s="7" t="s">
        <v>1150</v>
      </c>
      <c r="D474" s="7" t="s">
        <v>7414</v>
      </c>
      <c r="E474" s="7" t="s">
        <v>7415</v>
      </c>
      <c r="F474" s="7" t="s">
        <v>7416</v>
      </c>
      <c r="G474" s="7" t="s">
        <v>7417</v>
      </c>
      <c r="H474" s="7" t="s">
        <v>7418</v>
      </c>
      <c r="I474" s="7" t="s">
        <v>5812</v>
      </c>
      <c r="J474" s="7" t="s">
        <v>5812</v>
      </c>
      <c r="K474" s="7"/>
    </row>
    <row r="475" customFormat="false" ht="35.05" hidden="false" customHeight="false" outlineLevel="0" collapsed="false">
      <c r="A475" s="7" t="n">
        <v>93</v>
      </c>
      <c r="B475" s="7" t="s">
        <v>1143</v>
      </c>
      <c r="C475" s="7" t="s">
        <v>1150</v>
      </c>
      <c r="D475" s="7" t="s">
        <v>7419</v>
      </c>
      <c r="E475" s="7" t="s">
        <v>7041</v>
      </c>
      <c r="F475" s="7" t="s">
        <v>7420</v>
      </c>
      <c r="G475" s="7" t="s">
        <v>7421</v>
      </c>
      <c r="H475" s="7" t="s">
        <v>7422</v>
      </c>
      <c r="I475" s="7" t="s">
        <v>5812</v>
      </c>
      <c r="J475" s="7" t="s">
        <v>5812</v>
      </c>
      <c r="K475" s="7" t="s">
        <v>7423</v>
      </c>
    </row>
    <row r="476" customFormat="false" ht="46.25" hidden="false" customHeight="false" outlineLevel="0" collapsed="false">
      <c r="A476" s="7" t="n">
        <v>80</v>
      </c>
      <c r="B476" s="7" t="s">
        <v>1007</v>
      </c>
      <c r="C476" s="7" t="s">
        <v>1015</v>
      </c>
      <c r="D476" s="7" t="s">
        <v>7307</v>
      </c>
      <c r="E476" s="7" t="s">
        <v>7424</v>
      </c>
      <c r="F476" s="7" t="s">
        <v>7425</v>
      </c>
      <c r="G476" s="7"/>
      <c r="H476" s="7" t="s">
        <v>7426</v>
      </c>
      <c r="I476" s="7" t="s">
        <v>5818</v>
      </c>
      <c r="J476" s="7" t="s">
        <v>5818</v>
      </c>
      <c r="K476" s="7" t="s">
        <v>7427</v>
      </c>
    </row>
    <row r="477" customFormat="false" ht="23.85" hidden="false" customHeight="false" outlineLevel="0" collapsed="false">
      <c r="A477" s="7" t="n">
        <v>80</v>
      </c>
      <c r="B477" s="7" t="s">
        <v>1007</v>
      </c>
      <c r="C477" s="7" t="s">
        <v>1015</v>
      </c>
      <c r="D477" s="7" t="s">
        <v>7307</v>
      </c>
      <c r="E477" s="7" t="s">
        <v>7424</v>
      </c>
      <c r="F477" s="7" t="s">
        <v>7428</v>
      </c>
      <c r="G477" s="7"/>
      <c r="H477" s="7" t="s">
        <v>7429</v>
      </c>
      <c r="I477" s="7" t="s">
        <v>5812</v>
      </c>
      <c r="J477" s="7" t="s">
        <v>5812</v>
      </c>
      <c r="K477" s="7"/>
    </row>
    <row r="478" customFormat="false" ht="23.85" hidden="false" customHeight="false" outlineLevel="0" collapsed="false">
      <c r="A478" s="7" t="n">
        <v>80</v>
      </c>
      <c r="B478" s="7" t="s">
        <v>1007</v>
      </c>
      <c r="C478" s="7" t="s">
        <v>1015</v>
      </c>
      <c r="D478" s="7" t="s">
        <v>7307</v>
      </c>
      <c r="E478" s="7" t="s">
        <v>7345</v>
      </c>
      <c r="F478" s="7" t="s">
        <v>7430</v>
      </c>
      <c r="G478" s="7"/>
      <c r="H478" s="7" t="s">
        <v>7431</v>
      </c>
      <c r="I478" s="7" t="s">
        <v>5812</v>
      </c>
      <c r="J478" s="7" t="s">
        <v>5812</v>
      </c>
      <c r="K478" s="7"/>
    </row>
    <row r="479" customFormat="false" ht="35.05" hidden="false" customHeight="false" outlineLevel="0" collapsed="false">
      <c r="A479" s="7" t="n">
        <v>80</v>
      </c>
      <c r="B479" s="7" t="s">
        <v>1007</v>
      </c>
      <c r="C479" s="7" t="s">
        <v>1015</v>
      </c>
      <c r="D479" s="7" t="s">
        <v>7307</v>
      </c>
      <c r="E479" s="7" t="s">
        <v>7432</v>
      </c>
      <c r="F479" s="7" t="s">
        <v>7433</v>
      </c>
      <c r="G479" s="7"/>
      <c r="H479" s="7" t="s">
        <v>7434</v>
      </c>
      <c r="I479" s="7" t="s">
        <v>5812</v>
      </c>
      <c r="J479" s="7" t="s">
        <v>5812</v>
      </c>
      <c r="K479" s="7"/>
    </row>
    <row r="480" customFormat="false" ht="35.05" hidden="false" customHeight="false" outlineLevel="0" collapsed="false">
      <c r="A480" s="7" t="n">
        <v>80</v>
      </c>
      <c r="B480" s="7" t="s">
        <v>1007</v>
      </c>
      <c r="C480" s="7" t="s">
        <v>1015</v>
      </c>
      <c r="D480" s="7" t="s">
        <v>7435</v>
      </c>
      <c r="E480" s="7" t="s">
        <v>7436</v>
      </c>
      <c r="F480" s="7" t="s">
        <v>7437</v>
      </c>
      <c r="G480" s="7" t="s">
        <v>7438</v>
      </c>
      <c r="H480" s="7" t="s">
        <v>7439</v>
      </c>
      <c r="I480" s="7" t="s">
        <v>5812</v>
      </c>
      <c r="J480" s="7" t="s">
        <v>5812</v>
      </c>
      <c r="K480" s="7" t="s">
        <v>7440</v>
      </c>
    </row>
    <row r="481" customFormat="false" ht="57.45" hidden="false" customHeight="false" outlineLevel="0" collapsed="false">
      <c r="A481" s="7" t="n">
        <v>85</v>
      </c>
      <c r="B481" s="7" t="s">
        <v>1059</v>
      </c>
      <c r="C481" s="7" t="s">
        <v>1067</v>
      </c>
      <c r="D481" s="7" t="s">
        <v>68</v>
      </c>
      <c r="E481" s="7" t="s">
        <v>7441</v>
      </c>
      <c r="F481" s="7"/>
      <c r="G481" s="7"/>
      <c r="H481" s="7"/>
      <c r="I481" s="7"/>
      <c r="J481" s="7"/>
      <c r="K481" s="7"/>
    </row>
    <row r="482" customFormat="false" ht="23.85" hidden="false" customHeight="false" outlineLevel="0" collapsed="false">
      <c r="A482" s="7" t="n">
        <v>85</v>
      </c>
      <c r="B482" s="7" t="s">
        <v>1059</v>
      </c>
      <c r="C482" s="7" t="s">
        <v>1067</v>
      </c>
      <c r="D482" s="7" t="s">
        <v>7442</v>
      </c>
      <c r="E482" s="7" t="s">
        <v>7443</v>
      </c>
      <c r="F482" s="7" t="s">
        <v>7444</v>
      </c>
      <c r="G482" s="7"/>
      <c r="H482" s="7" t="s">
        <v>7445</v>
      </c>
      <c r="I482" s="7" t="s">
        <v>5812</v>
      </c>
      <c r="J482" s="7" t="s">
        <v>5812</v>
      </c>
      <c r="K482" s="7"/>
    </row>
    <row r="483" customFormat="false" ht="23.85" hidden="false" customHeight="false" outlineLevel="0" collapsed="false">
      <c r="A483" s="7" t="n">
        <v>85</v>
      </c>
      <c r="B483" s="7" t="s">
        <v>1059</v>
      </c>
      <c r="C483" s="7" t="s">
        <v>1067</v>
      </c>
      <c r="D483" s="7" t="s">
        <v>7442</v>
      </c>
      <c r="E483" s="7" t="s">
        <v>7446</v>
      </c>
      <c r="F483" s="7" t="s">
        <v>7447</v>
      </c>
      <c r="G483" s="7"/>
      <c r="H483" s="7" t="s">
        <v>7448</v>
      </c>
      <c r="I483" s="7" t="s">
        <v>5812</v>
      </c>
      <c r="J483" s="7" t="s">
        <v>5812</v>
      </c>
      <c r="K483" s="7"/>
    </row>
    <row r="484" customFormat="false" ht="35.05" hidden="false" customHeight="false" outlineLevel="0" collapsed="false">
      <c r="A484" s="7" t="n">
        <v>83</v>
      </c>
      <c r="B484" s="7" t="s">
        <v>1037</v>
      </c>
      <c r="C484" s="7" t="s">
        <v>1045</v>
      </c>
      <c r="D484" s="7" t="s">
        <v>7307</v>
      </c>
      <c r="E484" s="7" t="s">
        <v>7449</v>
      </c>
      <c r="F484" s="7" t="s">
        <v>7450</v>
      </c>
      <c r="G484" s="7"/>
      <c r="H484" s="7" t="s">
        <v>7451</v>
      </c>
      <c r="I484" s="7" t="s">
        <v>5812</v>
      </c>
      <c r="J484" s="7" t="s">
        <v>5812</v>
      </c>
      <c r="K484" s="7" t="s">
        <v>7452</v>
      </c>
    </row>
    <row r="485" customFormat="false" ht="23.85" hidden="false" customHeight="false" outlineLevel="0" collapsed="false">
      <c r="A485" s="7" t="n">
        <v>83</v>
      </c>
      <c r="B485" s="7" t="s">
        <v>1037</v>
      </c>
      <c r="C485" s="7" t="s">
        <v>1045</v>
      </c>
      <c r="D485" s="7" t="s">
        <v>7307</v>
      </c>
      <c r="E485" s="7" t="s">
        <v>7453</v>
      </c>
      <c r="F485" s="7" t="s">
        <v>7454</v>
      </c>
      <c r="G485" s="7"/>
      <c r="H485" s="7" t="s">
        <v>6985</v>
      </c>
      <c r="I485" s="7" t="s">
        <v>5812</v>
      </c>
      <c r="J485" s="7" t="s">
        <v>5812</v>
      </c>
      <c r="K485" s="7"/>
    </row>
    <row r="486" customFormat="false" ht="23.85" hidden="false" customHeight="false" outlineLevel="0" collapsed="false">
      <c r="A486" s="7" t="n">
        <v>83</v>
      </c>
      <c r="B486" s="7" t="s">
        <v>1037</v>
      </c>
      <c r="C486" s="7" t="s">
        <v>1045</v>
      </c>
      <c r="D486" s="7" t="s">
        <v>7307</v>
      </c>
      <c r="E486" s="7" t="s">
        <v>7455</v>
      </c>
      <c r="F486" s="7" t="s">
        <v>7456</v>
      </c>
      <c r="G486" s="7"/>
      <c r="H486" s="7" t="s">
        <v>6512</v>
      </c>
      <c r="I486" s="7" t="s">
        <v>5812</v>
      </c>
      <c r="J486" s="7" t="s">
        <v>5812</v>
      </c>
      <c r="K486" s="7"/>
    </row>
    <row r="487" customFormat="false" ht="23.85" hidden="false" customHeight="false" outlineLevel="0" collapsed="false">
      <c r="A487" s="7" t="n">
        <v>83</v>
      </c>
      <c r="B487" s="7" t="s">
        <v>1037</v>
      </c>
      <c r="C487" s="7" t="s">
        <v>1045</v>
      </c>
      <c r="D487" s="7" t="s">
        <v>5974</v>
      </c>
      <c r="E487" s="7" t="s">
        <v>7457</v>
      </c>
      <c r="F487" s="7" t="s">
        <v>7458</v>
      </c>
      <c r="G487" s="7" t="s">
        <v>7459</v>
      </c>
      <c r="H487" s="7" t="s">
        <v>7460</v>
      </c>
      <c r="I487" s="7" t="s">
        <v>5812</v>
      </c>
      <c r="J487" s="7" t="s">
        <v>5812</v>
      </c>
      <c r="K487" s="7" t="s">
        <v>7461</v>
      </c>
    </row>
    <row r="488" customFormat="false" ht="46.25" hidden="false" customHeight="false" outlineLevel="0" collapsed="false">
      <c r="A488" s="7" t="n">
        <v>83</v>
      </c>
      <c r="B488" s="7" t="s">
        <v>1037</v>
      </c>
      <c r="C488" s="7" t="s">
        <v>1045</v>
      </c>
      <c r="D488" s="7" t="s">
        <v>5974</v>
      </c>
      <c r="E488" s="7" t="s">
        <v>5824</v>
      </c>
      <c r="F488" s="7" t="s">
        <v>7462</v>
      </c>
      <c r="G488" s="7" t="s">
        <v>7463</v>
      </c>
      <c r="H488" s="7" t="s">
        <v>6512</v>
      </c>
      <c r="I488" s="7" t="s">
        <v>5812</v>
      </c>
      <c r="J488" s="7" t="s">
        <v>5812</v>
      </c>
      <c r="K488" s="7" t="s">
        <v>7461</v>
      </c>
    </row>
    <row r="489" customFormat="false" ht="57.45" hidden="false" customHeight="false" outlineLevel="0" collapsed="false">
      <c r="A489" s="7" t="n">
        <v>90</v>
      </c>
      <c r="B489" s="7" t="s">
        <v>1110</v>
      </c>
      <c r="C489" s="7" t="s">
        <v>1117</v>
      </c>
      <c r="D489" s="7" t="s">
        <v>68</v>
      </c>
      <c r="E489" s="7" t="s">
        <v>7464</v>
      </c>
      <c r="F489" s="7"/>
      <c r="G489" s="7"/>
      <c r="H489" s="7"/>
      <c r="I489" s="7"/>
      <c r="J489" s="7"/>
      <c r="K489" s="7"/>
    </row>
    <row r="490" customFormat="false" ht="46.25" hidden="false" customHeight="false" outlineLevel="0" collapsed="false">
      <c r="A490" s="7" t="n">
        <v>90</v>
      </c>
      <c r="B490" s="7" t="s">
        <v>1110</v>
      </c>
      <c r="C490" s="7" t="s">
        <v>1117</v>
      </c>
      <c r="D490" s="7" t="s">
        <v>5974</v>
      </c>
      <c r="E490" s="7" t="s">
        <v>7465</v>
      </c>
      <c r="F490" s="7" t="s">
        <v>7466</v>
      </c>
      <c r="G490" s="7" t="s">
        <v>7467</v>
      </c>
      <c r="H490" s="7" t="s">
        <v>7468</v>
      </c>
      <c r="I490" s="7" t="s">
        <v>5812</v>
      </c>
      <c r="J490" s="7" t="s">
        <v>5812</v>
      </c>
      <c r="K490" s="7" t="s">
        <v>7469</v>
      </c>
    </row>
    <row r="491" customFormat="false" ht="102.2" hidden="false" customHeight="false" outlineLevel="0" collapsed="false">
      <c r="A491" s="7" t="n">
        <v>90</v>
      </c>
      <c r="B491" s="7" t="s">
        <v>1110</v>
      </c>
      <c r="C491" s="7" t="s">
        <v>1117</v>
      </c>
      <c r="D491" s="7" t="s">
        <v>5974</v>
      </c>
      <c r="E491" s="7" t="s">
        <v>7470</v>
      </c>
      <c r="F491" s="7" t="s">
        <v>7471</v>
      </c>
      <c r="G491" s="7" t="s">
        <v>7472</v>
      </c>
      <c r="H491" s="7" t="s">
        <v>7473</v>
      </c>
      <c r="I491" s="7" t="s">
        <v>5812</v>
      </c>
      <c r="J491" s="7" t="s">
        <v>5812</v>
      </c>
      <c r="K491" s="7" t="s">
        <v>7474</v>
      </c>
    </row>
    <row r="492" customFormat="false" ht="46.25" hidden="false" customHeight="false" outlineLevel="0" collapsed="false">
      <c r="A492" s="7" t="n">
        <v>90</v>
      </c>
      <c r="B492" s="7" t="s">
        <v>1110</v>
      </c>
      <c r="C492" s="7" t="s">
        <v>1117</v>
      </c>
      <c r="D492" s="7" t="s">
        <v>5974</v>
      </c>
      <c r="E492" s="7" t="s">
        <v>7475</v>
      </c>
      <c r="F492" s="7" t="s">
        <v>7476</v>
      </c>
      <c r="G492" s="7" t="s">
        <v>7477</v>
      </c>
      <c r="H492" s="7" t="s">
        <v>7478</v>
      </c>
      <c r="I492" s="7" t="s">
        <v>5812</v>
      </c>
      <c r="J492" s="7" t="s">
        <v>5812</v>
      </c>
      <c r="K492" s="7" t="s">
        <v>7479</v>
      </c>
    </row>
    <row r="493" customFormat="false" ht="35.05" hidden="false" customHeight="false" outlineLevel="0" collapsed="false">
      <c r="A493" s="7" t="n">
        <v>90</v>
      </c>
      <c r="B493" s="7" t="s">
        <v>1110</v>
      </c>
      <c r="C493" s="7" t="s">
        <v>1117</v>
      </c>
      <c r="D493" s="7" t="s">
        <v>5974</v>
      </c>
      <c r="E493" s="7" t="s">
        <v>7480</v>
      </c>
      <c r="F493" s="7" t="s">
        <v>7481</v>
      </c>
      <c r="G493" s="7" t="s">
        <v>7482</v>
      </c>
      <c r="H493" s="7" t="s">
        <v>7483</v>
      </c>
      <c r="I493" s="7" t="s">
        <v>5812</v>
      </c>
      <c r="J493" s="7" t="s">
        <v>5812</v>
      </c>
      <c r="K493" s="7" t="s">
        <v>7479</v>
      </c>
    </row>
    <row r="494" customFormat="false" ht="35.05" hidden="false" customHeight="false" outlineLevel="0" collapsed="false">
      <c r="A494" s="7" t="n">
        <v>95</v>
      </c>
      <c r="B494" s="7" t="s">
        <v>1165</v>
      </c>
      <c r="C494" s="7" t="s">
        <v>1173</v>
      </c>
      <c r="D494" s="7" t="s">
        <v>7307</v>
      </c>
      <c r="E494" s="7" t="s">
        <v>7484</v>
      </c>
      <c r="F494" s="7" t="s">
        <v>7485</v>
      </c>
      <c r="G494" s="7"/>
      <c r="H494" s="7" t="s">
        <v>7486</v>
      </c>
      <c r="I494" s="7" t="s">
        <v>5818</v>
      </c>
      <c r="J494" s="7" t="s">
        <v>5818</v>
      </c>
      <c r="K494" s="7" t="s">
        <v>6697</v>
      </c>
    </row>
    <row r="495" customFormat="false" ht="35.05" hidden="false" customHeight="false" outlineLevel="0" collapsed="false">
      <c r="A495" s="7" t="n">
        <v>95</v>
      </c>
      <c r="B495" s="7" t="s">
        <v>1165</v>
      </c>
      <c r="C495" s="7" t="s">
        <v>1173</v>
      </c>
      <c r="D495" s="7" t="s">
        <v>7307</v>
      </c>
      <c r="E495" s="7" t="s">
        <v>7487</v>
      </c>
      <c r="F495" s="7" t="s">
        <v>7488</v>
      </c>
      <c r="G495" s="7"/>
      <c r="H495" s="7" t="s">
        <v>7489</v>
      </c>
      <c r="I495" s="7" t="s">
        <v>5812</v>
      </c>
      <c r="J495" s="7" t="s">
        <v>5812</v>
      </c>
      <c r="K495" s="7" t="s">
        <v>7490</v>
      </c>
    </row>
    <row r="496" customFormat="false" ht="91" hidden="false" customHeight="false" outlineLevel="0" collapsed="false">
      <c r="A496" s="7" t="n">
        <v>95</v>
      </c>
      <c r="B496" s="7" t="s">
        <v>1165</v>
      </c>
      <c r="C496" s="7" t="s">
        <v>1173</v>
      </c>
      <c r="D496" s="7" t="s">
        <v>68</v>
      </c>
      <c r="E496" s="7" t="s">
        <v>7491</v>
      </c>
      <c r="F496" s="7"/>
      <c r="G496" s="7"/>
      <c r="H496" s="7"/>
      <c r="I496" s="7"/>
      <c r="J496" s="7"/>
      <c r="K496" s="7" t="s">
        <v>7492</v>
      </c>
    </row>
    <row r="497" customFormat="false" ht="124.6" hidden="false" customHeight="false" outlineLevel="0" collapsed="false">
      <c r="A497" s="7" t="n">
        <v>81</v>
      </c>
      <c r="B497" s="7" t="s">
        <v>1018</v>
      </c>
      <c r="C497" s="7" t="s">
        <v>1027</v>
      </c>
      <c r="D497" s="7" t="s">
        <v>7307</v>
      </c>
      <c r="E497" s="7" t="s">
        <v>7493</v>
      </c>
      <c r="F497" s="7" t="s">
        <v>7494</v>
      </c>
      <c r="G497" s="7" t="s">
        <v>7495</v>
      </c>
      <c r="H497" s="7" t="s">
        <v>7496</v>
      </c>
      <c r="I497" s="7" t="s">
        <v>5857</v>
      </c>
      <c r="J497" s="7" t="s">
        <v>5857</v>
      </c>
      <c r="K497" s="7" t="s">
        <v>7497</v>
      </c>
    </row>
    <row r="498" customFormat="false" ht="23.85" hidden="false" customHeight="false" outlineLevel="0" collapsed="false">
      <c r="A498" s="7" t="n">
        <v>81</v>
      </c>
      <c r="B498" s="7" t="s">
        <v>1018</v>
      </c>
      <c r="C498" s="7" t="s">
        <v>1027</v>
      </c>
      <c r="D498" s="7" t="s">
        <v>7307</v>
      </c>
      <c r="E498" s="7" t="s">
        <v>7498</v>
      </c>
      <c r="F498" s="7" t="s">
        <v>7499</v>
      </c>
      <c r="G498" s="7"/>
      <c r="H498" s="7" t="s">
        <v>7500</v>
      </c>
      <c r="I498" s="7" t="s">
        <v>5812</v>
      </c>
      <c r="J498" s="7" t="s">
        <v>5812</v>
      </c>
      <c r="K498" s="7"/>
    </row>
    <row r="499" customFormat="false" ht="35.05" hidden="false" customHeight="false" outlineLevel="0" collapsed="false">
      <c r="A499" s="7" t="n">
        <v>81</v>
      </c>
      <c r="B499" s="7" t="s">
        <v>1018</v>
      </c>
      <c r="C499" s="7" t="s">
        <v>1027</v>
      </c>
      <c r="D499" s="7" t="s">
        <v>7307</v>
      </c>
      <c r="E499" s="7" t="s">
        <v>7501</v>
      </c>
      <c r="F499" s="7" t="s">
        <v>7502</v>
      </c>
      <c r="G499" s="7"/>
      <c r="H499" s="7" t="s">
        <v>7503</v>
      </c>
      <c r="I499" s="7" t="s">
        <v>5812</v>
      </c>
      <c r="J499" s="7" t="s">
        <v>5812</v>
      </c>
      <c r="K499" s="7"/>
    </row>
    <row r="500" customFormat="false" ht="57.45" hidden="false" customHeight="false" outlineLevel="0" collapsed="false">
      <c r="A500" s="7" t="n">
        <v>81</v>
      </c>
      <c r="B500" s="7" t="s">
        <v>1018</v>
      </c>
      <c r="C500" s="7" t="s">
        <v>1027</v>
      </c>
      <c r="D500" s="7" t="s">
        <v>5974</v>
      </c>
      <c r="E500" s="7" t="s">
        <v>7504</v>
      </c>
      <c r="F500" s="7" t="s">
        <v>7505</v>
      </c>
      <c r="G500" s="7" t="s">
        <v>7506</v>
      </c>
      <c r="H500" s="7" t="s">
        <v>7507</v>
      </c>
      <c r="I500" s="7" t="s">
        <v>5812</v>
      </c>
      <c r="J500" s="7" t="s">
        <v>5812</v>
      </c>
      <c r="K500" s="7" t="s">
        <v>7508</v>
      </c>
    </row>
    <row r="501" customFormat="false" ht="68.65" hidden="false" customHeight="false" outlineLevel="0" collapsed="false">
      <c r="A501" s="7" t="n">
        <v>103</v>
      </c>
      <c r="B501" s="7" t="s">
        <v>1237</v>
      </c>
      <c r="C501" s="7" t="s">
        <v>1242</v>
      </c>
      <c r="D501" s="7" t="s">
        <v>68</v>
      </c>
      <c r="E501" s="7" t="s">
        <v>7509</v>
      </c>
      <c r="F501" s="7"/>
      <c r="G501" s="7"/>
      <c r="H501" s="7"/>
      <c r="I501" s="7"/>
      <c r="J501" s="7"/>
      <c r="K501" s="7"/>
    </row>
    <row r="502" customFormat="false" ht="23.85" hidden="false" customHeight="false" outlineLevel="0" collapsed="false">
      <c r="A502" s="7" t="n">
        <v>103</v>
      </c>
      <c r="B502" s="7" t="s">
        <v>1237</v>
      </c>
      <c r="C502" s="7" t="s">
        <v>1242</v>
      </c>
      <c r="D502" s="7" t="s">
        <v>5974</v>
      </c>
      <c r="E502" s="7" t="s">
        <v>7510</v>
      </c>
      <c r="F502" s="7" t="s">
        <v>7511</v>
      </c>
      <c r="G502" s="7" t="s">
        <v>7512</v>
      </c>
      <c r="H502" s="7" t="s">
        <v>7513</v>
      </c>
      <c r="I502" s="7" t="s">
        <v>5812</v>
      </c>
      <c r="J502" s="7" t="s">
        <v>5812</v>
      </c>
      <c r="K502" s="7" t="s">
        <v>7514</v>
      </c>
    </row>
    <row r="503" customFormat="false" ht="124.6" hidden="false" customHeight="false" outlineLevel="0" collapsed="false">
      <c r="A503" s="7" t="n">
        <v>103</v>
      </c>
      <c r="B503" s="7" t="s">
        <v>1237</v>
      </c>
      <c r="C503" s="7" t="s">
        <v>1242</v>
      </c>
      <c r="D503" s="7" t="s">
        <v>5974</v>
      </c>
      <c r="E503" s="7" t="s">
        <v>7515</v>
      </c>
      <c r="F503" s="7" t="s">
        <v>7516</v>
      </c>
      <c r="G503" s="7" t="s">
        <v>7517</v>
      </c>
      <c r="H503" s="7" t="s">
        <v>7518</v>
      </c>
      <c r="I503" s="7" t="s">
        <v>5812</v>
      </c>
      <c r="J503" s="7" t="s">
        <v>5812</v>
      </c>
      <c r="K503" s="7" t="s">
        <v>7519</v>
      </c>
    </row>
    <row r="504" customFormat="false" ht="79.85" hidden="false" customHeight="false" outlineLevel="0" collapsed="false">
      <c r="A504" s="7" t="n">
        <v>103</v>
      </c>
      <c r="B504" s="7" t="s">
        <v>1237</v>
      </c>
      <c r="C504" s="7" t="s">
        <v>1242</v>
      </c>
      <c r="D504" s="7" t="s">
        <v>5974</v>
      </c>
      <c r="E504" s="7" t="s">
        <v>5824</v>
      </c>
      <c r="F504" s="7" t="s">
        <v>7520</v>
      </c>
      <c r="G504" s="7" t="s">
        <v>7521</v>
      </c>
      <c r="H504" s="7" t="s">
        <v>6512</v>
      </c>
      <c r="I504" s="7" t="s">
        <v>5812</v>
      </c>
      <c r="J504" s="7" t="s">
        <v>5812</v>
      </c>
      <c r="K504" s="7" t="s">
        <v>7514</v>
      </c>
    </row>
    <row r="505" customFormat="false" ht="57.45" hidden="false" customHeight="false" outlineLevel="0" collapsed="false">
      <c r="A505" s="7" t="n">
        <v>102</v>
      </c>
      <c r="B505" s="7" t="s">
        <v>1225</v>
      </c>
      <c r="C505" s="7" t="s">
        <v>1233</v>
      </c>
      <c r="D505" s="7" t="s">
        <v>68</v>
      </c>
      <c r="E505" s="7" t="s">
        <v>7522</v>
      </c>
      <c r="F505" s="7"/>
      <c r="G505" s="7"/>
      <c r="H505" s="7"/>
      <c r="I505" s="7"/>
      <c r="J505" s="7"/>
      <c r="K505" s="7"/>
    </row>
    <row r="506" customFormat="false" ht="35.05" hidden="false" customHeight="false" outlineLevel="0" collapsed="false">
      <c r="A506" s="7" t="n">
        <v>102</v>
      </c>
      <c r="B506" s="7" t="s">
        <v>1225</v>
      </c>
      <c r="C506" s="7" t="s">
        <v>1233</v>
      </c>
      <c r="D506" s="7" t="s">
        <v>7523</v>
      </c>
      <c r="E506" s="7" t="s">
        <v>7524</v>
      </c>
      <c r="F506" s="7" t="s">
        <v>7525</v>
      </c>
      <c r="G506" s="7"/>
      <c r="H506" s="7" t="s">
        <v>7526</v>
      </c>
      <c r="I506" s="7" t="s">
        <v>5812</v>
      </c>
      <c r="J506" s="7" t="s">
        <v>5812</v>
      </c>
      <c r="K506" s="7" t="s">
        <v>6251</v>
      </c>
    </row>
    <row r="507" customFormat="false" ht="23.85" hidden="false" customHeight="false" outlineLevel="0" collapsed="false">
      <c r="A507" s="7" t="n">
        <v>102</v>
      </c>
      <c r="B507" s="7" t="s">
        <v>1225</v>
      </c>
      <c r="C507" s="7" t="s">
        <v>1233</v>
      </c>
      <c r="D507" s="7" t="s">
        <v>7523</v>
      </c>
      <c r="E507" s="7" t="s">
        <v>7527</v>
      </c>
      <c r="F507" s="7"/>
      <c r="G507" s="7"/>
      <c r="H507" s="7" t="s">
        <v>7528</v>
      </c>
      <c r="I507" s="7" t="s">
        <v>5812</v>
      </c>
      <c r="J507" s="7" t="s">
        <v>5812</v>
      </c>
      <c r="K507" s="7" t="s">
        <v>7529</v>
      </c>
    </row>
    <row r="508" customFormat="false" ht="79.85" hidden="false" customHeight="false" outlineLevel="0" collapsed="false">
      <c r="A508" s="7" t="n">
        <v>96</v>
      </c>
      <c r="B508" s="7" t="s">
        <v>1176</v>
      </c>
      <c r="C508" s="7" t="s">
        <v>1183</v>
      </c>
      <c r="D508" s="7" t="s">
        <v>68</v>
      </c>
      <c r="E508" s="7" t="s">
        <v>7530</v>
      </c>
      <c r="F508" s="7"/>
      <c r="G508" s="7"/>
      <c r="H508" s="7"/>
      <c r="I508" s="7"/>
      <c r="J508" s="7"/>
      <c r="K508" s="7"/>
    </row>
    <row r="509" customFormat="false" ht="79.85" hidden="false" customHeight="false" outlineLevel="0" collapsed="false">
      <c r="A509" s="7" t="n">
        <v>96</v>
      </c>
      <c r="B509" s="7" t="s">
        <v>1176</v>
      </c>
      <c r="C509" s="7" t="s">
        <v>1183</v>
      </c>
      <c r="D509" s="7" t="s">
        <v>5974</v>
      </c>
      <c r="E509" s="7" t="s">
        <v>7531</v>
      </c>
      <c r="F509" s="7" t="s">
        <v>7532</v>
      </c>
      <c r="G509" s="7" t="s">
        <v>7533</v>
      </c>
      <c r="H509" s="7" t="s">
        <v>7534</v>
      </c>
      <c r="I509" s="7" t="s">
        <v>5812</v>
      </c>
      <c r="J509" s="7" t="s">
        <v>5812</v>
      </c>
      <c r="K509" s="7" t="s">
        <v>7535</v>
      </c>
    </row>
    <row r="510" customFormat="false" ht="57.45" hidden="false" customHeight="false" outlineLevel="0" collapsed="false">
      <c r="A510" s="7" t="n">
        <v>96</v>
      </c>
      <c r="B510" s="7" t="s">
        <v>1176</v>
      </c>
      <c r="C510" s="7" t="s">
        <v>1183</v>
      </c>
      <c r="D510" s="7" t="s">
        <v>5974</v>
      </c>
      <c r="E510" s="7" t="s">
        <v>7536</v>
      </c>
      <c r="F510" s="7"/>
      <c r="G510" s="7" t="s">
        <v>7537</v>
      </c>
      <c r="H510" s="7" t="s">
        <v>6512</v>
      </c>
      <c r="I510" s="7" t="s">
        <v>5812</v>
      </c>
      <c r="J510" s="7" t="s">
        <v>5812</v>
      </c>
      <c r="K510" s="7" t="s">
        <v>7538</v>
      </c>
    </row>
    <row r="511" customFormat="false" ht="35.05" hidden="false" customHeight="false" outlineLevel="0" collapsed="false">
      <c r="A511" s="7" t="n">
        <v>79</v>
      </c>
      <c r="B511" s="7" t="s">
        <v>997</v>
      </c>
      <c r="C511" s="7" t="s">
        <v>1001</v>
      </c>
      <c r="D511" s="7" t="s">
        <v>7307</v>
      </c>
      <c r="E511" s="7" t="s">
        <v>7539</v>
      </c>
      <c r="F511" s="7" t="s">
        <v>7540</v>
      </c>
      <c r="G511" s="7"/>
      <c r="H511" s="7" t="s">
        <v>7541</v>
      </c>
      <c r="I511" s="7" t="s">
        <v>5812</v>
      </c>
      <c r="J511" s="7" t="s">
        <v>5812</v>
      </c>
      <c r="K511" s="7"/>
    </row>
    <row r="512" customFormat="false" ht="23.85" hidden="false" customHeight="false" outlineLevel="0" collapsed="false">
      <c r="A512" s="7" t="n">
        <v>79</v>
      </c>
      <c r="B512" s="7" t="s">
        <v>997</v>
      </c>
      <c r="C512" s="7" t="s">
        <v>1001</v>
      </c>
      <c r="D512" s="7" t="s">
        <v>7307</v>
      </c>
      <c r="E512" s="7" t="s">
        <v>7542</v>
      </c>
      <c r="F512" s="7" t="s">
        <v>7543</v>
      </c>
      <c r="G512" s="7"/>
      <c r="H512" s="7" t="s">
        <v>7544</v>
      </c>
      <c r="I512" s="7" t="s">
        <v>5812</v>
      </c>
      <c r="J512" s="7" t="s">
        <v>5812</v>
      </c>
      <c r="K512" s="7" t="s">
        <v>7545</v>
      </c>
    </row>
    <row r="513" customFormat="false" ht="35.05" hidden="false" customHeight="false" outlineLevel="0" collapsed="false">
      <c r="A513" s="7" t="n">
        <v>79</v>
      </c>
      <c r="B513" s="7" t="s">
        <v>997</v>
      </c>
      <c r="C513" s="7" t="s">
        <v>1001</v>
      </c>
      <c r="D513" s="7" t="s">
        <v>7307</v>
      </c>
      <c r="E513" s="7" t="s">
        <v>7546</v>
      </c>
      <c r="F513" s="7" t="s">
        <v>7547</v>
      </c>
      <c r="G513" s="7"/>
      <c r="H513" s="7" t="s">
        <v>7548</v>
      </c>
      <c r="I513" s="7" t="s">
        <v>5812</v>
      </c>
      <c r="J513" s="7" t="s">
        <v>5812</v>
      </c>
      <c r="K513" s="7"/>
    </row>
    <row r="514" customFormat="false" ht="135.8" hidden="false" customHeight="false" outlineLevel="0" collapsed="false">
      <c r="A514" s="7" t="n">
        <v>79</v>
      </c>
      <c r="B514" s="7" t="s">
        <v>997</v>
      </c>
      <c r="C514" s="7" t="s">
        <v>1001</v>
      </c>
      <c r="D514" s="7" t="s">
        <v>7549</v>
      </c>
      <c r="E514" s="7" t="s">
        <v>5925</v>
      </c>
      <c r="F514" s="7" t="s">
        <v>7550</v>
      </c>
      <c r="G514" s="7" t="s">
        <v>7551</v>
      </c>
      <c r="H514" s="7" t="s">
        <v>6512</v>
      </c>
      <c r="I514" s="7" t="s">
        <v>5812</v>
      </c>
      <c r="J514" s="7" t="s">
        <v>5812</v>
      </c>
      <c r="K514" s="7" t="s">
        <v>7552</v>
      </c>
    </row>
    <row r="515" customFormat="false" ht="124.6" hidden="false" customHeight="false" outlineLevel="0" collapsed="false">
      <c r="A515" s="7" t="n">
        <v>82</v>
      </c>
      <c r="B515" s="7" t="s">
        <v>1030</v>
      </c>
      <c r="C515" s="7" t="s">
        <v>1033</v>
      </c>
      <c r="D515" s="7" t="s">
        <v>68</v>
      </c>
      <c r="E515" s="7" t="s">
        <v>7553</v>
      </c>
      <c r="F515" s="7"/>
      <c r="G515" s="7"/>
      <c r="H515" s="7"/>
      <c r="I515" s="7"/>
      <c r="J515" s="7"/>
      <c r="K515" s="7"/>
    </row>
    <row r="516" customFormat="false" ht="68.65" hidden="false" customHeight="false" outlineLevel="0" collapsed="false">
      <c r="A516" s="7" t="n">
        <v>82</v>
      </c>
      <c r="B516" s="7" t="s">
        <v>1030</v>
      </c>
      <c r="C516" s="7" t="s">
        <v>1033</v>
      </c>
      <c r="D516" s="7" t="s">
        <v>5974</v>
      </c>
      <c r="E516" s="7" t="s">
        <v>7554</v>
      </c>
      <c r="F516" s="7" t="s">
        <v>7555</v>
      </c>
      <c r="G516" s="7" t="s">
        <v>7556</v>
      </c>
      <c r="H516" s="7" t="s">
        <v>7557</v>
      </c>
      <c r="I516" s="7" t="s">
        <v>5812</v>
      </c>
      <c r="J516" s="7" t="s">
        <v>5812</v>
      </c>
      <c r="K516" s="7" t="s">
        <v>7558</v>
      </c>
    </row>
    <row r="517" customFormat="false" ht="113.4" hidden="false" customHeight="false" outlineLevel="0" collapsed="false">
      <c r="A517" s="7" t="n">
        <v>82</v>
      </c>
      <c r="B517" s="7" t="s">
        <v>1030</v>
      </c>
      <c r="C517" s="7" t="s">
        <v>1033</v>
      </c>
      <c r="D517" s="7" t="s">
        <v>5974</v>
      </c>
      <c r="E517" s="7" t="s">
        <v>6569</v>
      </c>
      <c r="F517" s="7" t="s">
        <v>7559</v>
      </c>
      <c r="G517" s="7" t="s">
        <v>7560</v>
      </c>
      <c r="H517" s="7" t="s">
        <v>6512</v>
      </c>
      <c r="I517" s="7" t="s">
        <v>5812</v>
      </c>
      <c r="J517" s="7" t="s">
        <v>5812</v>
      </c>
      <c r="K517" s="7" t="s">
        <v>7561</v>
      </c>
    </row>
    <row r="518" customFormat="false" ht="79.85" hidden="false" customHeight="false" outlineLevel="0" collapsed="false">
      <c r="A518" s="7" t="n">
        <v>82</v>
      </c>
      <c r="B518" s="7" t="s">
        <v>1030</v>
      </c>
      <c r="C518" s="7" t="s">
        <v>1033</v>
      </c>
      <c r="D518" s="7" t="s">
        <v>5974</v>
      </c>
      <c r="E518" s="7" t="s">
        <v>7562</v>
      </c>
      <c r="F518" s="7"/>
      <c r="G518" s="7" t="s">
        <v>7563</v>
      </c>
      <c r="H518" s="7" t="s">
        <v>7564</v>
      </c>
      <c r="I518" s="7" t="s">
        <v>5805</v>
      </c>
      <c r="J518" s="7" t="s">
        <v>5805</v>
      </c>
      <c r="K518" s="7" t="s">
        <v>7565</v>
      </c>
    </row>
    <row r="519" customFormat="false" ht="46.25" hidden="false" customHeight="false" outlineLevel="0" collapsed="false">
      <c r="A519" s="7" t="n">
        <v>98</v>
      </c>
      <c r="B519" s="7" t="s">
        <v>1197</v>
      </c>
      <c r="C519" s="7" t="s">
        <v>1200</v>
      </c>
      <c r="D519" s="7" t="s">
        <v>68</v>
      </c>
      <c r="E519" s="7" t="s">
        <v>7566</v>
      </c>
      <c r="F519" s="7"/>
      <c r="G519" s="7"/>
      <c r="H519" s="7"/>
      <c r="I519" s="7"/>
      <c r="J519" s="7"/>
      <c r="K519" s="7"/>
    </row>
    <row r="520" customFormat="false" ht="23.85" hidden="false" customHeight="false" outlineLevel="0" collapsed="false">
      <c r="A520" s="7" t="n">
        <v>98</v>
      </c>
      <c r="B520" s="7" t="s">
        <v>1197</v>
      </c>
      <c r="C520" s="7" t="s">
        <v>1200</v>
      </c>
      <c r="D520" s="7" t="s">
        <v>5974</v>
      </c>
      <c r="E520" s="7" t="s">
        <v>7567</v>
      </c>
      <c r="F520" s="7" t="s">
        <v>7568</v>
      </c>
      <c r="G520" s="7"/>
      <c r="H520" s="7" t="s">
        <v>7569</v>
      </c>
      <c r="I520" s="7" t="s">
        <v>5812</v>
      </c>
      <c r="J520" s="7" t="s">
        <v>5812</v>
      </c>
      <c r="K520" s="7" t="s">
        <v>7570</v>
      </c>
    </row>
    <row r="521" customFormat="false" ht="46.25" hidden="false" customHeight="false" outlineLevel="0" collapsed="false">
      <c r="A521" s="7" t="n">
        <v>98</v>
      </c>
      <c r="B521" s="7" t="s">
        <v>1197</v>
      </c>
      <c r="C521" s="7" t="s">
        <v>1200</v>
      </c>
      <c r="D521" s="7" t="s">
        <v>5974</v>
      </c>
      <c r="E521" s="7" t="s">
        <v>5824</v>
      </c>
      <c r="F521" s="7" t="s">
        <v>7571</v>
      </c>
      <c r="G521" s="7" t="s">
        <v>7572</v>
      </c>
      <c r="H521" s="7" t="s">
        <v>6151</v>
      </c>
      <c r="I521" s="7" t="s">
        <v>5812</v>
      </c>
      <c r="J521" s="7" t="s">
        <v>5812</v>
      </c>
      <c r="K521" s="7" t="s">
        <v>7570</v>
      </c>
    </row>
    <row r="522" customFormat="false" ht="23.85" hidden="false" customHeight="false" outlineLevel="0" collapsed="false">
      <c r="A522" s="7" t="n">
        <v>98</v>
      </c>
      <c r="B522" s="7" t="s">
        <v>1197</v>
      </c>
      <c r="C522" s="7" t="s">
        <v>1200</v>
      </c>
      <c r="D522" s="7" t="s">
        <v>5974</v>
      </c>
      <c r="E522" s="7" t="s">
        <v>7573</v>
      </c>
      <c r="F522" s="7" t="s">
        <v>7574</v>
      </c>
      <c r="G522" s="7" t="s">
        <v>7575</v>
      </c>
      <c r="H522" s="7" t="s">
        <v>7576</v>
      </c>
      <c r="I522" s="7" t="s">
        <v>5812</v>
      </c>
      <c r="J522" s="7" t="s">
        <v>5812</v>
      </c>
      <c r="K522" s="7" t="s">
        <v>7570</v>
      </c>
    </row>
    <row r="523" customFormat="false" ht="57.45" hidden="false" customHeight="false" outlineLevel="0" collapsed="false">
      <c r="A523" s="7" t="n">
        <v>100</v>
      </c>
      <c r="B523" s="7" t="s">
        <v>1212</v>
      </c>
      <c r="C523" s="7" t="s">
        <v>1214</v>
      </c>
      <c r="D523" s="7" t="s">
        <v>68</v>
      </c>
      <c r="E523" s="7" t="s">
        <v>7577</v>
      </c>
      <c r="F523" s="7"/>
      <c r="G523" s="7"/>
      <c r="H523" s="7"/>
      <c r="I523" s="7"/>
      <c r="J523" s="7"/>
      <c r="K523" s="7"/>
    </row>
    <row r="524" customFormat="false" ht="57.45" hidden="false" customHeight="false" outlineLevel="0" collapsed="false">
      <c r="A524" s="7" t="n">
        <v>100</v>
      </c>
      <c r="B524" s="7" t="s">
        <v>1212</v>
      </c>
      <c r="C524" s="7" t="s">
        <v>1214</v>
      </c>
      <c r="D524" s="7" t="s">
        <v>5974</v>
      </c>
      <c r="E524" s="7" t="s">
        <v>7578</v>
      </c>
      <c r="F524" s="7" t="s">
        <v>7579</v>
      </c>
      <c r="G524" s="7" t="s">
        <v>7580</v>
      </c>
      <c r="H524" s="7" t="s">
        <v>7581</v>
      </c>
      <c r="I524" s="7" t="s">
        <v>5812</v>
      </c>
      <c r="J524" s="7" t="s">
        <v>5812</v>
      </c>
      <c r="K524" s="7" t="s">
        <v>7582</v>
      </c>
    </row>
    <row r="525" customFormat="false" ht="68.65" hidden="false" customHeight="false" outlineLevel="0" collapsed="false">
      <c r="A525" s="7" t="n">
        <v>100</v>
      </c>
      <c r="B525" s="7" t="s">
        <v>1212</v>
      </c>
      <c r="C525" s="7" t="s">
        <v>1214</v>
      </c>
      <c r="D525" s="7" t="s">
        <v>5974</v>
      </c>
      <c r="E525" s="7" t="s">
        <v>7583</v>
      </c>
      <c r="F525" s="7" t="s">
        <v>7584</v>
      </c>
      <c r="G525" s="7" t="s">
        <v>7585</v>
      </c>
      <c r="H525" s="7" t="s">
        <v>6151</v>
      </c>
      <c r="I525" s="7" t="s">
        <v>5812</v>
      </c>
      <c r="J525" s="7" t="s">
        <v>5812</v>
      </c>
      <c r="K525" s="7" t="s">
        <v>7586</v>
      </c>
    </row>
    <row r="526" customFormat="false" ht="23.85" hidden="false" customHeight="false" outlineLevel="0" collapsed="false">
      <c r="A526" s="7" t="n">
        <v>100</v>
      </c>
      <c r="B526" s="7" t="s">
        <v>1212</v>
      </c>
      <c r="C526" s="7" t="s">
        <v>1214</v>
      </c>
      <c r="D526" s="7" t="s">
        <v>5974</v>
      </c>
      <c r="E526" s="7" t="s">
        <v>7587</v>
      </c>
      <c r="F526" s="7" t="s">
        <v>7588</v>
      </c>
      <c r="G526" s="7"/>
      <c r="H526" s="7" t="s">
        <v>7589</v>
      </c>
      <c r="I526" s="7" t="s">
        <v>5812</v>
      </c>
      <c r="J526" s="7" t="s">
        <v>5812</v>
      </c>
      <c r="K526" s="7" t="s">
        <v>7586</v>
      </c>
    </row>
    <row r="527" customFormat="false" ht="57.45" hidden="false" customHeight="false" outlineLevel="0" collapsed="false">
      <c r="A527" s="7" t="n">
        <v>99</v>
      </c>
      <c r="B527" s="7" t="s">
        <v>1204</v>
      </c>
      <c r="C527" s="7" t="s">
        <v>1207</v>
      </c>
      <c r="D527" s="7" t="s">
        <v>68</v>
      </c>
      <c r="E527" s="7" t="s">
        <v>7577</v>
      </c>
      <c r="F527" s="7"/>
      <c r="G527" s="7"/>
      <c r="H527" s="7"/>
      <c r="I527" s="7"/>
      <c r="J527" s="7"/>
      <c r="K527" s="7"/>
    </row>
    <row r="528" customFormat="false" ht="57.45" hidden="false" customHeight="false" outlineLevel="0" collapsed="false">
      <c r="A528" s="7" t="n">
        <v>99</v>
      </c>
      <c r="B528" s="7" t="s">
        <v>1204</v>
      </c>
      <c r="C528" s="7" t="s">
        <v>1207</v>
      </c>
      <c r="D528" s="7" t="s">
        <v>5974</v>
      </c>
      <c r="E528" s="7" t="s">
        <v>7578</v>
      </c>
      <c r="F528" s="7" t="s">
        <v>7579</v>
      </c>
      <c r="G528" s="7" t="s">
        <v>7580</v>
      </c>
      <c r="H528" s="7" t="s">
        <v>7581</v>
      </c>
      <c r="I528" s="7" t="s">
        <v>5812</v>
      </c>
      <c r="J528" s="7" t="s">
        <v>5812</v>
      </c>
      <c r="K528" s="7" t="s">
        <v>7582</v>
      </c>
    </row>
    <row r="529" customFormat="false" ht="68.65" hidden="false" customHeight="false" outlineLevel="0" collapsed="false">
      <c r="A529" s="7" t="n">
        <v>99</v>
      </c>
      <c r="B529" s="7" t="s">
        <v>1204</v>
      </c>
      <c r="C529" s="7" t="s">
        <v>1207</v>
      </c>
      <c r="D529" s="7" t="s">
        <v>5974</v>
      </c>
      <c r="E529" s="7" t="s">
        <v>7583</v>
      </c>
      <c r="F529" s="7" t="s">
        <v>7584</v>
      </c>
      <c r="G529" s="7" t="s">
        <v>7585</v>
      </c>
      <c r="H529" s="7" t="s">
        <v>6151</v>
      </c>
      <c r="I529" s="7" t="s">
        <v>5812</v>
      </c>
      <c r="J529" s="7" t="s">
        <v>5812</v>
      </c>
      <c r="K529" s="7" t="s">
        <v>7586</v>
      </c>
    </row>
    <row r="530" customFormat="false" ht="23.85" hidden="false" customHeight="false" outlineLevel="0" collapsed="false">
      <c r="A530" s="7" t="n">
        <v>99</v>
      </c>
      <c r="B530" s="7" t="s">
        <v>1204</v>
      </c>
      <c r="C530" s="7" t="s">
        <v>1207</v>
      </c>
      <c r="D530" s="7" t="s">
        <v>5974</v>
      </c>
      <c r="E530" s="7" t="s">
        <v>7587</v>
      </c>
      <c r="F530" s="7" t="s">
        <v>7588</v>
      </c>
      <c r="G530" s="7"/>
      <c r="H530" s="7" t="s">
        <v>7589</v>
      </c>
      <c r="I530" s="7" t="s">
        <v>5812</v>
      </c>
      <c r="J530" s="7" t="s">
        <v>5812</v>
      </c>
      <c r="K530" s="7" t="s">
        <v>7586</v>
      </c>
    </row>
    <row r="531" customFormat="false" ht="46.25" hidden="false" customHeight="false" outlineLevel="0" collapsed="false">
      <c r="A531" s="7" t="n">
        <v>101</v>
      </c>
      <c r="B531" s="7" t="s">
        <v>1219</v>
      </c>
      <c r="C531" s="7" t="s">
        <v>1221</v>
      </c>
      <c r="D531" s="7" t="s">
        <v>68</v>
      </c>
      <c r="E531" s="7" t="s">
        <v>7590</v>
      </c>
      <c r="F531" s="7"/>
      <c r="G531" s="7"/>
      <c r="H531" s="7"/>
      <c r="I531" s="7"/>
      <c r="J531" s="7"/>
      <c r="K531" s="7"/>
    </row>
    <row r="532" customFormat="false" ht="35.05" hidden="false" customHeight="false" outlineLevel="0" collapsed="false">
      <c r="A532" s="7" t="n">
        <v>101</v>
      </c>
      <c r="B532" s="7" t="s">
        <v>1219</v>
      </c>
      <c r="C532" s="7" t="s">
        <v>1221</v>
      </c>
      <c r="D532" s="7" t="s">
        <v>7591</v>
      </c>
      <c r="E532" s="7" t="s">
        <v>7592</v>
      </c>
      <c r="F532" s="7" t="s">
        <v>7593</v>
      </c>
      <c r="G532" s="7"/>
      <c r="H532" s="7" t="s">
        <v>7594</v>
      </c>
      <c r="I532" s="7" t="s">
        <v>5812</v>
      </c>
      <c r="J532" s="7" t="s">
        <v>5812</v>
      </c>
      <c r="K532" s="7" t="s">
        <v>7595</v>
      </c>
    </row>
    <row r="533" customFormat="false" ht="57.45" hidden="false" customHeight="false" outlineLevel="0" collapsed="false">
      <c r="A533" s="7" t="n">
        <v>101</v>
      </c>
      <c r="B533" s="7" t="s">
        <v>1219</v>
      </c>
      <c r="C533" s="7" t="s">
        <v>1221</v>
      </c>
      <c r="D533" s="7" t="s">
        <v>5974</v>
      </c>
      <c r="E533" s="7" t="s">
        <v>7596</v>
      </c>
      <c r="F533" s="7" t="s">
        <v>7597</v>
      </c>
      <c r="G533" s="7" t="s">
        <v>7598</v>
      </c>
      <c r="H533" s="7" t="s">
        <v>7599</v>
      </c>
      <c r="I533" s="7" t="s">
        <v>5812</v>
      </c>
      <c r="J533" s="7" t="s">
        <v>5812</v>
      </c>
      <c r="K533" s="7" t="s">
        <v>7600</v>
      </c>
    </row>
    <row r="534" customFormat="false" ht="68.65" hidden="false" customHeight="false" outlineLevel="0" collapsed="false">
      <c r="A534" s="7" t="n">
        <v>101</v>
      </c>
      <c r="B534" s="7" t="s">
        <v>1219</v>
      </c>
      <c r="C534" s="7" t="s">
        <v>1221</v>
      </c>
      <c r="D534" s="7" t="s">
        <v>5974</v>
      </c>
      <c r="E534" s="7" t="s">
        <v>6569</v>
      </c>
      <c r="F534" s="7" t="s">
        <v>7601</v>
      </c>
      <c r="G534" s="7" t="s">
        <v>7602</v>
      </c>
      <c r="H534" s="7" t="s">
        <v>7603</v>
      </c>
      <c r="I534" s="7" t="s">
        <v>5805</v>
      </c>
      <c r="J534" s="7" t="s">
        <v>5805</v>
      </c>
      <c r="K534" s="7" t="s">
        <v>7604</v>
      </c>
    </row>
    <row r="535" customFormat="false" ht="35.05" hidden="false" customHeight="false" outlineLevel="0" collapsed="false">
      <c r="A535" s="7" t="n">
        <v>104</v>
      </c>
      <c r="B535" s="7" t="s">
        <v>1246</v>
      </c>
      <c r="C535" s="7" t="s">
        <v>1249</v>
      </c>
      <c r="D535" s="7" t="s">
        <v>7605</v>
      </c>
      <c r="E535" s="7" t="s">
        <v>7606</v>
      </c>
      <c r="F535" s="7" t="s">
        <v>7607</v>
      </c>
      <c r="G535" s="7" t="s">
        <v>7608</v>
      </c>
      <c r="H535" s="7" t="s">
        <v>7609</v>
      </c>
      <c r="I535" s="7" t="s">
        <v>5812</v>
      </c>
      <c r="J535" s="7" t="s">
        <v>5812</v>
      </c>
      <c r="K535" s="7" t="s">
        <v>7610</v>
      </c>
    </row>
    <row r="536" customFormat="false" ht="35.05" hidden="false" customHeight="false" outlineLevel="0" collapsed="false">
      <c r="A536" s="7" t="n">
        <v>104</v>
      </c>
      <c r="B536" s="7" t="s">
        <v>1246</v>
      </c>
      <c r="C536" s="7" t="s">
        <v>1249</v>
      </c>
      <c r="D536" s="7" t="s">
        <v>7605</v>
      </c>
      <c r="E536" s="7" t="s">
        <v>7611</v>
      </c>
      <c r="F536" s="7" t="s">
        <v>7612</v>
      </c>
      <c r="G536" s="7" t="s">
        <v>7613</v>
      </c>
      <c r="H536" s="7" t="s">
        <v>7614</v>
      </c>
      <c r="I536" s="7" t="s">
        <v>5812</v>
      </c>
      <c r="J536" s="7" t="s">
        <v>5812</v>
      </c>
      <c r="K536" s="7" t="s">
        <v>7610</v>
      </c>
    </row>
    <row r="537" customFormat="false" ht="79.85" hidden="false" customHeight="false" outlineLevel="0" collapsed="false">
      <c r="A537" s="7" t="n">
        <v>104</v>
      </c>
      <c r="B537" s="7" t="s">
        <v>1246</v>
      </c>
      <c r="C537" s="7" t="s">
        <v>1249</v>
      </c>
      <c r="D537" s="7" t="s">
        <v>5974</v>
      </c>
      <c r="E537" s="7" t="s">
        <v>7615</v>
      </c>
      <c r="F537" s="7" t="s">
        <v>7616</v>
      </c>
      <c r="G537" s="7" t="s">
        <v>7617</v>
      </c>
      <c r="H537" s="7" t="s">
        <v>7618</v>
      </c>
      <c r="I537" s="7" t="s">
        <v>5812</v>
      </c>
      <c r="J537" s="7" t="s">
        <v>5812</v>
      </c>
      <c r="K537" s="7" t="s">
        <v>7619</v>
      </c>
    </row>
    <row r="538" customFormat="false" ht="68.65" hidden="false" customHeight="false" outlineLevel="0" collapsed="false">
      <c r="A538" s="7" t="n">
        <v>105</v>
      </c>
      <c r="B538" s="7" t="s">
        <v>1253</v>
      </c>
      <c r="C538" s="7" t="s">
        <v>1256</v>
      </c>
      <c r="D538" s="7" t="s">
        <v>68</v>
      </c>
      <c r="E538" s="7" t="s">
        <v>7620</v>
      </c>
      <c r="F538" s="7"/>
      <c r="G538" s="7"/>
      <c r="H538" s="7"/>
      <c r="I538" s="7"/>
      <c r="J538" s="7"/>
      <c r="K538" s="7"/>
    </row>
    <row r="539" customFormat="false" ht="57.45" hidden="false" customHeight="false" outlineLevel="0" collapsed="false">
      <c r="A539" s="7" t="n">
        <v>105</v>
      </c>
      <c r="B539" s="7" t="s">
        <v>1253</v>
      </c>
      <c r="C539" s="7" t="s">
        <v>1256</v>
      </c>
      <c r="D539" s="7" t="s">
        <v>7621</v>
      </c>
      <c r="E539" s="7" t="s">
        <v>7622</v>
      </c>
      <c r="F539" s="7" t="s">
        <v>7623</v>
      </c>
      <c r="G539" s="7" t="s">
        <v>7624</v>
      </c>
      <c r="H539" s="7" t="s">
        <v>7625</v>
      </c>
      <c r="I539" s="7" t="s">
        <v>5812</v>
      </c>
      <c r="J539" s="7" t="s">
        <v>5812</v>
      </c>
      <c r="K539" s="7" t="s">
        <v>7626</v>
      </c>
    </row>
    <row r="540" customFormat="false" ht="35.05" hidden="false" customHeight="false" outlineLevel="0" collapsed="false">
      <c r="A540" s="7" t="n">
        <v>105</v>
      </c>
      <c r="B540" s="7" t="s">
        <v>1253</v>
      </c>
      <c r="C540" s="7" t="s">
        <v>1256</v>
      </c>
      <c r="D540" s="7" t="s">
        <v>5974</v>
      </c>
      <c r="E540" s="7" t="s">
        <v>7627</v>
      </c>
      <c r="F540" s="7" t="s">
        <v>7628</v>
      </c>
      <c r="G540" s="7"/>
      <c r="H540" s="7" t="s">
        <v>7629</v>
      </c>
      <c r="I540" s="7" t="s">
        <v>5812</v>
      </c>
      <c r="J540" s="7" t="s">
        <v>5812</v>
      </c>
      <c r="K540" s="7" t="s">
        <v>7630</v>
      </c>
    </row>
    <row r="541" customFormat="false" ht="35.05" hidden="false" customHeight="false" outlineLevel="0" collapsed="false">
      <c r="A541" s="7" t="n">
        <v>106</v>
      </c>
      <c r="B541" s="7" t="s">
        <v>1260</v>
      </c>
      <c r="C541" s="7" t="s">
        <v>1263</v>
      </c>
      <c r="D541" s="7" t="s">
        <v>6082</v>
      </c>
      <c r="E541" s="7" t="s">
        <v>7631</v>
      </c>
      <c r="F541" s="7" t="s">
        <v>7632</v>
      </c>
      <c r="G541" s="7" t="s">
        <v>7633</v>
      </c>
      <c r="H541" s="7" t="s">
        <v>7634</v>
      </c>
      <c r="I541" s="7" t="s">
        <v>5812</v>
      </c>
      <c r="J541" s="7" t="s">
        <v>5812</v>
      </c>
      <c r="K541" s="7" t="s">
        <v>7635</v>
      </c>
    </row>
    <row r="542" customFormat="false" ht="23.85" hidden="false" customHeight="false" outlineLevel="0" collapsed="false">
      <c r="A542" s="7" t="n">
        <v>106</v>
      </c>
      <c r="B542" s="7" t="s">
        <v>1260</v>
      </c>
      <c r="C542" s="7" t="s">
        <v>1263</v>
      </c>
      <c r="D542" s="7" t="s">
        <v>6082</v>
      </c>
      <c r="E542" s="7" t="s">
        <v>7636</v>
      </c>
      <c r="F542" s="7" t="s">
        <v>7637</v>
      </c>
      <c r="G542" s="7" t="s">
        <v>7638</v>
      </c>
      <c r="H542" s="7" t="s">
        <v>6512</v>
      </c>
      <c r="I542" s="7" t="s">
        <v>5812</v>
      </c>
      <c r="J542" s="7" t="s">
        <v>5812</v>
      </c>
      <c r="K542" s="7" t="s">
        <v>7635</v>
      </c>
    </row>
    <row r="543" customFormat="false" ht="57.45" hidden="false" customHeight="false" outlineLevel="0" collapsed="false">
      <c r="A543" s="7" t="n">
        <v>106</v>
      </c>
      <c r="B543" s="7" t="s">
        <v>1260</v>
      </c>
      <c r="C543" s="7" t="s">
        <v>1263</v>
      </c>
      <c r="D543" s="7" t="s">
        <v>6082</v>
      </c>
      <c r="E543" s="7" t="s">
        <v>6134</v>
      </c>
      <c r="F543" s="7" t="s">
        <v>7639</v>
      </c>
      <c r="G543" s="7" t="s">
        <v>7640</v>
      </c>
      <c r="H543" s="7" t="s">
        <v>7641</v>
      </c>
      <c r="I543" s="7" t="s">
        <v>5812</v>
      </c>
      <c r="J543" s="7" t="s">
        <v>5812</v>
      </c>
      <c r="K543" s="7" t="s">
        <v>7642</v>
      </c>
    </row>
    <row r="544" customFormat="false" ht="23.85" hidden="false" customHeight="false" outlineLevel="0" collapsed="false">
      <c r="A544" s="7" t="n">
        <v>106</v>
      </c>
      <c r="B544" s="7" t="s">
        <v>1260</v>
      </c>
      <c r="C544" s="7" t="s">
        <v>1263</v>
      </c>
      <c r="D544" s="7" t="s">
        <v>6082</v>
      </c>
      <c r="E544" s="7" t="s">
        <v>7643</v>
      </c>
      <c r="F544" s="7" t="s">
        <v>7644</v>
      </c>
      <c r="G544" s="7" t="s">
        <v>7645</v>
      </c>
      <c r="H544" s="7" t="s">
        <v>6512</v>
      </c>
      <c r="I544" s="7" t="s">
        <v>5812</v>
      </c>
      <c r="J544" s="7" t="s">
        <v>5812</v>
      </c>
      <c r="K544" s="7" t="s">
        <v>7635</v>
      </c>
    </row>
    <row r="545" customFormat="false" ht="35.05" hidden="false" customHeight="false" outlineLevel="0" collapsed="false">
      <c r="A545" s="7" t="n">
        <v>106</v>
      </c>
      <c r="B545" s="7" t="s">
        <v>1260</v>
      </c>
      <c r="C545" s="7" t="s">
        <v>1263</v>
      </c>
      <c r="D545" s="7" t="s">
        <v>5974</v>
      </c>
      <c r="E545" s="7" t="s">
        <v>7646</v>
      </c>
      <c r="F545" s="7" t="s">
        <v>7647</v>
      </c>
      <c r="G545" s="7"/>
      <c r="H545" s="7" t="s">
        <v>7648</v>
      </c>
      <c r="I545" s="7" t="s">
        <v>5857</v>
      </c>
      <c r="J545" s="7" t="s">
        <v>5857</v>
      </c>
      <c r="K545" s="7" t="s">
        <v>7649</v>
      </c>
    </row>
    <row r="546" customFormat="false" ht="57.45" hidden="false" customHeight="false" outlineLevel="0" collapsed="false">
      <c r="A546" s="7" t="n">
        <v>107</v>
      </c>
      <c r="B546" s="7" t="s">
        <v>1267</v>
      </c>
      <c r="C546" s="7" t="s">
        <v>1271</v>
      </c>
      <c r="D546" s="7" t="s">
        <v>68</v>
      </c>
      <c r="E546" s="7" t="s">
        <v>7650</v>
      </c>
      <c r="F546" s="7"/>
      <c r="G546" s="7"/>
      <c r="H546" s="7"/>
      <c r="I546" s="7"/>
      <c r="J546" s="7"/>
      <c r="K546" s="7"/>
    </row>
    <row r="547" customFormat="false" ht="35.05" hidden="false" customHeight="false" outlineLevel="0" collapsed="false">
      <c r="A547" s="7" t="n">
        <v>107</v>
      </c>
      <c r="B547" s="7" t="s">
        <v>1267</v>
      </c>
      <c r="C547" s="7" t="s">
        <v>1271</v>
      </c>
      <c r="D547" s="7" t="s">
        <v>5974</v>
      </c>
      <c r="E547" s="7" t="s">
        <v>7651</v>
      </c>
      <c r="F547" s="7" t="s">
        <v>7652</v>
      </c>
      <c r="G547" s="7"/>
      <c r="H547" s="7" t="s">
        <v>7653</v>
      </c>
      <c r="I547" s="7" t="s">
        <v>5812</v>
      </c>
      <c r="J547" s="7" t="s">
        <v>5812</v>
      </c>
      <c r="K547" s="7" t="s">
        <v>7654</v>
      </c>
    </row>
    <row r="548" customFormat="false" ht="68.65" hidden="false" customHeight="false" outlineLevel="0" collapsed="false">
      <c r="A548" s="7" t="n">
        <v>107</v>
      </c>
      <c r="B548" s="7" t="s">
        <v>1267</v>
      </c>
      <c r="C548" s="7" t="s">
        <v>1271</v>
      </c>
      <c r="D548" s="7" t="s">
        <v>5974</v>
      </c>
      <c r="E548" s="7" t="s">
        <v>5824</v>
      </c>
      <c r="F548" s="7" t="s">
        <v>7655</v>
      </c>
      <c r="G548" s="7" t="s">
        <v>7656</v>
      </c>
      <c r="H548" s="7" t="s">
        <v>7657</v>
      </c>
      <c r="I548" s="7" t="s">
        <v>5812</v>
      </c>
      <c r="J548" s="7" t="s">
        <v>5812</v>
      </c>
      <c r="K548" s="7" t="s">
        <v>7658</v>
      </c>
    </row>
    <row r="549" customFormat="false" ht="35.05" hidden="false" customHeight="false" outlineLevel="0" collapsed="false">
      <c r="A549" s="7" t="n">
        <v>107</v>
      </c>
      <c r="B549" s="7" t="s">
        <v>1267</v>
      </c>
      <c r="C549" s="7" t="s">
        <v>1271</v>
      </c>
      <c r="D549" s="7" t="s">
        <v>5974</v>
      </c>
      <c r="E549" s="7" t="s">
        <v>7659</v>
      </c>
      <c r="F549" s="7" t="s">
        <v>7660</v>
      </c>
      <c r="G549" s="7"/>
      <c r="H549" s="7" t="s">
        <v>6512</v>
      </c>
      <c r="I549" s="7" t="s">
        <v>5812</v>
      </c>
      <c r="J549" s="7" t="s">
        <v>5812</v>
      </c>
      <c r="K549" s="7" t="s">
        <v>7654</v>
      </c>
    </row>
  </sheetData>
  <autoFilter ref="A1:K54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16"/>
    <col collapsed="false" customWidth="true" hidden="false" outlineLevel="0" max="4" min="4" style="0" width="22"/>
    <col collapsed="false" customWidth="true" hidden="false" outlineLevel="0" max="5" min="5" style="0" width="60"/>
    <col collapsed="false" customWidth="true" hidden="false" outlineLevel="0" max="6" min="6" style="0" width="6"/>
    <col collapsed="false" customWidth="true" hidden="false" outlineLevel="0" max="7" min="7" style="0" width="18"/>
    <col collapsed="false" customWidth="true" hidden="false" outlineLevel="0" max="8" min="8" style="0" width="30"/>
    <col collapsed="false" customWidth="true" hidden="false" outlineLevel="0" max="9" min="9" style="0" width="25"/>
    <col collapsed="false" customWidth="true" hidden="false" outlineLevel="0" max="10" min="10" style="0" width="18"/>
    <col collapsed="false" customWidth="true" hidden="false" outlineLevel="0" max="12" min="11" style="0" width="60"/>
    <col collapsed="false" customWidth="true" hidden="false" outlineLevel="0" max="13" min="13" style="0" width="18"/>
    <col collapsed="false" customWidth="true" hidden="false" outlineLevel="0" max="14" min="14" style="0" width="40"/>
    <col collapsed="false" customWidth="true" hidden="false" outlineLevel="0" max="15" min="15" style="0" width="30"/>
    <col collapsed="false" customWidth="true" hidden="false" outlineLevel="0" max="17" min="16" style="0" width="14"/>
    <col collapsed="false" customWidth="true" hidden="false" outlineLevel="0" max="18" min="18" style="0" width="11"/>
    <col collapsed="false" customWidth="true" hidden="false" outlineLevel="0" max="19" min="19" style="0" width="40"/>
    <col collapsed="false" customWidth="true" hidden="false" outlineLevel="0" max="20" min="20" style="0" width="30"/>
    <col collapsed="false" customWidth="true" hidden="false" outlineLevel="0" max="21" min="21" style="0" width="40"/>
  </cols>
  <sheetData>
    <row r="1" customFormat="false" ht="45" hidden="false" customHeight="true" outlineLevel="0" collapsed="false">
      <c r="A1" s="1" t="s">
        <v>1360</v>
      </c>
      <c r="B1" s="1" t="s">
        <v>1361</v>
      </c>
      <c r="C1" s="1" t="s">
        <v>7661</v>
      </c>
      <c r="D1" s="1" t="s">
        <v>7662</v>
      </c>
      <c r="E1" s="1" t="s">
        <v>7663</v>
      </c>
      <c r="F1" s="1" t="s">
        <v>7664</v>
      </c>
      <c r="G1" s="1" t="s">
        <v>7665</v>
      </c>
      <c r="H1" s="1" t="s">
        <v>7666</v>
      </c>
      <c r="I1" s="1" t="s">
        <v>7667</v>
      </c>
      <c r="J1" s="1" t="s">
        <v>7668</v>
      </c>
      <c r="K1" s="1" t="s">
        <v>7669</v>
      </c>
      <c r="L1" s="1" t="s">
        <v>7670</v>
      </c>
      <c r="M1" s="1" t="s">
        <v>7671</v>
      </c>
      <c r="N1" s="1" t="s">
        <v>7672</v>
      </c>
      <c r="O1" s="1" t="s">
        <v>7673</v>
      </c>
      <c r="P1" s="1" t="s">
        <v>7674</v>
      </c>
      <c r="Q1" s="1" t="s">
        <v>7675</v>
      </c>
      <c r="R1" s="1" t="s">
        <v>7676</v>
      </c>
      <c r="S1" s="1" t="s">
        <v>7677</v>
      </c>
      <c r="T1" s="1" t="s">
        <v>5559</v>
      </c>
      <c r="U1" s="1" t="s">
        <v>7678</v>
      </c>
    </row>
    <row r="2" customFormat="false" ht="46.25" hidden="false" customHeight="false" outlineLevel="0" collapsed="false">
      <c r="A2" s="7" t="n">
        <v>1</v>
      </c>
      <c r="B2" s="7" t="s">
        <v>69</v>
      </c>
      <c r="C2" s="7" t="s">
        <v>7679</v>
      </c>
      <c r="D2" s="7" t="s">
        <v>7680</v>
      </c>
      <c r="E2" s="7" t="s">
        <v>7681</v>
      </c>
      <c r="F2" s="7" t="n">
        <v>2001</v>
      </c>
      <c r="G2" s="7" t="s">
        <v>7682</v>
      </c>
      <c r="H2" s="7" t="s">
        <v>7683</v>
      </c>
      <c r="I2" s="7" t="s">
        <v>7684</v>
      </c>
      <c r="J2" s="7" t="s">
        <v>7685</v>
      </c>
      <c r="K2" s="7" t="s">
        <v>7686</v>
      </c>
      <c r="L2" s="7" t="s">
        <v>7687</v>
      </c>
      <c r="M2" s="7" t="s">
        <v>7688</v>
      </c>
      <c r="N2" s="7" t="s">
        <v>7689</v>
      </c>
      <c r="O2" s="7"/>
      <c r="P2" s="7" t="s">
        <v>7690</v>
      </c>
      <c r="Q2" s="7" t="s">
        <v>7691</v>
      </c>
      <c r="R2" s="7" t="s">
        <v>7692</v>
      </c>
      <c r="S2" s="7" t="s">
        <v>7693</v>
      </c>
      <c r="T2" s="7" t="s">
        <v>7694</v>
      </c>
      <c r="U2" s="7"/>
    </row>
    <row r="3" customFormat="false" ht="35.05" hidden="false" customHeight="false" outlineLevel="0" collapsed="false">
      <c r="A3" s="7" t="n">
        <v>1</v>
      </c>
      <c r="B3" s="7" t="s">
        <v>69</v>
      </c>
      <c r="C3" s="7" t="s">
        <v>7679</v>
      </c>
      <c r="D3" s="7" t="s">
        <v>7695</v>
      </c>
      <c r="E3" s="7" t="s">
        <v>7696</v>
      </c>
      <c r="F3" s="7" t="n">
        <v>2001</v>
      </c>
      <c r="G3" s="7" t="s">
        <v>7682</v>
      </c>
      <c r="H3" s="7" t="s">
        <v>7697</v>
      </c>
      <c r="I3" s="7" t="s">
        <v>7698</v>
      </c>
      <c r="J3" s="7" t="s">
        <v>7699</v>
      </c>
      <c r="K3" s="7" t="s">
        <v>7700</v>
      </c>
      <c r="L3" s="7" t="s">
        <v>7701</v>
      </c>
      <c r="M3" s="7" t="s">
        <v>7702</v>
      </c>
      <c r="N3" s="7" t="s">
        <v>7703</v>
      </c>
      <c r="O3" s="7"/>
      <c r="P3" s="7" t="s">
        <v>7690</v>
      </c>
      <c r="Q3" s="7" t="s">
        <v>7691</v>
      </c>
      <c r="R3" s="7" t="s">
        <v>7692</v>
      </c>
      <c r="S3" s="7" t="s">
        <v>7704</v>
      </c>
      <c r="T3" s="7"/>
      <c r="U3" s="7"/>
    </row>
    <row r="4" customFormat="false" ht="35.05" hidden="false" customHeight="false" outlineLevel="0" collapsed="false">
      <c r="A4" s="7" t="n">
        <v>1</v>
      </c>
      <c r="B4" s="7" t="s">
        <v>69</v>
      </c>
      <c r="C4" s="7" t="s">
        <v>7705</v>
      </c>
      <c r="D4" s="7" t="s">
        <v>7706</v>
      </c>
      <c r="E4" s="7" t="s">
        <v>7707</v>
      </c>
      <c r="F4" s="7" t="n">
        <v>2007</v>
      </c>
      <c r="G4" s="7" t="s">
        <v>7708</v>
      </c>
      <c r="H4" s="7" t="s">
        <v>7709</v>
      </c>
      <c r="I4" s="7" t="s">
        <v>7710</v>
      </c>
      <c r="J4" s="7" t="s">
        <v>7711</v>
      </c>
      <c r="K4" s="7" t="s">
        <v>7712</v>
      </c>
      <c r="L4" s="7" t="s">
        <v>7713</v>
      </c>
      <c r="M4" s="7" t="s">
        <v>7714</v>
      </c>
      <c r="N4" s="7" t="s">
        <v>7715</v>
      </c>
      <c r="O4" s="7"/>
      <c r="P4" s="7" t="s">
        <v>7690</v>
      </c>
      <c r="Q4" s="7" t="s">
        <v>7716</v>
      </c>
      <c r="R4" s="7" t="s">
        <v>7692</v>
      </c>
      <c r="S4" s="7" t="s">
        <v>7717</v>
      </c>
      <c r="T4" s="7"/>
      <c r="U4" s="7" t="s">
        <v>7718</v>
      </c>
    </row>
    <row r="5" customFormat="false" ht="35.05" hidden="false" customHeight="false" outlineLevel="0" collapsed="false">
      <c r="A5" s="7" t="n">
        <v>1</v>
      </c>
      <c r="B5" s="7" t="s">
        <v>69</v>
      </c>
      <c r="C5" s="7" t="s">
        <v>7679</v>
      </c>
      <c r="D5" s="7" t="s">
        <v>7719</v>
      </c>
      <c r="E5" s="7" t="s">
        <v>7720</v>
      </c>
      <c r="F5" s="7" t="n">
        <v>2009</v>
      </c>
      <c r="G5" s="7" t="s">
        <v>7721</v>
      </c>
      <c r="H5" s="7" t="s">
        <v>7722</v>
      </c>
      <c r="I5" s="7" t="s">
        <v>7723</v>
      </c>
      <c r="J5" s="7" t="s">
        <v>7711</v>
      </c>
      <c r="K5" s="7" t="s">
        <v>7724</v>
      </c>
      <c r="L5" s="7" t="s">
        <v>7725</v>
      </c>
      <c r="M5" s="7" t="s">
        <v>7714</v>
      </c>
      <c r="N5" s="7" t="s">
        <v>7726</v>
      </c>
      <c r="O5" s="7"/>
      <c r="P5" s="7" t="s">
        <v>7690</v>
      </c>
      <c r="Q5" s="7" t="s">
        <v>7727</v>
      </c>
      <c r="R5" s="7" t="s">
        <v>7692</v>
      </c>
      <c r="S5" s="7" t="s">
        <v>7728</v>
      </c>
      <c r="T5" s="7"/>
      <c r="U5" s="7" t="s">
        <v>7729</v>
      </c>
    </row>
    <row r="6" customFormat="false" ht="46.25" hidden="false" customHeight="false" outlineLevel="0" collapsed="false">
      <c r="A6" s="7" t="n">
        <v>2</v>
      </c>
      <c r="B6" s="7" t="s">
        <v>88</v>
      </c>
      <c r="C6" s="7" t="s">
        <v>7679</v>
      </c>
      <c r="D6" s="7" t="s">
        <v>7730</v>
      </c>
      <c r="E6" s="7" t="s">
        <v>7731</v>
      </c>
      <c r="F6" s="7" t="n">
        <v>2000</v>
      </c>
      <c r="G6" s="7" t="s">
        <v>7732</v>
      </c>
      <c r="H6" s="7" t="s">
        <v>7733</v>
      </c>
      <c r="I6" s="7" t="s">
        <v>7734</v>
      </c>
      <c r="J6" s="7" t="s">
        <v>7685</v>
      </c>
      <c r="K6" s="7" t="s">
        <v>7735</v>
      </c>
      <c r="L6" s="7" t="s">
        <v>7736</v>
      </c>
      <c r="M6" s="7" t="s">
        <v>7737</v>
      </c>
      <c r="N6" s="7" t="s">
        <v>7738</v>
      </c>
      <c r="O6" s="7"/>
      <c r="P6" s="7" t="s">
        <v>7690</v>
      </c>
      <c r="Q6" s="7" t="s">
        <v>7716</v>
      </c>
      <c r="R6" s="7" t="s">
        <v>7692</v>
      </c>
      <c r="S6" s="7" t="s">
        <v>7739</v>
      </c>
      <c r="T6" s="7"/>
      <c r="U6" s="7"/>
    </row>
    <row r="7" customFormat="false" ht="35.05" hidden="false" customHeight="false" outlineLevel="0" collapsed="false">
      <c r="A7" s="7" t="n">
        <v>2</v>
      </c>
      <c r="B7" s="7" t="s">
        <v>88</v>
      </c>
      <c r="C7" s="7" t="s">
        <v>7679</v>
      </c>
      <c r="D7" s="7" t="s">
        <v>7740</v>
      </c>
      <c r="E7" s="7" t="s">
        <v>7741</v>
      </c>
      <c r="F7" s="7" t="n">
        <v>2017</v>
      </c>
      <c r="G7" s="7" t="s">
        <v>7742</v>
      </c>
      <c r="H7" s="7" t="s">
        <v>7743</v>
      </c>
      <c r="I7" s="7" t="s">
        <v>7744</v>
      </c>
      <c r="J7" s="7" t="s">
        <v>7745</v>
      </c>
      <c r="K7" s="7" t="s">
        <v>7746</v>
      </c>
      <c r="L7" s="7" t="s">
        <v>7747</v>
      </c>
      <c r="M7" s="7" t="s">
        <v>7748</v>
      </c>
      <c r="N7" s="7" t="s">
        <v>7749</v>
      </c>
      <c r="O7" s="7"/>
      <c r="P7" s="7" t="s">
        <v>7690</v>
      </c>
      <c r="Q7" s="7" t="s">
        <v>7727</v>
      </c>
      <c r="R7" s="7" t="s">
        <v>7692</v>
      </c>
      <c r="S7" s="7" t="s">
        <v>7750</v>
      </c>
      <c r="T7" s="7"/>
      <c r="U7" s="7"/>
    </row>
    <row r="8" customFormat="false" ht="57.45" hidden="false" customHeight="false" outlineLevel="0" collapsed="false">
      <c r="A8" s="7" t="n">
        <v>2</v>
      </c>
      <c r="B8" s="7" t="s">
        <v>88</v>
      </c>
      <c r="C8" s="7" t="s">
        <v>7679</v>
      </c>
      <c r="D8" s="7" t="s">
        <v>7751</v>
      </c>
      <c r="E8" s="7" t="s">
        <v>7752</v>
      </c>
      <c r="F8" s="7" t="n">
        <v>2024</v>
      </c>
      <c r="G8" s="7" t="s">
        <v>7742</v>
      </c>
      <c r="H8" s="7" t="s">
        <v>7753</v>
      </c>
      <c r="I8" s="7" t="s">
        <v>7754</v>
      </c>
      <c r="J8" s="7" t="s">
        <v>7685</v>
      </c>
      <c r="K8" s="7" t="s">
        <v>7755</v>
      </c>
      <c r="L8" s="7" t="s">
        <v>7756</v>
      </c>
      <c r="M8" s="7" t="s">
        <v>7757</v>
      </c>
      <c r="N8" s="7" t="s">
        <v>7758</v>
      </c>
      <c r="O8" s="7"/>
      <c r="P8" s="7" t="s">
        <v>7690</v>
      </c>
      <c r="Q8" s="7" t="s">
        <v>7759</v>
      </c>
      <c r="R8" s="7" t="s">
        <v>7692</v>
      </c>
      <c r="S8" s="7" t="s">
        <v>7760</v>
      </c>
      <c r="T8" s="7"/>
      <c r="U8" s="7"/>
    </row>
    <row r="9" customFormat="false" ht="46.25" hidden="false" customHeight="false" outlineLevel="0" collapsed="false">
      <c r="A9" s="7" t="n">
        <v>2</v>
      </c>
      <c r="B9" s="7" t="s">
        <v>88</v>
      </c>
      <c r="C9" s="7" t="s">
        <v>7679</v>
      </c>
      <c r="D9" s="7" t="s">
        <v>7761</v>
      </c>
      <c r="E9" s="7" t="s">
        <v>7762</v>
      </c>
      <c r="F9" s="7" t="n">
        <v>2016</v>
      </c>
      <c r="G9" s="7" t="s">
        <v>7682</v>
      </c>
      <c r="H9" s="7" t="s">
        <v>7763</v>
      </c>
      <c r="I9" s="7" t="s">
        <v>7764</v>
      </c>
      <c r="J9" s="7" t="s">
        <v>7765</v>
      </c>
      <c r="K9" s="7" t="s">
        <v>7766</v>
      </c>
      <c r="L9" s="7" t="s">
        <v>7767</v>
      </c>
      <c r="M9" s="7" t="s">
        <v>7768</v>
      </c>
      <c r="N9" s="7" t="s">
        <v>7769</v>
      </c>
      <c r="O9" s="7"/>
      <c r="P9" s="7" t="s">
        <v>7690</v>
      </c>
      <c r="Q9" s="7" t="s">
        <v>7691</v>
      </c>
      <c r="R9" s="7" t="s">
        <v>7692</v>
      </c>
      <c r="S9" s="7" t="s">
        <v>7770</v>
      </c>
      <c r="T9" s="7"/>
      <c r="U9" s="7"/>
    </row>
    <row r="10" customFormat="false" ht="57.45" hidden="false" customHeight="false" outlineLevel="0" collapsed="false">
      <c r="A10" s="7" t="n">
        <v>3</v>
      </c>
      <c r="B10" s="7" t="s">
        <v>104</v>
      </c>
      <c r="C10" s="7" t="s">
        <v>7679</v>
      </c>
      <c r="D10" s="7" t="s">
        <v>7771</v>
      </c>
      <c r="E10" s="7" t="s">
        <v>7772</v>
      </c>
      <c r="F10" s="7" t="n">
        <v>2002</v>
      </c>
      <c r="G10" s="7" t="s">
        <v>7732</v>
      </c>
      <c r="H10" s="7" t="s">
        <v>7773</v>
      </c>
      <c r="I10" s="7" t="s">
        <v>7774</v>
      </c>
      <c r="J10" s="7" t="s">
        <v>7685</v>
      </c>
      <c r="K10" s="7" t="s">
        <v>7775</v>
      </c>
      <c r="L10" s="7" t="s">
        <v>7776</v>
      </c>
      <c r="M10" s="7" t="s">
        <v>7777</v>
      </c>
      <c r="N10" s="7" t="s">
        <v>7738</v>
      </c>
      <c r="O10" s="7"/>
      <c r="P10" s="7" t="s">
        <v>7690</v>
      </c>
      <c r="Q10" s="7" t="s">
        <v>7716</v>
      </c>
      <c r="R10" s="7" t="s">
        <v>7692</v>
      </c>
      <c r="S10" s="7" t="s">
        <v>7778</v>
      </c>
      <c r="T10" s="7"/>
      <c r="U10" s="7"/>
    </row>
    <row r="11" customFormat="false" ht="35.05" hidden="false" customHeight="false" outlineLevel="0" collapsed="false">
      <c r="A11" s="7" t="n">
        <v>3</v>
      </c>
      <c r="B11" s="7" t="s">
        <v>104</v>
      </c>
      <c r="C11" s="7" t="s">
        <v>7679</v>
      </c>
      <c r="D11" s="7" t="s">
        <v>7779</v>
      </c>
      <c r="E11" s="7" t="s">
        <v>7780</v>
      </c>
      <c r="F11" s="7" t="n">
        <v>2016</v>
      </c>
      <c r="G11" s="7" t="s">
        <v>7781</v>
      </c>
      <c r="H11" s="7" t="s">
        <v>7782</v>
      </c>
      <c r="I11" s="7" t="s">
        <v>7783</v>
      </c>
      <c r="J11" s="7" t="s">
        <v>7685</v>
      </c>
      <c r="K11" s="7" t="s">
        <v>7784</v>
      </c>
      <c r="L11" s="7" t="s">
        <v>7785</v>
      </c>
      <c r="M11" s="7" t="s">
        <v>7786</v>
      </c>
      <c r="N11" s="7" t="s">
        <v>7787</v>
      </c>
      <c r="O11" s="7"/>
      <c r="P11" s="7" t="s">
        <v>7690</v>
      </c>
      <c r="Q11" s="7" t="s">
        <v>7727</v>
      </c>
      <c r="R11" s="7" t="s">
        <v>7692</v>
      </c>
      <c r="S11" s="7" t="s">
        <v>7788</v>
      </c>
      <c r="T11" s="7"/>
      <c r="U11" s="7" t="s">
        <v>7789</v>
      </c>
    </row>
    <row r="12" customFormat="false" ht="57.45" hidden="false" customHeight="false" outlineLevel="0" collapsed="false">
      <c r="A12" s="7" t="n">
        <v>3</v>
      </c>
      <c r="B12" s="7" t="s">
        <v>104</v>
      </c>
      <c r="C12" s="7" t="s">
        <v>7705</v>
      </c>
      <c r="D12" s="7" t="s">
        <v>7790</v>
      </c>
      <c r="E12" s="7" t="s">
        <v>7791</v>
      </c>
      <c r="F12" s="7" t="n">
        <v>2016</v>
      </c>
      <c r="G12" s="7" t="s">
        <v>7792</v>
      </c>
      <c r="H12" s="7" t="s">
        <v>7793</v>
      </c>
      <c r="I12" s="7" t="s">
        <v>7794</v>
      </c>
      <c r="J12" s="7" t="s">
        <v>7711</v>
      </c>
      <c r="K12" s="7" t="s">
        <v>7795</v>
      </c>
      <c r="L12" s="7" t="s">
        <v>7796</v>
      </c>
      <c r="M12" s="7" t="s">
        <v>7714</v>
      </c>
      <c r="N12" s="7" t="s">
        <v>7715</v>
      </c>
      <c r="O12" s="7"/>
      <c r="P12" s="7" t="s">
        <v>7690</v>
      </c>
      <c r="Q12" s="7" t="s">
        <v>7797</v>
      </c>
      <c r="R12" s="7" t="s">
        <v>7692</v>
      </c>
      <c r="S12" s="7" t="s">
        <v>7798</v>
      </c>
      <c r="T12" s="7"/>
      <c r="U12" s="7"/>
    </row>
    <row r="13" customFormat="false" ht="102.2" hidden="false" customHeight="false" outlineLevel="0" collapsed="false">
      <c r="A13" s="7" t="n">
        <v>4</v>
      </c>
      <c r="B13" s="7" t="s">
        <v>119</v>
      </c>
      <c r="C13" s="7" t="s">
        <v>7679</v>
      </c>
      <c r="D13" s="7" t="s">
        <v>7799</v>
      </c>
      <c r="E13" s="7" t="s">
        <v>7800</v>
      </c>
      <c r="F13" s="7" t="n">
        <v>2005</v>
      </c>
      <c r="G13" s="7" t="s">
        <v>7781</v>
      </c>
      <c r="H13" s="7" t="s">
        <v>7801</v>
      </c>
      <c r="I13" s="7" t="s">
        <v>7802</v>
      </c>
      <c r="J13" s="7" t="s">
        <v>7803</v>
      </c>
      <c r="K13" s="7" t="s">
        <v>7804</v>
      </c>
      <c r="L13" s="7" t="s">
        <v>7805</v>
      </c>
      <c r="M13" s="7" t="s">
        <v>7806</v>
      </c>
      <c r="N13" s="7" t="s">
        <v>7807</v>
      </c>
      <c r="O13" s="7"/>
      <c r="P13" s="7" t="s">
        <v>7690</v>
      </c>
      <c r="Q13" s="7" t="s">
        <v>7808</v>
      </c>
      <c r="R13" s="7" t="s">
        <v>7692</v>
      </c>
      <c r="S13" s="7" t="s">
        <v>7809</v>
      </c>
      <c r="T13" s="7"/>
      <c r="U13" s="7"/>
    </row>
    <row r="14" customFormat="false" ht="46.25" hidden="false" customHeight="false" outlineLevel="0" collapsed="false">
      <c r="A14" s="7" t="n">
        <v>4</v>
      </c>
      <c r="B14" s="7" t="s">
        <v>119</v>
      </c>
      <c r="C14" s="7" t="s">
        <v>7679</v>
      </c>
      <c r="D14" s="7" t="s">
        <v>7810</v>
      </c>
      <c r="E14" s="7" t="s">
        <v>7811</v>
      </c>
      <c r="F14" s="7" t="n">
        <v>2018</v>
      </c>
      <c r="G14" s="7" t="s">
        <v>7781</v>
      </c>
      <c r="H14" s="7" t="s">
        <v>7812</v>
      </c>
      <c r="I14" s="7" t="s">
        <v>7813</v>
      </c>
      <c r="J14" s="7" t="s">
        <v>7814</v>
      </c>
      <c r="K14" s="7" t="s">
        <v>7815</v>
      </c>
      <c r="L14" s="7" t="s">
        <v>7816</v>
      </c>
      <c r="M14" s="7" t="s">
        <v>7817</v>
      </c>
      <c r="N14" s="7" t="s">
        <v>7818</v>
      </c>
      <c r="O14" s="7"/>
      <c r="P14" s="7" t="s">
        <v>7690</v>
      </c>
      <c r="Q14" s="7" t="s">
        <v>7819</v>
      </c>
      <c r="R14" s="7" t="s">
        <v>7692</v>
      </c>
      <c r="S14" s="7" t="s">
        <v>7820</v>
      </c>
      <c r="T14" s="7" t="s">
        <v>7821</v>
      </c>
      <c r="U14" s="7"/>
    </row>
    <row r="15" customFormat="false" ht="46.25" hidden="false" customHeight="false" outlineLevel="0" collapsed="false">
      <c r="A15" s="7" t="n">
        <v>4</v>
      </c>
      <c r="B15" s="7" t="s">
        <v>119</v>
      </c>
      <c r="C15" s="7" t="s">
        <v>7679</v>
      </c>
      <c r="D15" s="7" t="s">
        <v>7822</v>
      </c>
      <c r="E15" s="7" t="s">
        <v>7823</v>
      </c>
      <c r="F15" s="7" t="n">
        <v>2018</v>
      </c>
      <c r="G15" s="7" t="s">
        <v>7824</v>
      </c>
      <c r="H15" s="7" t="s">
        <v>7825</v>
      </c>
      <c r="I15" s="7" t="s">
        <v>7826</v>
      </c>
      <c r="J15" s="7" t="s">
        <v>7685</v>
      </c>
      <c r="K15" s="7" t="s">
        <v>7827</v>
      </c>
      <c r="L15" s="7" t="s">
        <v>7828</v>
      </c>
      <c r="M15" s="7" t="s">
        <v>7829</v>
      </c>
      <c r="N15" s="7" t="s">
        <v>6993</v>
      </c>
      <c r="O15" s="7"/>
      <c r="P15" s="7" t="s">
        <v>7690</v>
      </c>
      <c r="Q15" s="7" t="s">
        <v>7727</v>
      </c>
      <c r="R15" s="7" t="s">
        <v>7692</v>
      </c>
      <c r="S15" s="7" t="s">
        <v>7830</v>
      </c>
      <c r="T15" s="7"/>
      <c r="U15" s="7"/>
    </row>
    <row r="16" customFormat="false" ht="35.05" hidden="false" customHeight="false" outlineLevel="0" collapsed="false">
      <c r="A16" s="7" t="n">
        <v>4</v>
      </c>
      <c r="B16" s="7" t="s">
        <v>119</v>
      </c>
      <c r="C16" s="7" t="s">
        <v>7679</v>
      </c>
      <c r="D16" s="7" t="s">
        <v>7831</v>
      </c>
      <c r="E16" s="7" t="s">
        <v>7832</v>
      </c>
      <c r="F16" s="7" t="n">
        <v>2004</v>
      </c>
      <c r="G16" s="7" t="s">
        <v>7833</v>
      </c>
      <c r="H16" s="7" t="s">
        <v>7834</v>
      </c>
      <c r="I16" s="7" t="s">
        <v>7835</v>
      </c>
      <c r="J16" s="7" t="s">
        <v>7765</v>
      </c>
      <c r="K16" s="7" t="s">
        <v>7836</v>
      </c>
      <c r="L16" s="7" t="s">
        <v>7837</v>
      </c>
      <c r="M16" s="7" t="s">
        <v>7838</v>
      </c>
      <c r="N16" s="7" t="s">
        <v>7839</v>
      </c>
      <c r="O16" s="7"/>
      <c r="P16" s="7" t="s">
        <v>7690</v>
      </c>
      <c r="Q16" s="7" t="s">
        <v>7716</v>
      </c>
      <c r="R16" s="7" t="s">
        <v>7692</v>
      </c>
      <c r="S16" s="7" t="s">
        <v>7840</v>
      </c>
      <c r="T16" s="7"/>
      <c r="U16" s="7" t="s">
        <v>7841</v>
      </c>
    </row>
    <row r="17" customFormat="false" ht="46.25" hidden="false" customHeight="false" outlineLevel="0" collapsed="false">
      <c r="A17" s="7" t="n">
        <v>6</v>
      </c>
      <c r="B17" s="7" t="s">
        <v>147</v>
      </c>
      <c r="C17" s="7" t="s">
        <v>7679</v>
      </c>
      <c r="D17" s="7" t="s">
        <v>7842</v>
      </c>
      <c r="E17" s="7" t="s">
        <v>7843</v>
      </c>
      <c r="F17" s="7" t="n">
        <v>2006</v>
      </c>
      <c r="G17" s="7" t="s">
        <v>7732</v>
      </c>
      <c r="H17" s="7" t="s">
        <v>7844</v>
      </c>
      <c r="I17" s="7" t="s">
        <v>7845</v>
      </c>
      <c r="J17" s="7" t="s">
        <v>7846</v>
      </c>
      <c r="K17" s="7" t="s">
        <v>7847</v>
      </c>
      <c r="L17" s="7" t="s">
        <v>7848</v>
      </c>
      <c r="M17" s="7" t="s">
        <v>7849</v>
      </c>
      <c r="N17" s="7" t="s">
        <v>7738</v>
      </c>
      <c r="O17" s="7"/>
      <c r="P17" s="7" t="s">
        <v>7690</v>
      </c>
      <c r="Q17" s="7" t="s">
        <v>7797</v>
      </c>
      <c r="R17" s="7" t="s">
        <v>7692</v>
      </c>
      <c r="S17" s="7" t="s">
        <v>7850</v>
      </c>
      <c r="T17" s="7"/>
      <c r="U17" s="7" t="s">
        <v>7851</v>
      </c>
    </row>
    <row r="18" customFormat="false" ht="46.25" hidden="false" customHeight="false" outlineLevel="0" collapsed="false">
      <c r="A18" s="7" t="n">
        <v>6</v>
      </c>
      <c r="B18" s="7" t="s">
        <v>147</v>
      </c>
      <c r="C18" s="7" t="s">
        <v>7679</v>
      </c>
      <c r="D18" s="7" t="s">
        <v>7740</v>
      </c>
      <c r="E18" s="7" t="s">
        <v>7741</v>
      </c>
      <c r="F18" s="7" t="n">
        <v>2017</v>
      </c>
      <c r="G18" s="7" t="s">
        <v>7742</v>
      </c>
      <c r="H18" s="7" t="s">
        <v>7743</v>
      </c>
      <c r="I18" s="7" t="s">
        <v>7744</v>
      </c>
      <c r="J18" s="7" t="s">
        <v>7745</v>
      </c>
      <c r="K18" s="7" t="s">
        <v>7852</v>
      </c>
      <c r="L18" s="7" t="s">
        <v>7853</v>
      </c>
      <c r="M18" s="7" t="s">
        <v>7748</v>
      </c>
      <c r="N18" s="7" t="s">
        <v>7749</v>
      </c>
      <c r="O18" s="7"/>
      <c r="P18" s="7" t="s">
        <v>7690</v>
      </c>
      <c r="Q18" s="7" t="s">
        <v>7727</v>
      </c>
      <c r="R18" s="7" t="s">
        <v>7692</v>
      </c>
      <c r="S18" s="7" t="s">
        <v>7750</v>
      </c>
      <c r="T18" s="7"/>
      <c r="U18" s="7"/>
    </row>
    <row r="19" customFormat="false" ht="57.45" hidden="false" customHeight="false" outlineLevel="0" collapsed="false">
      <c r="A19" s="7" t="n">
        <v>6</v>
      </c>
      <c r="B19" s="7" t="s">
        <v>147</v>
      </c>
      <c r="C19" s="7" t="s">
        <v>7679</v>
      </c>
      <c r="D19" s="7" t="s">
        <v>7854</v>
      </c>
      <c r="E19" s="7" t="s">
        <v>7855</v>
      </c>
      <c r="F19" s="7" t="n">
        <v>2024</v>
      </c>
      <c r="G19" s="7" t="s">
        <v>7781</v>
      </c>
      <c r="H19" s="7" t="s">
        <v>7856</v>
      </c>
      <c r="I19" s="7" t="s">
        <v>7857</v>
      </c>
      <c r="J19" s="7" t="s">
        <v>7858</v>
      </c>
      <c r="K19" s="7" t="s">
        <v>7859</v>
      </c>
      <c r="L19" s="7" t="s">
        <v>7860</v>
      </c>
      <c r="M19" s="7" t="s">
        <v>7861</v>
      </c>
      <c r="N19" s="7" t="s">
        <v>7862</v>
      </c>
      <c r="O19" s="7"/>
      <c r="P19" s="7" t="s">
        <v>7690</v>
      </c>
      <c r="Q19" s="7" t="s">
        <v>7797</v>
      </c>
      <c r="R19" s="7" t="s">
        <v>7692</v>
      </c>
      <c r="S19" s="7" t="s">
        <v>7863</v>
      </c>
      <c r="T19" s="7"/>
      <c r="U19" s="7" t="s">
        <v>7864</v>
      </c>
    </row>
    <row r="20" customFormat="false" ht="23.85" hidden="false" customHeight="false" outlineLevel="0" collapsed="false">
      <c r="A20" s="7" t="n">
        <v>8</v>
      </c>
      <c r="B20" s="7" t="s">
        <v>174</v>
      </c>
      <c r="C20" s="7" t="s">
        <v>7679</v>
      </c>
      <c r="D20" s="7" t="s">
        <v>7865</v>
      </c>
      <c r="E20" s="7" t="s">
        <v>7866</v>
      </c>
      <c r="F20" s="7" t="n">
        <v>2003</v>
      </c>
      <c r="G20" s="7" t="s">
        <v>7867</v>
      </c>
      <c r="H20" s="7" t="s">
        <v>7868</v>
      </c>
      <c r="I20" s="7" t="s">
        <v>7869</v>
      </c>
      <c r="J20" s="7" t="s">
        <v>7870</v>
      </c>
      <c r="K20" s="7" t="s">
        <v>7871</v>
      </c>
      <c r="L20" s="7" t="s">
        <v>7872</v>
      </c>
      <c r="M20" s="7" t="s">
        <v>7873</v>
      </c>
      <c r="N20" s="7" t="s">
        <v>7874</v>
      </c>
      <c r="O20" s="7"/>
      <c r="P20" s="7" t="s">
        <v>7690</v>
      </c>
      <c r="Q20" s="7" t="s">
        <v>7716</v>
      </c>
      <c r="R20" s="7" t="s">
        <v>7692</v>
      </c>
      <c r="S20" s="7" t="s">
        <v>7875</v>
      </c>
      <c r="T20" s="7"/>
      <c r="U20" s="7"/>
    </row>
    <row r="21" customFormat="false" ht="46.25" hidden="false" customHeight="false" outlineLevel="0" collapsed="false">
      <c r="A21" s="7" t="n">
        <v>8</v>
      </c>
      <c r="B21" s="7" t="s">
        <v>174</v>
      </c>
      <c r="C21" s="7" t="s">
        <v>7679</v>
      </c>
      <c r="D21" s="7" t="s">
        <v>7876</v>
      </c>
      <c r="E21" s="7" t="s">
        <v>7877</v>
      </c>
      <c r="F21" s="7" t="n">
        <v>2020</v>
      </c>
      <c r="G21" s="7" t="s">
        <v>7781</v>
      </c>
      <c r="H21" s="7" t="s">
        <v>7878</v>
      </c>
      <c r="I21" s="7" t="s">
        <v>7879</v>
      </c>
      <c r="J21" s="7" t="s">
        <v>7685</v>
      </c>
      <c r="K21" s="7" t="s">
        <v>7880</v>
      </c>
      <c r="L21" s="7" t="s">
        <v>7881</v>
      </c>
      <c r="M21" s="7" t="s">
        <v>7882</v>
      </c>
      <c r="N21" s="7" t="s">
        <v>7883</v>
      </c>
      <c r="O21" s="7"/>
      <c r="P21" s="7" t="s">
        <v>7690</v>
      </c>
      <c r="Q21" s="7" t="s">
        <v>7716</v>
      </c>
      <c r="R21" s="7" t="s">
        <v>7692</v>
      </c>
      <c r="S21" s="7" t="s">
        <v>7884</v>
      </c>
      <c r="T21" s="7"/>
      <c r="U21" s="7" t="s">
        <v>7885</v>
      </c>
    </row>
    <row r="22" customFormat="false" ht="46.25" hidden="false" customHeight="false" outlineLevel="0" collapsed="false">
      <c r="A22" s="7" t="n">
        <v>8</v>
      </c>
      <c r="B22" s="7" t="s">
        <v>174</v>
      </c>
      <c r="C22" s="7" t="s">
        <v>7679</v>
      </c>
      <c r="D22" s="7" t="s">
        <v>7886</v>
      </c>
      <c r="E22" s="7" t="s">
        <v>7887</v>
      </c>
      <c r="F22" s="7" t="n">
        <v>2020</v>
      </c>
      <c r="G22" s="7" t="s">
        <v>7888</v>
      </c>
      <c r="H22" s="7" t="s">
        <v>7889</v>
      </c>
      <c r="I22" s="7" t="s">
        <v>7890</v>
      </c>
      <c r="J22" s="7" t="s">
        <v>7711</v>
      </c>
      <c r="K22" s="7" t="s">
        <v>7891</v>
      </c>
      <c r="L22" s="7" t="s">
        <v>7892</v>
      </c>
      <c r="M22" s="7" t="s">
        <v>7893</v>
      </c>
      <c r="N22" s="7" t="s">
        <v>7894</v>
      </c>
      <c r="O22" s="7"/>
      <c r="P22" s="7" t="s">
        <v>7690</v>
      </c>
      <c r="Q22" s="7" t="s">
        <v>7727</v>
      </c>
      <c r="R22" s="7" t="s">
        <v>7692</v>
      </c>
      <c r="S22" s="7" t="s">
        <v>7895</v>
      </c>
      <c r="T22" s="7" t="s">
        <v>7896</v>
      </c>
      <c r="U22" s="7"/>
    </row>
    <row r="23" customFormat="false" ht="35.05" hidden="false" customHeight="false" outlineLevel="0" collapsed="false">
      <c r="A23" s="7" t="n">
        <v>8</v>
      </c>
      <c r="B23" s="7" t="s">
        <v>174</v>
      </c>
      <c r="C23" s="7" t="s">
        <v>7679</v>
      </c>
      <c r="D23" s="7" t="s">
        <v>7897</v>
      </c>
      <c r="E23" s="7" t="s">
        <v>7898</v>
      </c>
      <c r="F23" s="7" t="n">
        <v>2015</v>
      </c>
      <c r="G23" s="7" t="s">
        <v>7899</v>
      </c>
      <c r="H23" s="7" t="s">
        <v>7900</v>
      </c>
      <c r="I23" s="7" t="s">
        <v>7901</v>
      </c>
      <c r="J23" s="7" t="s">
        <v>7699</v>
      </c>
      <c r="K23" s="7" t="s">
        <v>7902</v>
      </c>
      <c r="L23" s="7" t="s">
        <v>7903</v>
      </c>
      <c r="M23" s="7" t="s">
        <v>7904</v>
      </c>
      <c r="N23" s="7" t="s">
        <v>7905</v>
      </c>
      <c r="O23" s="7" t="s">
        <v>7906</v>
      </c>
      <c r="P23" s="7" t="s">
        <v>7690</v>
      </c>
      <c r="Q23" s="7" t="s">
        <v>7716</v>
      </c>
      <c r="R23" s="7" t="s">
        <v>7692</v>
      </c>
      <c r="S23" s="7" t="s">
        <v>7907</v>
      </c>
      <c r="T23" s="7"/>
      <c r="U23" s="7"/>
    </row>
    <row r="24" customFormat="false" ht="46.25" hidden="false" customHeight="false" outlineLevel="0" collapsed="false">
      <c r="A24" s="7" t="n">
        <v>8</v>
      </c>
      <c r="B24" s="7" t="s">
        <v>174</v>
      </c>
      <c r="C24" s="7" t="s">
        <v>7679</v>
      </c>
      <c r="D24" s="7" t="s">
        <v>7908</v>
      </c>
      <c r="E24" s="7" t="s">
        <v>7909</v>
      </c>
      <c r="F24" s="7" t="n">
        <v>2022</v>
      </c>
      <c r="G24" s="7" t="s">
        <v>7682</v>
      </c>
      <c r="H24" s="7" t="s">
        <v>7910</v>
      </c>
      <c r="I24" s="7" t="s">
        <v>7911</v>
      </c>
      <c r="J24" s="7" t="s">
        <v>7685</v>
      </c>
      <c r="K24" s="7" t="s">
        <v>7912</v>
      </c>
      <c r="L24" s="7" t="s">
        <v>7913</v>
      </c>
      <c r="M24" s="7" t="s">
        <v>7914</v>
      </c>
      <c r="N24" s="7" t="s">
        <v>7915</v>
      </c>
      <c r="O24" s="7"/>
      <c r="P24" s="7" t="s">
        <v>7690</v>
      </c>
      <c r="Q24" s="7" t="s">
        <v>7691</v>
      </c>
      <c r="R24" s="7" t="s">
        <v>7692</v>
      </c>
      <c r="S24" s="7" t="s">
        <v>7916</v>
      </c>
      <c r="T24" s="7" t="s">
        <v>7917</v>
      </c>
      <c r="U24" s="7"/>
    </row>
    <row r="25" customFormat="false" ht="35.05" hidden="false" customHeight="false" outlineLevel="0" collapsed="false">
      <c r="A25" s="7" t="n">
        <v>8</v>
      </c>
      <c r="B25" s="7" t="s">
        <v>174</v>
      </c>
      <c r="C25" s="7" t="s">
        <v>7679</v>
      </c>
      <c r="D25" s="7" t="s">
        <v>7918</v>
      </c>
      <c r="E25" s="7" t="s">
        <v>7919</v>
      </c>
      <c r="F25" s="7" t="n">
        <v>2020</v>
      </c>
      <c r="G25" s="7" t="s">
        <v>7920</v>
      </c>
      <c r="H25" s="7" t="s">
        <v>7921</v>
      </c>
      <c r="I25" s="7" t="s">
        <v>7922</v>
      </c>
      <c r="J25" s="7" t="s">
        <v>7685</v>
      </c>
      <c r="K25" s="7" t="s">
        <v>7923</v>
      </c>
      <c r="L25" s="7" t="s">
        <v>7924</v>
      </c>
      <c r="M25" s="7" t="s">
        <v>7925</v>
      </c>
      <c r="N25" s="7" t="s">
        <v>7926</v>
      </c>
      <c r="O25" s="7"/>
      <c r="P25" s="7" t="s">
        <v>7690</v>
      </c>
      <c r="Q25" s="7" t="s">
        <v>7691</v>
      </c>
      <c r="R25" s="7" t="s">
        <v>7692</v>
      </c>
      <c r="S25" s="7" t="s">
        <v>7927</v>
      </c>
      <c r="T25" s="7"/>
      <c r="U25" s="7"/>
    </row>
    <row r="26" customFormat="false" ht="46.25" hidden="false" customHeight="false" outlineLevel="0" collapsed="false">
      <c r="A26" s="7" t="n">
        <v>7</v>
      </c>
      <c r="B26" s="7" t="s">
        <v>160</v>
      </c>
      <c r="C26" s="7" t="s">
        <v>7679</v>
      </c>
      <c r="D26" s="7" t="s">
        <v>7928</v>
      </c>
      <c r="E26" s="7" t="s">
        <v>7929</v>
      </c>
      <c r="F26" s="7" t="n">
        <v>2007</v>
      </c>
      <c r="G26" s="7" t="s">
        <v>7824</v>
      </c>
      <c r="H26" s="7" t="s">
        <v>7930</v>
      </c>
      <c r="I26" s="7" t="s">
        <v>7931</v>
      </c>
      <c r="J26" s="7" t="s">
        <v>7765</v>
      </c>
      <c r="K26" s="7" t="s">
        <v>7932</v>
      </c>
      <c r="L26" s="7" t="s">
        <v>7933</v>
      </c>
      <c r="M26" s="7" t="s">
        <v>7934</v>
      </c>
      <c r="N26" s="7" t="s">
        <v>7935</v>
      </c>
      <c r="O26" s="7"/>
      <c r="P26" s="7" t="s">
        <v>7690</v>
      </c>
      <c r="Q26" s="7" t="s">
        <v>7797</v>
      </c>
      <c r="R26" s="7" t="s">
        <v>7692</v>
      </c>
      <c r="S26" s="7" t="s">
        <v>7936</v>
      </c>
      <c r="T26" s="7"/>
      <c r="U26" s="7" t="s">
        <v>7937</v>
      </c>
    </row>
    <row r="27" customFormat="false" ht="46.25" hidden="false" customHeight="false" outlineLevel="0" collapsed="false">
      <c r="A27" s="7" t="n">
        <v>7</v>
      </c>
      <c r="B27" s="7" t="s">
        <v>160</v>
      </c>
      <c r="C27" s="7" t="s">
        <v>7679</v>
      </c>
      <c r="D27" s="7" t="s">
        <v>7938</v>
      </c>
      <c r="E27" s="7" t="s">
        <v>7939</v>
      </c>
      <c r="F27" s="7" t="n">
        <v>2007</v>
      </c>
      <c r="G27" s="7" t="s">
        <v>7781</v>
      </c>
      <c r="H27" s="7" t="s">
        <v>7940</v>
      </c>
      <c r="I27" s="7" t="s">
        <v>7941</v>
      </c>
      <c r="J27" s="7" t="s">
        <v>7685</v>
      </c>
      <c r="K27" s="7" t="s">
        <v>7942</v>
      </c>
      <c r="L27" s="7" t="s">
        <v>7943</v>
      </c>
      <c r="M27" s="7" t="s">
        <v>7944</v>
      </c>
      <c r="N27" s="7" t="s">
        <v>7945</v>
      </c>
      <c r="O27" s="7"/>
      <c r="P27" s="7" t="s">
        <v>7690</v>
      </c>
      <c r="Q27" s="7" t="s">
        <v>7946</v>
      </c>
      <c r="R27" s="7" t="s">
        <v>7692</v>
      </c>
      <c r="S27" s="7" t="s">
        <v>7947</v>
      </c>
      <c r="T27" s="7"/>
      <c r="U27" s="7"/>
    </row>
    <row r="28" customFormat="false" ht="46.25" hidden="false" customHeight="false" outlineLevel="0" collapsed="false">
      <c r="A28" s="7" t="n">
        <v>7</v>
      </c>
      <c r="B28" s="7" t="s">
        <v>160</v>
      </c>
      <c r="C28" s="7" t="s">
        <v>7705</v>
      </c>
      <c r="D28" s="7" t="s">
        <v>7948</v>
      </c>
      <c r="E28" s="7" t="s">
        <v>7949</v>
      </c>
      <c r="F28" s="7" t="n">
        <v>2016</v>
      </c>
      <c r="G28" s="7" t="s">
        <v>7792</v>
      </c>
      <c r="H28" s="7" t="s">
        <v>7950</v>
      </c>
      <c r="I28" s="7" t="s">
        <v>7951</v>
      </c>
      <c r="J28" s="7" t="s">
        <v>7952</v>
      </c>
      <c r="K28" s="7" t="s">
        <v>7953</v>
      </c>
      <c r="L28" s="7" t="s">
        <v>7954</v>
      </c>
      <c r="M28" s="7" t="s">
        <v>7955</v>
      </c>
      <c r="N28" s="7" t="s">
        <v>7956</v>
      </c>
      <c r="O28" s="7"/>
      <c r="P28" s="7" t="s">
        <v>7690</v>
      </c>
      <c r="Q28" s="7" t="s">
        <v>7957</v>
      </c>
      <c r="R28" s="7" t="s">
        <v>7692</v>
      </c>
      <c r="S28" s="7" t="s">
        <v>7798</v>
      </c>
      <c r="T28" s="7"/>
      <c r="U28" s="7" t="s">
        <v>7958</v>
      </c>
    </row>
    <row r="29" customFormat="false" ht="46.25" hidden="false" customHeight="false" outlineLevel="0" collapsed="false">
      <c r="A29" s="7" t="n">
        <v>7</v>
      </c>
      <c r="B29" s="7" t="s">
        <v>160</v>
      </c>
      <c r="C29" s="7" t="s">
        <v>7679</v>
      </c>
      <c r="D29" s="7" t="s">
        <v>7959</v>
      </c>
      <c r="E29" s="7" t="s">
        <v>7960</v>
      </c>
      <c r="F29" s="7" t="n">
        <v>2015</v>
      </c>
      <c r="G29" s="7" t="s">
        <v>7961</v>
      </c>
      <c r="H29" s="7" t="s">
        <v>7962</v>
      </c>
      <c r="I29" s="7" t="s">
        <v>7963</v>
      </c>
      <c r="J29" s="7" t="s">
        <v>7765</v>
      </c>
      <c r="K29" s="7" t="s">
        <v>7964</v>
      </c>
      <c r="L29" s="7" t="s">
        <v>7965</v>
      </c>
      <c r="M29" s="7" t="s">
        <v>7966</v>
      </c>
      <c r="N29" s="7" t="s">
        <v>7967</v>
      </c>
      <c r="O29" s="7"/>
      <c r="P29" s="7" t="s">
        <v>7968</v>
      </c>
      <c r="Q29" s="7" t="s">
        <v>7969</v>
      </c>
      <c r="R29" s="7" t="s">
        <v>7692</v>
      </c>
      <c r="S29" s="7" t="s">
        <v>7970</v>
      </c>
      <c r="T29" s="7" t="s">
        <v>7971</v>
      </c>
      <c r="U29" s="7"/>
    </row>
    <row r="30" customFormat="false" ht="35.05" hidden="false" customHeight="false" outlineLevel="0" collapsed="false">
      <c r="A30" s="7" t="n">
        <v>7</v>
      </c>
      <c r="B30" s="7" t="s">
        <v>160</v>
      </c>
      <c r="C30" s="7" t="s">
        <v>7679</v>
      </c>
      <c r="D30" s="7" t="s">
        <v>7972</v>
      </c>
      <c r="E30" s="7" t="s">
        <v>7973</v>
      </c>
      <c r="F30" s="7" t="n">
        <v>2018</v>
      </c>
      <c r="G30" s="7" t="s">
        <v>7682</v>
      </c>
      <c r="H30" s="7" t="s">
        <v>7974</v>
      </c>
      <c r="I30" s="7" t="s">
        <v>7975</v>
      </c>
      <c r="J30" s="7" t="s">
        <v>7976</v>
      </c>
      <c r="K30" s="7" t="s">
        <v>7977</v>
      </c>
      <c r="L30" s="7" t="s">
        <v>7978</v>
      </c>
      <c r="M30" s="7" t="s">
        <v>7979</v>
      </c>
      <c r="N30" s="7" t="s">
        <v>7980</v>
      </c>
      <c r="O30" s="7"/>
      <c r="P30" s="7" t="s">
        <v>7981</v>
      </c>
      <c r="Q30" s="7" t="s">
        <v>7969</v>
      </c>
      <c r="R30" s="7" t="s">
        <v>7692</v>
      </c>
      <c r="S30" s="7" t="s">
        <v>7982</v>
      </c>
      <c r="T30" s="7"/>
      <c r="U30" s="7"/>
    </row>
    <row r="31" customFormat="false" ht="46.25" hidden="false" customHeight="false" outlineLevel="0" collapsed="false">
      <c r="A31" s="7" t="n">
        <v>10</v>
      </c>
      <c r="B31" s="7" t="s">
        <v>202</v>
      </c>
      <c r="C31" s="7" t="s">
        <v>7679</v>
      </c>
      <c r="D31" s="7" t="s">
        <v>7983</v>
      </c>
      <c r="E31" s="7" t="s">
        <v>7984</v>
      </c>
      <c r="F31" s="7" t="n">
        <v>2014</v>
      </c>
      <c r="G31" s="7" t="s">
        <v>7732</v>
      </c>
      <c r="H31" s="7" t="s">
        <v>7868</v>
      </c>
      <c r="I31" s="7" t="s">
        <v>7985</v>
      </c>
      <c r="J31" s="7" t="s">
        <v>7699</v>
      </c>
      <c r="K31" s="7" t="s">
        <v>7986</v>
      </c>
      <c r="L31" s="7" t="s">
        <v>7987</v>
      </c>
      <c r="M31" s="7" t="s">
        <v>7988</v>
      </c>
      <c r="N31" s="7" t="s">
        <v>7738</v>
      </c>
      <c r="O31" s="7"/>
      <c r="P31" s="7" t="s">
        <v>7690</v>
      </c>
      <c r="Q31" s="7" t="s">
        <v>7797</v>
      </c>
      <c r="R31" s="7" t="s">
        <v>7692</v>
      </c>
      <c r="S31" s="7" t="s">
        <v>7989</v>
      </c>
      <c r="T31" s="7"/>
      <c r="U31" s="7" t="s">
        <v>7990</v>
      </c>
    </row>
    <row r="32" customFormat="false" ht="46.25" hidden="false" customHeight="false" outlineLevel="0" collapsed="false">
      <c r="A32" s="7" t="n">
        <v>10</v>
      </c>
      <c r="B32" s="7" t="s">
        <v>202</v>
      </c>
      <c r="C32" s="7" t="s">
        <v>7679</v>
      </c>
      <c r="D32" s="7" t="s">
        <v>7991</v>
      </c>
      <c r="E32" s="7" t="s">
        <v>7992</v>
      </c>
      <c r="F32" s="7" t="n">
        <v>2016</v>
      </c>
      <c r="G32" s="7" t="s">
        <v>7781</v>
      </c>
      <c r="H32" s="7" t="s">
        <v>7993</v>
      </c>
      <c r="I32" s="7" t="s">
        <v>7994</v>
      </c>
      <c r="J32" s="7" t="s">
        <v>7685</v>
      </c>
      <c r="K32" s="7" t="s">
        <v>7995</v>
      </c>
      <c r="L32" s="7" t="s">
        <v>7996</v>
      </c>
      <c r="M32" s="7" t="s">
        <v>7997</v>
      </c>
      <c r="N32" s="7" t="s">
        <v>7749</v>
      </c>
      <c r="O32" s="7"/>
      <c r="P32" s="7" t="s">
        <v>7690</v>
      </c>
      <c r="Q32" s="7" t="s">
        <v>7797</v>
      </c>
      <c r="R32" s="7" t="s">
        <v>7692</v>
      </c>
      <c r="S32" s="7" t="s">
        <v>7998</v>
      </c>
      <c r="T32" s="7"/>
      <c r="U32" s="7" t="s">
        <v>7999</v>
      </c>
    </row>
    <row r="33" customFormat="false" ht="46.25" hidden="false" customHeight="false" outlineLevel="0" collapsed="false">
      <c r="A33" s="7" t="n">
        <v>10</v>
      </c>
      <c r="B33" s="7" t="s">
        <v>202</v>
      </c>
      <c r="C33" s="7" t="s">
        <v>7705</v>
      </c>
      <c r="D33" s="7" t="s">
        <v>8000</v>
      </c>
      <c r="E33" s="7" t="s">
        <v>8001</v>
      </c>
      <c r="F33" s="7" t="n">
        <v>2026</v>
      </c>
      <c r="G33" s="7" t="s">
        <v>7792</v>
      </c>
      <c r="H33" s="7" t="s">
        <v>8002</v>
      </c>
      <c r="I33" s="7" t="s">
        <v>8003</v>
      </c>
      <c r="J33" s="7" t="s">
        <v>8004</v>
      </c>
      <c r="K33" s="7" t="s">
        <v>8005</v>
      </c>
      <c r="L33" s="7" t="s">
        <v>8006</v>
      </c>
      <c r="M33" s="7" t="s">
        <v>8007</v>
      </c>
      <c r="N33" s="7" t="s">
        <v>8008</v>
      </c>
      <c r="O33" s="7"/>
      <c r="P33" s="7" t="s">
        <v>7690</v>
      </c>
      <c r="Q33" s="7" t="s">
        <v>7797</v>
      </c>
      <c r="R33" s="7" t="s">
        <v>7692</v>
      </c>
      <c r="S33" s="7" t="s">
        <v>8009</v>
      </c>
      <c r="T33" s="7"/>
      <c r="U33" s="7" t="s">
        <v>8010</v>
      </c>
    </row>
    <row r="34" customFormat="false" ht="35.05" hidden="false" customHeight="false" outlineLevel="0" collapsed="false">
      <c r="A34" s="7" t="n">
        <v>9</v>
      </c>
      <c r="B34" s="7" t="s">
        <v>186</v>
      </c>
      <c r="C34" s="7" t="s">
        <v>7679</v>
      </c>
      <c r="D34" s="7" t="s">
        <v>8011</v>
      </c>
      <c r="E34" s="7" t="s">
        <v>8012</v>
      </c>
      <c r="F34" s="7" t="n">
        <v>2017</v>
      </c>
      <c r="G34" s="7" t="s">
        <v>7781</v>
      </c>
      <c r="H34" s="7" t="s">
        <v>8013</v>
      </c>
      <c r="I34" s="7" t="s">
        <v>7744</v>
      </c>
      <c r="J34" s="7" t="s">
        <v>7685</v>
      </c>
      <c r="K34" s="7" t="s">
        <v>8014</v>
      </c>
      <c r="L34" s="7" t="s">
        <v>8015</v>
      </c>
      <c r="M34" s="7" t="s">
        <v>8016</v>
      </c>
      <c r="N34" s="7" t="s">
        <v>7787</v>
      </c>
      <c r="O34" s="7"/>
      <c r="P34" s="7" t="s">
        <v>7690</v>
      </c>
      <c r="Q34" s="7" t="s">
        <v>7716</v>
      </c>
      <c r="R34" s="7" t="s">
        <v>7692</v>
      </c>
      <c r="S34" s="7" t="s">
        <v>8017</v>
      </c>
      <c r="T34" s="7"/>
      <c r="U34" s="7"/>
    </row>
    <row r="35" customFormat="false" ht="46.25" hidden="false" customHeight="false" outlineLevel="0" collapsed="false">
      <c r="A35" s="7" t="n">
        <v>9</v>
      </c>
      <c r="B35" s="7" t="s">
        <v>186</v>
      </c>
      <c r="C35" s="7" t="s">
        <v>7679</v>
      </c>
      <c r="D35" s="7" t="s">
        <v>8018</v>
      </c>
      <c r="E35" s="7" t="s">
        <v>8019</v>
      </c>
      <c r="F35" s="7" t="n">
        <v>2011</v>
      </c>
      <c r="G35" s="7" t="s">
        <v>7682</v>
      </c>
      <c r="H35" s="7" t="s">
        <v>8020</v>
      </c>
      <c r="I35" s="7" t="s">
        <v>8021</v>
      </c>
      <c r="J35" s="7" t="s">
        <v>7765</v>
      </c>
      <c r="K35" s="7" t="s">
        <v>8022</v>
      </c>
      <c r="L35" s="7" t="s">
        <v>8023</v>
      </c>
      <c r="M35" s="7" t="s">
        <v>8024</v>
      </c>
      <c r="N35" s="7" t="s">
        <v>8025</v>
      </c>
      <c r="O35" s="7"/>
      <c r="P35" s="7" t="s">
        <v>7981</v>
      </c>
      <c r="Q35" s="7" t="s">
        <v>8026</v>
      </c>
      <c r="R35" s="7" t="s">
        <v>7692</v>
      </c>
      <c r="S35" s="7" t="s">
        <v>8027</v>
      </c>
      <c r="T35" s="7"/>
      <c r="U35" s="7"/>
    </row>
    <row r="36" customFormat="false" ht="46.25" hidden="false" customHeight="false" outlineLevel="0" collapsed="false">
      <c r="A36" s="7" t="n">
        <v>5</v>
      </c>
      <c r="B36" s="7" t="s">
        <v>132</v>
      </c>
      <c r="C36" s="7" t="s">
        <v>7679</v>
      </c>
      <c r="D36" s="7" t="s">
        <v>8028</v>
      </c>
      <c r="E36" s="7" t="s">
        <v>8029</v>
      </c>
      <c r="F36" s="7" t="n">
        <v>2020</v>
      </c>
      <c r="G36" s="7" t="s">
        <v>7781</v>
      </c>
      <c r="H36" s="7" t="s">
        <v>8030</v>
      </c>
      <c r="I36" s="7" t="s">
        <v>8031</v>
      </c>
      <c r="J36" s="7" t="s">
        <v>8032</v>
      </c>
      <c r="K36" s="7" t="s">
        <v>8033</v>
      </c>
      <c r="L36" s="7" t="s">
        <v>8034</v>
      </c>
      <c r="M36" s="7" t="s">
        <v>8035</v>
      </c>
      <c r="N36" s="7" t="s">
        <v>7749</v>
      </c>
      <c r="O36" s="7"/>
      <c r="P36" s="7" t="s">
        <v>7690</v>
      </c>
      <c r="Q36" s="7" t="s">
        <v>7759</v>
      </c>
      <c r="R36" s="7" t="s">
        <v>7692</v>
      </c>
      <c r="S36" s="7" t="s">
        <v>8036</v>
      </c>
      <c r="T36" s="7"/>
      <c r="U36" s="7" t="s">
        <v>8037</v>
      </c>
    </row>
    <row r="37" customFormat="false" ht="46.25" hidden="false" customHeight="false" outlineLevel="0" collapsed="false">
      <c r="A37" s="7" t="n">
        <v>5</v>
      </c>
      <c r="B37" s="7" t="s">
        <v>132</v>
      </c>
      <c r="C37" s="7" t="s">
        <v>7705</v>
      </c>
      <c r="D37" s="7" t="s">
        <v>8038</v>
      </c>
      <c r="E37" s="7" t="s">
        <v>8039</v>
      </c>
      <c r="F37" s="7" t="n">
        <v>2022</v>
      </c>
      <c r="G37" s="7" t="s">
        <v>7792</v>
      </c>
      <c r="H37" s="7" t="s">
        <v>7793</v>
      </c>
      <c r="I37" s="7" t="s">
        <v>8040</v>
      </c>
      <c r="J37" s="7" t="s">
        <v>7711</v>
      </c>
      <c r="K37" s="7" t="s">
        <v>8041</v>
      </c>
      <c r="L37" s="7" t="s">
        <v>8042</v>
      </c>
      <c r="M37" s="7" t="s">
        <v>7714</v>
      </c>
      <c r="N37" s="7" t="s">
        <v>8043</v>
      </c>
      <c r="O37" s="7"/>
      <c r="P37" s="7" t="s">
        <v>7690</v>
      </c>
      <c r="Q37" s="7" t="s">
        <v>7759</v>
      </c>
      <c r="R37" s="7" t="s">
        <v>7692</v>
      </c>
      <c r="S37" s="7" t="s">
        <v>8044</v>
      </c>
      <c r="T37" s="7"/>
      <c r="U37" s="7" t="s">
        <v>8045</v>
      </c>
    </row>
    <row r="38" customFormat="false" ht="35.05" hidden="false" customHeight="false" outlineLevel="0" collapsed="false">
      <c r="A38" s="7" t="n">
        <v>5</v>
      </c>
      <c r="B38" s="7" t="s">
        <v>132</v>
      </c>
      <c r="C38" s="7" t="s">
        <v>7679</v>
      </c>
      <c r="D38" s="7" t="s">
        <v>8046</v>
      </c>
      <c r="E38" s="7" t="s">
        <v>8047</v>
      </c>
      <c r="F38" s="7" t="n">
        <v>2015</v>
      </c>
      <c r="G38" s="7" t="s">
        <v>7682</v>
      </c>
      <c r="H38" s="7" t="s">
        <v>8048</v>
      </c>
      <c r="I38" s="7" t="s">
        <v>8049</v>
      </c>
      <c r="J38" s="7" t="s">
        <v>7846</v>
      </c>
      <c r="K38" s="7" t="s">
        <v>8050</v>
      </c>
      <c r="L38" s="7" t="s">
        <v>8051</v>
      </c>
      <c r="M38" s="7" t="s">
        <v>8052</v>
      </c>
      <c r="N38" s="7" t="s">
        <v>8053</v>
      </c>
      <c r="O38" s="7"/>
      <c r="P38" s="7" t="s">
        <v>7690</v>
      </c>
      <c r="Q38" s="7" t="s">
        <v>7691</v>
      </c>
      <c r="R38" s="7" t="s">
        <v>7692</v>
      </c>
      <c r="S38" s="7" t="s">
        <v>8054</v>
      </c>
      <c r="T38" s="7"/>
      <c r="U38" s="7"/>
    </row>
    <row r="39" customFormat="false" ht="46.25" hidden="false" customHeight="false" outlineLevel="0" collapsed="false">
      <c r="A39" s="7" t="n">
        <v>12</v>
      </c>
      <c r="B39" s="7" t="s">
        <v>226</v>
      </c>
      <c r="C39" s="7" t="s">
        <v>7679</v>
      </c>
      <c r="D39" s="7" t="s">
        <v>8055</v>
      </c>
      <c r="E39" s="7" t="s">
        <v>8056</v>
      </c>
      <c r="F39" s="7" t="n">
        <v>2010</v>
      </c>
      <c r="G39" s="7" t="s">
        <v>7732</v>
      </c>
      <c r="H39" s="7" t="s">
        <v>8057</v>
      </c>
      <c r="I39" s="7" t="s">
        <v>8058</v>
      </c>
      <c r="J39" s="7" t="s">
        <v>7699</v>
      </c>
      <c r="K39" s="7" t="s">
        <v>8059</v>
      </c>
      <c r="L39" s="7" t="s">
        <v>8060</v>
      </c>
      <c r="M39" s="7" t="s">
        <v>8061</v>
      </c>
      <c r="N39" s="7" t="s">
        <v>8062</v>
      </c>
      <c r="O39" s="7"/>
      <c r="P39" s="7" t="s">
        <v>7690</v>
      </c>
      <c r="Q39" s="7" t="s">
        <v>7797</v>
      </c>
      <c r="R39" s="7" t="s">
        <v>7692</v>
      </c>
      <c r="S39" s="7" t="s">
        <v>8063</v>
      </c>
      <c r="T39" s="7"/>
      <c r="U39" s="7" t="s">
        <v>8064</v>
      </c>
    </row>
    <row r="40" customFormat="false" ht="57.45" hidden="false" customHeight="false" outlineLevel="0" collapsed="false">
      <c r="A40" s="7" t="n">
        <v>12</v>
      </c>
      <c r="B40" s="7" t="s">
        <v>226</v>
      </c>
      <c r="C40" s="7" t="s">
        <v>7679</v>
      </c>
      <c r="D40" s="7" t="s">
        <v>8065</v>
      </c>
      <c r="E40" s="7" t="s">
        <v>8066</v>
      </c>
      <c r="F40" s="7" t="n">
        <v>2017</v>
      </c>
      <c r="G40" s="7" t="s">
        <v>7781</v>
      </c>
      <c r="H40" s="7" t="s">
        <v>8067</v>
      </c>
      <c r="I40" s="7" t="s">
        <v>8068</v>
      </c>
      <c r="J40" s="7" t="s">
        <v>7685</v>
      </c>
      <c r="K40" s="7" t="s">
        <v>8069</v>
      </c>
      <c r="L40" s="7" t="s">
        <v>8070</v>
      </c>
      <c r="M40" s="7" t="s">
        <v>8071</v>
      </c>
      <c r="N40" s="7" t="s">
        <v>8072</v>
      </c>
      <c r="O40" s="7"/>
      <c r="P40" s="7" t="s">
        <v>7690</v>
      </c>
      <c r="Q40" s="7" t="s">
        <v>7797</v>
      </c>
      <c r="R40" s="7" t="s">
        <v>7692</v>
      </c>
      <c r="S40" s="7" t="s">
        <v>8073</v>
      </c>
      <c r="T40" s="7"/>
      <c r="U40" s="7"/>
    </row>
    <row r="41" customFormat="false" ht="57.45" hidden="false" customHeight="false" outlineLevel="0" collapsed="false">
      <c r="A41" s="7" t="n">
        <v>12</v>
      </c>
      <c r="B41" s="7" t="s">
        <v>226</v>
      </c>
      <c r="C41" s="7" t="s">
        <v>7679</v>
      </c>
      <c r="D41" s="7" t="s">
        <v>8074</v>
      </c>
      <c r="E41" s="7" t="s">
        <v>8075</v>
      </c>
      <c r="F41" s="7" t="n">
        <v>2014</v>
      </c>
      <c r="G41" s="7" t="s">
        <v>7682</v>
      </c>
      <c r="H41" s="7" t="s">
        <v>8076</v>
      </c>
      <c r="I41" s="7" t="s">
        <v>8077</v>
      </c>
      <c r="J41" s="7" t="s">
        <v>8078</v>
      </c>
      <c r="K41" s="7" t="s">
        <v>8079</v>
      </c>
      <c r="L41" s="7" t="s">
        <v>8080</v>
      </c>
      <c r="M41" s="7" t="s">
        <v>8081</v>
      </c>
      <c r="N41" s="7" t="s">
        <v>8082</v>
      </c>
      <c r="O41" s="7"/>
      <c r="P41" s="7" t="s">
        <v>7690</v>
      </c>
      <c r="Q41" s="7" t="s">
        <v>8083</v>
      </c>
      <c r="R41" s="7" t="s">
        <v>7692</v>
      </c>
      <c r="S41" s="7" t="s">
        <v>8084</v>
      </c>
      <c r="T41" s="7" t="s">
        <v>8085</v>
      </c>
      <c r="U41" s="7"/>
    </row>
    <row r="42" customFormat="false" ht="46.25" hidden="false" customHeight="false" outlineLevel="0" collapsed="false">
      <c r="A42" s="7" t="n">
        <v>11</v>
      </c>
      <c r="B42" s="7" t="s">
        <v>213</v>
      </c>
      <c r="C42" s="7" t="s">
        <v>7679</v>
      </c>
      <c r="D42" s="7" t="s">
        <v>8086</v>
      </c>
      <c r="E42" s="7" t="s">
        <v>8087</v>
      </c>
      <c r="F42" s="7" t="n">
        <v>2021</v>
      </c>
      <c r="G42" s="7" t="s">
        <v>7781</v>
      </c>
      <c r="H42" s="7" t="s">
        <v>8088</v>
      </c>
      <c r="I42" s="7" t="s">
        <v>8089</v>
      </c>
      <c r="J42" s="7" t="s">
        <v>8090</v>
      </c>
      <c r="K42" s="7" t="s">
        <v>8091</v>
      </c>
      <c r="L42" s="7" t="s">
        <v>8092</v>
      </c>
      <c r="M42" s="7" t="s">
        <v>8093</v>
      </c>
      <c r="N42" s="7" t="s">
        <v>8094</v>
      </c>
      <c r="O42" s="7"/>
      <c r="P42" s="7" t="s">
        <v>7690</v>
      </c>
      <c r="Q42" s="7" t="s">
        <v>7819</v>
      </c>
      <c r="R42" s="7" t="s">
        <v>7692</v>
      </c>
      <c r="S42" s="7" t="s">
        <v>8095</v>
      </c>
      <c r="T42" s="7"/>
      <c r="U42" s="7" t="s">
        <v>8096</v>
      </c>
    </row>
    <row r="43" customFormat="false" ht="35.05" hidden="false" customHeight="false" outlineLevel="0" collapsed="false">
      <c r="A43" s="7" t="n">
        <v>11</v>
      </c>
      <c r="B43" s="7" t="s">
        <v>213</v>
      </c>
      <c r="C43" s="7" t="s">
        <v>7679</v>
      </c>
      <c r="D43" s="7" t="s">
        <v>8097</v>
      </c>
      <c r="E43" s="7" t="s">
        <v>8098</v>
      </c>
      <c r="F43" s="7" t="n">
        <v>2009</v>
      </c>
      <c r="G43" s="7" t="s">
        <v>7781</v>
      </c>
      <c r="H43" s="7" t="s">
        <v>8099</v>
      </c>
      <c r="I43" s="7" t="s">
        <v>8100</v>
      </c>
      <c r="J43" s="7" t="s">
        <v>8101</v>
      </c>
      <c r="K43" s="7" t="s">
        <v>8102</v>
      </c>
      <c r="L43" s="7" t="s">
        <v>8103</v>
      </c>
      <c r="M43" s="7" t="s">
        <v>8104</v>
      </c>
      <c r="N43" s="7" t="s">
        <v>8105</v>
      </c>
      <c r="O43" s="7"/>
      <c r="P43" s="7" t="s">
        <v>7690</v>
      </c>
      <c r="Q43" s="7" t="s">
        <v>7797</v>
      </c>
      <c r="R43" s="7" t="s">
        <v>7692</v>
      </c>
      <c r="S43" s="7" t="s">
        <v>8106</v>
      </c>
      <c r="T43" s="7"/>
      <c r="U43" s="7"/>
    </row>
    <row r="44" customFormat="false" ht="46.25" hidden="false" customHeight="false" outlineLevel="0" collapsed="false">
      <c r="A44" s="7" t="n">
        <v>11</v>
      </c>
      <c r="B44" s="7" t="s">
        <v>213</v>
      </c>
      <c r="C44" s="7" t="s">
        <v>7679</v>
      </c>
      <c r="D44" s="7" t="s">
        <v>8107</v>
      </c>
      <c r="E44" s="7" t="s">
        <v>8108</v>
      </c>
      <c r="F44" s="7" t="n">
        <v>2026</v>
      </c>
      <c r="G44" s="7" t="s">
        <v>8109</v>
      </c>
      <c r="H44" s="7" t="s">
        <v>8110</v>
      </c>
      <c r="I44" s="7" t="s">
        <v>8111</v>
      </c>
      <c r="J44" s="7" t="s">
        <v>7699</v>
      </c>
      <c r="K44" s="7" t="s">
        <v>8112</v>
      </c>
      <c r="L44" s="7" t="s">
        <v>8113</v>
      </c>
      <c r="M44" s="7" t="s">
        <v>8114</v>
      </c>
      <c r="N44" s="7" t="s">
        <v>8115</v>
      </c>
      <c r="O44" s="7" t="s">
        <v>8116</v>
      </c>
      <c r="P44" s="7" t="s">
        <v>7690</v>
      </c>
      <c r="Q44" s="7" t="s">
        <v>7797</v>
      </c>
      <c r="R44" s="7" t="s">
        <v>7692</v>
      </c>
      <c r="S44" s="7" t="s">
        <v>8117</v>
      </c>
      <c r="T44" s="7"/>
      <c r="U44" s="7"/>
    </row>
    <row r="45" customFormat="false" ht="46.25" hidden="false" customHeight="false" outlineLevel="0" collapsed="false">
      <c r="A45" s="7" t="n">
        <v>11</v>
      </c>
      <c r="B45" s="7" t="s">
        <v>213</v>
      </c>
      <c r="C45" s="7" t="s">
        <v>7679</v>
      </c>
      <c r="D45" s="7" t="s">
        <v>8118</v>
      </c>
      <c r="E45" s="7" t="s">
        <v>8119</v>
      </c>
      <c r="F45" s="7" t="n">
        <v>2011</v>
      </c>
      <c r="G45" s="7" t="s">
        <v>7682</v>
      </c>
      <c r="H45" s="7" t="s">
        <v>8120</v>
      </c>
      <c r="I45" s="7" t="s">
        <v>8121</v>
      </c>
      <c r="J45" s="7" t="s">
        <v>7685</v>
      </c>
      <c r="K45" s="7" t="s">
        <v>8122</v>
      </c>
      <c r="L45" s="7" t="s">
        <v>8123</v>
      </c>
      <c r="M45" s="7" t="s">
        <v>8124</v>
      </c>
      <c r="N45" s="7" t="s">
        <v>8125</v>
      </c>
      <c r="O45" s="7"/>
      <c r="P45" s="7" t="s">
        <v>7981</v>
      </c>
      <c r="Q45" s="7" t="s">
        <v>7969</v>
      </c>
      <c r="R45" s="7" t="s">
        <v>7692</v>
      </c>
      <c r="S45" s="7" t="s">
        <v>8126</v>
      </c>
      <c r="T45" s="7" t="s">
        <v>8127</v>
      </c>
      <c r="U45" s="7"/>
    </row>
    <row r="46" customFormat="false" ht="35.05" hidden="false" customHeight="false" outlineLevel="0" collapsed="false">
      <c r="A46" s="7" t="n">
        <v>11</v>
      </c>
      <c r="B46" s="7" t="s">
        <v>213</v>
      </c>
      <c r="C46" s="7" t="s">
        <v>7679</v>
      </c>
      <c r="D46" s="7" t="s">
        <v>8128</v>
      </c>
      <c r="E46" s="7" t="s">
        <v>8129</v>
      </c>
      <c r="F46" s="7" t="n">
        <v>2018</v>
      </c>
      <c r="G46" s="7" t="s">
        <v>7682</v>
      </c>
      <c r="H46" s="7" t="s">
        <v>8130</v>
      </c>
      <c r="I46" s="7" t="s">
        <v>8131</v>
      </c>
      <c r="J46" s="7" t="s">
        <v>7685</v>
      </c>
      <c r="K46" s="7" t="s">
        <v>8132</v>
      </c>
      <c r="L46" s="7" t="s">
        <v>8133</v>
      </c>
      <c r="M46" s="7" t="s">
        <v>8134</v>
      </c>
      <c r="N46" s="7" t="s">
        <v>8135</v>
      </c>
      <c r="O46" s="7" t="s">
        <v>8136</v>
      </c>
      <c r="P46" s="7" t="s">
        <v>7981</v>
      </c>
      <c r="Q46" s="7" t="s">
        <v>7969</v>
      </c>
      <c r="R46" s="7" t="s">
        <v>7692</v>
      </c>
      <c r="S46" s="7" t="s">
        <v>8137</v>
      </c>
      <c r="T46" s="7" t="s">
        <v>8138</v>
      </c>
      <c r="U46" s="7"/>
    </row>
    <row r="47" customFormat="false" ht="46.25" hidden="false" customHeight="false" outlineLevel="0" collapsed="false">
      <c r="A47" s="7" t="n">
        <v>11</v>
      </c>
      <c r="B47" s="7" t="s">
        <v>213</v>
      </c>
      <c r="C47" s="7" t="s">
        <v>7679</v>
      </c>
      <c r="D47" s="7" t="s">
        <v>8139</v>
      </c>
      <c r="E47" s="7" t="s">
        <v>8140</v>
      </c>
      <c r="F47" s="7" t="n">
        <v>2021</v>
      </c>
      <c r="G47" s="7" t="s">
        <v>8141</v>
      </c>
      <c r="H47" s="7" t="s">
        <v>8142</v>
      </c>
      <c r="I47" s="7" t="s">
        <v>8143</v>
      </c>
      <c r="J47" s="7" t="s">
        <v>8144</v>
      </c>
      <c r="K47" s="7" t="s">
        <v>8145</v>
      </c>
      <c r="L47" s="7" t="s">
        <v>8146</v>
      </c>
      <c r="M47" s="7" t="s">
        <v>8147</v>
      </c>
      <c r="N47" s="7" t="s">
        <v>8148</v>
      </c>
      <c r="O47" s="7"/>
      <c r="P47" s="7" t="s">
        <v>7968</v>
      </c>
      <c r="Q47" s="7" t="s">
        <v>7969</v>
      </c>
      <c r="R47" s="7" t="s">
        <v>7692</v>
      </c>
      <c r="S47" s="7" t="s">
        <v>8149</v>
      </c>
      <c r="T47" s="7"/>
      <c r="U47" s="7"/>
    </row>
    <row r="48" customFormat="false" ht="35.05" hidden="false" customHeight="false" outlineLevel="0" collapsed="false">
      <c r="A48" s="7" t="n">
        <v>11</v>
      </c>
      <c r="B48" s="7" t="s">
        <v>213</v>
      </c>
      <c r="C48" s="7" t="s">
        <v>7679</v>
      </c>
      <c r="D48" s="7" t="s">
        <v>8150</v>
      </c>
      <c r="E48" s="7" t="s">
        <v>8151</v>
      </c>
      <c r="F48" s="7" t="n">
        <v>2021</v>
      </c>
      <c r="G48" s="7" t="s">
        <v>7682</v>
      </c>
      <c r="H48" s="7" t="s">
        <v>8152</v>
      </c>
      <c r="I48" s="7" t="s">
        <v>8153</v>
      </c>
      <c r="J48" s="7" t="s">
        <v>8154</v>
      </c>
      <c r="K48" s="7" t="s">
        <v>8155</v>
      </c>
      <c r="L48" s="7" t="s">
        <v>8156</v>
      </c>
      <c r="M48" s="7" t="s">
        <v>8157</v>
      </c>
      <c r="N48" s="7" t="s">
        <v>8158</v>
      </c>
      <c r="O48" s="7"/>
      <c r="P48" s="7" t="s">
        <v>7981</v>
      </c>
      <c r="Q48" s="7" t="s">
        <v>7727</v>
      </c>
      <c r="R48" s="7" t="s">
        <v>7692</v>
      </c>
      <c r="S48" s="7" t="s">
        <v>8159</v>
      </c>
      <c r="T48" s="7"/>
      <c r="U48" s="7"/>
    </row>
    <row r="49" customFormat="false" ht="46.25" hidden="false" customHeight="false" outlineLevel="0" collapsed="false">
      <c r="A49" s="7" t="n">
        <v>11</v>
      </c>
      <c r="B49" s="7" t="s">
        <v>213</v>
      </c>
      <c r="C49" s="7" t="s">
        <v>8160</v>
      </c>
      <c r="D49" s="7" t="s">
        <v>8161</v>
      </c>
      <c r="E49" s="7" t="s">
        <v>8162</v>
      </c>
      <c r="F49" s="7" t="n">
        <v>2024</v>
      </c>
      <c r="G49" s="7" t="s">
        <v>8163</v>
      </c>
      <c r="H49" s="7" t="s">
        <v>8164</v>
      </c>
      <c r="I49" s="7" t="s">
        <v>8165</v>
      </c>
      <c r="J49" s="7" t="s">
        <v>7315</v>
      </c>
      <c r="K49" s="7" t="s">
        <v>8166</v>
      </c>
      <c r="L49" s="7" t="s">
        <v>8167</v>
      </c>
      <c r="M49" s="7" t="s">
        <v>8168</v>
      </c>
      <c r="N49" s="7"/>
      <c r="O49" s="7"/>
      <c r="P49" s="7" t="s">
        <v>7690</v>
      </c>
      <c r="Q49" s="7" t="s">
        <v>7727</v>
      </c>
      <c r="R49" s="7" t="s">
        <v>7692</v>
      </c>
      <c r="S49" s="7" t="s">
        <v>8169</v>
      </c>
      <c r="T49" s="7"/>
      <c r="U49" s="7" t="s">
        <v>8170</v>
      </c>
    </row>
    <row r="50" customFormat="false" ht="46.25" hidden="false" customHeight="false" outlineLevel="0" collapsed="false">
      <c r="A50" s="7" t="n">
        <v>13</v>
      </c>
      <c r="B50" s="7" t="s">
        <v>238</v>
      </c>
      <c r="C50" s="7" t="s">
        <v>7705</v>
      </c>
      <c r="D50" s="7" t="s">
        <v>8171</v>
      </c>
      <c r="E50" s="7" t="s">
        <v>8172</v>
      </c>
      <c r="F50" s="7" t="n">
        <v>2003</v>
      </c>
      <c r="G50" s="7" t="s">
        <v>7792</v>
      </c>
      <c r="H50" s="7" t="s">
        <v>8173</v>
      </c>
      <c r="I50" s="7" t="s">
        <v>8174</v>
      </c>
      <c r="J50" s="7" t="s">
        <v>8175</v>
      </c>
      <c r="K50" s="7" t="s">
        <v>8176</v>
      </c>
      <c r="L50" s="7" t="s">
        <v>8177</v>
      </c>
      <c r="M50" s="7" t="s">
        <v>8178</v>
      </c>
      <c r="N50" s="7" t="s">
        <v>7715</v>
      </c>
      <c r="O50" s="7"/>
      <c r="P50" s="7" t="s">
        <v>7690</v>
      </c>
      <c r="Q50" s="7" t="s">
        <v>7797</v>
      </c>
      <c r="R50" s="7" t="s">
        <v>7692</v>
      </c>
      <c r="S50" s="7" t="s">
        <v>8179</v>
      </c>
      <c r="T50" s="7"/>
      <c r="U50" s="7" t="s">
        <v>8180</v>
      </c>
    </row>
    <row r="51" customFormat="false" ht="57.45" hidden="false" customHeight="false" outlineLevel="0" collapsed="false">
      <c r="A51" s="7" t="n">
        <v>13</v>
      </c>
      <c r="B51" s="7" t="s">
        <v>238</v>
      </c>
      <c r="C51" s="7" t="s">
        <v>7679</v>
      </c>
      <c r="D51" s="7" t="s">
        <v>8181</v>
      </c>
      <c r="E51" s="7" t="s">
        <v>8182</v>
      </c>
      <c r="F51" s="7" t="n">
        <v>2013</v>
      </c>
      <c r="G51" s="7" t="s">
        <v>7781</v>
      </c>
      <c r="H51" s="7" t="s">
        <v>8183</v>
      </c>
      <c r="I51" s="7" t="s">
        <v>8184</v>
      </c>
      <c r="J51" s="7" t="s">
        <v>8185</v>
      </c>
      <c r="K51" s="7" t="s">
        <v>8186</v>
      </c>
      <c r="L51" s="7" t="s">
        <v>8187</v>
      </c>
      <c r="M51" s="7" t="s">
        <v>8188</v>
      </c>
      <c r="N51" s="7" t="s">
        <v>7738</v>
      </c>
      <c r="O51" s="7"/>
      <c r="P51" s="7" t="s">
        <v>7690</v>
      </c>
      <c r="Q51" s="7" t="s">
        <v>7797</v>
      </c>
      <c r="R51" s="7" t="s">
        <v>7692</v>
      </c>
      <c r="S51" s="7" t="s">
        <v>8189</v>
      </c>
      <c r="T51" s="7"/>
      <c r="U51" s="7" t="s">
        <v>8190</v>
      </c>
    </row>
    <row r="52" customFormat="false" ht="46.25" hidden="false" customHeight="false" outlineLevel="0" collapsed="false">
      <c r="A52" s="7" t="n">
        <v>13</v>
      </c>
      <c r="B52" s="7" t="s">
        <v>238</v>
      </c>
      <c r="C52" s="7" t="s">
        <v>7679</v>
      </c>
      <c r="D52" s="7" t="s">
        <v>7740</v>
      </c>
      <c r="E52" s="7" t="s">
        <v>7741</v>
      </c>
      <c r="F52" s="7" t="n">
        <v>2017</v>
      </c>
      <c r="G52" s="7" t="s">
        <v>7742</v>
      </c>
      <c r="H52" s="7" t="s">
        <v>7743</v>
      </c>
      <c r="I52" s="7" t="s">
        <v>7744</v>
      </c>
      <c r="J52" s="7" t="s">
        <v>7745</v>
      </c>
      <c r="K52" s="7" t="s">
        <v>8191</v>
      </c>
      <c r="L52" s="7" t="s">
        <v>8192</v>
      </c>
      <c r="M52" s="7" t="s">
        <v>7748</v>
      </c>
      <c r="N52" s="7" t="s">
        <v>7749</v>
      </c>
      <c r="O52" s="7"/>
      <c r="P52" s="7" t="s">
        <v>7690</v>
      </c>
      <c r="Q52" s="7" t="s">
        <v>7727</v>
      </c>
      <c r="R52" s="7" t="s">
        <v>7692</v>
      </c>
      <c r="S52" s="7" t="s">
        <v>7750</v>
      </c>
      <c r="T52" s="7"/>
      <c r="U52" s="7"/>
    </row>
    <row r="53" customFormat="false" ht="46.25" hidden="false" customHeight="false" outlineLevel="0" collapsed="false">
      <c r="A53" s="7" t="n">
        <v>13</v>
      </c>
      <c r="B53" s="7" t="s">
        <v>238</v>
      </c>
      <c r="C53" s="7" t="s">
        <v>7679</v>
      </c>
      <c r="D53" s="7" t="s">
        <v>8193</v>
      </c>
      <c r="E53" s="7" t="s">
        <v>8194</v>
      </c>
      <c r="F53" s="7" t="n">
        <v>2020</v>
      </c>
      <c r="G53" s="7" t="s">
        <v>7682</v>
      </c>
      <c r="H53" s="7" t="s">
        <v>8195</v>
      </c>
      <c r="I53" s="7" t="s">
        <v>8196</v>
      </c>
      <c r="J53" s="7" t="s">
        <v>8197</v>
      </c>
      <c r="K53" s="7" t="s">
        <v>8198</v>
      </c>
      <c r="L53" s="7" t="s">
        <v>8199</v>
      </c>
      <c r="M53" s="7" t="s">
        <v>8200</v>
      </c>
      <c r="N53" s="7" t="s">
        <v>8201</v>
      </c>
      <c r="O53" s="7"/>
      <c r="P53" s="7" t="s">
        <v>8202</v>
      </c>
      <c r="Q53" s="7" t="s">
        <v>7691</v>
      </c>
      <c r="R53" s="7" t="s">
        <v>7692</v>
      </c>
      <c r="S53" s="7" t="s">
        <v>8203</v>
      </c>
      <c r="T53" s="7" t="s">
        <v>8204</v>
      </c>
      <c r="U53" s="7"/>
    </row>
    <row r="54" customFormat="false" ht="46.25" hidden="false" customHeight="false" outlineLevel="0" collapsed="false">
      <c r="A54" s="7" t="n">
        <v>13</v>
      </c>
      <c r="B54" s="7" t="s">
        <v>238</v>
      </c>
      <c r="C54" s="7" t="s">
        <v>7679</v>
      </c>
      <c r="D54" s="7" t="s">
        <v>8205</v>
      </c>
      <c r="E54" s="7" t="s">
        <v>8206</v>
      </c>
      <c r="F54" s="7" t="n">
        <v>2022</v>
      </c>
      <c r="G54" s="7" t="s">
        <v>8207</v>
      </c>
      <c r="H54" s="7" t="s">
        <v>8208</v>
      </c>
      <c r="I54" s="7" t="s">
        <v>8209</v>
      </c>
      <c r="J54" s="7" t="s">
        <v>8210</v>
      </c>
      <c r="K54" s="7" t="s">
        <v>8211</v>
      </c>
      <c r="L54" s="7" t="s">
        <v>8212</v>
      </c>
      <c r="M54" s="7" t="s">
        <v>8213</v>
      </c>
      <c r="N54" s="7" t="s">
        <v>8214</v>
      </c>
      <c r="O54" s="7"/>
      <c r="P54" s="7" t="s">
        <v>7690</v>
      </c>
      <c r="Q54" s="7" t="s">
        <v>7727</v>
      </c>
      <c r="R54" s="7" t="s">
        <v>7692</v>
      </c>
      <c r="S54" s="7" t="s">
        <v>8215</v>
      </c>
      <c r="T54" s="7"/>
      <c r="U54" s="7"/>
    </row>
    <row r="55" customFormat="false" ht="35.05" hidden="false" customHeight="false" outlineLevel="0" collapsed="false">
      <c r="A55" s="7" t="n">
        <v>13</v>
      </c>
      <c r="B55" s="7" t="s">
        <v>238</v>
      </c>
      <c r="C55" s="7" t="s">
        <v>8160</v>
      </c>
      <c r="D55" s="7" t="s">
        <v>8216</v>
      </c>
      <c r="E55" s="7" t="s">
        <v>8217</v>
      </c>
      <c r="F55" s="7" t="n">
        <v>2023</v>
      </c>
      <c r="G55" s="7" t="s">
        <v>8218</v>
      </c>
      <c r="H55" s="7" t="s">
        <v>8219</v>
      </c>
      <c r="I55" s="7" t="s">
        <v>8220</v>
      </c>
      <c r="J55" s="7" t="s">
        <v>8221</v>
      </c>
      <c r="K55" s="7" t="s">
        <v>8222</v>
      </c>
      <c r="L55" s="7" t="s">
        <v>8223</v>
      </c>
      <c r="M55" s="7" t="s">
        <v>8224</v>
      </c>
      <c r="N55" s="7" t="s">
        <v>8225</v>
      </c>
      <c r="O55" s="7"/>
      <c r="P55" s="7" t="s">
        <v>7690</v>
      </c>
      <c r="Q55" s="7" t="s">
        <v>7727</v>
      </c>
      <c r="R55" s="7" t="s">
        <v>7692</v>
      </c>
      <c r="S55" s="7" t="s">
        <v>8226</v>
      </c>
      <c r="T55" s="7"/>
      <c r="U55" s="7" t="s">
        <v>8227</v>
      </c>
    </row>
    <row r="56" customFormat="false" ht="57.45" hidden="false" customHeight="false" outlineLevel="0" collapsed="false">
      <c r="A56" s="7" t="n">
        <v>13</v>
      </c>
      <c r="B56" s="7" t="s">
        <v>238</v>
      </c>
      <c r="C56" s="7" t="s">
        <v>7679</v>
      </c>
      <c r="D56" s="7" t="s">
        <v>7751</v>
      </c>
      <c r="E56" s="7" t="s">
        <v>7752</v>
      </c>
      <c r="F56" s="7" t="n">
        <v>2024</v>
      </c>
      <c r="G56" s="7" t="s">
        <v>7742</v>
      </c>
      <c r="H56" s="7" t="s">
        <v>7753</v>
      </c>
      <c r="I56" s="7" t="s">
        <v>7754</v>
      </c>
      <c r="J56" s="7" t="s">
        <v>7685</v>
      </c>
      <c r="K56" s="7" t="s">
        <v>7755</v>
      </c>
      <c r="L56" s="7" t="s">
        <v>7756</v>
      </c>
      <c r="M56" s="7" t="s">
        <v>7757</v>
      </c>
      <c r="N56" s="7" t="s">
        <v>7758</v>
      </c>
      <c r="O56" s="7"/>
      <c r="P56" s="7" t="s">
        <v>7690</v>
      </c>
      <c r="Q56" s="7" t="s">
        <v>7759</v>
      </c>
      <c r="R56" s="7" t="s">
        <v>7692</v>
      </c>
      <c r="S56" s="7" t="s">
        <v>7760</v>
      </c>
      <c r="T56" s="7"/>
      <c r="U56" s="7"/>
    </row>
    <row r="57" customFormat="false" ht="46.25" hidden="false" customHeight="false" outlineLevel="0" collapsed="false">
      <c r="A57" s="7" t="n">
        <v>13</v>
      </c>
      <c r="B57" s="7" t="s">
        <v>238</v>
      </c>
      <c r="C57" s="7" t="s">
        <v>7679</v>
      </c>
      <c r="D57" s="7" t="s">
        <v>7854</v>
      </c>
      <c r="E57" s="7" t="s">
        <v>7855</v>
      </c>
      <c r="F57" s="7" t="n">
        <v>2024</v>
      </c>
      <c r="G57" s="7" t="s">
        <v>7781</v>
      </c>
      <c r="H57" s="7" t="s">
        <v>7856</v>
      </c>
      <c r="I57" s="7" t="s">
        <v>8228</v>
      </c>
      <c r="J57" s="7" t="s">
        <v>8229</v>
      </c>
      <c r="K57" s="7" t="s">
        <v>8230</v>
      </c>
      <c r="L57" s="7" t="s">
        <v>8231</v>
      </c>
      <c r="M57" s="7" t="s">
        <v>7861</v>
      </c>
      <c r="N57" s="7" t="s">
        <v>7862</v>
      </c>
      <c r="O57" s="7"/>
      <c r="P57" s="7" t="s">
        <v>7690</v>
      </c>
      <c r="Q57" s="7" t="s">
        <v>7797</v>
      </c>
      <c r="R57" s="7" t="s">
        <v>7692</v>
      </c>
      <c r="S57" s="7" t="s">
        <v>7863</v>
      </c>
      <c r="T57" s="7"/>
      <c r="U57" s="7"/>
    </row>
    <row r="58" customFormat="false" ht="46.25" hidden="false" customHeight="false" outlineLevel="0" collapsed="false">
      <c r="A58" s="7" t="n">
        <v>14</v>
      </c>
      <c r="B58" s="7" t="s">
        <v>251</v>
      </c>
      <c r="C58" s="7" t="s">
        <v>7705</v>
      </c>
      <c r="D58" s="7" t="s">
        <v>8232</v>
      </c>
      <c r="E58" s="7" t="s">
        <v>8233</v>
      </c>
      <c r="F58" s="7" t="n">
        <v>2016</v>
      </c>
      <c r="G58" s="7" t="s">
        <v>7792</v>
      </c>
      <c r="H58" s="7" t="s">
        <v>8234</v>
      </c>
      <c r="I58" s="7" t="s">
        <v>8235</v>
      </c>
      <c r="J58" s="7" t="s">
        <v>7711</v>
      </c>
      <c r="K58" s="7" t="s">
        <v>8236</v>
      </c>
      <c r="L58" s="7" t="s">
        <v>8237</v>
      </c>
      <c r="M58" s="7" t="s">
        <v>7714</v>
      </c>
      <c r="N58" s="7" t="s">
        <v>8043</v>
      </c>
      <c r="O58" s="7"/>
      <c r="P58" s="7" t="s">
        <v>7690</v>
      </c>
      <c r="Q58" s="7" t="s">
        <v>7797</v>
      </c>
      <c r="R58" s="7" t="s">
        <v>7692</v>
      </c>
      <c r="S58" s="7" t="s">
        <v>8238</v>
      </c>
      <c r="T58" s="7"/>
      <c r="U58" s="7" t="s">
        <v>8239</v>
      </c>
    </row>
    <row r="59" customFormat="false" ht="46.25" hidden="false" customHeight="false" outlineLevel="0" collapsed="false">
      <c r="A59" s="7" t="n">
        <v>14</v>
      </c>
      <c r="B59" s="7" t="s">
        <v>251</v>
      </c>
      <c r="C59" s="7" t="s">
        <v>7679</v>
      </c>
      <c r="D59" s="7" t="s">
        <v>8240</v>
      </c>
      <c r="E59" s="7" t="s">
        <v>8241</v>
      </c>
      <c r="F59" s="7" t="n">
        <v>2025</v>
      </c>
      <c r="G59" s="7" t="s">
        <v>8242</v>
      </c>
      <c r="H59" s="7" t="s">
        <v>8243</v>
      </c>
      <c r="I59" s="7" t="s">
        <v>8244</v>
      </c>
      <c r="J59" s="7" t="s">
        <v>7699</v>
      </c>
      <c r="K59" s="7" t="s">
        <v>8245</v>
      </c>
      <c r="L59" s="7" t="s">
        <v>8246</v>
      </c>
      <c r="M59" s="7" t="s">
        <v>8247</v>
      </c>
      <c r="N59" s="7" t="s">
        <v>8248</v>
      </c>
      <c r="O59" s="7"/>
      <c r="P59" s="7" t="s">
        <v>7690</v>
      </c>
      <c r="Q59" s="7" t="s">
        <v>7727</v>
      </c>
      <c r="R59" s="7" t="s">
        <v>7692</v>
      </c>
      <c r="S59" s="7" t="s">
        <v>8249</v>
      </c>
      <c r="T59" s="7"/>
      <c r="U59" s="7" t="s">
        <v>8250</v>
      </c>
    </row>
    <row r="60" customFormat="false" ht="35.05" hidden="false" customHeight="false" outlineLevel="0" collapsed="false">
      <c r="A60" s="7" t="n">
        <v>14</v>
      </c>
      <c r="B60" s="7" t="s">
        <v>251</v>
      </c>
      <c r="C60" s="7" t="s">
        <v>7705</v>
      </c>
      <c r="D60" s="7" t="s">
        <v>8251</v>
      </c>
      <c r="E60" s="7" t="s">
        <v>8252</v>
      </c>
      <c r="F60" s="7" t="n">
        <v>2022</v>
      </c>
      <c r="G60" s="7" t="s">
        <v>7792</v>
      </c>
      <c r="H60" s="7" t="s">
        <v>7793</v>
      </c>
      <c r="I60" s="7" t="s">
        <v>8235</v>
      </c>
      <c r="J60" s="7" t="s">
        <v>7711</v>
      </c>
      <c r="K60" s="7" t="s">
        <v>8253</v>
      </c>
      <c r="L60" s="7" t="s">
        <v>8254</v>
      </c>
      <c r="M60" s="7" t="s">
        <v>8255</v>
      </c>
      <c r="N60" s="7" t="s">
        <v>8043</v>
      </c>
      <c r="O60" s="7"/>
      <c r="P60" s="7" t="s">
        <v>7690</v>
      </c>
      <c r="Q60" s="7" t="s">
        <v>7759</v>
      </c>
      <c r="R60" s="7" t="s">
        <v>7692</v>
      </c>
      <c r="S60" s="7" t="s">
        <v>8256</v>
      </c>
      <c r="T60" s="7"/>
      <c r="U60" s="7" t="s">
        <v>8257</v>
      </c>
    </row>
    <row r="61" customFormat="false" ht="35.05" hidden="false" customHeight="false" outlineLevel="0" collapsed="false">
      <c r="A61" s="7" t="n">
        <v>14</v>
      </c>
      <c r="B61" s="7" t="s">
        <v>251</v>
      </c>
      <c r="C61" s="7" t="s">
        <v>7679</v>
      </c>
      <c r="D61" s="7" t="s">
        <v>8258</v>
      </c>
      <c r="E61" s="7" t="s">
        <v>8259</v>
      </c>
      <c r="F61" s="7" t="n">
        <v>2020</v>
      </c>
      <c r="G61" s="7" t="s">
        <v>7682</v>
      </c>
      <c r="H61" s="7" t="s">
        <v>8260</v>
      </c>
      <c r="I61" s="7" t="s">
        <v>8261</v>
      </c>
      <c r="J61" s="7" t="s">
        <v>7685</v>
      </c>
      <c r="K61" s="7" t="s">
        <v>8262</v>
      </c>
      <c r="L61" s="7" t="s">
        <v>8263</v>
      </c>
      <c r="M61" s="7" t="s">
        <v>8264</v>
      </c>
      <c r="N61" s="7" t="s">
        <v>8265</v>
      </c>
      <c r="O61" s="7"/>
      <c r="P61" s="7" t="s">
        <v>7690</v>
      </c>
      <c r="Q61" s="7" t="s">
        <v>7691</v>
      </c>
      <c r="R61" s="7" t="s">
        <v>7692</v>
      </c>
      <c r="S61" s="7" t="s">
        <v>8266</v>
      </c>
      <c r="T61" s="7"/>
      <c r="U61" s="7" t="s">
        <v>8267</v>
      </c>
    </row>
    <row r="62" customFormat="false" ht="57.45" hidden="false" customHeight="false" outlineLevel="0" collapsed="false">
      <c r="A62" s="7" t="n">
        <v>17</v>
      </c>
      <c r="B62" s="7" t="s">
        <v>294</v>
      </c>
      <c r="C62" s="7" t="s">
        <v>7705</v>
      </c>
      <c r="D62" s="7" t="s">
        <v>8268</v>
      </c>
      <c r="E62" s="7" t="s">
        <v>8269</v>
      </c>
      <c r="F62" s="7" t="n">
        <v>2008</v>
      </c>
      <c r="G62" s="7" t="s">
        <v>7792</v>
      </c>
      <c r="H62" s="7" t="s">
        <v>8270</v>
      </c>
      <c r="I62" s="7" t="s">
        <v>8271</v>
      </c>
      <c r="J62" s="7" t="s">
        <v>7711</v>
      </c>
      <c r="K62" s="7" t="s">
        <v>8272</v>
      </c>
      <c r="L62" s="7" t="s">
        <v>8273</v>
      </c>
      <c r="M62" s="7" t="s">
        <v>7714</v>
      </c>
      <c r="N62" s="7" t="s">
        <v>8274</v>
      </c>
      <c r="O62" s="7"/>
      <c r="P62" s="7" t="s">
        <v>7690</v>
      </c>
      <c r="Q62" s="7" t="s">
        <v>7716</v>
      </c>
      <c r="R62" s="7" t="s">
        <v>7692</v>
      </c>
      <c r="S62" s="7" t="s">
        <v>8275</v>
      </c>
      <c r="T62" s="7"/>
      <c r="U62" s="7" t="s">
        <v>8276</v>
      </c>
    </row>
    <row r="63" customFormat="false" ht="57.45" hidden="false" customHeight="false" outlineLevel="0" collapsed="false">
      <c r="A63" s="7" t="n">
        <v>17</v>
      </c>
      <c r="B63" s="7" t="s">
        <v>294</v>
      </c>
      <c r="C63" s="7" t="s">
        <v>7679</v>
      </c>
      <c r="D63" s="7" t="s">
        <v>8277</v>
      </c>
      <c r="E63" s="7" t="s">
        <v>8278</v>
      </c>
      <c r="F63" s="7" t="n">
        <v>2020</v>
      </c>
      <c r="G63" s="7" t="s">
        <v>7781</v>
      </c>
      <c r="H63" s="7" t="s">
        <v>8279</v>
      </c>
      <c r="I63" s="7" t="s">
        <v>8280</v>
      </c>
      <c r="J63" s="7" t="s">
        <v>7685</v>
      </c>
      <c r="K63" s="7" t="s">
        <v>8281</v>
      </c>
      <c r="L63" s="7" t="s">
        <v>8282</v>
      </c>
      <c r="M63" s="7" t="s">
        <v>8283</v>
      </c>
      <c r="N63" s="7" t="s">
        <v>8072</v>
      </c>
      <c r="O63" s="7"/>
      <c r="P63" s="7" t="s">
        <v>7690</v>
      </c>
      <c r="Q63" s="7" t="s">
        <v>7759</v>
      </c>
      <c r="R63" s="7" t="s">
        <v>7692</v>
      </c>
      <c r="S63" s="7" t="s">
        <v>8284</v>
      </c>
      <c r="T63" s="7"/>
      <c r="U63" s="7" t="s">
        <v>8285</v>
      </c>
    </row>
    <row r="64" customFormat="false" ht="57.45" hidden="false" customHeight="false" outlineLevel="0" collapsed="false">
      <c r="A64" s="7" t="n">
        <v>17</v>
      </c>
      <c r="B64" s="7" t="s">
        <v>294</v>
      </c>
      <c r="C64" s="7" t="s">
        <v>7705</v>
      </c>
      <c r="D64" s="7" t="s">
        <v>8286</v>
      </c>
      <c r="E64" s="7" t="s">
        <v>8287</v>
      </c>
      <c r="F64" s="7" t="n">
        <v>2023</v>
      </c>
      <c r="G64" s="7" t="s">
        <v>7792</v>
      </c>
      <c r="H64" s="7" t="s">
        <v>7793</v>
      </c>
      <c r="I64" s="7" t="s">
        <v>8288</v>
      </c>
      <c r="J64" s="7" t="s">
        <v>7711</v>
      </c>
      <c r="K64" s="7" t="s">
        <v>8289</v>
      </c>
      <c r="L64" s="7" t="s">
        <v>8290</v>
      </c>
      <c r="M64" s="7" t="s">
        <v>7714</v>
      </c>
      <c r="N64" s="7" t="s">
        <v>8043</v>
      </c>
      <c r="O64" s="7"/>
      <c r="P64" s="7" t="s">
        <v>7690</v>
      </c>
      <c r="Q64" s="7" t="s">
        <v>7759</v>
      </c>
      <c r="R64" s="7" t="s">
        <v>7692</v>
      </c>
      <c r="S64" s="7" t="s">
        <v>8291</v>
      </c>
      <c r="T64" s="7"/>
      <c r="U64" s="7"/>
    </row>
    <row r="65" customFormat="false" ht="46.25" hidden="false" customHeight="false" outlineLevel="0" collapsed="false">
      <c r="A65" s="7" t="n">
        <v>16</v>
      </c>
      <c r="B65" s="7" t="s">
        <v>280</v>
      </c>
      <c r="C65" s="7" t="s">
        <v>7679</v>
      </c>
      <c r="D65" s="7" t="s">
        <v>8292</v>
      </c>
      <c r="E65" s="7" t="s">
        <v>8293</v>
      </c>
      <c r="F65" s="7" t="n">
        <v>2012</v>
      </c>
      <c r="G65" s="7" t="s">
        <v>8294</v>
      </c>
      <c r="H65" s="7" t="s">
        <v>8295</v>
      </c>
      <c r="I65" s="7" t="s">
        <v>8296</v>
      </c>
      <c r="J65" s="7" t="s">
        <v>7765</v>
      </c>
      <c r="K65" s="7" t="s">
        <v>8297</v>
      </c>
      <c r="L65" s="7" t="s">
        <v>8298</v>
      </c>
      <c r="M65" s="7" t="s">
        <v>8299</v>
      </c>
      <c r="N65" s="7" t="s">
        <v>8294</v>
      </c>
      <c r="O65" s="7"/>
      <c r="P65" s="7" t="s">
        <v>7690</v>
      </c>
      <c r="Q65" s="7" t="s">
        <v>7727</v>
      </c>
      <c r="R65" s="7" t="s">
        <v>7692</v>
      </c>
      <c r="S65" s="7" t="s">
        <v>8300</v>
      </c>
      <c r="T65" s="7"/>
      <c r="U65" s="7"/>
    </row>
    <row r="66" customFormat="false" ht="46.25" hidden="false" customHeight="false" outlineLevel="0" collapsed="false">
      <c r="A66" s="7" t="n">
        <v>16</v>
      </c>
      <c r="B66" s="7" t="s">
        <v>280</v>
      </c>
      <c r="C66" s="7" t="s">
        <v>7679</v>
      </c>
      <c r="D66" s="7" t="s">
        <v>8301</v>
      </c>
      <c r="E66" s="7" t="s">
        <v>8302</v>
      </c>
      <c r="F66" s="7" t="n">
        <v>2016</v>
      </c>
      <c r="G66" s="7" t="s">
        <v>8303</v>
      </c>
      <c r="H66" s="7" t="s">
        <v>8304</v>
      </c>
      <c r="I66" s="7" t="s">
        <v>8305</v>
      </c>
      <c r="J66" s="7" t="s">
        <v>7685</v>
      </c>
      <c r="K66" s="7" t="s">
        <v>8306</v>
      </c>
      <c r="L66" s="7" t="s">
        <v>8307</v>
      </c>
      <c r="M66" s="7" t="s">
        <v>8308</v>
      </c>
      <c r="N66" s="7" t="s">
        <v>8309</v>
      </c>
      <c r="O66" s="7"/>
      <c r="P66" s="7" t="s">
        <v>7690</v>
      </c>
      <c r="Q66" s="7" t="s">
        <v>7797</v>
      </c>
      <c r="R66" s="7" t="s">
        <v>7692</v>
      </c>
      <c r="S66" s="7" t="s">
        <v>8310</v>
      </c>
      <c r="T66" s="7"/>
      <c r="U66" s="7"/>
    </row>
    <row r="67" customFormat="false" ht="46.25" hidden="false" customHeight="false" outlineLevel="0" collapsed="false">
      <c r="A67" s="7" t="n">
        <v>16</v>
      </c>
      <c r="B67" s="7" t="s">
        <v>280</v>
      </c>
      <c r="C67" s="7" t="s">
        <v>7705</v>
      </c>
      <c r="D67" s="7" t="s">
        <v>8311</v>
      </c>
      <c r="E67" s="7" t="s">
        <v>8312</v>
      </c>
      <c r="F67" s="7" t="n">
        <v>2023</v>
      </c>
      <c r="G67" s="7" t="s">
        <v>7792</v>
      </c>
      <c r="H67" s="7" t="s">
        <v>7793</v>
      </c>
      <c r="I67" s="7" t="s">
        <v>8313</v>
      </c>
      <c r="J67" s="7" t="s">
        <v>7711</v>
      </c>
      <c r="K67" s="7" t="s">
        <v>8314</v>
      </c>
      <c r="L67" s="7" t="s">
        <v>8315</v>
      </c>
      <c r="M67" s="7" t="s">
        <v>7714</v>
      </c>
      <c r="N67" s="7" t="s">
        <v>8043</v>
      </c>
      <c r="O67" s="7"/>
      <c r="P67" s="7" t="s">
        <v>7690</v>
      </c>
      <c r="Q67" s="7" t="s">
        <v>7759</v>
      </c>
      <c r="R67" s="7" t="s">
        <v>7692</v>
      </c>
      <c r="S67" s="7" t="s">
        <v>8316</v>
      </c>
      <c r="T67" s="7"/>
      <c r="U67" s="7" t="s">
        <v>8317</v>
      </c>
    </row>
    <row r="68" customFormat="false" ht="46.25" hidden="false" customHeight="false" outlineLevel="0" collapsed="false">
      <c r="A68" s="7" t="n">
        <v>15</v>
      </c>
      <c r="B68" s="7" t="s">
        <v>267</v>
      </c>
      <c r="C68" s="7" t="s">
        <v>7679</v>
      </c>
      <c r="D68" s="7" t="s">
        <v>8318</v>
      </c>
      <c r="E68" s="7" t="s">
        <v>8319</v>
      </c>
      <c r="F68" s="7" t="n">
        <v>2016</v>
      </c>
      <c r="G68" s="7" t="s">
        <v>7781</v>
      </c>
      <c r="H68" s="7" t="s">
        <v>8320</v>
      </c>
      <c r="I68" s="7" t="s">
        <v>8321</v>
      </c>
      <c r="J68" s="7" t="s">
        <v>7685</v>
      </c>
      <c r="K68" s="7" t="s">
        <v>8322</v>
      </c>
      <c r="L68" s="7" t="s">
        <v>8323</v>
      </c>
      <c r="M68" s="7" t="s">
        <v>8324</v>
      </c>
      <c r="N68" s="7" t="s">
        <v>7787</v>
      </c>
      <c r="O68" s="7"/>
      <c r="P68" s="7" t="s">
        <v>7690</v>
      </c>
      <c r="Q68" s="7" t="s">
        <v>7759</v>
      </c>
      <c r="R68" s="7" t="s">
        <v>7692</v>
      </c>
      <c r="S68" s="7" t="s">
        <v>8325</v>
      </c>
      <c r="T68" s="7"/>
      <c r="U68" s="7" t="s">
        <v>8326</v>
      </c>
    </row>
    <row r="69" customFormat="false" ht="46.25" hidden="false" customHeight="false" outlineLevel="0" collapsed="false">
      <c r="A69" s="7" t="n">
        <v>15</v>
      </c>
      <c r="B69" s="7" t="s">
        <v>267</v>
      </c>
      <c r="C69" s="7" t="s">
        <v>7705</v>
      </c>
      <c r="D69" s="7" t="s">
        <v>8327</v>
      </c>
      <c r="E69" s="7" t="s">
        <v>8328</v>
      </c>
      <c r="F69" s="7" t="n">
        <v>2016</v>
      </c>
      <c r="G69" s="7" t="s">
        <v>7792</v>
      </c>
      <c r="H69" s="7" t="s">
        <v>7793</v>
      </c>
      <c r="I69" s="7" t="s">
        <v>8329</v>
      </c>
      <c r="J69" s="7" t="s">
        <v>7711</v>
      </c>
      <c r="K69" s="7" t="s">
        <v>8330</v>
      </c>
      <c r="L69" s="7" t="s">
        <v>8331</v>
      </c>
      <c r="M69" s="7" t="s">
        <v>7714</v>
      </c>
      <c r="N69" s="7" t="s">
        <v>7715</v>
      </c>
      <c r="O69" s="7"/>
      <c r="P69" s="7" t="s">
        <v>7690</v>
      </c>
      <c r="Q69" s="7" t="s">
        <v>7759</v>
      </c>
      <c r="R69" s="7" t="s">
        <v>7692</v>
      </c>
      <c r="S69" s="7" t="s">
        <v>8332</v>
      </c>
      <c r="T69" s="7"/>
      <c r="U69" s="7"/>
    </row>
    <row r="70" customFormat="false" ht="46.25" hidden="false" customHeight="false" outlineLevel="0" collapsed="false">
      <c r="A70" s="7" t="n">
        <v>15</v>
      </c>
      <c r="B70" s="7" t="s">
        <v>267</v>
      </c>
      <c r="C70" s="7" t="s">
        <v>7679</v>
      </c>
      <c r="D70" s="7" t="s">
        <v>8333</v>
      </c>
      <c r="E70" s="7" t="s">
        <v>8334</v>
      </c>
      <c r="F70" s="7" t="n">
        <v>2024</v>
      </c>
      <c r="G70" s="7" t="s">
        <v>8242</v>
      </c>
      <c r="H70" s="7" t="s">
        <v>8335</v>
      </c>
      <c r="I70" s="7" t="s">
        <v>8336</v>
      </c>
      <c r="J70" s="7" t="s">
        <v>7685</v>
      </c>
      <c r="K70" s="7" t="s">
        <v>8337</v>
      </c>
      <c r="L70" s="7" t="s">
        <v>8338</v>
      </c>
      <c r="M70" s="7" t="s">
        <v>8339</v>
      </c>
      <c r="N70" s="7" t="s">
        <v>8340</v>
      </c>
      <c r="O70" s="7"/>
      <c r="P70" s="7" t="s">
        <v>7690</v>
      </c>
      <c r="Q70" s="7" t="s">
        <v>7716</v>
      </c>
      <c r="R70" s="7" t="s">
        <v>7692</v>
      </c>
      <c r="S70" s="7" t="s">
        <v>8341</v>
      </c>
      <c r="T70" s="7"/>
      <c r="U70" s="7" t="s">
        <v>8342</v>
      </c>
    </row>
    <row r="71" customFormat="false" ht="35.05" hidden="false" customHeight="false" outlineLevel="0" collapsed="false">
      <c r="A71" s="7" t="n">
        <v>19</v>
      </c>
      <c r="B71" s="7" t="s">
        <v>320</v>
      </c>
      <c r="C71" s="7" t="s">
        <v>7679</v>
      </c>
      <c r="D71" s="7" t="s">
        <v>8343</v>
      </c>
      <c r="E71" s="7" t="s">
        <v>8344</v>
      </c>
      <c r="F71" s="7" t="n">
        <v>2019</v>
      </c>
      <c r="G71" s="7" t="s">
        <v>7781</v>
      </c>
      <c r="H71" s="7" t="s">
        <v>8345</v>
      </c>
      <c r="I71" s="7" t="s">
        <v>8346</v>
      </c>
      <c r="J71" s="7" t="s">
        <v>8347</v>
      </c>
      <c r="K71" s="7" t="s">
        <v>8348</v>
      </c>
      <c r="L71" s="7" t="s">
        <v>8349</v>
      </c>
      <c r="M71" s="7" t="s">
        <v>8350</v>
      </c>
      <c r="N71" s="7" t="s">
        <v>8351</v>
      </c>
      <c r="O71" s="7"/>
      <c r="P71" s="7" t="s">
        <v>7690</v>
      </c>
      <c r="Q71" s="7" t="s">
        <v>7759</v>
      </c>
      <c r="R71" s="7" t="s">
        <v>7692</v>
      </c>
      <c r="S71" s="7" t="s">
        <v>8352</v>
      </c>
      <c r="T71" s="7"/>
      <c r="U71" s="7"/>
    </row>
    <row r="72" customFormat="false" ht="35.05" hidden="false" customHeight="false" outlineLevel="0" collapsed="false">
      <c r="A72" s="7" t="n">
        <v>19</v>
      </c>
      <c r="B72" s="7" t="s">
        <v>320</v>
      </c>
      <c r="C72" s="7" t="s">
        <v>7679</v>
      </c>
      <c r="D72" s="7" t="s">
        <v>8353</v>
      </c>
      <c r="E72" s="7" t="s">
        <v>8354</v>
      </c>
      <c r="F72" s="7" t="n">
        <v>2025</v>
      </c>
      <c r="G72" s="7" t="s">
        <v>7781</v>
      </c>
      <c r="H72" s="7" t="s">
        <v>8355</v>
      </c>
      <c r="I72" s="7" t="s">
        <v>8356</v>
      </c>
      <c r="J72" s="7" t="s">
        <v>7699</v>
      </c>
      <c r="K72" s="7" t="s">
        <v>8357</v>
      </c>
      <c r="L72" s="7" t="s">
        <v>8358</v>
      </c>
      <c r="M72" s="7" t="s">
        <v>8359</v>
      </c>
      <c r="N72" s="7" t="s">
        <v>8360</v>
      </c>
      <c r="O72" s="7"/>
      <c r="P72" s="7" t="s">
        <v>7690</v>
      </c>
      <c r="Q72" s="7" t="s">
        <v>7716</v>
      </c>
      <c r="R72" s="7" t="s">
        <v>7692</v>
      </c>
      <c r="S72" s="7" t="s">
        <v>8361</v>
      </c>
      <c r="T72" s="7"/>
      <c r="U72" s="7"/>
    </row>
    <row r="73" customFormat="false" ht="35.05" hidden="false" customHeight="false" outlineLevel="0" collapsed="false">
      <c r="A73" s="7" t="n">
        <v>19</v>
      </c>
      <c r="B73" s="7" t="s">
        <v>320</v>
      </c>
      <c r="C73" s="7" t="s">
        <v>7679</v>
      </c>
      <c r="D73" s="7" t="s">
        <v>8362</v>
      </c>
      <c r="E73" s="7" t="s">
        <v>8363</v>
      </c>
      <c r="F73" s="7" t="n">
        <v>2021</v>
      </c>
      <c r="G73" s="7" t="s">
        <v>8364</v>
      </c>
      <c r="H73" s="7" t="s">
        <v>8365</v>
      </c>
      <c r="I73" s="7" t="s">
        <v>8366</v>
      </c>
      <c r="J73" s="7" t="s">
        <v>7685</v>
      </c>
      <c r="K73" s="7" t="s">
        <v>8367</v>
      </c>
      <c r="L73" s="7" t="s">
        <v>8368</v>
      </c>
      <c r="M73" s="7" t="s">
        <v>8369</v>
      </c>
      <c r="N73" s="7" t="s">
        <v>8294</v>
      </c>
      <c r="O73" s="7"/>
      <c r="P73" s="7" t="s">
        <v>7690</v>
      </c>
      <c r="Q73" s="7" t="s">
        <v>7727</v>
      </c>
      <c r="R73" s="7" t="s">
        <v>7692</v>
      </c>
      <c r="S73" s="7" t="s">
        <v>8370</v>
      </c>
      <c r="T73" s="7" t="s">
        <v>8371</v>
      </c>
      <c r="U73" s="7" t="s">
        <v>8372</v>
      </c>
    </row>
    <row r="74" customFormat="false" ht="35.05" hidden="false" customHeight="false" outlineLevel="0" collapsed="false">
      <c r="A74" s="7" t="n">
        <v>19</v>
      </c>
      <c r="B74" s="7" t="s">
        <v>320</v>
      </c>
      <c r="C74" s="7" t="s">
        <v>7679</v>
      </c>
      <c r="D74" s="7" t="s">
        <v>8373</v>
      </c>
      <c r="E74" s="7" t="s">
        <v>8374</v>
      </c>
      <c r="F74" s="7" t="n">
        <v>2020</v>
      </c>
      <c r="G74" s="7" t="s">
        <v>7682</v>
      </c>
      <c r="H74" s="7" t="s">
        <v>8375</v>
      </c>
      <c r="I74" s="7" t="s">
        <v>8376</v>
      </c>
      <c r="J74" s="7" t="s">
        <v>8377</v>
      </c>
      <c r="K74" s="7" t="s">
        <v>8378</v>
      </c>
      <c r="L74" s="7" t="s">
        <v>8379</v>
      </c>
      <c r="M74" s="7" t="s">
        <v>8380</v>
      </c>
      <c r="N74" s="7" t="s">
        <v>8381</v>
      </c>
      <c r="O74" s="7"/>
      <c r="P74" s="7" t="s">
        <v>7690</v>
      </c>
      <c r="Q74" s="7" t="s">
        <v>7727</v>
      </c>
      <c r="R74" s="7" t="s">
        <v>7692</v>
      </c>
      <c r="S74" s="7" t="s">
        <v>8382</v>
      </c>
      <c r="T74" s="7" t="s">
        <v>8383</v>
      </c>
      <c r="U74" s="7"/>
    </row>
    <row r="75" customFormat="false" ht="35.05" hidden="false" customHeight="false" outlineLevel="0" collapsed="false">
      <c r="A75" s="7" t="n">
        <v>18</v>
      </c>
      <c r="B75" s="7" t="s">
        <v>308</v>
      </c>
      <c r="C75" s="7" t="s">
        <v>7705</v>
      </c>
      <c r="D75" s="7" t="s">
        <v>8384</v>
      </c>
      <c r="E75" s="7" t="s">
        <v>8385</v>
      </c>
      <c r="F75" s="7" t="n">
        <v>2008</v>
      </c>
      <c r="G75" s="7" t="s">
        <v>7792</v>
      </c>
      <c r="H75" s="7" t="s">
        <v>8386</v>
      </c>
      <c r="I75" s="7" t="s">
        <v>8387</v>
      </c>
      <c r="J75" s="7" t="s">
        <v>8175</v>
      </c>
      <c r="K75" s="7" t="s">
        <v>8388</v>
      </c>
      <c r="L75" s="7" t="s">
        <v>8389</v>
      </c>
      <c r="M75" s="7" t="s">
        <v>8390</v>
      </c>
      <c r="N75" s="7" t="s">
        <v>7715</v>
      </c>
      <c r="O75" s="7"/>
      <c r="P75" s="7" t="s">
        <v>7690</v>
      </c>
      <c r="Q75" s="7" t="s">
        <v>7727</v>
      </c>
      <c r="R75" s="7" t="s">
        <v>7692</v>
      </c>
      <c r="S75" s="7" t="s">
        <v>8391</v>
      </c>
      <c r="T75" s="7"/>
      <c r="U75" s="7" t="s">
        <v>8392</v>
      </c>
    </row>
    <row r="76" customFormat="false" ht="57.45" hidden="false" customHeight="false" outlineLevel="0" collapsed="false">
      <c r="A76" s="7" t="n">
        <v>18</v>
      </c>
      <c r="B76" s="7" t="s">
        <v>308</v>
      </c>
      <c r="C76" s="7" t="s">
        <v>7705</v>
      </c>
      <c r="D76" s="7" t="s">
        <v>8393</v>
      </c>
      <c r="E76" s="7" t="s">
        <v>8394</v>
      </c>
      <c r="F76" s="7" t="n">
        <v>2013</v>
      </c>
      <c r="G76" s="7" t="s">
        <v>8395</v>
      </c>
      <c r="H76" s="7" t="s">
        <v>8396</v>
      </c>
      <c r="I76" s="7" t="s">
        <v>8397</v>
      </c>
      <c r="J76" s="7" t="s">
        <v>7711</v>
      </c>
      <c r="K76" s="7" t="s">
        <v>8398</v>
      </c>
      <c r="L76" s="7" t="s">
        <v>8399</v>
      </c>
      <c r="M76" s="7" t="s">
        <v>8400</v>
      </c>
      <c r="N76" s="7" t="s">
        <v>8401</v>
      </c>
      <c r="O76" s="7"/>
      <c r="P76" s="7" t="s">
        <v>7690</v>
      </c>
      <c r="Q76" s="7" t="s">
        <v>8402</v>
      </c>
      <c r="R76" s="7" t="s">
        <v>7692</v>
      </c>
      <c r="S76" s="7" t="s">
        <v>8403</v>
      </c>
      <c r="T76" s="7"/>
      <c r="U76" s="7" t="s">
        <v>8404</v>
      </c>
    </row>
    <row r="77" customFormat="false" ht="57.45" hidden="false" customHeight="false" outlineLevel="0" collapsed="false">
      <c r="A77" s="7" t="n">
        <v>18</v>
      </c>
      <c r="B77" s="7" t="s">
        <v>308</v>
      </c>
      <c r="C77" s="7" t="s">
        <v>7679</v>
      </c>
      <c r="D77" s="7" t="s">
        <v>8405</v>
      </c>
      <c r="E77" s="7" t="s">
        <v>8406</v>
      </c>
      <c r="F77" s="7" t="n">
        <v>2017</v>
      </c>
      <c r="G77" s="7" t="s">
        <v>7781</v>
      </c>
      <c r="H77" s="7" t="s">
        <v>8407</v>
      </c>
      <c r="I77" s="7" t="s">
        <v>8408</v>
      </c>
      <c r="J77" s="7" t="s">
        <v>8409</v>
      </c>
      <c r="K77" s="7" t="s">
        <v>8410</v>
      </c>
      <c r="L77" s="7" t="s">
        <v>8411</v>
      </c>
      <c r="M77" s="7" t="s">
        <v>8412</v>
      </c>
      <c r="N77" s="7" t="s">
        <v>8413</v>
      </c>
      <c r="O77" s="7"/>
      <c r="P77" s="7" t="s">
        <v>7690</v>
      </c>
      <c r="Q77" s="7" t="s">
        <v>7797</v>
      </c>
      <c r="R77" s="7" t="s">
        <v>7692</v>
      </c>
      <c r="S77" s="7" t="s">
        <v>8414</v>
      </c>
      <c r="T77" s="7"/>
      <c r="U77" s="7"/>
    </row>
    <row r="78" customFormat="false" ht="91" hidden="false" customHeight="false" outlineLevel="0" collapsed="false">
      <c r="A78" s="7" t="n">
        <v>18</v>
      </c>
      <c r="B78" s="7" t="s">
        <v>308</v>
      </c>
      <c r="C78" s="7" t="s">
        <v>7679</v>
      </c>
      <c r="D78" s="7" t="s">
        <v>8415</v>
      </c>
      <c r="E78" s="7" t="s">
        <v>8416</v>
      </c>
      <c r="F78" s="7" t="n">
        <v>2019</v>
      </c>
      <c r="G78" s="7" t="s">
        <v>8417</v>
      </c>
      <c r="H78" s="7" t="s">
        <v>8418</v>
      </c>
      <c r="I78" s="7" t="s">
        <v>8419</v>
      </c>
      <c r="J78" s="7" t="s">
        <v>7870</v>
      </c>
      <c r="K78" s="7" t="s">
        <v>8420</v>
      </c>
      <c r="L78" s="7" t="s">
        <v>8421</v>
      </c>
      <c r="M78" s="7" t="s">
        <v>8422</v>
      </c>
      <c r="N78" s="7" t="s">
        <v>8423</v>
      </c>
      <c r="O78" s="7"/>
      <c r="P78" s="7" t="s">
        <v>7690</v>
      </c>
      <c r="Q78" s="7" t="s">
        <v>7797</v>
      </c>
      <c r="R78" s="7" t="s">
        <v>7692</v>
      </c>
      <c r="S78" s="7" t="s">
        <v>8424</v>
      </c>
      <c r="T78" s="7" t="s">
        <v>8425</v>
      </c>
      <c r="U78" s="7"/>
    </row>
    <row r="79" customFormat="false" ht="46.25" hidden="false" customHeight="false" outlineLevel="0" collapsed="false">
      <c r="A79" s="7" t="n">
        <v>18</v>
      </c>
      <c r="B79" s="7" t="s">
        <v>308</v>
      </c>
      <c r="C79" s="7" t="s">
        <v>7679</v>
      </c>
      <c r="D79" s="7" t="s">
        <v>8426</v>
      </c>
      <c r="E79" s="7" t="s">
        <v>8427</v>
      </c>
      <c r="F79" s="7" t="n">
        <v>2007</v>
      </c>
      <c r="G79" s="7" t="s">
        <v>7682</v>
      </c>
      <c r="H79" s="7" t="s">
        <v>8428</v>
      </c>
      <c r="I79" s="7" t="s">
        <v>8429</v>
      </c>
      <c r="J79" s="7" t="s">
        <v>7685</v>
      </c>
      <c r="K79" s="7" t="s">
        <v>8430</v>
      </c>
      <c r="L79" s="7" t="s">
        <v>8431</v>
      </c>
      <c r="M79" s="7" t="s">
        <v>8432</v>
      </c>
      <c r="N79" s="7" t="s">
        <v>8433</v>
      </c>
      <c r="O79" s="7"/>
      <c r="P79" s="7" t="s">
        <v>7981</v>
      </c>
      <c r="Q79" s="7" t="s">
        <v>7691</v>
      </c>
      <c r="R79" s="7" t="s">
        <v>7692</v>
      </c>
      <c r="S79" s="7" t="s">
        <v>8434</v>
      </c>
      <c r="T79" s="7"/>
      <c r="U79" s="7"/>
    </row>
    <row r="80" customFormat="false" ht="57.45" hidden="false" customHeight="false" outlineLevel="0" collapsed="false">
      <c r="A80" s="7" t="n">
        <v>18</v>
      </c>
      <c r="B80" s="7" t="s">
        <v>308</v>
      </c>
      <c r="C80" s="7" t="s">
        <v>7679</v>
      </c>
      <c r="D80" s="7" t="s">
        <v>8435</v>
      </c>
      <c r="E80" s="7" t="s">
        <v>7752</v>
      </c>
      <c r="F80" s="7" t="n">
        <v>2024</v>
      </c>
      <c r="G80" s="7" t="s">
        <v>7742</v>
      </c>
      <c r="H80" s="7" t="s">
        <v>7753</v>
      </c>
      <c r="I80" s="7" t="s">
        <v>8436</v>
      </c>
      <c r="J80" s="7" t="s">
        <v>7685</v>
      </c>
      <c r="K80" s="7" t="s">
        <v>8437</v>
      </c>
      <c r="L80" s="7" t="s">
        <v>8438</v>
      </c>
      <c r="M80" s="7" t="s">
        <v>7757</v>
      </c>
      <c r="N80" s="7" t="s">
        <v>7749</v>
      </c>
      <c r="O80" s="7"/>
      <c r="P80" s="7" t="s">
        <v>7690</v>
      </c>
      <c r="Q80" s="7" t="s">
        <v>7759</v>
      </c>
      <c r="R80" s="7" t="s">
        <v>7692</v>
      </c>
      <c r="S80" s="7" t="s">
        <v>7760</v>
      </c>
      <c r="T80" s="7"/>
      <c r="U80" s="7"/>
    </row>
    <row r="81" customFormat="false" ht="35.05" hidden="false" customHeight="false" outlineLevel="0" collapsed="false">
      <c r="A81" s="7" t="n">
        <v>108</v>
      </c>
      <c r="B81" s="7" t="s">
        <v>1275</v>
      </c>
      <c r="C81" s="7" t="s">
        <v>7705</v>
      </c>
      <c r="D81" s="7" t="s">
        <v>8439</v>
      </c>
      <c r="E81" s="7" t="s">
        <v>8440</v>
      </c>
      <c r="F81" s="7" t="n">
        <v>2011</v>
      </c>
      <c r="G81" s="7" t="s">
        <v>7792</v>
      </c>
      <c r="H81" s="7" t="s">
        <v>7793</v>
      </c>
      <c r="I81" s="7" t="s">
        <v>8441</v>
      </c>
      <c r="J81" s="7" t="s">
        <v>7711</v>
      </c>
      <c r="K81" s="7" t="s">
        <v>8442</v>
      </c>
      <c r="L81" s="7" t="s">
        <v>8443</v>
      </c>
      <c r="M81" s="7" t="s">
        <v>7714</v>
      </c>
      <c r="N81" s="7" t="s">
        <v>8043</v>
      </c>
      <c r="O81" s="7"/>
      <c r="P81" s="7" t="s">
        <v>7690</v>
      </c>
      <c r="Q81" s="7" t="s">
        <v>7759</v>
      </c>
      <c r="R81" s="7" t="s">
        <v>7692</v>
      </c>
      <c r="S81" s="7" t="s">
        <v>8444</v>
      </c>
      <c r="T81" s="7"/>
      <c r="U81" s="7" t="s">
        <v>8445</v>
      </c>
    </row>
    <row r="82" customFormat="false" ht="35.05" hidden="false" customHeight="false" outlineLevel="0" collapsed="false">
      <c r="A82" s="7" t="n">
        <v>108</v>
      </c>
      <c r="B82" s="7" t="s">
        <v>1275</v>
      </c>
      <c r="C82" s="7" t="s">
        <v>7679</v>
      </c>
      <c r="D82" s="7" t="s">
        <v>8446</v>
      </c>
      <c r="E82" s="7" t="s">
        <v>8447</v>
      </c>
      <c r="F82" s="7" t="n">
        <v>2022</v>
      </c>
      <c r="G82" s="7" t="s">
        <v>8448</v>
      </c>
      <c r="H82" s="7" t="s">
        <v>8449</v>
      </c>
      <c r="I82" s="7" t="s">
        <v>8450</v>
      </c>
      <c r="J82" s="7" t="s">
        <v>7685</v>
      </c>
      <c r="K82" s="7" t="s">
        <v>8451</v>
      </c>
      <c r="L82" s="7" t="s">
        <v>8452</v>
      </c>
      <c r="M82" s="7" t="s">
        <v>8453</v>
      </c>
      <c r="N82" s="7" t="s">
        <v>8454</v>
      </c>
      <c r="O82" s="7"/>
      <c r="P82" s="7" t="s">
        <v>7690</v>
      </c>
      <c r="Q82" s="7" t="s">
        <v>7716</v>
      </c>
      <c r="R82" s="7" t="s">
        <v>7692</v>
      </c>
      <c r="S82" s="7" t="s">
        <v>8455</v>
      </c>
      <c r="T82" s="7"/>
      <c r="U82" s="7" t="s">
        <v>8456</v>
      </c>
    </row>
    <row r="83" customFormat="false" ht="46.25" hidden="false" customHeight="false" outlineLevel="0" collapsed="false">
      <c r="A83" s="7" t="n">
        <v>108</v>
      </c>
      <c r="B83" s="7" t="s">
        <v>1275</v>
      </c>
      <c r="C83" s="7" t="s">
        <v>7679</v>
      </c>
      <c r="D83" s="7" t="s">
        <v>8457</v>
      </c>
      <c r="E83" s="7" t="s">
        <v>8458</v>
      </c>
      <c r="F83" s="7" t="n">
        <v>2025</v>
      </c>
      <c r="G83" s="7" t="s">
        <v>7781</v>
      </c>
      <c r="H83" s="7" t="s">
        <v>8459</v>
      </c>
      <c r="I83" s="7" t="s">
        <v>8460</v>
      </c>
      <c r="J83" s="7" t="s">
        <v>7685</v>
      </c>
      <c r="K83" s="7" t="s">
        <v>8461</v>
      </c>
      <c r="L83" s="7" t="s">
        <v>8462</v>
      </c>
      <c r="M83" s="7" t="s">
        <v>8463</v>
      </c>
      <c r="N83" s="7" t="s">
        <v>8464</v>
      </c>
      <c r="O83" s="7"/>
      <c r="P83" s="7" t="s">
        <v>7690</v>
      </c>
      <c r="Q83" s="7" t="s">
        <v>8465</v>
      </c>
      <c r="R83" s="7" t="s">
        <v>7692</v>
      </c>
      <c r="S83" s="7" t="s">
        <v>8466</v>
      </c>
      <c r="T83" s="7"/>
      <c r="U83" s="7"/>
    </row>
    <row r="84" customFormat="false" ht="35.05" hidden="false" customHeight="false" outlineLevel="0" collapsed="false">
      <c r="A84" s="7" t="n">
        <v>109</v>
      </c>
      <c r="B84" s="7" t="s">
        <v>1287</v>
      </c>
      <c r="C84" s="7" t="s">
        <v>7679</v>
      </c>
      <c r="D84" s="7" t="s">
        <v>8467</v>
      </c>
      <c r="E84" s="7" t="s">
        <v>8468</v>
      </c>
      <c r="F84" s="7" t="n">
        <v>2023</v>
      </c>
      <c r="G84" s="7" t="s">
        <v>7781</v>
      </c>
      <c r="H84" s="7" t="s">
        <v>8469</v>
      </c>
      <c r="I84" s="7" t="s">
        <v>8470</v>
      </c>
      <c r="J84" s="7" t="s">
        <v>7699</v>
      </c>
      <c r="K84" s="7" t="s">
        <v>8471</v>
      </c>
      <c r="L84" s="7" t="s">
        <v>8472</v>
      </c>
      <c r="M84" s="7" t="s">
        <v>8473</v>
      </c>
      <c r="N84" s="7" t="s">
        <v>8474</v>
      </c>
      <c r="O84" s="7"/>
      <c r="P84" s="7" t="s">
        <v>7690</v>
      </c>
      <c r="Q84" s="7" t="s">
        <v>7759</v>
      </c>
      <c r="R84" s="7" t="s">
        <v>7692</v>
      </c>
      <c r="S84" s="7" t="s">
        <v>8475</v>
      </c>
      <c r="T84" s="7"/>
      <c r="U84" s="7" t="s">
        <v>8476</v>
      </c>
    </row>
    <row r="85" customFormat="false" ht="46.25" hidden="false" customHeight="false" outlineLevel="0" collapsed="false">
      <c r="A85" s="7" t="n">
        <v>110</v>
      </c>
      <c r="B85" s="7" t="s">
        <v>1300</v>
      </c>
      <c r="C85" s="7" t="s">
        <v>7705</v>
      </c>
      <c r="D85" s="7" t="s">
        <v>8477</v>
      </c>
      <c r="E85" s="7" t="s">
        <v>8478</v>
      </c>
      <c r="F85" s="7" t="n">
        <v>2012</v>
      </c>
      <c r="G85" s="7" t="s">
        <v>7792</v>
      </c>
      <c r="H85" s="7" t="s">
        <v>7793</v>
      </c>
      <c r="I85" s="7" t="s">
        <v>8479</v>
      </c>
      <c r="J85" s="7" t="s">
        <v>7711</v>
      </c>
      <c r="K85" s="7" t="s">
        <v>8480</v>
      </c>
      <c r="L85" s="7" t="s">
        <v>8481</v>
      </c>
      <c r="M85" s="7" t="s">
        <v>7714</v>
      </c>
      <c r="N85" s="7" t="s">
        <v>8043</v>
      </c>
      <c r="O85" s="7"/>
      <c r="P85" s="7" t="s">
        <v>7690</v>
      </c>
      <c r="Q85" s="7" t="s">
        <v>8482</v>
      </c>
      <c r="R85" s="7" t="s">
        <v>7692</v>
      </c>
      <c r="S85" s="7" t="s">
        <v>8483</v>
      </c>
      <c r="T85" s="7"/>
      <c r="U85" s="7" t="s">
        <v>8484</v>
      </c>
    </row>
    <row r="86" customFormat="false" ht="35.05" hidden="false" customHeight="false" outlineLevel="0" collapsed="false">
      <c r="A86" s="7" t="n">
        <v>110</v>
      </c>
      <c r="B86" s="7" t="s">
        <v>1300</v>
      </c>
      <c r="C86" s="7" t="s">
        <v>7679</v>
      </c>
      <c r="D86" s="7" t="s">
        <v>8485</v>
      </c>
      <c r="E86" s="7" t="s">
        <v>8486</v>
      </c>
      <c r="F86" s="7" t="n">
        <v>2018</v>
      </c>
      <c r="G86" s="7" t="s">
        <v>8448</v>
      </c>
      <c r="H86" s="7" t="s">
        <v>8487</v>
      </c>
      <c r="I86" s="7" t="s">
        <v>8488</v>
      </c>
      <c r="J86" s="7" t="s">
        <v>7315</v>
      </c>
      <c r="K86" s="7" t="s">
        <v>8489</v>
      </c>
      <c r="L86" s="7" t="s">
        <v>8490</v>
      </c>
      <c r="M86" s="7" t="s">
        <v>8491</v>
      </c>
      <c r="N86" s="7" t="s">
        <v>7862</v>
      </c>
      <c r="O86" s="7"/>
      <c r="P86" s="7" t="s">
        <v>7690</v>
      </c>
      <c r="Q86" s="7" t="s">
        <v>7716</v>
      </c>
      <c r="R86" s="7" t="s">
        <v>7692</v>
      </c>
      <c r="S86" s="7" t="s">
        <v>8492</v>
      </c>
      <c r="T86" s="7"/>
      <c r="U86" s="7" t="s">
        <v>8493</v>
      </c>
    </row>
    <row r="87" customFormat="false" ht="35.05" hidden="false" customHeight="false" outlineLevel="0" collapsed="false">
      <c r="A87" s="7" t="n">
        <v>110</v>
      </c>
      <c r="B87" s="7" t="s">
        <v>1300</v>
      </c>
      <c r="C87" s="7" t="s">
        <v>7679</v>
      </c>
      <c r="D87" s="7" t="s">
        <v>8494</v>
      </c>
      <c r="E87" s="7" t="s">
        <v>8495</v>
      </c>
      <c r="F87" s="7" t="n">
        <v>2024</v>
      </c>
      <c r="G87" s="7" t="s">
        <v>8448</v>
      </c>
      <c r="H87" s="7" t="s">
        <v>8496</v>
      </c>
      <c r="I87" s="7" t="s">
        <v>8497</v>
      </c>
      <c r="J87" s="7" t="s">
        <v>7685</v>
      </c>
      <c r="K87" s="7" t="s">
        <v>8498</v>
      </c>
      <c r="L87" s="7" t="s">
        <v>8499</v>
      </c>
      <c r="M87" s="7" t="s">
        <v>8359</v>
      </c>
      <c r="N87" s="7" t="s">
        <v>8500</v>
      </c>
      <c r="O87" s="7"/>
      <c r="P87" s="7" t="s">
        <v>7690</v>
      </c>
      <c r="Q87" s="7" t="s">
        <v>7716</v>
      </c>
      <c r="R87" s="7" t="s">
        <v>7692</v>
      </c>
      <c r="S87" s="7" t="s">
        <v>8501</v>
      </c>
      <c r="T87" s="7"/>
      <c r="U87" s="7" t="s">
        <v>8502</v>
      </c>
    </row>
    <row r="88" customFormat="false" ht="35.05" hidden="false" customHeight="false" outlineLevel="0" collapsed="false">
      <c r="A88" s="7" t="n">
        <v>111</v>
      </c>
      <c r="B88" s="7" t="s">
        <v>1312</v>
      </c>
      <c r="C88" s="7" t="s">
        <v>7705</v>
      </c>
      <c r="D88" s="7" t="s">
        <v>8503</v>
      </c>
      <c r="E88" s="7" t="s">
        <v>8504</v>
      </c>
      <c r="F88" s="7" t="n">
        <v>2013</v>
      </c>
      <c r="G88" s="7" t="s">
        <v>7792</v>
      </c>
      <c r="H88" s="7" t="s">
        <v>7793</v>
      </c>
      <c r="I88" s="7" t="s">
        <v>8505</v>
      </c>
      <c r="J88" s="7" t="s">
        <v>7711</v>
      </c>
      <c r="K88" s="7" t="s">
        <v>8506</v>
      </c>
      <c r="L88" s="7" t="s">
        <v>8507</v>
      </c>
      <c r="M88" s="7" t="s">
        <v>7714</v>
      </c>
      <c r="N88" s="7" t="s">
        <v>8508</v>
      </c>
      <c r="O88" s="7"/>
      <c r="P88" s="7" t="s">
        <v>7690</v>
      </c>
      <c r="Q88" s="7" t="s">
        <v>8509</v>
      </c>
      <c r="R88" s="7" t="s">
        <v>7692</v>
      </c>
      <c r="S88" s="7" t="s">
        <v>8510</v>
      </c>
      <c r="T88" s="7"/>
      <c r="U88" s="7" t="s">
        <v>8511</v>
      </c>
    </row>
    <row r="89" customFormat="false" ht="46.25" hidden="false" customHeight="false" outlineLevel="0" collapsed="false">
      <c r="A89" s="7" t="n">
        <v>111</v>
      </c>
      <c r="B89" s="7" t="s">
        <v>1312</v>
      </c>
      <c r="C89" s="7" t="s">
        <v>7679</v>
      </c>
      <c r="D89" s="7" t="s">
        <v>8512</v>
      </c>
      <c r="E89" s="7" t="s">
        <v>8513</v>
      </c>
      <c r="F89" s="7" t="n">
        <v>2024</v>
      </c>
      <c r="G89" s="7" t="s">
        <v>7781</v>
      </c>
      <c r="H89" s="7" t="s">
        <v>8514</v>
      </c>
      <c r="I89" s="7" t="s">
        <v>8515</v>
      </c>
      <c r="J89" s="7" t="s">
        <v>8516</v>
      </c>
      <c r="K89" s="7" t="s">
        <v>8517</v>
      </c>
      <c r="L89" s="7" t="s">
        <v>8518</v>
      </c>
      <c r="M89" s="7" t="s">
        <v>8519</v>
      </c>
      <c r="N89" s="7" t="s">
        <v>8520</v>
      </c>
      <c r="O89" s="7"/>
      <c r="P89" s="7" t="s">
        <v>7690</v>
      </c>
      <c r="Q89" s="7" t="s">
        <v>7759</v>
      </c>
      <c r="R89" s="7" t="s">
        <v>7692</v>
      </c>
      <c r="S89" s="7" t="s">
        <v>8521</v>
      </c>
      <c r="T89" s="7"/>
      <c r="U89" s="7"/>
    </row>
    <row r="90" customFormat="false" ht="35.05" hidden="false" customHeight="false" outlineLevel="0" collapsed="false">
      <c r="A90" s="7" t="n">
        <v>25</v>
      </c>
      <c r="B90" s="7" t="s">
        <v>394</v>
      </c>
      <c r="C90" s="7" t="s">
        <v>7679</v>
      </c>
      <c r="D90" s="7" t="s">
        <v>8522</v>
      </c>
      <c r="E90" s="7" t="s">
        <v>8523</v>
      </c>
      <c r="F90" s="7" t="n">
        <v>2024</v>
      </c>
      <c r="G90" s="7" t="s">
        <v>7781</v>
      </c>
      <c r="H90" s="7" t="s">
        <v>8524</v>
      </c>
      <c r="I90" s="7" t="s">
        <v>8525</v>
      </c>
      <c r="J90" s="7" t="s">
        <v>8185</v>
      </c>
      <c r="K90" s="7" t="s">
        <v>8526</v>
      </c>
      <c r="L90" s="7" t="s">
        <v>8527</v>
      </c>
      <c r="M90" s="7" t="s">
        <v>8519</v>
      </c>
      <c r="N90" s="7" t="s">
        <v>8528</v>
      </c>
      <c r="O90" s="7"/>
      <c r="P90" s="7" t="s">
        <v>7690</v>
      </c>
      <c r="Q90" s="7" t="s">
        <v>7727</v>
      </c>
      <c r="R90" s="7" t="s">
        <v>7692</v>
      </c>
      <c r="S90" s="7" t="s">
        <v>8529</v>
      </c>
      <c r="T90" s="7"/>
      <c r="U90" s="7" t="s">
        <v>8530</v>
      </c>
    </row>
    <row r="91" customFormat="false" ht="35.05" hidden="false" customHeight="false" outlineLevel="0" collapsed="false">
      <c r="A91" s="7" t="n">
        <v>25</v>
      </c>
      <c r="B91" s="7" t="s">
        <v>394</v>
      </c>
      <c r="C91" s="7" t="s">
        <v>7705</v>
      </c>
      <c r="D91" s="7" t="s">
        <v>8531</v>
      </c>
      <c r="E91" s="7" t="s">
        <v>8532</v>
      </c>
      <c r="F91" s="7" t="n">
        <v>2026</v>
      </c>
      <c r="G91" s="7" t="s">
        <v>7792</v>
      </c>
      <c r="H91" s="7" t="s">
        <v>7793</v>
      </c>
      <c r="I91" s="7" t="s">
        <v>8533</v>
      </c>
      <c r="J91" s="7" t="s">
        <v>7711</v>
      </c>
      <c r="K91" s="7" t="s">
        <v>8534</v>
      </c>
      <c r="L91" s="7" t="s">
        <v>8535</v>
      </c>
      <c r="M91" s="7" t="s">
        <v>7714</v>
      </c>
      <c r="N91" s="7" t="s">
        <v>8043</v>
      </c>
      <c r="O91" s="7"/>
      <c r="P91" s="7" t="s">
        <v>7690</v>
      </c>
      <c r="Q91" s="7" t="s">
        <v>7759</v>
      </c>
      <c r="R91" s="7" t="s">
        <v>7692</v>
      </c>
      <c r="S91" s="7" t="s">
        <v>8536</v>
      </c>
      <c r="T91" s="7"/>
      <c r="U91" s="7"/>
    </row>
    <row r="92" customFormat="false" ht="46.25" hidden="false" customHeight="false" outlineLevel="0" collapsed="false">
      <c r="A92" s="7" t="n">
        <v>22</v>
      </c>
      <c r="B92" s="7" t="s">
        <v>356</v>
      </c>
      <c r="C92" s="7" t="s">
        <v>7705</v>
      </c>
      <c r="D92" s="7" t="s">
        <v>8537</v>
      </c>
      <c r="E92" s="7" t="s">
        <v>8538</v>
      </c>
      <c r="F92" s="7" t="n">
        <v>2012</v>
      </c>
      <c r="G92" s="7" t="s">
        <v>7792</v>
      </c>
      <c r="H92" s="7" t="s">
        <v>8539</v>
      </c>
      <c r="I92" s="7" t="s">
        <v>8540</v>
      </c>
      <c r="J92" s="7" t="s">
        <v>7711</v>
      </c>
      <c r="K92" s="7" t="s">
        <v>8541</v>
      </c>
      <c r="L92" s="7" t="s">
        <v>8542</v>
      </c>
      <c r="M92" s="7" t="s">
        <v>7714</v>
      </c>
      <c r="N92" s="7" t="s">
        <v>8543</v>
      </c>
      <c r="O92" s="7"/>
      <c r="P92" s="7" t="s">
        <v>7690</v>
      </c>
      <c r="Q92" s="7" t="s">
        <v>7716</v>
      </c>
      <c r="R92" s="7" t="s">
        <v>7692</v>
      </c>
      <c r="S92" s="7" t="s">
        <v>8544</v>
      </c>
      <c r="T92" s="7"/>
      <c r="U92" s="7"/>
    </row>
    <row r="93" customFormat="false" ht="46.25" hidden="false" customHeight="false" outlineLevel="0" collapsed="false">
      <c r="A93" s="7" t="n">
        <v>22</v>
      </c>
      <c r="B93" s="7" t="s">
        <v>356</v>
      </c>
      <c r="C93" s="7" t="s">
        <v>7679</v>
      </c>
      <c r="D93" s="7" t="s">
        <v>8545</v>
      </c>
      <c r="E93" s="7" t="s">
        <v>8546</v>
      </c>
      <c r="F93" s="7" t="n">
        <v>2021</v>
      </c>
      <c r="G93" s="7" t="s">
        <v>7781</v>
      </c>
      <c r="H93" s="7" t="s">
        <v>8547</v>
      </c>
      <c r="I93" s="7" t="s">
        <v>8548</v>
      </c>
      <c r="J93" s="7" t="s">
        <v>7685</v>
      </c>
      <c r="K93" s="7" t="s">
        <v>8549</v>
      </c>
      <c r="L93" s="7" t="s">
        <v>8550</v>
      </c>
      <c r="M93" s="7" t="s">
        <v>8551</v>
      </c>
      <c r="N93" s="7" t="s">
        <v>8552</v>
      </c>
      <c r="O93" s="7"/>
      <c r="P93" s="7" t="s">
        <v>7690</v>
      </c>
      <c r="Q93" s="7" t="s">
        <v>7716</v>
      </c>
      <c r="R93" s="7" t="s">
        <v>7692</v>
      </c>
      <c r="S93" s="7" t="s">
        <v>8553</v>
      </c>
      <c r="T93" s="7"/>
      <c r="U93" s="7"/>
    </row>
    <row r="94" customFormat="false" ht="46.25" hidden="false" customHeight="false" outlineLevel="0" collapsed="false">
      <c r="A94" s="7" t="n">
        <v>22</v>
      </c>
      <c r="B94" s="7" t="s">
        <v>356</v>
      </c>
      <c r="C94" s="7" t="s">
        <v>7679</v>
      </c>
      <c r="D94" s="7" t="s">
        <v>8554</v>
      </c>
      <c r="E94" s="7" t="s">
        <v>8555</v>
      </c>
      <c r="F94" s="7" t="n">
        <v>2021</v>
      </c>
      <c r="G94" s="7" t="s">
        <v>7781</v>
      </c>
      <c r="H94" s="7" t="s">
        <v>8556</v>
      </c>
      <c r="I94" s="7" t="s">
        <v>8557</v>
      </c>
      <c r="J94" s="7" t="s">
        <v>7685</v>
      </c>
      <c r="K94" s="7" t="s">
        <v>8558</v>
      </c>
      <c r="L94" s="7" t="s">
        <v>8559</v>
      </c>
      <c r="M94" s="7" t="s">
        <v>8560</v>
      </c>
      <c r="N94" s="7" t="s">
        <v>8561</v>
      </c>
      <c r="O94" s="7"/>
      <c r="P94" s="7" t="s">
        <v>7690</v>
      </c>
      <c r="Q94" s="7" t="s">
        <v>7716</v>
      </c>
      <c r="R94" s="7" t="s">
        <v>7692</v>
      </c>
      <c r="S94" s="7" t="s">
        <v>8562</v>
      </c>
      <c r="T94" s="7"/>
      <c r="U94" s="7" t="s">
        <v>8563</v>
      </c>
    </row>
    <row r="95" customFormat="false" ht="46.25" hidden="false" customHeight="false" outlineLevel="0" collapsed="false">
      <c r="A95" s="7" t="n">
        <v>22</v>
      </c>
      <c r="B95" s="7" t="s">
        <v>356</v>
      </c>
      <c r="C95" s="7" t="s">
        <v>7679</v>
      </c>
      <c r="D95" s="7" t="s">
        <v>8564</v>
      </c>
      <c r="E95" s="7" t="s">
        <v>8565</v>
      </c>
      <c r="F95" s="7" t="n">
        <v>2021</v>
      </c>
      <c r="G95" s="7" t="s">
        <v>8566</v>
      </c>
      <c r="H95" s="7" t="s">
        <v>8567</v>
      </c>
      <c r="I95" s="7" t="s">
        <v>8568</v>
      </c>
      <c r="J95" s="7" t="s">
        <v>8569</v>
      </c>
      <c r="K95" s="7" t="s">
        <v>8570</v>
      </c>
      <c r="L95" s="7" t="s">
        <v>8571</v>
      </c>
      <c r="M95" s="7" t="s">
        <v>8572</v>
      </c>
      <c r="N95" s="7" t="s">
        <v>8573</v>
      </c>
      <c r="O95" s="7"/>
      <c r="P95" s="7" t="s">
        <v>7690</v>
      </c>
      <c r="Q95" s="7" t="s">
        <v>7716</v>
      </c>
      <c r="R95" s="7" t="s">
        <v>7692</v>
      </c>
      <c r="S95" s="7" t="s">
        <v>8574</v>
      </c>
      <c r="T95" s="7"/>
      <c r="U95" s="7"/>
    </row>
    <row r="96" customFormat="false" ht="46.25" hidden="false" customHeight="false" outlineLevel="0" collapsed="false">
      <c r="A96" s="7" t="n">
        <v>22</v>
      </c>
      <c r="B96" s="7" t="s">
        <v>356</v>
      </c>
      <c r="C96" s="7" t="s">
        <v>7679</v>
      </c>
      <c r="D96" s="7" t="s">
        <v>8575</v>
      </c>
      <c r="E96" s="7" t="s">
        <v>8576</v>
      </c>
      <c r="F96" s="7" t="n">
        <v>2026</v>
      </c>
      <c r="G96" s="7" t="s">
        <v>8577</v>
      </c>
      <c r="H96" s="7" t="s">
        <v>8243</v>
      </c>
      <c r="I96" s="7" t="s">
        <v>8578</v>
      </c>
      <c r="J96" s="7" t="s">
        <v>8579</v>
      </c>
      <c r="K96" s="7" t="s">
        <v>8580</v>
      </c>
      <c r="L96" s="7" t="s">
        <v>8581</v>
      </c>
      <c r="M96" s="7" t="s">
        <v>8582</v>
      </c>
      <c r="N96" s="7" t="s">
        <v>8583</v>
      </c>
      <c r="O96" s="7"/>
      <c r="P96" s="7" t="s">
        <v>7690</v>
      </c>
      <c r="Q96" s="7" t="s">
        <v>7716</v>
      </c>
      <c r="R96" s="7" t="s">
        <v>7692</v>
      </c>
      <c r="S96" s="7" t="s">
        <v>8584</v>
      </c>
      <c r="T96" s="7"/>
      <c r="U96" s="7"/>
    </row>
    <row r="97" customFormat="false" ht="35.05" hidden="false" customHeight="false" outlineLevel="0" collapsed="false">
      <c r="A97" s="7" t="n">
        <v>22</v>
      </c>
      <c r="B97" s="7" t="s">
        <v>356</v>
      </c>
      <c r="C97" s="7" t="s">
        <v>7679</v>
      </c>
      <c r="D97" s="7" t="s">
        <v>8585</v>
      </c>
      <c r="E97" s="7" t="s">
        <v>8586</v>
      </c>
      <c r="F97" s="7" t="n">
        <v>2020</v>
      </c>
      <c r="G97" s="7" t="s">
        <v>7961</v>
      </c>
      <c r="H97" s="7" t="s">
        <v>8587</v>
      </c>
      <c r="I97" s="7" t="s">
        <v>8588</v>
      </c>
      <c r="J97" s="7" t="s">
        <v>7685</v>
      </c>
      <c r="K97" s="7" t="s">
        <v>8589</v>
      </c>
      <c r="L97" s="7" t="s">
        <v>8590</v>
      </c>
      <c r="M97" s="7" t="s">
        <v>8591</v>
      </c>
      <c r="N97" s="7" t="s">
        <v>8592</v>
      </c>
      <c r="O97" s="7"/>
      <c r="P97" s="7" t="s">
        <v>7981</v>
      </c>
      <c r="Q97" s="7" t="s">
        <v>7727</v>
      </c>
      <c r="R97" s="7" t="s">
        <v>7692</v>
      </c>
      <c r="S97" s="7" t="s">
        <v>8593</v>
      </c>
      <c r="T97" s="7"/>
      <c r="U97" s="7"/>
    </row>
    <row r="98" customFormat="false" ht="35.05" hidden="false" customHeight="false" outlineLevel="0" collapsed="false">
      <c r="A98" s="7" t="n">
        <v>23</v>
      </c>
      <c r="B98" s="7" t="s">
        <v>369</v>
      </c>
      <c r="C98" s="7" t="s">
        <v>7705</v>
      </c>
      <c r="D98" s="7" t="s">
        <v>8594</v>
      </c>
      <c r="E98" s="7" t="s">
        <v>8595</v>
      </c>
      <c r="F98" s="7" t="n">
        <v>2013</v>
      </c>
      <c r="G98" s="7" t="s">
        <v>7792</v>
      </c>
      <c r="H98" s="7" t="s">
        <v>7793</v>
      </c>
      <c r="I98" s="7" t="s">
        <v>8596</v>
      </c>
      <c r="J98" s="7" t="s">
        <v>7711</v>
      </c>
      <c r="K98" s="7" t="s">
        <v>8597</v>
      </c>
      <c r="L98" s="7" t="s">
        <v>8598</v>
      </c>
      <c r="M98" s="7" t="s">
        <v>7714</v>
      </c>
      <c r="N98" s="7" t="s">
        <v>8599</v>
      </c>
      <c r="O98" s="7"/>
      <c r="P98" s="7" t="s">
        <v>7690</v>
      </c>
      <c r="Q98" s="7" t="s">
        <v>7797</v>
      </c>
      <c r="R98" s="7" t="s">
        <v>7692</v>
      </c>
      <c r="S98" s="7" t="s">
        <v>8600</v>
      </c>
      <c r="T98" s="7"/>
      <c r="U98" s="7"/>
    </row>
    <row r="99" customFormat="false" ht="46.25" hidden="false" customHeight="false" outlineLevel="0" collapsed="false">
      <c r="A99" s="7" t="n">
        <v>23</v>
      </c>
      <c r="B99" s="7" t="s">
        <v>369</v>
      </c>
      <c r="C99" s="7" t="s">
        <v>7679</v>
      </c>
      <c r="D99" s="7" t="s">
        <v>8601</v>
      </c>
      <c r="E99" s="7" t="s">
        <v>8602</v>
      </c>
      <c r="F99" s="7" t="n">
        <v>2023</v>
      </c>
      <c r="G99" s="7" t="s">
        <v>7781</v>
      </c>
      <c r="H99" s="7" t="s">
        <v>8603</v>
      </c>
      <c r="I99" s="7" t="s">
        <v>8604</v>
      </c>
      <c r="J99" s="7" t="s">
        <v>7685</v>
      </c>
      <c r="K99" s="7" t="s">
        <v>8605</v>
      </c>
      <c r="L99" s="7" t="s">
        <v>8606</v>
      </c>
      <c r="M99" s="7" t="s">
        <v>8607</v>
      </c>
      <c r="N99" s="7" t="s">
        <v>7749</v>
      </c>
      <c r="O99" s="7"/>
      <c r="P99" s="7" t="s">
        <v>7690</v>
      </c>
      <c r="Q99" s="7" t="s">
        <v>7797</v>
      </c>
      <c r="R99" s="7" t="s">
        <v>7692</v>
      </c>
      <c r="S99" s="7" t="s">
        <v>8608</v>
      </c>
      <c r="T99" s="7"/>
      <c r="U99" s="7" t="s">
        <v>8609</v>
      </c>
    </row>
    <row r="100" customFormat="false" ht="46.25" hidden="false" customHeight="false" outlineLevel="0" collapsed="false">
      <c r="A100" s="7" t="n">
        <v>23</v>
      </c>
      <c r="B100" s="7" t="s">
        <v>369</v>
      </c>
      <c r="C100" s="7" t="s">
        <v>7679</v>
      </c>
      <c r="D100" s="7" t="s">
        <v>8610</v>
      </c>
      <c r="E100" s="7" t="s">
        <v>8611</v>
      </c>
      <c r="F100" s="7" t="n">
        <v>2024</v>
      </c>
      <c r="G100" s="7" t="s">
        <v>8141</v>
      </c>
      <c r="H100" s="7" t="s">
        <v>8612</v>
      </c>
      <c r="I100" s="7" t="s">
        <v>8613</v>
      </c>
      <c r="J100" s="7" t="s">
        <v>8614</v>
      </c>
      <c r="K100" s="7" t="s">
        <v>8615</v>
      </c>
      <c r="L100" s="7" t="s">
        <v>8616</v>
      </c>
      <c r="M100" s="7" t="s">
        <v>8617</v>
      </c>
      <c r="N100" s="7" t="s">
        <v>8618</v>
      </c>
      <c r="O100" s="7"/>
      <c r="P100" s="7" t="s">
        <v>7690</v>
      </c>
      <c r="Q100" s="7" t="s">
        <v>7691</v>
      </c>
      <c r="R100" s="7" t="s">
        <v>7692</v>
      </c>
      <c r="S100" s="7" t="s">
        <v>8619</v>
      </c>
      <c r="T100" s="7" t="s">
        <v>8620</v>
      </c>
      <c r="U100" s="7"/>
    </row>
    <row r="101" customFormat="false" ht="35.05" hidden="false" customHeight="false" outlineLevel="0" collapsed="false">
      <c r="A101" s="7" t="n">
        <v>23</v>
      </c>
      <c r="B101" s="7" t="s">
        <v>369</v>
      </c>
      <c r="C101" s="7" t="s">
        <v>7679</v>
      </c>
      <c r="D101" s="7" t="s">
        <v>8621</v>
      </c>
      <c r="E101" s="7" t="s">
        <v>8622</v>
      </c>
      <c r="F101" s="7" t="n">
        <v>2021</v>
      </c>
      <c r="G101" s="7" t="s">
        <v>8623</v>
      </c>
      <c r="H101" s="7" t="s">
        <v>8624</v>
      </c>
      <c r="I101" s="7" t="s">
        <v>8625</v>
      </c>
      <c r="J101" s="7" t="s">
        <v>8626</v>
      </c>
      <c r="K101" s="7" t="s">
        <v>8627</v>
      </c>
      <c r="L101" s="7" t="s">
        <v>8628</v>
      </c>
      <c r="M101" s="7" t="s">
        <v>8629</v>
      </c>
      <c r="N101" s="7" t="s">
        <v>8630</v>
      </c>
      <c r="O101" s="7" t="s">
        <v>8631</v>
      </c>
      <c r="P101" s="7" t="s">
        <v>7690</v>
      </c>
      <c r="Q101" s="7" t="s">
        <v>7727</v>
      </c>
      <c r="R101" s="7" t="s">
        <v>7692</v>
      </c>
      <c r="S101" s="7" t="s">
        <v>8632</v>
      </c>
      <c r="T101" s="7"/>
      <c r="U101" s="7"/>
    </row>
    <row r="102" customFormat="false" ht="35.05" hidden="false" customHeight="false" outlineLevel="0" collapsed="false">
      <c r="A102" s="7" t="n">
        <v>24</v>
      </c>
      <c r="B102" s="7" t="s">
        <v>381</v>
      </c>
      <c r="C102" s="7" t="s">
        <v>7705</v>
      </c>
      <c r="D102" s="7" t="s">
        <v>8633</v>
      </c>
      <c r="E102" s="7" t="s">
        <v>8634</v>
      </c>
      <c r="F102" s="7" t="n">
        <v>2013</v>
      </c>
      <c r="G102" s="7" t="s">
        <v>7792</v>
      </c>
      <c r="H102" s="7" t="s">
        <v>7793</v>
      </c>
      <c r="I102" s="7" t="s">
        <v>8635</v>
      </c>
      <c r="J102" s="7" t="s">
        <v>7711</v>
      </c>
      <c r="K102" s="7" t="s">
        <v>8636</v>
      </c>
      <c r="L102" s="7" t="s">
        <v>8637</v>
      </c>
      <c r="M102" s="7" t="s">
        <v>7714</v>
      </c>
      <c r="N102" s="7" t="s">
        <v>8638</v>
      </c>
      <c r="O102" s="7"/>
      <c r="P102" s="7" t="s">
        <v>7690</v>
      </c>
      <c r="Q102" s="7" t="s">
        <v>7716</v>
      </c>
      <c r="R102" s="7" t="s">
        <v>7692</v>
      </c>
      <c r="S102" s="7" t="s">
        <v>8639</v>
      </c>
      <c r="T102" s="7"/>
      <c r="U102" s="7"/>
    </row>
    <row r="103" customFormat="false" ht="35.05" hidden="false" customHeight="false" outlineLevel="0" collapsed="false">
      <c r="A103" s="7" t="n">
        <v>24</v>
      </c>
      <c r="B103" s="7" t="s">
        <v>381</v>
      </c>
      <c r="C103" s="7" t="s">
        <v>7679</v>
      </c>
      <c r="D103" s="7" t="s">
        <v>8640</v>
      </c>
      <c r="E103" s="7" t="s">
        <v>8641</v>
      </c>
      <c r="F103" s="7" t="n">
        <v>2019</v>
      </c>
      <c r="G103" s="7" t="s">
        <v>7867</v>
      </c>
      <c r="H103" s="7" t="s">
        <v>8642</v>
      </c>
      <c r="I103" s="7" t="s">
        <v>8643</v>
      </c>
      <c r="J103" s="7" t="s">
        <v>7699</v>
      </c>
      <c r="K103" s="7" t="s">
        <v>8644</v>
      </c>
      <c r="L103" s="7" t="s">
        <v>8645</v>
      </c>
      <c r="M103" s="7" t="s">
        <v>8646</v>
      </c>
      <c r="N103" s="7" t="s">
        <v>8647</v>
      </c>
      <c r="O103" s="7"/>
      <c r="P103" s="7" t="s">
        <v>7690</v>
      </c>
      <c r="Q103" s="7" t="s">
        <v>7716</v>
      </c>
      <c r="R103" s="7" t="s">
        <v>7692</v>
      </c>
      <c r="S103" s="7" t="s">
        <v>8648</v>
      </c>
      <c r="T103" s="7"/>
      <c r="U103" s="7"/>
    </row>
    <row r="104" customFormat="false" ht="35.05" hidden="false" customHeight="false" outlineLevel="0" collapsed="false">
      <c r="A104" s="7" t="n">
        <v>24</v>
      </c>
      <c r="B104" s="7" t="s">
        <v>381</v>
      </c>
      <c r="C104" s="7" t="s">
        <v>7679</v>
      </c>
      <c r="D104" s="7" t="s">
        <v>8649</v>
      </c>
      <c r="E104" s="7" t="s">
        <v>8650</v>
      </c>
      <c r="F104" s="7" t="n">
        <v>2023</v>
      </c>
      <c r="G104" s="7" t="s">
        <v>7867</v>
      </c>
      <c r="H104" s="7" t="s">
        <v>8651</v>
      </c>
      <c r="I104" s="7" t="s">
        <v>8652</v>
      </c>
      <c r="J104" s="7" t="s">
        <v>7699</v>
      </c>
      <c r="K104" s="7" t="s">
        <v>8653</v>
      </c>
      <c r="L104" s="7" t="s">
        <v>8654</v>
      </c>
      <c r="M104" s="7" t="s">
        <v>8655</v>
      </c>
      <c r="N104" s="7" t="s">
        <v>8647</v>
      </c>
      <c r="O104" s="7"/>
      <c r="P104" s="7" t="s">
        <v>7690</v>
      </c>
      <c r="Q104" s="7" t="s">
        <v>7716</v>
      </c>
      <c r="R104" s="7" t="s">
        <v>7692</v>
      </c>
      <c r="S104" s="7" t="s">
        <v>8656</v>
      </c>
      <c r="T104" s="7"/>
      <c r="U104" s="7"/>
    </row>
    <row r="105" customFormat="false" ht="35.05" hidden="false" customHeight="false" outlineLevel="0" collapsed="false">
      <c r="A105" s="7" t="n">
        <v>24</v>
      </c>
      <c r="B105" s="7" t="s">
        <v>381</v>
      </c>
      <c r="C105" s="7" t="s">
        <v>7679</v>
      </c>
      <c r="D105" s="7" t="s">
        <v>8657</v>
      </c>
      <c r="E105" s="7" t="s">
        <v>8658</v>
      </c>
      <c r="F105" s="7" t="n">
        <v>2022</v>
      </c>
      <c r="G105" s="7" t="s">
        <v>7682</v>
      </c>
      <c r="H105" s="7" t="s">
        <v>8659</v>
      </c>
      <c r="I105" s="7" t="s">
        <v>8660</v>
      </c>
      <c r="J105" s="7" t="s">
        <v>7765</v>
      </c>
      <c r="K105" s="7" t="s">
        <v>8661</v>
      </c>
      <c r="L105" s="7" t="s">
        <v>8662</v>
      </c>
      <c r="M105" s="7" t="s">
        <v>8663</v>
      </c>
      <c r="N105" s="7" t="s">
        <v>8664</v>
      </c>
      <c r="O105" s="7"/>
      <c r="P105" s="7" t="s">
        <v>7690</v>
      </c>
      <c r="Q105" s="7" t="s">
        <v>7727</v>
      </c>
      <c r="R105" s="7" t="s">
        <v>7692</v>
      </c>
      <c r="S105" s="7" t="s">
        <v>8665</v>
      </c>
      <c r="T105" s="7"/>
      <c r="U105" s="7"/>
    </row>
    <row r="106" customFormat="false" ht="35.05" hidden="false" customHeight="false" outlineLevel="0" collapsed="false">
      <c r="A106" s="7" t="n">
        <v>24</v>
      </c>
      <c r="B106" s="7" t="s">
        <v>381</v>
      </c>
      <c r="C106" s="7" t="s">
        <v>7679</v>
      </c>
      <c r="D106" s="7" t="s">
        <v>8666</v>
      </c>
      <c r="E106" s="7" t="s">
        <v>8667</v>
      </c>
      <c r="F106" s="7" t="n">
        <v>2019</v>
      </c>
      <c r="G106" s="7" t="s">
        <v>8668</v>
      </c>
      <c r="H106" s="7" t="s">
        <v>8669</v>
      </c>
      <c r="I106" s="7" t="s">
        <v>8670</v>
      </c>
      <c r="J106" s="7" t="s">
        <v>8671</v>
      </c>
      <c r="K106" s="7" t="s">
        <v>8672</v>
      </c>
      <c r="L106" s="7" t="s">
        <v>8673</v>
      </c>
      <c r="M106" s="7" t="s">
        <v>8674</v>
      </c>
      <c r="N106" s="7" t="s">
        <v>8148</v>
      </c>
      <c r="O106" s="7" t="s">
        <v>8675</v>
      </c>
      <c r="P106" s="7" t="s">
        <v>7690</v>
      </c>
      <c r="Q106" s="7" t="s">
        <v>7716</v>
      </c>
      <c r="R106" s="7" t="s">
        <v>7692</v>
      </c>
      <c r="S106" s="7" t="s">
        <v>8676</v>
      </c>
      <c r="T106" s="7"/>
      <c r="U106" s="7"/>
    </row>
    <row r="107" customFormat="false" ht="68.65" hidden="false" customHeight="false" outlineLevel="0" collapsed="false">
      <c r="A107" s="7" t="n">
        <v>24</v>
      </c>
      <c r="B107" s="7" t="s">
        <v>381</v>
      </c>
      <c r="C107" s="7" t="s">
        <v>7679</v>
      </c>
      <c r="D107" s="7" t="s">
        <v>8677</v>
      </c>
      <c r="E107" s="7" t="s">
        <v>8678</v>
      </c>
      <c r="F107" s="7" t="n">
        <v>2019</v>
      </c>
      <c r="G107" s="7" t="s">
        <v>8679</v>
      </c>
      <c r="H107" s="7" t="s">
        <v>8680</v>
      </c>
      <c r="I107" s="7" t="s">
        <v>8681</v>
      </c>
      <c r="J107" s="7" t="s">
        <v>7685</v>
      </c>
      <c r="K107" s="7" t="s">
        <v>8682</v>
      </c>
      <c r="L107" s="7" t="s">
        <v>8683</v>
      </c>
      <c r="M107" s="7" t="s">
        <v>8684</v>
      </c>
      <c r="N107" s="7" t="s">
        <v>8685</v>
      </c>
      <c r="O107" s="7"/>
      <c r="P107" s="7" t="s">
        <v>7690</v>
      </c>
      <c r="Q107" s="7" t="s">
        <v>7716</v>
      </c>
      <c r="R107" s="7" t="s">
        <v>7692</v>
      </c>
      <c r="S107" s="7" t="s">
        <v>8686</v>
      </c>
      <c r="T107" s="7" t="s">
        <v>8687</v>
      </c>
      <c r="U107" s="7"/>
    </row>
    <row r="108" customFormat="false" ht="35.05" hidden="false" customHeight="false" outlineLevel="0" collapsed="false">
      <c r="A108" s="7" t="n">
        <v>21</v>
      </c>
      <c r="B108" s="7" t="s">
        <v>346</v>
      </c>
      <c r="C108" s="7" t="s">
        <v>7705</v>
      </c>
      <c r="D108" s="7" t="s">
        <v>8688</v>
      </c>
      <c r="E108" s="7" t="s">
        <v>8689</v>
      </c>
      <c r="F108" s="7" t="n">
        <v>2012</v>
      </c>
      <c r="G108" s="7" t="s">
        <v>7792</v>
      </c>
      <c r="H108" s="7" t="s">
        <v>7793</v>
      </c>
      <c r="I108" s="7" t="s">
        <v>8690</v>
      </c>
      <c r="J108" s="7" t="s">
        <v>7711</v>
      </c>
      <c r="K108" s="7" t="s">
        <v>8691</v>
      </c>
      <c r="L108" s="7" t="s">
        <v>8692</v>
      </c>
      <c r="M108" s="7" t="s">
        <v>7714</v>
      </c>
      <c r="N108" s="7" t="s">
        <v>8693</v>
      </c>
      <c r="O108" s="7"/>
      <c r="P108" s="7" t="s">
        <v>7690</v>
      </c>
      <c r="Q108" s="7" t="s">
        <v>7759</v>
      </c>
      <c r="R108" s="7" t="s">
        <v>7692</v>
      </c>
      <c r="S108" s="7" t="s">
        <v>8694</v>
      </c>
      <c r="T108" s="7"/>
      <c r="U108" s="7" t="s">
        <v>8695</v>
      </c>
    </row>
    <row r="109" customFormat="false" ht="35.05" hidden="false" customHeight="false" outlineLevel="0" collapsed="false">
      <c r="A109" s="7" t="n">
        <v>21</v>
      </c>
      <c r="B109" s="7" t="s">
        <v>346</v>
      </c>
      <c r="C109" s="7" t="s">
        <v>7679</v>
      </c>
      <c r="D109" s="7" t="s">
        <v>8696</v>
      </c>
      <c r="E109" s="7" t="s">
        <v>8697</v>
      </c>
      <c r="F109" s="7" t="n">
        <v>2022</v>
      </c>
      <c r="G109" s="7" t="s">
        <v>8698</v>
      </c>
      <c r="H109" s="7" t="s">
        <v>8699</v>
      </c>
      <c r="I109" s="7" t="s">
        <v>8700</v>
      </c>
      <c r="J109" s="7" t="s">
        <v>7685</v>
      </c>
      <c r="K109" s="7" t="s">
        <v>8701</v>
      </c>
      <c r="L109" s="7" t="s">
        <v>8702</v>
      </c>
      <c r="M109" s="7" t="s">
        <v>8607</v>
      </c>
      <c r="N109" s="7" t="s">
        <v>8703</v>
      </c>
      <c r="O109" s="7"/>
      <c r="P109" s="7" t="s">
        <v>7690</v>
      </c>
      <c r="Q109" s="7" t="s">
        <v>8509</v>
      </c>
      <c r="R109" s="7" t="s">
        <v>7692</v>
      </c>
      <c r="S109" s="7" t="s">
        <v>8704</v>
      </c>
      <c r="T109" s="7"/>
      <c r="U109" s="7" t="s">
        <v>8705</v>
      </c>
    </row>
    <row r="110" customFormat="false" ht="35.05" hidden="false" customHeight="false" outlineLevel="0" collapsed="false">
      <c r="A110" s="7" t="n">
        <v>21</v>
      </c>
      <c r="B110" s="7" t="s">
        <v>346</v>
      </c>
      <c r="C110" s="7" t="s">
        <v>7679</v>
      </c>
      <c r="D110" s="7" t="s">
        <v>8706</v>
      </c>
      <c r="E110" s="7" t="s">
        <v>8707</v>
      </c>
      <c r="F110" s="7" t="n">
        <v>2025</v>
      </c>
      <c r="G110" s="7" t="s">
        <v>8708</v>
      </c>
      <c r="H110" s="7" t="s">
        <v>8709</v>
      </c>
      <c r="I110" s="7" t="s">
        <v>8710</v>
      </c>
      <c r="J110" s="7" t="s">
        <v>7685</v>
      </c>
      <c r="K110" s="7" t="s">
        <v>8711</v>
      </c>
      <c r="L110" s="7" t="s">
        <v>8712</v>
      </c>
      <c r="M110" s="7" t="s">
        <v>8713</v>
      </c>
      <c r="N110" s="7" t="s">
        <v>8714</v>
      </c>
      <c r="O110" s="7" t="s">
        <v>8715</v>
      </c>
      <c r="P110" s="7" t="s">
        <v>7690</v>
      </c>
      <c r="Q110" s="7" t="s">
        <v>8716</v>
      </c>
      <c r="R110" s="7" t="s">
        <v>7692</v>
      </c>
      <c r="S110" s="7" t="s">
        <v>8717</v>
      </c>
      <c r="T110" s="7"/>
      <c r="U110" s="7"/>
    </row>
    <row r="111" customFormat="false" ht="46.25" hidden="false" customHeight="false" outlineLevel="0" collapsed="false">
      <c r="A111" s="7" t="n">
        <v>26</v>
      </c>
      <c r="B111" s="7" t="s">
        <v>407</v>
      </c>
      <c r="C111" s="7" t="s">
        <v>7705</v>
      </c>
      <c r="D111" s="7" t="s">
        <v>8718</v>
      </c>
      <c r="E111" s="7" t="s">
        <v>8719</v>
      </c>
      <c r="F111" s="7" t="n">
        <v>2013</v>
      </c>
      <c r="G111" s="7" t="s">
        <v>7792</v>
      </c>
      <c r="H111" s="7" t="s">
        <v>8720</v>
      </c>
      <c r="I111" s="7" t="s">
        <v>8721</v>
      </c>
      <c r="J111" s="7" t="s">
        <v>7711</v>
      </c>
      <c r="K111" s="7" t="s">
        <v>8722</v>
      </c>
      <c r="L111" s="7" t="s">
        <v>8723</v>
      </c>
      <c r="M111" s="7" t="s">
        <v>7714</v>
      </c>
      <c r="N111" s="7" t="s">
        <v>8724</v>
      </c>
      <c r="O111" s="7"/>
      <c r="P111" s="7" t="s">
        <v>7690</v>
      </c>
      <c r="Q111" s="7" t="s">
        <v>7759</v>
      </c>
      <c r="R111" s="7" t="s">
        <v>7692</v>
      </c>
      <c r="S111" s="7" t="s">
        <v>8725</v>
      </c>
      <c r="T111" s="7"/>
      <c r="U111" s="7" t="s">
        <v>8726</v>
      </c>
    </row>
    <row r="112" customFormat="false" ht="57.45" hidden="false" customHeight="false" outlineLevel="0" collapsed="false">
      <c r="A112" s="7" t="n">
        <v>26</v>
      </c>
      <c r="B112" s="7" t="s">
        <v>407</v>
      </c>
      <c r="C112" s="7" t="s">
        <v>7679</v>
      </c>
      <c r="D112" s="7" t="s">
        <v>8727</v>
      </c>
      <c r="E112" s="7" t="s">
        <v>8728</v>
      </c>
      <c r="F112" s="7" t="n">
        <v>2023</v>
      </c>
      <c r="G112" s="7" t="s">
        <v>8729</v>
      </c>
      <c r="H112" s="7" t="s">
        <v>8730</v>
      </c>
      <c r="I112" s="7" t="s">
        <v>8731</v>
      </c>
      <c r="J112" s="7" t="s">
        <v>7315</v>
      </c>
      <c r="K112" s="7" t="s">
        <v>8732</v>
      </c>
      <c r="L112" s="7" t="s">
        <v>8733</v>
      </c>
      <c r="M112" s="7" t="s">
        <v>8734</v>
      </c>
      <c r="N112" s="7" t="s">
        <v>8735</v>
      </c>
      <c r="O112" s="7"/>
      <c r="P112" s="7" t="s">
        <v>7690</v>
      </c>
      <c r="Q112" s="7" t="s">
        <v>8736</v>
      </c>
      <c r="R112" s="7" t="s">
        <v>7692</v>
      </c>
      <c r="S112" s="7" t="s">
        <v>8737</v>
      </c>
      <c r="T112" s="7" t="s">
        <v>8738</v>
      </c>
      <c r="U112" s="7"/>
    </row>
    <row r="113" customFormat="false" ht="23.85" hidden="false" customHeight="false" outlineLevel="0" collapsed="false">
      <c r="A113" s="7" t="n">
        <v>20</v>
      </c>
      <c r="B113" s="7" t="s">
        <v>333</v>
      </c>
      <c r="C113" s="7" t="s">
        <v>7705</v>
      </c>
      <c r="D113" s="7" t="s">
        <v>8739</v>
      </c>
      <c r="E113" s="7" t="s">
        <v>8740</v>
      </c>
      <c r="F113" s="7" t="n">
        <v>2012</v>
      </c>
      <c r="G113" s="7" t="s">
        <v>7792</v>
      </c>
      <c r="H113" s="7" t="s">
        <v>8741</v>
      </c>
      <c r="I113" s="7" t="s">
        <v>8742</v>
      </c>
      <c r="J113" s="7" t="s">
        <v>7711</v>
      </c>
      <c r="K113" s="7" t="s">
        <v>8743</v>
      </c>
      <c r="L113" s="7" t="s">
        <v>8744</v>
      </c>
      <c r="M113" s="7" t="s">
        <v>7714</v>
      </c>
      <c r="N113" s="7" t="s">
        <v>8745</v>
      </c>
      <c r="O113" s="7"/>
      <c r="P113" s="7" t="s">
        <v>7690</v>
      </c>
      <c r="Q113" s="7" t="s">
        <v>7716</v>
      </c>
      <c r="R113" s="7" t="s">
        <v>7692</v>
      </c>
      <c r="S113" s="7" t="s">
        <v>8694</v>
      </c>
      <c r="T113" s="7"/>
      <c r="U113" s="7"/>
    </row>
    <row r="114" customFormat="false" ht="35.05" hidden="false" customHeight="false" outlineLevel="0" collapsed="false">
      <c r="A114" s="7" t="n">
        <v>20</v>
      </c>
      <c r="B114" s="7" t="s">
        <v>333</v>
      </c>
      <c r="C114" s="7" t="s">
        <v>7679</v>
      </c>
      <c r="D114" s="7" t="s">
        <v>8746</v>
      </c>
      <c r="E114" s="7" t="s">
        <v>8747</v>
      </c>
      <c r="F114" s="7" t="n">
        <v>2024</v>
      </c>
      <c r="G114" s="7" t="s">
        <v>7781</v>
      </c>
      <c r="H114" s="7" t="s">
        <v>8748</v>
      </c>
      <c r="I114" s="7" t="s">
        <v>8749</v>
      </c>
      <c r="J114" s="7" t="s">
        <v>8090</v>
      </c>
      <c r="K114" s="7" t="s">
        <v>8750</v>
      </c>
      <c r="L114" s="7" t="s">
        <v>8751</v>
      </c>
      <c r="M114" s="7" t="s">
        <v>8752</v>
      </c>
      <c r="N114" s="7" t="s">
        <v>8753</v>
      </c>
      <c r="O114" s="7"/>
      <c r="P114" s="7" t="s">
        <v>7690</v>
      </c>
      <c r="Q114" s="7" t="s">
        <v>7797</v>
      </c>
      <c r="R114" s="7" t="s">
        <v>7692</v>
      </c>
      <c r="S114" s="7" t="s">
        <v>8754</v>
      </c>
      <c r="T114" s="7"/>
      <c r="U114" s="7"/>
    </row>
    <row r="115" customFormat="false" ht="35.05" hidden="false" customHeight="false" outlineLevel="0" collapsed="false">
      <c r="A115" s="7" t="n">
        <v>20</v>
      </c>
      <c r="B115" s="7" t="s">
        <v>333</v>
      </c>
      <c r="C115" s="7" t="s">
        <v>7679</v>
      </c>
      <c r="D115" s="7" t="s">
        <v>8755</v>
      </c>
      <c r="E115" s="7" t="s">
        <v>8756</v>
      </c>
      <c r="F115" s="7" t="n">
        <v>2021</v>
      </c>
      <c r="G115" s="7" t="s">
        <v>7682</v>
      </c>
      <c r="H115" s="7" t="s">
        <v>8757</v>
      </c>
      <c r="I115" s="7" t="s">
        <v>8758</v>
      </c>
      <c r="J115" s="7" t="s">
        <v>7765</v>
      </c>
      <c r="K115" s="7" t="s">
        <v>8759</v>
      </c>
      <c r="L115" s="7" t="s">
        <v>8760</v>
      </c>
      <c r="M115" s="7" t="s">
        <v>8761</v>
      </c>
      <c r="N115" s="7" t="s">
        <v>8762</v>
      </c>
      <c r="O115" s="7"/>
      <c r="P115" s="7" t="s">
        <v>8763</v>
      </c>
      <c r="Q115" s="7" t="s">
        <v>7691</v>
      </c>
      <c r="R115" s="7" t="s">
        <v>7692</v>
      </c>
      <c r="S115" s="7" t="s">
        <v>8764</v>
      </c>
      <c r="T115" s="7"/>
      <c r="U115" s="7" t="s">
        <v>8765</v>
      </c>
    </row>
    <row r="116" customFormat="false" ht="46.25" hidden="false" customHeight="false" outlineLevel="0" collapsed="false">
      <c r="A116" s="7" t="n">
        <v>20</v>
      </c>
      <c r="B116" s="7" t="s">
        <v>333</v>
      </c>
      <c r="C116" s="7" t="s">
        <v>7679</v>
      </c>
      <c r="D116" s="7" t="s">
        <v>8766</v>
      </c>
      <c r="E116" s="7" t="s">
        <v>8767</v>
      </c>
      <c r="F116" s="7" t="n">
        <v>2023</v>
      </c>
      <c r="G116" s="7" t="s">
        <v>7682</v>
      </c>
      <c r="H116" s="7" t="s">
        <v>8768</v>
      </c>
      <c r="I116" s="7" t="s">
        <v>8769</v>
      </c>
      <c r="J116" s="7" t="s">
        <v>8770</v>
      </c>
      <c r="K116" s="7" t="s">
        <v>8771</v>
      </c>
      <c r="L116" s="7" t="s">
        <v>8772</v>
      </c>
      <c r="M116" s="7" t="s">
        <v>8773</v>
      </c>
      <c r="N116" s="7" t="s">
        <v>8774</v>
      </c>
      <c r="O116" s="7"/>
      <c r="P116" s="7" t="s">
        <v>7981</v>
      </c>
      <c r="Q116" s="7" t="s">
        <v>7969</v>
      </c>
      <c r="R116" s="7" t="s">
        <v>7692</v>
      </c>
      <c r="S116" s="7" t="s">
        <v>8775</v>
      </c>
      <c r="T116" s="7"/>
      <c r="U116" s="7"/>
    </row>
    <row r="117" customFormat="false" ht="35.05" hidden="false" customHeight="false" outlineLevel="0" collapsed="false">
      <c r="A117" s="7" t="n">
        <v>20</v>
      </c>
      <c r="B117" s="7" t="s">
        <v>333</v>
      </c>
      <c r="C117" s="7" t="s">
        <v>7679</v>
      </c>
      <c r="D117" s="7" t="s">
        <v>8776</v>
      </c>
      <c r="E117" s="7" t="s">
        <v>8777</v>
      </c>
      <c r="F117" s="7" t="n">
        <v>2024</v>
      </c>
      <c r="G117" s="7" t="s">
        <v>7682</v>
      </c>
      <c r="H117" s="7" t="s">
        <v>8778</v>
      </c>
      <c r="I117" s="7" t="s">
        <v>8779</v>
      </c>
      <c r="J117" s="7" t="s">
        <v>7765</v>
      </c>
      <c r="K117" s="7" t="s">
        <v>8780</v>
      </c>
      <c r="L117" s="7" t="s">
        <v>8781</v>
      </c>
      <c r="M117" s="7" t="s">
        <v>8782</v>
      </c>
      <c r="N117" s="7" t="s">
        <v>8783</v>
      </c>
      <c r="O117" s="7"/>
      <c r="P117" s="7" t="s">
        <v>7981</v>
      </c>
      <c r="Q117" s="7" t="s">
        <v>7969</v>
      </c>
      <c r="R117" s="7" t="s">
        <v>7692</v>
      </c>
      <c r="S117" s="7" t="s">
        <v>8784</v>
      </c>
      <c r="T117" s="7"/>
      <c r="U117" s="7"/>
    </row>
    <row r="118" customFormat="false" ht="35.05" hidden="false" customHeight="false" outlineLevel="0" collapsed="false">
      <c r="A118" s="7" t="n">
        <v>20</v>
      </c>
      <c r="B118" s="7" t="s">
        <v>333</v>
      </c>
      <c r="C118" s="7" t="s">
        <v>7679</v>
      </c>
      <c r="D118" s="7" t="s">
        <v>8785</v>
      </c>
      <c r="E118" s="7" t="s">
        <v>8786</v>
      </c>
      <c r="F118" s="7" t="n">
        <v>2022</v>
      </c>
      <c r="G118" s="7" t="s">
        <v>7682</v>
      </c>
      <c r="H118" s="7" t="s">
        <v>8787</v>
      </c>
      <c r="I118" s="7" t="s">
        <v>8769</v>
      </c>
      <c r="J118" s="7" t="s">
        <v>8788</v>
      </c>
      <c r="K118" s="7" t="s">
        <v>8789</v>
      </c>
      <c r="L118" s="7" t="s">
        <v>8790</v>
      </c>
      <c r="M118" s="7" t="s">
        <v>8791</v>
      </c>
      <c r="N118" s="7"/>
      <c r="O118" s="7"/>
      <c r="P118" s="7" t="s">
        <v>7981</v>
      </c>
      <c r="Q118" s="7" t="s">
        <v>8026</v>
      </c>
      <c r="R118" s="7" t="s">
        <v>7692</v>
      </c>
      <c r="S118" s="7" t="s">
        <v>8792</v>
      </c>
      <c r="T118" s="7"/>
      <c r="U118" s="7"/>
    </row>
    <row r="119" customFormat="false" ht="23.85" hidden="false" customHeight="false" outlineLevel="0" collapsed="false">
      <c r="A119" s="7" t="n">
        <v>20</v>
      </c>
      <c r="B119" s="7" t="s">
        <v>333</v>
      </c>
      <c r="C119" s="7" t="s">
        <v>7679</v>
      </c>
      <c r="D119" s="7" t="s">
        <v>8793</v>
      </c>
      <c r="E119" s="7" t="s">
        <v>8794</v>
      </c>
      <c r="F119" s="7" t="n">
        <v>2022</v>
      </c>
      <c r="G119" s="7" t="s">
        <v>8141</v>
      </c>
      <c r="H119" s="7" t="s">
        <v>8795</v>
      </c>
      <c r="I119" s="7" t="s">
        <v>8796</v>
      </c>
      <c r="J119" s="7" t="s">
        <v>7765</v>
      </c>
      <c r="K119" s="7" t="s">
        <v>8797</v>
      </c>
      <c r="L119" s="7" t="s">
        <v>8798</v>
      </c>
      <c r="M119" s="7" t="s">
        <v>8799</v>
      </c>
      <c r="N119" s="7" t="s">
        <v>8800</v>
      </c>
      <c r="O119" s="7"/>
      <c r="P119" s="7" t="s">
        <v>7690</v>
      </c>
      <c r="Q119" s="7" t="s">
        <v>7691</v>
      </c>
      <c r="R119" s="7" t="s">
        <v>7692</v>
      </c>
      <c r="S119" s="7" t="s">
        <v>8801</v>
      </c>
      <c r="T119" s="7"/>
      <c r="U119" s="7"/>
    </row>
    <row r="120" customFormat="false" ht="35.05" hidden="false" customHeight="false" outlineLevel="0" collapsed="false">
      <c r="A120" s="7" t="n">
        <v>20</v>
      </c>
      <c r="B120" s="7" t="s">
        <v>333</v>
      </c>
      <c r="C120" s="7" t="s">
        <v>7679</v>
      </c>
      <c r="D120" s="7" t="s">
        <v>8802</v>
      </c>
      <c r="E120" s="7" t="s">
        <v>8803</v>
      </c>
      <c r="F120" s="7" t="n">
        <v>2024</v>
      </c>
      <c r="G120" s="7" t="s">
        <v>7682</v>
      </c>
      <c r="H120" s="7" t="s">
        <v>8804</v>
      </c>
      <c r="I120" s="7" t="s">
        <v>8805</v>
      </c>
      <c r="J120" s="7" t="s">
        <v>8806</v>
      </c>
      <c r="K120" s="7" t="s">
        <v>8807</v>
      </c>
      <c r="L120" s="7" t="s">
        <v>8808</v>
      </c>
      <c r="M120" s="7" t="s">
        <v>8809</v>
      </c>
      <c r="N120" s="7"/>
      <c r="O120" s="7"/>
      <c r="P120" s="7" t="s">
        <v>7981</v>
      </c>
      <c r="Q120" s="7" t="s">
        <v>8026</v>
      </c>
      <c r="R120" s="7" t="s">
        <v>7692</v>
      </c>
      <c r="S120" s="7" t="s">
        <v>8810</v>
      </c>
      <c r="T120" s="7"/>
      <c r="U120" s="7"/>
    </row>
    <row r="121" customFormat="false" ht="35.05" hidden="false" customHeight="false" outlineLevel="0" collapsed="false">
      <c r="A121" s="7" t="n">
        <v>20</v>
      </c>
      <c r="B121" s="7" t="s">
        <v>333</v>
      </c>
      <c r="C121" s="7" t="s">
        <v>7679</v>
      </c>
      <c r="D121" s="7" t="s">
        <v>8811</v>
      </c>
      <c r="E121" s="7" t="s">
        <v>8812</v>
      </c>
      <c r="F121" s="7" t="n">
        <v>2024</v>
      </c>
      <c r="G121" s="7" t="s">
        <v>8141</v>
      </c>
      <c r="H121" s="7" t="s">
        <v>8813</v>
      </c>
      <c r="I121" s="7" t="s">
        <v>8814</v>
      </c>
      <c r="J121" s="7" t="s">
        <v>8815</v>
      </c>
      <c r="K121" s="7" t="s">
        <v>8816</v>
      </c>
      <c r="L121" s="7" t="s">
        <v>8817</v>
      </c>
      <c r="M121" s="7" t="s">
        <v>8818</v>
      </c>
      <c r="N121" s="7"/>
      <c r="O121" s="7"/>
      <c r="P121" s="7" t="s">
        <v>7690</v>
      </c>
      <c r="Q121" s="7" t="s">
        <v>7691</v>
      </c>
      <c r="R121" s="7" t="s">
        <v>7692</v>
      </c>
      <c r="S121" s="7" t="s">
        <v>8819</v>
      </c>
      <c r="T121" s="7"/>
      <c r="U121" s="7"/>
    </row>
    <row r="122" customFormat="false" ht="35.05" hidden="false" customHeight="false" outlineLevel="0" collapsed="false">
      <c r="A122" s="7" t="n">
        <v>20</v>
      </c>
      <c r="B122" s="7" t="s">
        <v>333</v>
      </c>
      <c r="C122" s="7" t="s">
        <v>7679</v>
      </c>
      <c r="D122" s="7" t="s">
        <v>8820</v>
      </c>
      <c r="E122" s="7" t="s">
        <v>8821</v>
      </c>
      <c r="F122" s="7" t="n">
        <v>2023</v>
      </c>
      <c r="G122" s="7" t="s">
        <v>7682</v>
      </c>
      <c r="H122" s="7" t="s">
        <v>8822</v>
      </c>
      <c r="I122" s="7" t="s">
        <v>8823</v>
      </c>
      <c r="J122" s="7" t="s">
        <v>7685</v>
      </c>
      <c r="K122" s="7" t="s">
        <v>8824</v>
      </c>
      <c r="L122" s="7" t="s">
        <v>8825</v>
      </c>
      <c r="M122" s="7" t="s">
        <v>8826</v>
      </c>
      <c r="N122" s="7" t="s">
        <v>8827</v>
      </c>
      <c r="O122" s="7"/>
      <c r="P122" s="7" t="s">
        <v>8763</v>
      </c>
      <c r="Q122" s="7" t="s">
        <v>7691</v>
      </c>
      <c r="R122" s="7" t="s">
        <v>7692</v>
      </c>
      <c r="S122" s="7" t="s">
        <v>8828</v>
      </c>
      <c r="T122" s="7"/>
      <c r="U122" s="7"/>
    </row>
    <row r="123" customFormat="false" ht="35.05" hidden="false" customHeight="false" outlineLevel="0" collapsed="false">
      <c r="A123" s="7" t="n">
        <v>29</v>
      </c>
      <c r="B123" s="7" t="s">
        <v>440</v>
      </c>
      <c r="C123" s="7" t="s">
        <v>7705</v>
      </c>
      <c r="D123" s="7" t="s">
        <v>8829</v>
      </c>
      <c r="E123" s="7" t="s">
        <v>8830</v>
      </c>
      <c r="F123" s="7" t="n">
        <v>2018</v>
      </c>
      <c r="G123" s="7" t="s">
        <v>7792</v>
      </c>
      <c r="H123" s="7" t="s">
        <v>7793</v>
      </c>
      <c r="I123" s="7" t="s">
        <v>8831</v>
      </c>
      <c r="J123" s="7" t="s">
        <v>7711</v>
      </c>
      <c r="K123" s="7" t="s">
        <v>8832</v>
      </c>
      <c r="L123" s="7" t="s">
        <v>8833</v>
      </c>
      <c r="M123" s="7" t="s">
        <v>7714</v>
      </c>
      <c r="N123" s="7" t="s">
        <v>8043</v>
      </c>
      <c r="O123" s="7"/>
      <c r="P123" s="7" t="s">
        <v>7690</v>
      </c>
      <c r="Q123" s="7" t="s">
        <v>7759</v>
      </c>
      <c r="R123" s="7" t="s">
        <v>7692</v>
      </c>
      <c r="S123" s="7" t="s">
        <v>8834</v>
      </c>
      <c r="T123" s="7"/>
      <c r="U123" s="7" t="s">
        <v>8835</v>
      </c>
    </row>
    <row r="124" customFormat="false" ht="35.05" hidden="false" customHeight="false" outlineLevel="0" collapsed="false">
      <c r="A124" s="7" t="n">
        <v>29</v>
      </c>
      <c r="B124" s="7" t="s">
        <v>440</v>
      </c>
      <c r="C124" s="7" t="s">
        <v>7705</v>
      </c>
      <c r="D124" s="7" t="s">
        <v>8836</v>
      </c>
      <c r="E124" s="7" t="s">
        <v>8837</v>
      </c>
      <c r="F124" s="7" t="n">
        <v>2023</v>
      </c>
      <c r="G124" s="7" t="s">
        <v>7792</v>
      </c>
      <c r="H124" s="7" t="s">
        <v>7793</v>
      </c>
      <c r="I124" s="7" t="s">
        <v>8838</v>
      </c>
      <c r="J124" s="7" t="s">
        <v>7711</v>
      </c>
      <c r="K124" s="7" t="s">
        <v>8839</v>
      </c>
      <c r="L124" s="7" t="s">
        <v>8840</v>
      </c>
      <c r="M124" s="7" t="s">
        <v>7714</v>
      </c>
      <c r="N124" s="7" t="s">
        <v>8043</v>
      </c>
      <c r="O124" s="7"/>
      <c r="P124" s="7" t="s">
        <v>7690</v>
      </c>
      <c r="Q124" s="7" t="s">
        <v>7759</v>
      </c>
      <c r="R124" s="7" t="s">
        <v>7692</v>
      </c>
      <c r="S124" s="7" t="s">
        <v>8841</v>
      </c>
      <c r="T124" s="7"/>
      <c r="U124" s="7" t="s">
        <v>8842</v>
      </c>
    </row>
    <row r="125" customFormat="false" ht="35.05" hidden="false" customHeight="false" outlineLevel="0" collapsed="false">
      <c r="A125" s="7" t="n">
        <v>29</v>
      </c>
      <c r="B125" s="7" t="s">
        <v>440</v>
      </c>
      <c r="C125" s="7" t="s">
        <v>7679</v>
      </c>
      <c r="D125" s="7" t="s">
        <v>8843</v>
      </c>
      <c r="E125" s="7" t="s">
        <v>8844</v>
      </c>
      <c r="F125" s="7" t="n">
        <v>2019</v>
      </c>
      <c r="G125" s="7" t="s">
        <v>8845</v>
      </c>
      <c r="H125" s="7" t="s">
        <v>8846</v>
      </c>
      <c r="I125" s="7" t="s">
        <v>8847</v>
      </c>
      <c r="J125" s="7" t="s">
        <v>7315</v>
      </c>
      <c r="K125" s="7" t="s">
        <v>8848</v>
      </c>
      <c r="L125" s="7" t="s">
        <v>8849</v>
      </c>
      <c r="M125" s="7" t="s">
        <v>8850</v>
      </c>
      <c r="N125" s="7" t="s">
        <v>8851</v>
      </c>
      <c r="O125" s="7"/>
      <c r="P125" s="7" t="s">
        <v>7690</v>
      </c>
      <c r="Q125" s="7" t="s">
        <v>7727</v>
      </c>
      <c r="R125" s="7" t="s">
        <v>7692</v>
      </c>
      <c r="S125" s="7" t="s">
        <v>8852</v>
      </c>
      <c r="T125" s="7"/>
      <c r="U125" s="7"/>
    </row>
    <row r="126" customFormat="false" ht="35.05" hidden="false" customHeight="false" outlineLevel="0" collapsed="false">
      <c r="A126" s="7" t="n">
        <v>112</v>
      </c>
      <c r="B126" s="7" t="s">
        <v>1323</v>
      </c>
      <c r="C126" s="7" t="s">
        <v>7705</v>
      </c>
      <c r="D126" s="7" t="s">
        <v>8853</v>
      </c>
      <c r="E126" s="7" t="s">
        <v>8854</v>
      </c>
      <c r="F126" s="7" t="n">
        <v>2015</v>
      </c>
      <c r="G126" s="7" t="s">
        <v>7792</v>
      </c>
      <c r="H126" s="7" t="s">
        <v>8855</v>
      </c>
      <c r="I126" s="7" t="s">
        <v>8856</v>
      </c>
      <c r="J126" s="7" t="s">
        <v>7711</v>
      </c>
      <c r="K126" s="7" t="s">
        <v>8857</v>
      </c>
      <c r="L126" s="7" t="s">
        <v>8858</v>
      </c>
      <c r="M126" s="7" t="s">
        <v>8859</v>
      </c>
      <c r="N126" s="7" t="s">
        <v>8043</v>
      </c>
      <c r="O126" s="7"/>
      <c r="P126" s="7" t="s">
        <v>7690</v>
      </c>
      <c r="Q126" s="7" t="s">
        <v>7716</v>
      </c>
      <c r="R126" s="7" t="s">
        <v>7692</v>
      </c>
      <c r="S126" s="7" t="s">
        <v>8860</v>
      </c>
      <c r="T126" s="7" t="s">
        <v>8861</v>
      </c>
      <c r="U126" s="7"/>
    </row>
    <row r="127" customFormat="false" ht="57.45" hidden="false" customHeight="false" outlineLevel="0" collapsed="false">
      <c r="A127" s="7" t="n">
        <v>112</v>
      </c>
      <c r="B127" s="7" t="s">
        <v>1323</v>
      </c>
      <c r="C127" s="7" t="s">
        <v>7679</v>
      </c>
      <c r="D127" s="7" t="s">
        <v>8862</v>
      </c>
      <c r="E127" s="7" t="s">
        <v>8863</v>
      </c>
      <c r="F127" s="7" t="n">
        <v>2022</v>
      </c>
      <c r="G127" s="7" t="s">
        <v>8698</v>
      </c>
      <c r="H127" s="7" t="s">
        <v>8864</v>
      </c>
      <c r="I127" s="7" t="s">
        <v>8865</v>
      </c>
      <c r="J127" s="7" t="s">
        <v>7699</v>
      </c>
      <c r="K127" s="7" t="s">
        <v>8866</v>
      </c>
      <c r="L127" s="7" t="s">
        <v>8867</v>
      </c>
      <c r="M127" s="7" t="s">
        <v>8868</v>
      </c>
      <c r="N127" s="7" t="s">
        <v>8869</v>
      </c>
      <c r="O127" s="7"/>
      <c r="P127" s="7" t="s">
        <v>7690</v>
      </c>
      <c r="Q127" s="7" t="s">
        <v>7716</v>
      </c>
      <c r="R127" s="7" t="s">
        <v>7692</v>
      </c>
      <c r="S127" s="7" t="s">
        <v>8870</v>
      </c>
      <c r="T127" s="7" t="s">
        <v>8871</v>
      </c>
      <c r="U127" s="7"/>
    </row>
    <row r="128" customFormat="false" ht="57.45" hidden="false" customHeight="false" outlineLevel="0" collapsed="false">
      <c r="A128" s="7" t="n">
        <v>112</v>
      </c>
      <c r="B128" s="7" t="s">
        <v>1323</v>
      </c>
      <c r="C128" s="7" t="s">
        <v>7679</v>
      </c>
      <c r="D128" s="7" t="s">
        <v>8872</v>
      </c>
      <c r="E128" s="7" t="s">
        <v>8873</v>
      </c>
      <c r="F128" s="7" t="n">
        <v>2022</v>
      </c>
      <c r="G128" s="7" t="s">
        <v>8207</v>
      </c>
      <c r="H128" s="7" t="s">
        <v>8874</v>
      </c>
      <c r="I128" s="7" t="s">
        <v>8875</v>
      </c>
      <c r="J128" s="7" t="s">
        <v>7699</v>
      </c>
      <c r="K128" s="7" t="s">
        <v>8876</v>
      </c>
      <c r="L128" s="7" t="s">
        <v>8877</v>
      </c>
      <c r="M128" s="7" t="s">
        <v>8878</v>
      </c>
      <c r="N128" s="7" t="s">
        <v>8879</v>
      </c>
      <c r="O128" s="7"/>
      <c r="P128" s="7" t="s">
        <v>7690</v>
      </c>
      <c r="Q128" s="7" t="s">
        <v>8880</v>
      </c>
      <c r="R128" s="7" t="s">
        <v>7692</v>
      </c>
      <c r="S128" s="7" t="s">
        <v>8881</v>
      </c>
      <c r="T128" s="7"/>
      <c r="U128" s="7"/>
    </row>
    <row r="129" customFormat="false" ht="68.65" hidden="false" customHeight="false" outlineLevel="0" collapsed="false">
      <c r="A129" s="7" t="n">
        <v>112</v>
      </c>
      <c r="B129" s="7" t="s">
        <v>1323</v>
      </c>
      <c r="C129" s="7" t="s">
        <v>7679</v>
      </c>
      <c r="D129" s="7" t="s">
        <v>8882</v>
      </c>
      <c r="E129" s="7" t="s">
        <v>8883</v>
      </c>
      <c r="F129" s="7" t="n">
        <v>2019</v>
      </c>
      <c r="G129" s="7" t="s">
        <v>8884</v>
      </c>
      <c r="H129" s="7" t="s">
        <v>8885</v>
      </c>
      <c r="I129" s="7" t="s">
        <v>8886</v>
      </c>
      <c r="J129" s="7" t="s">
        <v>7699</v>
      </c>
      <c r="K129" s="7" t="s">
        <v>8887</v>
      </c>
      <c r="L129" s="7" t="s">
        <v>8888</v>
      </c>
      <c r="M129" s="7" t="s">
        <v>8889</v>
      </c>
      <c r="N129" s="7" t="s">
        <v>8890</v>
      </c>
      <c r="O129" s="7"/>
      <c r="P129" s="7" t="s">
        <v>7690</v>
      </c>
      <c r="Q129" s="7" t="s">
        <v>8891</v>
      </c>
      <c r="R129" s="7" t="s">
        <v>7692</v>
      </c>
      <c r="S129" s="7" t="s">
        <v>8892</v>
      </c>
      <c r="T129" s="7"/>
      <c r="U129" s="7"/>
    </row>
    <row r="130" customFormat="false" ht="35.05" hidden="false" customHeight="false" outlineLevel="0" collapsed="false">
      <c r="A130" s="7" t="n">
        <v>112</v>
      </c>
      <c r="B130" s="7" t="s">
        <v>1323</v>
      </c>
      <c r="C130" s="7" t="s">
        <v>7679</v>
      </c>
      <c r="D130" s="7" t="s">
        <v>8893</v>
      </c>
      <c r="E130" s="7" t="s">
        <v>8894</v>
      </c>
      <c r="F130" s="7" t="n">
        <v>2019</v>
      </c>
      <c r="G130" s="7" t="s">
        <v>8895</v>
      </c>
      <c r="H130" s="7" t="s">
        <v>8896</v>
      </c>
      <c r="I130" s="7" t="s">
        <v>8897</v>
      </c>
      <c r="J130" s="7" t="s">
        <v>7685</v>
      </c>
      <c r="K130" s="7" t="s">
        <v>8898</v>
      </c>
      <c r="L130" s="7" t="s">
        <v>8899</v>
      </c>
      <c r="M130" s="7" t="s">
        <v>8900</v>
      </c>
      <c r="N130" s="7" t="s">
        <v>8901</v>
      </c>
      <c r="O130" s="7"/>
      <c r="P130" s="7" t="s">
        <v>7690</v>
      </c>
      <c r="Q130" s="7" t="s">
        <v>8902</v>
      </c>
      <c r="R130" s="7" t="s">
        <v>7692</v>
      </c>
      <c r="S130" s="7" t="s">
        <v>8903</v>
      </c>
      <c r="T130" s="7"/>
      <c r="U130" s="7"/>
    </row>
    <row r="131" customFormat="false" ht="46.25" hidden="false" customHeight="false" outlineLevel="0" collapsed="false">
      <c r="A131" s="7" t="n">
        <v>31</v>
      </c>
      <c r="B131" s="7" t="s">
        <v>466</v>
      </c>
      <c r="C131" s="7" t="s">
        <v>7705</v>
      </c>
      <c r="D131" s="7" t="s">
        <v>8904</v>
      </c>
      <c r="E131" s="7" t="s">
        <v>8905</v>
      </c>
      <c r="F131" s="7" t="n">
        <v>2016</v>
      </c>
      <c r="G131" s="7" t="s">
        <v>7792</v>
      </c>
      <c r="H131" s="7" t="s">
        <v>7793</v>
      </c>
      <c r="I131" s="7" t="s">
        <v>8906</v>
      </c>
      <c r="J131" s="7" t="s">
        <v>7711</v>
      </c>
      <c r="K131" s="7" t="s">
        <v>8907</v>
      </c>
      <c r="L131" s="7" t="s">
        <v>8908</v>
      </c>
      <c r="M131" s="7" t="s">
        <v>7714</v>
      </c>
      <c r="N131" s="7" t="s">
        <v>8043</v>
      </c>
      <c r="O131" s="7"/>
      <c r="P131" s="7" t="s">
        <v>7690</v>
      </c>
      <c r="Q131" s="7" t="s">
        <v>8509</v>
      </c>
      <c r="R131" s="7" t="s">
        <v>7692</v>
      </c>
      <c r="S131" s="7" t="s">
        <v>8909</v>
      </c>
      <c r="T131" s="7"/>
      <c r="U131" s="7" t="s">
        <v>8910</v>
      </c>
    </row>
    <row r="132" customFormat="false" ht="57.45" hidden="false" customHeight="false" outlineLevel="0" collapsed="false">
      <c r="A132" s="7" t="n">
        <v>31</v>
      </c>
      <c r="B132" s="7" t="s">
        <v>466</v>
      </c>
      <c r="C132" s="7" t="s">
        <v>7679</v>
      </c>
      <c r="D132" s="7" t="s">
        <v>8911</v>
      </c>
      <c r="E132" s="7" t="s">
        <v>8912</v>
      </c>
      <c r="F132" s="7" t="n">
        <v>2024</v>
      </c>
      <c r="G132" s="7" t="s">
        <v>7781</v>
      </c>
      <c r="H132" s="7" t="s">
        <v>8913</v>
      </c>
      <c r="I132" s="7" t="s">
        <v>8914</v>
      </c>
      <c r="J132" s="7" t="s">
        <v>7685</v>
      </c>
      <c r="K132" s="7" t="s">
        <v>8915</v>
      </c>
      <c r="L132" s="7" t="s">
        <v>8916</v>
      </c>
      <c r="M132" s="7" t="s">
        <v>8917</v>
      </c>
      <c r="N132" s="7" t="s">
        <v>8918</v>
      </c>
      <c r="O132" s="7"/>
      <c r="P132" s="7" t="s">
        <v>7690</v>
      </c>
      <c r="Q132" s="7" t="s">
        <v>8509</v>
      </c>
      <c r="R132" s="7" t="s">
        <v>7692</v>
      </c>
      <c r="S132" s="7" t="s">
        <v>8919</v>
      </c>
      <c r="T132" s="7"/>
      <c r="U132" s="7" t="s">
        <v>8920</v>
      </c>
    </row>
    <row r="133" customFormat="false" ht="46.25" hidden="false" customHeight="false" outlineLevel="0" collapsed="false">
      <c r="A133" s="7" t="n">
        <v>32</v>
      </c>
      <c r="B133" s="7" t="s">
        <v>477</v>
      </c>
      <c r="C133" s="7" t="s">
        <v>7705</v>
      </c>
      <c r="D133" s="7" t="s">
        <v>8921</v>
      </c>
      <c r="E133" s="7" t="s">
        <v>8922</v>
      </c>
      <c r="F133" s="7" t="n">
        <v>2016</v>
      </c>
      <c r="G133" s="7" t="s">
        <v>7792</v>
      </c>
      <c r="H133" s="7" t="s">
        <v>8923</v>
      </c>
      <c r="I133" s="7" t="s">
        <v>8924</v>
      </c>
      <c r="J133" s="7" t="s">
        <v>7711</v>
      </c>
      <c r="K133" s="7" t="s">
        <v>8925</v>
      </c>
      <c r="L133" s="7" t="s">
        <v>8926</v>
      </c>
      <c r="M133" s="7" t="s">
        <v>8927</v>
      </c>
      <c r="N133" s="7" t="s">
        <v>8928</v>
      </c>
      <c r="O133" s="7"/>
      <c r="P133" s="7" t="s">
        <v>7690</v>
      </c>
      <c r="Q133" s="7" t="s">
        <v>7716</v>
      </c>
      <c r="R133" s="7" t="s">
        <v>7692</v>
      </c>
      <c r="S133" s="7" t="s">
        <v>8929</v>
      </c>
      <c r="T133" s="7"/>
      <c r="U133" s="7" t="s">
        <v>8930</v>
      </c>
    </row>
    <row r="134" customFormat="false" ht="57.45" hidden="false" customHeight="false" outlineLevel="0" collapsed="false">
      <c r="A134" s="7" t="n">
        <v>32</v>
      </c>
      <c r="B134" s="7" t="s">
        <v>477</v>
      </c>
      <c r="C134" s="7" t="s">
        <v>7679</v>
      </c>
      <c r="D134" s="7" t="s">
        <v>8931</v>
      </c>
      <c r="E134" s="7" t="s">
        <v>8932</v>
      </c>
      <c r="F134" s="7" t="n">
        <v>2026</v>
      </c>
      <c r="G134" s="7" t="s">
        <v>7781</v>
      </c>
      <c r="H134" s="7" t="s">
        <v>8933</v>
      </c>
      <c r="I134" s="7" t="s">
        <v>8934</v>
      </c>
      <c r="J134" s="7" t="s">
        <v>7685</v>
      </c>
      <c r="K134" s="7" t="s">
        <v>8935</v>
      </c>
      <c r="L134" s="7" t="s">
        <v>8936</v>
      </c>
      <c r="M134" s="7" t="s">
        <v>8937</v>
      </c>
      <c r="N134" s="7" t="s">
        <v>8647</v>
      </c>
      <c r="O134" s="7"/>
      <c r="P134" s="7" t="s">
        <v>7690</v>
      </c>
      <c r="Q134" s="7" t="s">
        <v>7716</v>
      </c>
      <c r="R134" s="7" t="s">
        <v>7692</v>
      </c>
      <c r="S134" s="7" t="s">
        <v>8938</v>
      </c>
      <c r="T134" s="7"/>
      <c r="U134" s="7"/>
    </row>
    <row r="135" customFormat="false" ht="46.25" hidden="false" customHeight="false" outlineLevel="0" collapsed="false">
      <c r="A135" s="7" t="n">
        <v>32</v>
      </c>
      <c r="B135" s="7" t="s">
        <v>477</v>
      </c>
      <c r="C135" s="7" t="s">
        <v>7679</v>
      </c>
      <c r="D135" s="7" t="s">
        <v>8939</v>
      </c>
      <c r="E135" s="7" t="s">
        <v>8940</v>
      </c>
      <c r="F135" s="7" t="n">
        <v>2026</v>
      </c>
      <c r="G135" s="7" t="s">
        <v>7781</v>
      </c>
      <c r="H135" s="7" t="s">
        <v>8941</v>
      </c>
      <c r="I135" s="7" t="s">
        <v>8942</v>
      </c>
      <c r="J135" s="7" t="s">
        <v>7685</v>
      </c>
      <c r="K135" s="7" t="s">
        <v>8943</v>
      </c>
      <c r="L135" s="7" t="s">
        <v>8944</v>
      </c>
      <c r="M135" s="7" t="s">
        <v>8945</v>
      </c>
      <c r="N135" s="7" t="s">
        <v>8946</v>
      </c>
      <c r="O135" s="7"/>
      <c r="P135" s="7" t="s">
        <v>7690</v>
      </c>
      <c r="Q135" s="7" t="s">
        <v>7716</v>
      </c>
      <c r="R135" s="7" t="s">
        <v>7692</v>
      </c>
      <c r="S135" s="7" t="s">
        <v>8947</v>
      </c>
      <c r="T135" s="7"/>
      <c r="U135" s="7"/>
    </row>
    <row r="136" customFormat="false" ht="35.05" hidden="false" customHeight="false" outlineLevel="0" collapsed="false">
      <c r="A136" s="7" t="n">
        <v>32</v>
      </c>
      <c r="B136" s="7" t="s">
        <v>477</v>
      </c>
      <c r="C136" s="7" t="s">
        <v>8160</v>
      </c>
      <c r="D136" s="7" t="s">
        <v>8948</v>
      </c>
      <c r="E136" s="7" t="s">
        <v>8949</v>
      </c>
      <c r="F136" s="7" t="n">
        <v>2022</v>
      </c>
      <c r="G136" s="7" t="s">
        <v>8950</v>
      </c>
      <c r="H136" s="7" t="s">
        <v>8218</v>
      </c>
      <c r="I136" s="7" t="s">
        <v>8951</v>
      </c>
      <c r="J136" s="7" t="s">
        <v>7315</v>
      </c>
      <c r="K136" s="7" t="s">
        <v>8952</v>
      </c>
      <c r="L136" s="7" t="s">
        <v>8953</v>
      </c>
      <c r="M136" s="7" t="s">
        <v>8954</v>
      </c>
      <c r="N136" s="7" t="s">
        <v>8955</v>
      </c>
      <c r="O136" s="7"/>
      <c r="P136" s="7" t="s">
        <v>7690</v>
      </c>
      <c r="Q136" s="7" t="s">
        <v>7716</v>
      </c>
      <c r="R136" s="7" t="s">
        <v>7692</v>
      </c>
      <c r="S136" s="7" t="s">
        <v>8956</v>
      </c>
      <c r="T136" s="7"/>
      <c r="U136" s="7" t="s">
        <v>8957</v>
      </c>
    </row>
    <row r="137" customFormat="false" ht="46.25" hidden="false" customHeight="false" outlineLevel="0" collapsed="false">
      <c r="A137" s="7" t="n">
        <v>32</v>
      </c>
      <c r="B137" s="7" t="s">
        <v>477</v>
      </c>
      <c r="C137" s="7" t="s">
        <v>7679</v>
      </c>
      <c r="D137" s="7" t="s">
        <v>8958</v>
      </c>
      <c r="E137" s="7" t="s">
        <v>8959</v>
      </c>
      <c r="F137" s="7" t="n">
        <v>2017</v>
      </c>
      <c r="G137" s="7" t="s">
        <v>7682</v>
      </c>
      <c r="H137" s="7" t="s">
        <v>8960</v>
      </c>
      <c r="I137" s="7" t="s">
        <v>8961</v>
      </c>
      <c r="J137" s="7" t="s">
        <v>8962</v>
      </c>
      <c r="K137" s="7" t="s">
        <v>8963</v>
      </c>
      <c r="L137" s="7" t="s">
        <v>8964</v>
      </c>
      <c r="M137" s="7" t="s">
        <v>8965</v>
      </c>
      <c r="N137" s="7" t="s">
        <v>8966</v>
      </c>
      <c r="O137" s="7"/>
      <c r="P137" s="7" t="s">
        <v>7981</v>
      </c>
      <c r="Q137" s="7" t="s">
        <v>7691</v>
      </c>
      <c r="R137" s="7" t="s">
        <v>7692</v>
      </c>
      <c r="S137" s="7" t="s">
        <v>8967</v>
      </c>
      <c r="T137" s="7"/>
      <c r="U137" s="7"/>
    </row>
    <row r="138" customFormat="false" ht="35.05" hidden="false" customHeight="false" outlineLevel="0" collapsed="false">
      <c r="A138" s="7" t="n">
        <v>32</v>
      </c>
      <c r="B138" s="7" t="s">
        <v>477</v>
      </c>
      <c r="C138" s="7" t="s">
        <v>7679</v>
      </c>
      <c r="D138" s="7" t="s">
        <v>8968</v>
      </c>
      <c r="E138" s="7" t="s">
        <v>8969</v>
      </c>
      <c r="F138" s="7" t="n">
        <v>2018</v>
      </c>
      <c r="G138" s="7" t="s">
        <v>7682</v>
      </c>
      <c r="H138" s="7" t="s">
        <v>8970</v>
      </c>
      <c r="I138" s="7" t="s">
        <v>8971</v>
      </c>
      <c r="J138" s="7" t="s">
        <v>8972</v>
      </c>
      <c r="K138" s="7" t="s">
        <v>8973</v>
      </c>
      <c r="L138" s="7" t="s">
        <v>8974</v>
      </c>
      <c r="M138" s="7" t="s">
        <v>8975</v>
      </c>
      <c r="N138" s="7" t="s">
        <v>8976</v>
      </c>
      <c r="O138" s="7"/>
      <c r="P138" s="7" t="s">
        <v>7690</v>
      </c>
      <c r="Q138" s="7" t="s">
        <v>7691</v>
      </c>
      <c r="R138" s="7" t="s">
        <v>7692</v>
      </c>
      <c r="S138" s="7" t="s">
        <v>8977</v>
      </c>
      <c r="T138" s="7" t="s">
        <v>8978</v>
      </c>
      <c r="U138" s="7"/>
    </row>
    <row r="139" customFormat="false" ht="35.05" hidden="false" customHeight="false" outlineLevel="0" collapsed="false">
      <c r="A139" s="7" t="n">
        <v>32</v>
      </c>
      <c r="B139" s="7" t="s">
        <v>477</v>
      </c>
      <c r="C139" s="7" t="s">
        <v>7679</v>
      </c>
      <c r="D139" s="7" t="s">
        <v>8979</v>
      </c>
      <c r="E139" s="7" t="s">
        <v>8980</v>
      </c>
      <c r="F139" s="7" t="n">
        <v>2012</v>
      </c>
      <c r="G139" s="7" t="s">
        <v>7682</v>
      </c>
      <c r="H139" s="7" t="s">
        <v>8981</v>
      </c>
      <c r="I139" s="7" t="s">
        <v>8982</v>
      </c>
      <c r="J139" s="7" t="s">
        <v>8972</v>
      </c>
      <c r="K139" s="7" t="s">
        <v>8983</v>
      </c>
      <c r="L139" s="7" t="s">
        <v>8984</v>
      </c>
      <c r="M139" s="7" t="s">
        <v>8985</v>
      </c>
      <c r="N139" s="7" t="s">
        <v>8986</v>
      </c>
      <c r="O139" s="7"/>
      <c r="P139" s="7" t="s">
        <v>7981</v>
      </c>
      <c r="Q139" s="7" t="s">
        <v>7691</v>
      </c>
      <c r="R139" s="7" t="s">
        <v>7692</v>
      </c>
      <c r="S139" s="7" t="s">
        <v>8987</v>
      </c>
      <c r="T139" s="7"/>
      <c r="U139" s="7"/>
    </row>
    <row r="140" customFormat="false" ht="35.05" hidden="false" customHeight="false" outlineLevel="0" collapsed="false">
      <c r="A140" s="7" t="n">
        <v>30</v>
      </c>
      <c r="B140" s="7" t="s">
        <v>454</v>
      </c>
      <c r="C140" s="7" t="s">
        <v>7705</v>
      </c>
      <c r="D140" s="7" t="s">
        <v>8988</v>
      </c>
      <c r="E140" s="7" t="s">
        <v>8989</v>
      </c>
      <c r="F140" s="7" t="n">
        <v>2016</v>
      </c>
      <c r="G140" s="7" t="s">
        <v>7792</v>
      </c>
      <c r="H140" s="7" t="s">
        <v>8990</v>
      </c>
      <c r="I140" s="7" t="s">
        <v>8991</v>
      </c>
      <c r="J140" s="7" t="s">
        <v>7711</v>
      </c>
      <c r="K140" s="7" t="s">
        <v>8992</v>
      </c>
      <c r="L140" s="7" t="s">
        <v>8993</v>
      </c>
      <c r="M140" s="7" t="s">
        <v>8859</v>
      </c>
      <c r="N140" s="7" t="s">
        <v>8043</v>
      </c>
      <c r="O140" s="7"/>
      <c r="P140" s="7" t="s">
        <v>7690</v>
      </c>
      <c r="Q140" s="7" t="s">
        <v>7716</v>
      </c>
      <c r="R140" s="7" t="s">
        <v>7692</v>
      </c>
      <c r="S140" s="7" t="s">
        <v>8994</v>
      </c>
      <c r="T140" s="7"/>
      <c r="U140" s="7"/>
    </row>
    <row r="141" customFormat="false" ht="57.45" hidden="false" customHeight="false" outlineLevel="0" collapsed="false">
      <c r="A141" s="7" t="n">
        <v>30</v>
      </c>
      <c r="B141" s="7" t="s">
        <v>454</v>
      </c>
      <c r="C141" s="7" t="s">
        <v>7679</v>
      </c>
      <c r="D141" s="7" t="s">
        <v>8995</v>
      </c>
      <c r="E141" s="7" t="s">
        <v>8996</v>
      </c>
      <c r="F141" s="7" t="n">
        <v>2020</v>
      </c>
      <c r="G141" s="7" t="s">
        <v>7867</v>
      </c>
      <c r="H141" s="7" t="s">
        <v>8997</v>
      </c>
      <c r="I141" s="7" t="s">
        <v>8998</v>
      </c>
      <c r="J141" s="7" t="s">
        <v>8999</v>
      </c>
      <c r="K141" s="7" t="s">
        <v>9000</v>
      </c>
      <c r="L141" s="7" t="s">
        <v>9001</v>
      </c>
      <c r="M141" s="7" t="s">
        <v>9002</v>
      </c>
      <c r="N141" s="7" t="s">
        <v>9003</v>
      </c>
      <c r="O141" s="7"/>
      <c r="P141" s="7" t="s">
        <v>7690</v>
      </c>
      <c r="Q141" s="7" t="s">
        <v>7716</v>
      </c>
      <c r="R141" s="7" t="s">
        <v>7692</v>
      </c>
      <c r="S141" s="7" t="s">
        <v>9004</v>
      </c>
      <c r="T141" s="7"/>
      <c r="U141" s="7"/>
    </row>
    <row r="142" customFormat="false" ht="46.25" hidden="false" customHeight="false" outlineLevel="0" collapsed="false">
      <c r="A142" s="7" t="n">
        <v>30</v>
      </c>
      <c r="B142" s="7" t="s">
        <v>454</v>
      </c>
      <c r="C142" s="7" t="s">
        <v>7679</v>
      </c>
      <c r="D142" s="7" t="s">
        <v>9005</v>
      </c>
      <c r="E142" s="7" t="s">
        <v>9006</v>
      </c>
      <c r="F142" s="7" t="n">
        <v>2020</v>
      </c>
      <c r="G142" s="7" t="s">
        <v>9007</v>
      </c>
      <c r="H142" s="7" t="s">
        <v>9008</v>
      </c>
      <c r="I142" s="7" t="s">
        <v>9009</v>
      </c>
      <c r="J142" s="7" t="s">
        <v>7699</v>
      </c>
      <c r="K142" s="7" t="s">
        <v>9010</v>
      </c>
      <c r="L142" s="7" t="s">
        <v>9011</v>
      </c>
      <c r="M142" s="7" t="s">
        <v>9012</v>
      </c>
      <c r="N142" s="7" t="s">
        <v>9013</v>
      </c>
      <c r="O142" s="7"/>
      <c r="P142" s="7" t="s">
        <v>7690</v>
      </c>
      <c r="Q142" s="7" t="s">
        <v>7691</v>
      </c>
      <c r="R142" s="7" t="s">
        <v>7692</v>
      </c>
      <c r="S142" s="7" t="s">
        <v>9014</v>
      </c>
      <c r="T142" s="7"/>
      <c r="U142" s="7"/>
    </row>
    <row r="143" customFormat="false" ht="35.05" hidden="false" customHeight="false" outlineLevel="0" collapsed="false">
      <c r="A143" s="7" t="n">
        <v>30</v>
      </c>
      <c r="B143" s="7" t="s">
        <v>454</v>
      </c>
      <c r="C143" s="7" t="s">
        <v>7679</v>
      </c>
      <c r="D143" s="7" t="s">
        <v>9015</v>
      </c>
      <c r="E143" s="7" t="s">
        <v>9016</v>
      </c>
      <c r="F143" s="7" t="n">
        <v>2016</v>
      </c>
      <c r="G143" s="7" t="s">
        <v>9007</v>
      </c>
      <c r="H143" s="7" t="s">
        <v>9017</v>
      </c>
      <c r="I143" s="7" t="s">
        <v>9018</v>
      </c>
      <c r="J143" s="7" t="s">
        <v>7711</v>
      </c>
      <c r="K143" s="7" t="s">
        <v>9019</v>
      </c>
      <c r="L143" s="7" t="s">
        <v>9020</v>
      </c>
      <c r="M143" s="7" t="s">
        <v>9021</v>
      </c>
      <c r="N143" s="7" t="s">
        <v>7894</v>
      </c>
      <c r="O143" s="7"/>
      <c r="P143" s="7" t="s">
        <v>7690</v>
      </c>
      <c r="Q143" s="7" t="s">
        <v>7691</v>
      </c>
      <c r="R143" s="7" t="s">
        <v>7692</v>
      </c>
      <c r="S143" s="7" t="s">
        <v>9022</v>
      </c>
      <c r="T143" s="7" t="s">
        <v>9023</v>
      </c>
      <c r="U143" s="7" t="s">
        <v>9024</v>
      </c>
    </row>
    <row r="144" customFormat="false" ht="35.05" hidden="false" customHeight="false" outlineLevel="0" collapsed="false">
      <c r="A144" s="7" t="n">
        <v>30</v>
      </c>
      <c r="B144" s="7" t="s">
        <v>454</v>
      </c>
      <c r="C144" s="7" t="s">
        <v>7679</v>
      </c>
      <c r="D144" s="7" t="s">
        <v>9025</v>
      </c>
      <c r="E144" s="7" t="s">
        <v>9026</v>
      </c>
      <c r="F144" s="7" t="n">
        <v>2023</v>
      </c>
      <c r="G144" s="7" t="s">
        <v>7682</v>
      </c>
      <c r="H144" s="7" t="s">
        <v>9027</v>
      </c>
      <c r="I144" s="7" t="s">
        <v>9028</v>
      </c>
      <c r="J144" s="7" t="s">
        <v>7685</v>
      </c>
      <c r="K144" s="7" t="s">
        <v>9029</v>
      </c>
      <c r="L144" s="7" t="s">
        <v>9030</v>
      </c>
      <c r="M144" s="7" t="s">
        <v>9031</v>
      </c>
      <c r="N144" s="7" t="s">
        <v>9032</v>
      </c>
      <c r="O144" s="7"/>
      <c r="P144" s="7" t="s">
        <v>7981</v>
      </c>
      <c r="Q144" s="7" t="s">
        <v>7727</v>
      </c>
      <c r="R144" s="7" t="s">
        <v>7692</v>
      </c>
      <c r="S144" s="7" t="s">
        <v>9033</v>
      </c>
      <c r="T144" s="7"/>
      <c r="U144" s="7"/>
    </row>
    <row r="145" customFormat="false" ht="35.05" hidden="false" customHeight="false" outlineLevel="0" collapsed="false">
      <c r="A145" s="7" t="n">
        <v>30</v>
      </c>
      <c r="B145" s="7" t="s">
        <v>454</v>
      </c>
      <c r="C145" s="7" t="s">
        <v>7679</v>
      </c>
      <c r="D145" s="7" t="s">
        <v>9034</v>
      </c>
      <c r="E145" s="7" t="s">
        <v>9035</v>
      </c>
      <c r="F145" s="7" t="n">
        <v>2025</v>
      </c>
      <c r="G145" s="7" t="s">
        <v>9036</v>
      </c>
      <c r="H145" s="7" t="s">
        <v>9037</v>
      </c>
      <c r="I145" s="7" t="s">
        <v>9038</v>
      </c>
      <c r="J145" s="7" t="s">
        <v>7685</v>
      </c>
      <c r="K145" s="7" t="s">
        <v>9039</v>
      </c>
      <c r="L145" s="7" t="s">
        <v>9040</v>
      </c>
      <c r="M145" s="7" t="s">
        <v>9041</v>
      </c>
      <c r="N145" s="7" t="s">
        <v>9042</v>
      </c>
      <c r="O145" s="7"/>
      <c r="P145" s="7" t="s">
        <v>7690</v>
      </c>
      <c r="Q145" s="7" t="s">
        <v>7727</v>
      </c>
      <c r="R145" s="7" t="s">
        <v>7692</v>
      </c>
      <c r="S145" s="7" t="s">
        <v>9043</v>
      </c>
      <c r="T145" s="7"/>
      <c r="U145" s="7"/>
    </row>
    <row r="146" customFormat="false" ht="35.05" hidden="false" customHeight="false" outlineLevel="0" collapsed="false">
      <c r="A146" s="7" t="n">
        <v>36</v>
      </c>
      <c r="B146" s="7" t="s">
        <v>518</v>
      </c>
      <c r="C146" s="7" t="s">
        <v>7705</v>
      </c>
      <c r="D146" s="7" t="s">
        <v>9044</v>
      </c>
      <c r="E146" s="7" t="s">
        <v>9045</v>
      </c>
      <c r="F146" s="7" t="n">
        <v>2017</v>
      </c>
      <c r="G146" s="7" t="s">
        <v>7792</v>
      </c>
      <c r="H146" s="7" t="s">
        <v>7793</v>
      </c>
      <c r="I146" s="7" t="s">
        <v>9046</v>
      </c>
      <c r="J146" s="7" t="s">
        <v>7711</v>
      </c>
      <c r="K146" s="7" t="s">
        <v>9047</v>
      </c>
      <c r="L146" s="7" t="s">
        <v>9048</v>
      </c>
      <c r="M146" s="7" t="s">
        <v>7714</v>
      </c>
      <c r="N146" s="7" t="s">
        <v>9049</v>
      </c>
      <c r="O146" s="7"/>
      <c r="P146" s="7" t="s">
        <v>7690</v>
      </c>
      <c r="Q146" s="7" t="s">
        <v>7759</v>
      </c>
      <c r="R146" s="7" t="s">
        <v>7692</v>
      </c>
      <c r="S146" s="7" t="s">
        <v>9050</v>
      </c>
      <c r="T146" s="7"/>
      <c r="U146" s="7"/>
    </row>
    <row r="147" customFormat="false" ht="46.25" hidden="false" customHeight="false" outlineLevel="0" collapsed="false">
      <c r="A147" s="7" t="n">
        <v>36</v>
      </c>
      <c r="B147" s="7" t="s">
        <v>518</v>
      </c>
      <c r="C147" s="7" t="s">
        <v>7679</v>
      </c>
      <c r="D147" s="7" t="s">
        <v>9051</v>
      </c>
      <c r="E147" s="7" t="s">
        <v>9052</v>
      </c>
      <c r="F147" s="7" t="n">
        <v>2023</v>
      </c>
      <c r="G147" s="7" t="s">
        <v>8448</v>
      </c>
      <c r="H147" s="7" t="s">
        <v>9053</v>
      </c>
      <c r="I147" s="7" t="s">
        <v>9054</v>
      </c>
      <c r="J147" s="7" t="s">
        <v>9055</v>
      </c>
      <c r="K147" s="7" t="s">
        <v>9056</v>
      </c>
      <c r="L147" s="7" t="s">
        <v>9057</v>
      </c>
      <c r="M147" s="7" t="s">
        <v>8917</v>
      </c>
      <c r="N147" s="7" t="s">
        <v>9058</v>
      </c>
      <c r="O147" s="7"/>
      <c r="P147" s="7" t="s">
        <v>7690</v>
      </c>
      <c r="Q147" s="7" t="s">
        <v>8509</v>
      </c>
      <c r="R147" s="7" t="s">
        <v>7692</v>
      </c>
      <c r="S147" s="7" t="s">
        <v>9059</v>
      </c>
      <c r="T147" s="7"/>
      <c r="U147" s="7"/>
    </row>
    <row r="148" customFormat="false" ht="35.05" hidden="false" customHeight="false" outlineLevel="0" collapsed="false">
      <c r="A148" s="7" t="n">
        <v>36</v>
      </c>
      <c r="B148" s="7" t="s">
        <v>518</v>
      </c>
      <c r="C148" s="7" t="s">
        <v>7679</v>
      </c>
      <c r="D148" s="7" t="s">
        <v>9060</v>
      </c>
      <c r="E148" s="7" t="s">
        <v>9061</v>
      </c>
      <c r="F148" s="7" t="n">
        <v>2021</v>
      </c>
      <c r="G148" s="7" t="s">
        <v>9062</v>
      </c>
      <c r="H148" s="7" t="s">
        <v>9063</v>
      </c>
      <c r="I148" s="7" t="s">
        <v>9064</v>
      </c>
      <c r="J148" s="7" t="s">
        <v>7685</v>
      </c>
      <c r="K148" s="7" t="s">
        <v>9065</v>
      </c>
      <c r="L148" s="7" t="s">
        <v>9066</v>
      </c>
      <c r="M148" s="7" t="s">
        <v>8954</v>
      </c>
      <c r="N148" s="7" t="s">
        <v>9067</v>
      </c>
      <c r="O148" s="7"/>
      <c r="P148" s="7" t="s">
        <v>7690</v>
      </c>
      <c r="Q148" s="7" t="s">
        <v>9068</v>
      </c>
      <c r="R148" s="7" t="s">
        <v>7692</v>
      </c>
      <c r="S148" s="7" t="s">
        <v>9069</v>
      </c>
      <c r="T148" s="7"/>
      <c r="U148" s="7"/>
    </row>
    <row r="149" customFormat="false" ht="46.25" hidden="false" customHeight="false" outlineLevel="0" collapsed="false">
      <c r="A149" s="7" t="n">
        <v>35</v>
      </c>
      <c r="B149" s="7" t="s">
        <v>507</v>
      </c>
      <c r="C149" s="7" t="s">
        <v>7679</v>
      </c>
      <c r="D149" s="7" t="s">
        <v>9070</v>
      </c>
      <c r="E149" s="7" t="s">
        <v>9071</v>
      </c>
      <c r="F149" s="7" t="n">
        <v>2022</v>
      </c>
      <c r="G149" s="7" t="s">
        <v>7781</v>
      </c>
      <c r="H149" s="7" t="s">
        <v>9072</v>
      </c>
      <c r="I149" s="7" t="s">
        <v>9073</v>
      </c>
      <c r="J149" s="7" t="s">
        <v>9074</v>
      </c>
      <c r="K149" s="7" t="s">
        <v>9075</v>
      </c>
      <c r="L149" s="7" t="s">
        <v>9076</v>
      </c>
      <c r="M149" s="7" t="s">
        <v>9077</v>
      </c>
      <c r="N149" s="7" t="s">
        <v>9078</v>
      </c>
      <c r="O149" s="7"/>
      <c r="P149" s="7" t="s">
        <v>7690</v>
      </c>
      <c r="Q149" s="7" t="s">
        <v>7797</v>
      </c>
      <c r="R149" s="7" t="s">
        <v>7692</v>
      </c>
      <c r="S149" s="7" t="s">
        <v>9079</v>
      </c>
      <c r="T149" s="7"/>
      <c r="U149" s="7" t="s">
        <v>9080</v>
      </c>
    </row>
    <row r="150" customFormat="false" ht="35.05" hidden="false" customHeight="false" outlineLevel="0" collapsed="false">
      <c r="A150" s="7" t="n">
        <v>35</v>
      </c>
      <c r="B150" s="7" t="s">
        <v>507</v>
      </c>
      <c r="C150" s="7" t="s">
        <v>7679</v>
      </c>
      <c r="D150" s="7" t="s">
        <v>9081</v>
      </c>
      <c r="E150" s="7" t="s">
        <v>9082</v>
      </c>
      <c r="F150" s="7" t="n">
        <v>2025</v>
      </c>
      <c r="G150" s="7" t="s">
        <v>9083</v>
      </c>
      <c r="H150" s="7" t="s">
        <v>9084</v>
      </c>
      <c r="I150" s="7" t="s">
        <v>9085</v>
      </c>
      <c r="J150" s="7" t="s">
        <v>7315</v>
      </c>
      <c r="K150" s="7" t="s">
        <v>9086</v>
      </c>
      <c r="L150" s="7" t="s">
        <v>9087</v>
      </c>
      <c r="M150" s="7" t="s">
        <v>8954</v>
      </c>
      <c r="N150" s="7" t="s">
        <v>9088</v>
      </c>
      <c r="O150" s="7"/>
      <c r="P150" s="7" t="s">
        <v>7690</v>
      </c>
      <c r="Q150" s="7" t="s">
        <v>7797</v>
      </c>
      <c r="R150" s="7" t="s">
        <v>7692</v>
      </c>
      <c r="S150" s="7" t="s">
        <v>9089</v>
      </c>
      <c r="T150" s="7"/>
      <c r="U150" s="7"/>
    </row>
    <row r="151" customFormat="false" ht="35.05" hidden="false" customHeight="false" outlineLevel="0" collapsed="false">
      <c r="A151" s="7" t="n">
        <v>38</v>
      </c>
      <c r="B151" s="7" t="s">
        <v>541</v>
      </c>
      <c r="C151" s="7" t="s">
        <v>7705</v>
      </c>
      <c r="D151" s="7" t="s">
        <v>9090</v>
      </c>
      <c r="E151" s="7" t="s">
        <v>9091</v>
      </c>
      <c r="F151" s="7" t="n">
        <v>2017</v>
      </c>
      <c r="G151" s="7" t="s">
        <v>7792</v>
      </c>
      <c r="H151" s="7" t="s">
        <v>9092</v>
      </c>
      <c r="I151" s="7" t="s">
        <v>9093</v>
      </c>
      <c r="J151" s="7" t="s">
        <v>7711</v>
      </c>
      <c r="K151" s="7" t="s">
        <v>9094</v>
      </c>
      <c r="L151" s="7" t="s">
        <v>9095</v>
      </c>
      <c r="M151" s="7" t="s">
        <v>7714</v>
      </c>
      <c r="N151" s="7" t="s">
        <v>8043</v>
      </c>
      <c r="O151" s="7"/>
      <c r="P151" s="7" t="s">
        <v>7690</v>
      </c>
      <c r="Q151" s="7" t="s">
        <v>7797</v>
      </c>
      <c r="R151" s="7" t="s">
        <v>7692</v>
      </c>
      <c r="S151" s="7" t="s">
        <v>9096</v>
      </c>
      <c r="T151" s="7"/>
      <c r="U151" s="7" t="s">
        <v>9097</v>
      </c>
    </row>
    <row r="152" customFormat="false" ht="46.25" hidden="false" customHeight="false" outlineLevel="0" collapsed="false">
      <c r="A152" s="7" t="n">
        <v>38</v>
      </c>
      <c r="B152" s="7" t="s">
        <v>541</v>
      </c>
      <c r="C152" s="7" t="s">
        <v>7679</v>
      </c>
      <c r="D152" s="7" t="s">
        <v>9098</v>
      </c>
      <c r="E152" s="7" t="s">
        <v>9099</v>
      </c>
      <c r="F152" s="7" t="n">
        <v>2016</v>
      </c>
      <c r="G152" s="7" t="s">
        <v>9100</v>
      </c>
      <c r="H152" s="7" t="s">
        <v>9101</v>
      </c>
      <c r="I152" s="7" t="s">
        <v>7890</v>
      </c>
      <c r="J152" s="7" t="s">
        <v>7711</v>
      </c>
      <c r="K152" s="7" t="s">
        <v>9102</v>
      </c>
      <c r="L152" s="7" t="s">
        <v>9103</v>
      </c>
      <c r="M152" s="7" t="s">
        <v>7955</v>
      </c>
      <c r="N152" s="7" t="s">
        <v>9104</v>
      </c>
      <c r="O152" s="7"/>
      <c r="P152" s="7" t="s">
        <v>7690</v>
      </c>
      <c r="Q152" s="7" t="s">
        <v>7727</v>
      </c>
      <c r="R152" s="7" t="s">
        <v>7692</v>
      </c>
      <c r="S152" s="7" t="s">
        <v>9105</v>
      </c>
      <c r="T152" s="7"/>
      <c r="U152" s="7" t="s">
        <v>9106</v>
      </c>
    </row>
    <row r="153" customFormat="false" ht="46.25" hidden="false" customHeight="false" outlineLevel="0" collapsed="false">
      <c r="A153" s="7" t="n">
        <v>38</v>
      </c>
      <c r="B153" s="7" t="s">
        <v>541</v>
      </c>
      <c r="C153" s="7" t="s">
        <v>7679</v>
      </c>
      <c r="D153" s="7" t="s">
        <v>9107</v>
      </c>
      <c r="E153" s="7" t="s">
        <v>9108</v>
      </c>
      <c r="F153" s="7" t="n">
        <v>2026</v>
      </c>
      <c r="G153" s="7" t="s">
        <v>9109</v>
      </c>
      <c r="H153" s="7" t="s">
        <v>9110</v>
      </c>
      <c r="I153" s="7" t="s">
        <v>9111</v>
      </c>
      <c r="J153" s="7" t="s">
        <v>9112</v>
      </c>
      <c r="K153" s="7" t="s">
        <v>9113</v>
      </c>
      <c r="L153" s="7" t="s">
        <v>9114</v>
      </c>
      <c r="M153" s="7" t="s">
        <v>9115</v>
      </c>
      <c r="N153" s="7" t="s">
        <v>9116</v>
      </c>
      <c r="O153" s="7"/>
      <c r="P153" s="7" t="s">
        <v>7690</v>
      </c>
      <c r="Q153" s="7" t="s">
        <v>9117</v>
      </c>
      <c r="R153" s="7" t="s">
        <v>7692</v>
      </c>
      <c r="S153" s="7" t="s">
        <v>9118</v>
      </c>
      <c r="T153" s="7"/>
      <c r="U153" s="7"/>
    </row>
    <row r="154" customFormat="false" ht="57.45" hidden="false" customHeight="false" outlineLevel="0" collapsed="false">
      <c r="A154" s="7" t="n">
        <v>38</v>
      </c>
      <c r="B154" s="7" t="s">
        <v>541</v>
      </c>
      <c r="C154" s="7" t="s">
        <v>7679</v>
      </c>
      <c r="D154" s="7" t="s">
        <v>9081</v>
      </c>
      <c r="E154" s="7" t="s">
        <v>9082</v>
      </c>
      <c r="F154" s="7" t="n">
        <v>2025</v>
      </c>
      <c r="G154" s="7" t="s">
        <v>9083</v>
      </c>
      <c r="H154" s="7" t="s">
        <v>9119</v>
      </c>
      <c r="I154" s="7" t="s">
        <v>9120</v>
      </c>
      <c r="J154" s="7" t="s">
        <v>9112</v>
      </c>
      <c r="K154" s="7" t="s">
        <v>9121</v>
      </c>
      <c r="L154" s="7" t="s">
        <v>9122</v>
      </c>
      <c r="M154" s="7" t="s">
        <v>9115</v>
      </c>
      <c r="N154" s="7" t="s">
        <v>9123</v>
      </c>
      <c r="O154" s="7"/>
      <c r="P154" s="7" t="s">
        <v>7690</v>
      </c>
      <c r="Q154" s="7" t="s">
        <v>7797</v>
      </c>
      <c r="R154" s="7" t="s">
        <v>7692</v>
      </c>
      <c r="S154" s="7" t="s">
        <v>9089</v>
      </c>
      <c r="T154" s="7"/>
      <c r="U154" s="7"/>
    </row>
    <row r="155" customFormat="false" ht="46.25" hidden="false" customHeight="false" outlineLevel="0" collapsed="false">
      <c r="A155" s="7" t="n">
        <v>40</v>
      </c>
      <c r="B155" s="7" t="s">
        <v>563</v>
      </c>
      <c r="C155" s="7" t="s">
        <v>7705</v>
      </c>
      <c r="D155" s="7" t="s">
        <v>9124</v>
      </c>
      <c r="E155" s="7" t="s">
        <v>9125</v>
      </c>
      <c r="F155" s="7" t="n">
        <v>2017</v>
      </c>
      <c r="G155" s="7" t="s">
        <v>7792</v>
      </c>
      <c r="H155" s="7" t="s">
        <v>7793</v>
      </c>
      <c r="I155" s="7" t="s">
        <v>9126</v>
      </c>
      <c r="J155" s="7" t="s">
        <v>8175</v>
      </c>
      <c r="K155" s="7" t="s">
        <v>9127</v>
      </c>
      <c r="L155" s="7" t="s">
        <v>9128</v>
      </c>
      <c r="M155" s="7" t="s">
        <v>7714</v>
      </c>
      <c r="N155" s="7" t="s">
        <v>9129</v>
      </c>
      <c r="O155" s="7"/>
      <c r="P155" s="7" t="s">
        <v>7690</v>
      </c>
      <c r="Q155" s="7" t="s">
        <v>7759</v>
      </c>
      <c r="R155" s="7" t="s">
        <v>7692</v>
      </c>
      <c r="S155" s="7" t="s">
        <v>9130</v>
      </c>
      <c r="T155" s="7"/>
      <c r="U155" s="7" t="s">
        <v>9131</v>
      </c>
    </row>
    <row r="156" customFormat="false" ht="35.05" hidden="false" customHeight="false" outlineLevel="0" collapsed="false">
      <c r="A156" s="7" t="n">
        <v>40</v>
      </c>
      <c r="B156" s="7" t="s">
        <v>563</v>
      </c>
      <c r="C156" s="7" t="s">
        <v>7679</v>
      </c>
      <c r="D156" s="7" t="s">
        <v>9132</v>
      </c>
      <c r="E156" s="7" t="s">
        <v>9133</v>
      </c>
      <c r="F156" s="7" t="n">
        <v>2023</v>
      </c>
      <c r="G156" s="7" t="s">
        <v>8448</v>
      </c>
      <c r="H156" s="7" t="s">
        <v>9134</v>
      </c>
      <c r="I156" s="7" t="s">
        <v>8951</v>
      </c>
      <c r="J156" s="7" t="s">
        <v>7315</v>
      </c>
      <c r="K156" s="7" t="s">
        <v>9135</v>
      </c>
      <c r="L156" s="7" t="s">
        <v>9136</v>
      </c>
      <c r="M156" s="7" t="s">
        <v>9137</v>
      </c>
      <c r="N156" s="7" t="s">
        <v>9138</v>
      </c>
      <c r="O156" s="7"/>
      <c r="P156" s="7" t="s">
        <v>7690</v>
      </c>
      <c r="Q156" s="7" t="s">
        <v>7797</v>
      </c>
      <c r="R156" s="7" t="s">
        <v>7692</v>
      </c>
      <c r="S156" s="7" t="s">
        <v>9139</v>
      </c>
      <c r="T156" s="7"/>
      <c r="U156" s="7" t="s">
        <v>9140</v>
      </c>
    </row>
    <row r="157" customFormat="false" ht="57.45" hidden="false" customHeight="false" outlineLevel="0" collapsed="false">
      <c r="A157" s="7" t="n">
        <v>40</v>
      </c>
      <c r="B157" s="7" t="s">
        <v>563</v>
      </c>
      <c r="C157" s="7" t="s">
        <v>7679</v>
      </c>
      <c r="D157" s="7" t="s">
        <v>9141</v>
      </c>
      <c r="E157" s="7" t="s">
        <v>9142</v>
      </c>
      <c r="F157" s="7" t="n">
        <v>2024</v>
      </c>
      <c r="G157" s="7" t="s">
        <v>9143</v>
      </c>
      <c r="H157" s="7" t="s">
        <v>9144</v>
      </c>
      <c r="I157" s="7" t="s">
        <v>9145</v>
      </c>
      <c r="J157" s="7" t="s">
        <v>9146</v>
      </c>
      <c r="K157" s="7" t="s">
        <v>9147</v>
      </c>
      <c r="L157" s="7" t="s">
        <v>9148</v>
      </c>
      <c r="M157" s="7" t="s">
        <v>9149</v>
      </c>
      <c r="N157" s="7" t="s">
        <v>9150</v>
      </c>
      <c r="O157" s="7"/>
      <c r="P157" s="7" t="s">
        <v>7690</v>
      </c>
      <c r="Q157" s="7" t="s">
        <v>7727</v>
      </c>
      <c r="R157" s="7" t="s">
        <v>7692</v>
      </c>
      <c r="S157" s="7" t="s">
        <v>9151</v>
      </c>
      <c r="T157" s="7" t="s">
        <v>9152</v>
      </c>
      <c r="U157" s="7" t="s">
        <v>9153</v>
      </c>
    </row>
    <row r="158" customFormat="false" ht="57.45" hidden="false" customHeight="false" outlineLevel="0" collapsed="false">
      <c r="A158" s="7" t="n">
        <v>27</v>
      </c>
      <c r="B158" s="7" t="s">
        <v>419</v>
      </c>
      <c r="C158" s="7" t="s">
        <v>7705</v>
      </c>
      <c r="D158" s="7" t="s">
        <v>9154</v>
      </c>
      <c r="E158" s="7" t="s">
        <v>9155</v>
      </c>
      <c r="F158" s="7" t="n">
        <v>2015</v>
      </c>
      <c r="G158" s="7" t="s">
        <v>7792</v>
      </c>
      <c r="H158" s="7" t="s">
        <v>9156</v>
      </c>
      <c r="I158" s="7" t="s">
        <v>9157</v>
      </c>
      <c r="J158" s="7" t="s">
        <v>7711</v>
      </c>
      <c r="K158" s="7" t="s">
        <v>9158</v>
      </c>
      <c r="L158" s="7" t="s">
        <v>9159</v>
      </c>
      <c r="M158" s="7" t="s">
        <v>7714</v>
      </c>
      <c r="N158" s="7" t="s">
        <v>9160</v>
      </c>
      <c r="O158" s="7"/>
      <c r="P158" s="7" t="s">
        <v>7690</v>
      </c>
      <c r="Q158" s="7" t="s">
        <v>7759</v>
      </c>
      <c r="R158" s="7" t="s">
        <v>7692</v>
      </c>
      <c r="S158" s="7" t="s">
        <v>9161</v>
      </c>
      <c r="T158" s="7"/>
      <c r="U158" s="7" t="s">
        <v>9162</v>
      </c>
    </row>
    <row r="159" customFormat="false" ht="57.45" hidden="false" customHeight="false" outlineLevel="0" collapsed="false">
      <c r="A159" s="7" t="n">
        <v>27</v>
      </c>
      <c r="B159" s="7" t="s">
        <v>419</v>
      </c>
      <c r="C159" s="7" t="s">
        <v>7679</v>
      </c>
      <c r="D159" s="7" t="s">
        <v>9163</v>
      </c>
      <c r="E159" s="7" t="s">
        <v>9164</v>
      </c>
      <c r="F159" s="7" t="n">
        <v>2016</v>
      </c>
      <c r="G159" s="7" t="s">
        <v>9165</v>
      </c>
      <c r="H159" s="7" t="s">
        <v>9166</v>
      </c>
      <c r="I159" s="7" t="s">
        <v>9167</v>
      </c>
      <c r="J159" s="7" t="s">
        <v>7685</v>
      </c>
      <c r="K159" s="7" t="s">
        <v>9168</v>
      </c>
      <c r="L159" s="7" t="s">
        <v>9169</v>
      </c>
      <c r="M159" s="7" t="s">
        <v>7955</v>
      </c>
      <c r="N159" s="7" t="s">
        <v>9170</v>
      </c>
      <c r="O159" s="7"/>
      <c r="P159" s="7" t="s">
        <v>7690</v>
      </c>
      <c r="Q159" s="7" t="s">
        <v>7727</v>
      </c>
      <c r="R159" s="7" t="s">
        <v>7692</v>
      </c>
      <c r="S159" s="7" t="s">
        <v>9171</v>
      </c>
      <c r="T159" s="7" t="s">
        <v>9171</v>
      </c>
      <c r="U159" s="7" t="s">
        <v>9172</v>
      </c>
    </row>
    <row r="160" customFormat="false" ht="46.25" hidden="false" customHeight="false" outlineLevel="0" collapsed="false">
      <c r="A160" s="7" t="n">
        <v>28</v>
      </c>
      <c r="B160" s="7" t="s">
        <v>432</v>
      </c>
      <c r="C160" s="7" t="s">
        <v>7705</v>
      </c>
      <c r="D160" s="7" t="s">
        <v>9154</v>
      </c>
      <c r="E160" s="7" t="s">
        <v>9155</v>
      </c>
      <c r="F160" s="7" t="n">
        <v>2015</v>
      </c>
      <c r="G160" s="7" t="s">
        <v>7792</v>
      </c>
      <c r="H160" s="7" t="s">
        <v>9156</v>
      </c>
      <c r="I160" s="7" t="s">
        <v>9157</v>
      </c>
      <c r="J160" s="7" t="s">
        <v>7711</v>
      </c>
      <c r="K160" s="7" t="s">
        <v>9173</v>
      </c>
      <c r="L160" s="7" t="s">
        <v>9174</v>
      </c>
      <c r="M160" s="7" t="s">
        <v>7714</v>
      </c>
      <c r="N160" s="7" t="s">
        <v>9175</v>
      </c>
      <c r="O160" s="7"/>
      <c r="P160" s="7" t="s">
        <v>7690</v>
      </c>
      <c r="Q160" s="7" t="s">
        <v>7759</v>
      </c>
      <c r="R160" s="7" t="s">
        <v>7692</v>
      </c>
      <c r="S160" s="7" t="s">
        <v>9161</v>
      </c>
      <c r="T160" s="7"/>
      <c r="U160" s="7" t="s">
        <v>9162</v>
      </c>
    </row>
    <row r="161" customFormat="false" ht="46.25" hidden="false" customHeight="false" outlineLevel="0" collapsed="false">
      <c r="A161" s="7" t="n">
        <v>28</v>
      </c>
      <c r="B161" s="7" t="s">
        <v>432</v>
      </c>
      <c r="C161" s="7" t="s">
        <v>7705</v>
      </c>
      <c r="D161" s="7" t="s">
        <v>9176</v>
      </c>
      <c r="E161" s="7" t="s">
        <v>9177</v>
      </c>
      <c r="F161" s="7" t="n">
        <v>2023</v>
      </c>
      <c r="G161" s="7" t="s">
        <v>7792</v>
      </c>
      <c r="H161" s="7" t="s">
        <v>9178</v>
      </c>
      <c r="I161" s="7" t="s">
        <v>9179</v>
      </c>
      <c r="J161" s="7" t="s">
        <v>7315</v>
      </c>
      <c r="K161" s="7" t="s">
        <v>9180</v>
      </c>
      <c r="L161" s="7" t="s">
        <v>9181</v>
      </c>
      <c r="M161" s="7" t="s">
        <v>7861</v>
      </c>
      <c r="N161" s="7" t="s">
        <v>9182</v>
      </c>
      <c r="O161" s="7"/>
      <c r="P161" s="7" t="s">
        <v>7690</v>
      </c>
      <c r="Q161" s="7" t="s">
        <v>7797</v>
      </c>
      <c r="R161" s="7" t="s">
        <v>7692</v>
      </c>
      <c r="S161" s="7" t="s">
        <v>9183</v>
      </c>
      <c r="T161" s="7"/>
      <c r="U161" s="7" t="s">
        <v>9184</v>
      </c>
    </row>
    <row r="162" customFormat="false" ht="57.45" hidden="false" customHeight="false" outlineLevel="0" collapsed="false">
      <c r="A162" s="7" t="n">
        <v>34</v>
      </c>
      <c r="B162" s="7" t="s">
        <v>498</v>
      </c>
      <c r="C162" s="7" t="s">
        <v>7705</v>
      </c>
      <c r="D162" s="7" t="s">
        <v>7948</v>
      </c>
      <c r="E162" s="7" t="s">
        <v>9185</v>
      </c>
      <c r="F162" s="7" t="n">
        <v>2016</v>
      </c>
      <c r="G162" s="7" t="s">
        <v>7792</v>
      </c>
      <c r="H162" s="7" t="s">
        <v>9186</v>
      </c>
      <c r="I162" s="7" t="s">
        <v>9187</v>
      </c>
      <c r="J162" s="7" t="s">
        <v>8175</v>
      </c>
      <c r="K162" s="7" t="s">
        <v>9188</v>
      </c>
      <c r="L162" s="7" t="s">
        <v>9189</v>
      </c>
      <c r="M162" s="7" t="s">
        <v>7714</v>
      </c>
      <c r="N162" s="7" t="s">
        <v>9190</v>
      </c>
      <c r="O162" s="7"/>
      <c r="P162" s="7" t="s">
        <v>7690</v>
      </c>
      <c r="Q162" s="7" t="s">
        <v>7759</v>
      </c>
      <c r="R162" s="7" t="s">
        <v>7692</v>
      </c>
      <c r="S162" s="7" t="s">
        <v>9191</v>
      </c>
      <c r="T162" s="7"/>
      <c r="U162" s="7" t="s">
        <v>9192</v>
      </c>
    </row>
    <row r="163" customFormat="false" ht="46.25" hidden="false" customHeight="false" outlineLevel="0" collapsed="false">
      <c r="A163" s="7" t="n">
        <v>33</v>
      </c>
      <c r="B163" s="7" t="s">
        <v>488</v>
      </c>
      <c r="C163" s="7" t="s">
        <v>7705</v>
      </c>
      <c r="D163" s="7" t="s">
        <v>7948</v>
      </c>
      <c r="E163" s="7" t="s">
        <v>9185</v>
      </c>
      <c r="F163" s="7" t="n">
        <v>2016</v>
      </c>
      <c r="G163" s="7" t="s">
        <v>7792</v>
      </c>
      <c r="H163" s="7" t="s">
        <v>7793</v>
      </c>
      <c r="I163" s="7" t="s">
        <v>9193</v>
      </c>
      <c r="J163" s="7" t="s">
        <v>7711</v>
      </c>
      <c r="K163" s="7" t="s">
        <v>9194</v>
      </c>
      <c r="L163" s="7" t="s">
        <v>9195</v>
      </c>
      <c r="M163" s="7" t="s">
        <v>7714</v>
      </c>
      <c r="N163" s="7" t="s">
        <v>9196</v>
      </c>
      <c r="O163" s="7"/>
      <c r="P163" s="7" t="s">
        <v>7690</v>
      </c>
      <c r="Q163" s="7" t="s">
        <v>7716</v>
      </c>
      <c r="R163" s="7" t="s">
        <v>7692</v>
      </c>
      <c r="S163" s="7" t="s">
        <v>9191</v>
      </c>
      <c r="T163" s="7"/>
      <c r="U163" s="7" t="s">
        <v>9192</v>
      </c>
    </row>
    <row r="164" customFormat="false" ht="46.25" hidden="false" customHeight="false" outlineLevel="0" collapsed="false">
      <c r="A164" s="7" t="n">
        <v>33</v>
      </c>
      <c r="B164" s="7" t="s">
        <v>488</v>
      </c>
      <c r="C164" s="7" t="s">
        <v>7679</v>
      </c>
      <c r="D164" s="7" t="s">
        <v>9197</v>
      </c>
      <c r="E164" s="7" t="s">
        <v>9198</v>
      </c>
      <c r="F164" s="7" t="n">
        <v>2024</v>
      </c>
      <c r="G164" s="7" t="s">
        <v>7867</v>
      </c>
      <c r="H164" s="7" t="s">
        <v>9199</v>
      </c>
      <c r="I164" s="7" t="s">
        <v>9200</v>
      </c>
      <c r="J164" s="7" t="s">
        <v>9201</v>
      </c>
      <c r="K164" s="7" t="s">
        <v>9202</v>
      </c>
      <c r="L164" s="7" t="s">
        <v>9203</v>
      </c>
      <c r="M164" s="7" t="s">
        <v>9204</v>
      </c>
      <c r="N164" s="7" t="s">
        <v>9205</v>
      </c>
      <c r="O164" s="7"/>
      <c r="P164" s="7" t="s">
        <v>7690</v>
      </c>
      <c r="Q164" s="7" t="s">
        <v>7716</v>
      </c>
      <c r="R164" s="7" t="s">
        <v>7692</v>
      </c>
      <c r="S164" s="7" t="s">
        <v>9206</v>
      </c>
      <c r="T164" s="7" t="s">
        <v>9206</v>
      </c>
      <c r="U164" s="7"/>
    </row>
    <row r="165" customFormat="false" ht="46.25" hidden="false" customHeight="false" outlineLevel="0" collapsed="false">
      <c r="A165" s="7" t="n">
        <v>33</v>
      </c>
      <c r="B165" s="7" t="s">
        <v>488</v>
      </c>
      <c r="C165" s="7" t="s">
        <v>7679</v>
      </c>
      <c r="D165" s="7" t="s">
        <v>9207</v>
      </c>
      <c r="E165" s="7" t="s">
        <v>9208</v>
      </c>
      <c r="F165" s="7" t="n">
        <v>2020</v>
      </c>
      <c r="G165" s="7" t="s">
        <v>7682</v>
      </c>
      <c r="H165" s="7" t="s">
        <v>9209</v>
      </c>
      <c r="I165" s="7" t="s">
        <v>9210</v>
      </c>
      <c r="J165" s="7" t="s">
        <v>9211</v>
      </c>
      <c r="K165" s="7" t="s">
        <v>9212</v>
      </c>
      <c r="L165" s="7" t="s">
        <v>9213</v>
      </c>
      <c r="M165" s="7" t="s">
        <v>9214</v>
      </c>
      <c r="N165" s="7" t="s">
        <v>9215</v>
      </c>
      <c r="O165" s="7"/>
      <c r="P165" s="7" t="s">
        <v>7981</v>
      </c>
      <c r="Q165" s="7" t="s">
        <v>7727</v>
      </c>
      <c r="R165" s="7" t="s">
        <v>7692</v>
      </c>
      <c r="S165" s="7" t="s">
        <v>9216</v>
      </c>
      <c r="T165" s="7" t="s">
        <v>9217</v>
      </c>
      <c r="U165" s="7"/>
    </row>
    <row r="166" customFormat="false" ht="35.05" hidden="false" customHeight="false" outlineLevel="0" collapsed="false">
      <c r="A166" s="7" t="n">
        <v>33</v>
      </c>
      <c r="B166" s="7" t="s">
        <v>488</v>
      </c>
      <c r="C166" s="7" t="s">
        <v>7679</v>
      </c>
      <c r="D166" s="7" t="s">
        <v>9218</v>
      </c>
      <c r="E166" s="7" t="s">
        <v>9219</v>
      </c>
      <c r="F166" s="7" t="n">
        <v>2021</v>
      </c>
      <c r="G166" s="7" t="s">
        <v>8141</v>
      </c>
      <c r="H166" s="7" t="s">
        <v>9220</v>
      </c>
      <c r="I166" s="7" t="s">
        <v>9221</v>
      </c>
      <c r="J166" s="7" t="s">
        <v>9211</v>
      </c>
      <c r="K166" s="7" t="s">
        <v>9222</v>
      </c>
      <c r="L166" s="7" t="s">
        <v>9223</v>
      </c>
      <c r="M166" s="7" t="s">
        <v>9224</v>
      </c>
      <c r="N166" s="7" t="s">
        <v>9225</v>
      </c>
      <c r="O166" s="7" t="s">
        <v>9226</v>
      </c>
      <c r="P166" s="7" t="s">
        <v>7690</v>
      </c>
      <c r="Q166" s="7" t="s">
        <v>7691</v>
      </c>
      <c r="R166" s="7" t="s">
        <v>7692</v>
      </c>
      <c r="S166" s="7" t="s">
        <v>9227</v>
      </c>
      <c r="T166" s="7" t="s">
        <v>9228</v>
      </c>
      <c r="U166" s="7"/>
    </row>
    <row r="167" customFormat="false" ht="46.25" hidden="false" customHeight="false" outlineLevel="0" collapsed="false">
      <c r="A167" s="7" t="n">
        <v>33</v>
      </c>
      <c r="B167" s="7" t="s">
        <v>488</v>
      </c>
      <c r="C167" s="7" t="s">
        <v>7679</v>
      </c>
      <c r="D167" s="7" t="s">
        <v>9229</v>
      </c>
      <c r="E167" s="7" t="s">
        <v>9230</v>
      </c>
      <c r="F167" s="7" t="n">
        <v>2017</v>
      </c>
      <c r="G167" s="7" t="s">
        <v>9231</v>
      </c>
      <c r="H167" s="7" t="s">
        <v>9232</v>
      </c>
      <c r="I167" s="7" t="s">
        <v>9233</v>
      </c>
      <c r="J167" s="7" t="s">
        <v>9211</v>
      </c>
      <c r="K167" s="7" t="s">
        <v>9234</v>
      </c>
      <c r="L167" s="7" t="s">
        <v>9235</v>
      </c>
      <c r="M167" s="7" t="s">
        <v>9236</v>
      </c>
      <c r="N167" s="7" t="s">
        <v>9237</v>
      </c>
      <c r="O167" s="7"/>
      <c r="P167" s="7" t="s">
        <v>7690</v>
      </c>
      <c r="Q167" s="7" t="s">
        <v>7727</v>
      </c>
      <c r="R167" s="7" t="s">
        <v>7692</v>
      </c>
      <c r="S167" s="7" t="s">
        <v>9238</v>
      </c>
      <c r="T167" s="7"/>
      <c r="U167" s="7"/>
    </row>
    <row r="168" customFormat="false" ht="46.25" hidden="false" customHeight="false" outlineLevel="0" collapsed="false">
      <c r="A168" s="7" t="n">
        <v>33</v>
      </c>
      <c r="B168" s="7" t="s">
        <v>488</v>
      </c>
      <c r="C168" s="7" t="s">
        <v>8160</v>
      </c>
      <c r="D168" s="7" t="s">
        <v>9239</v>
      </c>
      <c r="E168" s="7" t="s">
        <v>9240</v>
      </c>
      <c r="F168" s="7" t="n">
        <v>2024</v>
      </c>
      <c r="G168" s="7" t="s">
        <v>9241</v>
      </c>
      <c r="H168" s="7" t="s">
        <v>8218</v>
      </c>
      <c r="I168" s="7" t="s">
        <v>9242</v>
      </c>
      <c r="J168" s="7" t="s">
        <v>7315</v>
      </c>
      <c r="K168" s="7" t="s">
        <v>9243</v>
      </c>
      <c r="L168" s="7" t="s">
        <v>9244</v>
      </c>
      <c r="M168" s="7" t="s">
        <v>9245</v>
      </c>
      <c r="N168" s="7" t="s">
        <v>8218</v>
      </c>
      <c r="O168" s="7"/>
      <c r="P168" s="7" t="s">
        <v>7690</v>
      </c>
      <c r="Q168" s="7" t="s">
        <v>7727</v>
      </c>
      <c r="R168" s="7" t="s">
        <v>7692</v>
      </c>
      <c r="S168" s="7" t="s">
        <v>9246</v>
      </c>
      <c r="T168" s="7"/>
      <c r="U168" s="7"/>
    </row>
    <row r="169" customFormat="false" ht="46.25" hidden="false" customHeight="false" outlineLevel="0" collapsed="false">
      <c r="A169" s="7" t="n">
        <v>33</v>
      </c>
      <c r="B169" s="7" t="s">
        <v>488</v>
      </c>
      <c r="C169" s="7" t="s">
        <v>7679</v>
      </c>
      <c r="D169" s="7" t="s">
        <v>9247</v>
      </c>
      <c r="E169" s="7" t="s">
        <v>9248</v>
      </c>
      <c r="F169" s="7" t="n">
        <v>2022</v>
      </c>
      <c r="G169" s="7" t="s">
        <v>7682</v>
      </c>
      <c r="H169" s="7" t="s">
        <v>9249</v>
      </c>
      <c r="I169" s="7" t="s">
        <v>9250</v>
      </c>
      <c r="J169" s="7" t="s">
        <v>9251</v>
      </c>
      <c r="K169" s="7" t="s">
        <v>9252</v>
      </c>
      <c r="L169" s="7" t="s">
        <v>9253</v>
      </c>
      <c r="M169" s="7" t="s">
        <v>9254</v>
      </c>
      <c r="N169" s="7" t="s">
        <v>9255</v>
      </c>
      <c r="O169" s="7"/>
      <c r="P169" s="7" t="s">
        <v>7690</v>
      </c>
      <c r="Q169" s="7" t="s">
        <v>7691</v>
      </c>
      <c r="R169" s="7" t="s">
        <v>7692</v>
      </c>
      <c r="S169" s="7" t="s">
        <v>9256</v>
      </c>
      <c r="T169" s="7"/>
      <c r="U169" s="7" t="s">
        <v>9257</v>
      </c>
    </row>
    <row r="170" customFormat="false" ht="35.05" hidden="false" customHeight="false" outlineLevel="0" collapsed="false">
      <c r="A170" s="7" t="n">
        <v>43</v>
      </c>
      <c r="B170" s="7" t="s">
        <v>596</v>
      </c>
      <c r="C170" s="7" t="s">
        <v>7705</v>
      </c>
      <c r="D170" s="7" t="s">
        <v>9258</v>
      </c>
      <c r="E170" s="7" t="s">
        <v>9259</v>
      </c>
      <c r="F170" s="7" t="n">
        <v>2018</v>
      </c>
      <c r="G170" s="7" t="s">
        <v>7792</v>
      </c>
      <c r="H170" s="7" t="s">
        <v>9260</v>
      </c>
      <c r="I170" s="7" t="s">
        <v>9261</v>
      </c>
      <c r="J170" s="7" t="s">
        <v>7711</v>
      </c>
      <c r="K170" s="7" t="s">
        <v>9262</v>
      </c>
      <c r="L170" s="7" t="s">
        <v>9263</v>
      </c>
      <c r="M170" s="7" t="s">
        <v>9264</v>
      </c>
      <c r="N170" s="7" t="s">
        <v>9265</v>
      </c>
      <c r="O170" s="7"/>
      <c r="P170" s="7" t="s">
        <v>7690</v>
      </c>
      <c r="Q170" s="7" t="s">
        <v>7797</v>
      </c>
      <c r="R170" s="7" t="s">
        <v>7692</v>
      </c>
      <c r="S170" s="7" t="s">
        <v>9266</v>
      </c>
      <c r="T170" s="7"/>
      <c r="U170" s="7"/>
    </row>
    <row r="171" customFormat="false" ht="46.25" hidden="false" customHeight="false" outlineLevel="0" collapsed="false">
      <c r="A171" s="7" t="n">
        <v>43</v>
      </c>
      <c r="B171" s="7" t="s">
        <v>596</v>
      </c>
      <c r="C171" s="7" t="s">
        <v>7679</v>
      </c>
      <c r="D171" s="7" t="s">
        <v>9267</v>
      </c>
      <c r="E171" s="7" t="s">
        <v>9268</v>
      </c>
      <c r="F171" s="7" t="n">
        <v>2018</v>
      </c>
      <c r="G171" s="7" t="s">
        <v>7781</v>
      </c>
      <c r="H171" s="7" t="s">
        <v>9269</v>
      </c>
      <c r="I171" s="7" t="s">
        <v>9270</v>
      </c>
      <c r="J171" s="7" t="s">
        <v>8090</v>
      </c>
      <c r="K171" s="7" t="s">
        <v>9271</v>
      </c>
      <c r="L171" s="7" t="s">
        <v>9272</v>
      </c>
      <c r="M171" s="7" t="s">
        <v>9273</v>
      </c>
      <c r="N171" s="7" t="s">
        <v>9274</v>
      </c>
      <c r="O171" s="7"/>
      <c r="P171" s="7" t="s">
        <v>7690</v>
      </c>
      <c r="Q171" s="7" t="s">
        <v>7819</v>
      </c>
      <c r="R171" s="7" t="s">
        <v>7692</v>
      </c>
      <c r="S171" s="7" t="s">
        <v>9275</v>
      </c>
      <c r="T171" s="7"/>
      <c r="U171" s="7"/>
    </row>
    <row r="172" customFormat="false" ht="35.05" hidden="false" customHeight="false" outlineLevel="0" collapsed="false">
      <c r="A172" s="7" t="n">
        <v>43</v>
      </c>
      <c r="B172" s="7" t="s">
        <v>596</v>
      </c>
      <c r="C172" s="7" t="s">
        <v>7705</v>
      </c>
      <c r="D172" s="7" t="s">
        <v>9276</v>
      </c>
      <c r="E172" s="7" t="s">
        <v>9277</v>
      </c>
      <c r="F172" s="7" t="n">
        <v>2022</v>
      </c>
      <c r="G172" s="7" t="s">
        <v>7792</v>
      </c>
      <c r="H172" s="7" t="s">
        <v>7793</v>
      </c>
      <c r="I172" s="7" t="s">
        <v>9278</v>
      </c>
      <c r="J172" s="7" t="s">
        <v>7711</v>
      </c>
      <c r="K172" s="7" t="s">
        <v>9279</v>
      </c>
      <c r="L172" s="7" t="s">
        <v>9280</v>
      </c>
      <c r="M172" s="7" t="s">
        <v>9281</v>
      </c>
      <c r="N172" s="7" t="s">
        <v>8043</v>
      </c>
      <c r="O172" s="7"/>
      <c r="P172" s="7" t="s">
        <v>7690</v>
      </c>
      <c r="Q172" s="7" t="s">
        <v>7957</v>
      </c>
      <c r="R172" s="7" t="s">
        <v>7692</v>
      </c>
      <c r="S172" s="7" t="s">
        <v>9282</v>
      </c>
      <c r="T172" s="7" t="s">
        <v>9283</v>
      </c>
      <c r="U172" s="7"/>
    </row>
    <row r="173" customFormat="false" ht="23.85" hidden="false" customHeight="false" outlineLevel="0" collapsed="false">
      <c r="A173" s="7" t="n">
        <v>43</v>
      </c>
      <c r="B173" s="7" t="s">
        <v>596</v>
      </c>
      <c r="C173" s="7" t="s">
        <v>7679</v>
      </c>
      <c r="D173" s="7" t="s">
        <v>9284</v>
      </c>
      <c r="E173" s="7" t="s">
        <v>9285</v>
      </c>
      <c r="F173" s="7" t="n">
        <v>2025</v>
      </c>
      <c r="G173" s="7" t="s">
        <v>8242</v>
      </c>
      <c r="H173" s="7" t="s">
        <v>9286</v>
      </c>
      <c r="I173" s="7" t="s">
        <v>9287</v>
      </c>
      <c r="J173" s="7" t="s">
        <v>9288</v>
      </c>
      <c r="K173" s="7" t="s">
        <v>9289</v>
      </c>
      <c r="L173" s="7" t="s">
        <v>9290</v>
      </c>
      <c r="M173" s="7" t="s">
        <v>9291</v>
      </c>
      <c r="N173" s="7" t="s">
        <v>9292</v>
      </c>
      <c r="O173" s="7"/>
      <c r="P173" s="7" t="s">
        <v>7690</v>
      </c>
      <c r="Q173" s="7" t="s">
        <v>7797</v>
      </c>
      <c r="R173" s="7" t="s">
        <v>7692</v>
      </c>
      <c r="S173" s="7" t="s">
        <v>9293</v>
      </c>
      <c r="T173" s="7"/>
      <c r="U173" s="7"/>
    </row>
    <row r="174" customFormat="false" ht="35.05" hidden="false" customHeight="false" outlineLevel="0" collapsed="false">
      <c r="A174" s="7" t="n">
        <v>43</v>
      </c>
      <c r="B174" s="7" t="s">
        <v>596</v>
      </c>
      <c r="C174" s="7" t="s">
        <v>7679</v>
      </c>
      <c r="D174" s="7" t="s">
        <v>9294</v>
      </c>
      <c r="E174" s="7" t="s">
        <v>9295</v>
      </c>
      <c r="F174" s="7" t="n">
        <v>2020</v>
      </c>
      <c r="G174" s="7" t="s">
        <v>8207</v>
      </c>
      <c r="H174" s="7" t="s">
        <v>9296</v>
      </c>
      <c r="I174" s="7" t="s">
        <v>9297</v>
      </c>
      <c r="J174" s="7" t="s">
        <v>9298</v>
      </c>
      <c r="K174" s="7" t="s">
        <v>9299</v>
      </c>
      <c r="L174" s="7" t="s">
        <v>9300</v>
      </c>
      <c r="M174" s="7" t="s">
        <v>9301</v>
      </c>
      <c r="N174" s="7" t="s">
        <v>9302</v>
      </c>
      <c r="O174" s="7"/>
      <c r="P174" s="7" t="s">
        <v>7690</v>
      </c>
      <c r="Q174" s="7" t="s">
        <v>7727</v>
      </c>
      <c r="R174" s="7" t="s">
        <v>7692</v>
      </c>
      <c r="S174" s="7" t="s">
        <v>9303</v>
      </c>
      <c r="T174" s="7"/>
      <c r="U174" s="7" t="s">
        <v>9304</v>
      </c>
    </row>
    <row r="175" customFormat="false" ht="46.25" hidden="false" customHeight="false" outlineLevel="0" collapsed="false">
      <c r="A175" s="7" t="n">
        <v>43</v>
      </c>
      <c r="B175" s="7" t="s">
        <v>596</v>
      </c>
      <c r="C175" s="7" t="s">
        <v>7679</v>
      </c>
      <c r="D175" s="7" t="s">
        <v>9305</v>
      </c>
      <c r="E175" s="7" t="s">
        <v>9306</v>
      </c>
      <c r="F175" s="7" t="n">
        <v>2022</v>
      </c>
      <c r="G175" s="7" t="s">
        <v>7682</v>
      </c>
      <c r="H175" s="7" t="s">
        <v>9307</v>
      </c>
      <c r="I175" s="7" t="s">
        <v>9308</v>
      </c>
      <c r="J175" s="7" t="s">
        <v>7699</v>
      </c>
      <c r="K175" s="7" t="s">
        <v>9309</v>
      </c>
      <c r="L175" s="7" t="s">
        <v>9310</v>
      </c>
      <c r="M175" s="7" t="s">
        <v>9311</v>
      </c>
      <c r="N175" s="7" t="s">
        <v>9312</v>
      </c>
      <c r="O175" s="7"/>
      <c r="P175" s="7" t="s">
        <v>7981</v>
      </c>
      <c r="Q175" s="7" t="s">
        <v>7969</v>
      </c>
      <c r="R175" s="7" t="s">
        <v>7692</v>
      </c>
      <c r="S175" s="7" t="s">
        <v>9313</v>
      </c>
      <c r="T175" s="7"/>
      <c r="U175" s="7"/>
    </row>
    <row r="176" customFormat="false" ht="46.25" hidden="false" customHeight="false" outlineLevel="0" collapsed="false">
      <c r="A176" s="7" t="n">
        <v>39</v>
      </c>
      <c r="B176" s="7" t="s">
        <v>550</v>
      </c>
      <c r="C176" s="7" t="s">
        <v>7679</v>
      </c>
      <c r="D176" s="7" t="s">
        <v>9314</v>
      </c>
      <c r="E176" s="7" t="s">
        <v>9315</v>
      </c>
      <c r="F176" s="7" t="n">
        <v>2024</v>
      </c>
      <c r="G176" s="7" t="s">
        <v>7781</v>
      </c>
      <c r="H176" s="7" t="s">
        <v>9316</v>
      </c>
      <c r="I176" s="7" t="s">
        <v>9317</v>
      </c>
      <c r="J176" s="7" t="s">
        <v>8090</v>
      </c>
      <c r="K176" s="7" t="s">
        <v>9318</v>
      </c>
      <c r="L176" s="7" t="s">
        <v>9319</v>
      </c>
      <c r="M176" s="7" t="s">
        <v>9320</v>
      </c>
      <c r="N176" s="7" t="s">
        <v>9321</v>
      </c>
      <c r="O176" s="7"/>
      <c r="P176" s="7" t="s">
        <v>7690</v>
      </c>
      <c r="Q176" s="7" t="s">
        <v>7819</v>
      </c>
      <c r="R176" s="7" t="s">
        <v>7692</v>
      </c>
      <c r="S176" s="7" t="s">
        <v>9322</v>
      </c>
      <c r="T176" s="7"/>
      <c r="U176" s="7"/>
    </row>
    <row r="177" customFormat="false" ht="57.45" hidden="false" customHeight="false" outlineLevel="0" collapsed="false">
      <c r="A177" s="7" t="n">
        <v>39</v>
      </c>
      <c r="B177" s="7" t="s">
        <v>550</v>
      </c>
      <c r="C177" s="7" t="s">
        <v>7679</v>
      </c>
      <c r="D177" s="7" t="s">
        <v>9323</v>
      </c>
      <c r="E177" s="7" t="s">
        <v>9324</v>
      </c>
      <c r="F177" s="7" t="n">
        <v>2025</v>
      </c>
      <c r="G177" s="7" t="s">
        <v>8242</v>
      </c>
      <c r="H177" s="7" t="s">
        <v>9325</v>
      </c>
      <c r="I177" s="7" t="s">
        <v>9326</v>
      </c>
      <c r="J177" s="7" t="s">
        <v>9327</v>
      </c>
      <c r="K177" s="7" t="s">
        <v>9328</v>
      </c>
      <c r="L177" s="7" t="s">
        <v>9329</v>
      </c>
      <c r="M177" s="7" t="s">
        <v>8168</v>
      </c>
      <c r="N177" s="7" t="s">
        <v>9330</v>
      </c>
      <c r="O177" s="7"/>
      <c r="P177" s="7" t="s">
        <v>7690</v>
      </c>
      <c r="Q177" s="7" t="s">
        <v>7797</v>
      </c>
      <c r="R177" s="7" t="s">
        <v>7692</v>
      </c>
      <c r="S177" s="7" t="s">
        <v>9331</v>
      </c>
      <c r="T177" s="7" t="s">
        <v>9332</v>
      </c>
      <c r="U177" s="7" t="s">
        <v>9333</v>
      </c>
    </row>
    <row r="178" customFormat="false" ht="46.25" hidden="false" customHeight="false" outlineLevel="0" collapsed="false">
      <c r="A178" s="7" t="n">
        <v>39</v>
      </c>
      <c r="B178" s="7" t="s">
        <v>550</v>
      </c>
      <c r="C178" s="7" t="s">
        <v>7679</v>
      </c>
      <c r="D178" s="7" t="s">
        <v>9334</v>
      </c>
      <c r="E178" s="7" t="s">
        <v>9335</v>
      </c>
      <c r="F178" s="7" t="n">
        <v>2023</v>
      </c>
      <c r="G178" s="7" t="s">
        <v>8294</v>
      </c>
      <c r="H178" s="7" t="s">
        <v>9336</v>
      </c>
      <c r="I178" s="7" t="s">
        <v>9337</v>
      </c>
      <c r="J178" s="7" t="s">
        <v>7685</v>
      </c>
      <c r="K178" s="7" t="s">
        <v>9338</v>
      </c>
      <c r="L178" s="7" t="s">
        <v>9339</v>
      </c>
      <c r="M178" s="7" t="s">
        <v>9340</v>
      </c>
      <c r="N178" s="7" t="s">
        <v>9341</v>
      </c>
      <c r="O178" s="7"/>
      <c r="P178" s="7" t="s">
        <v>7690</v>
      </c>
      <c r="Q178" s="7" t="s">
        <v>7957</v>
      </c>
      <c r="R178" s="7" t="s">
        <v>7692</v>
      </c>
      <c r="S178" s="7" t="s">
        <v>9342</v>
      </c>
      <c r="T178" s="7"/>
      <c r="U178" s="7"/>
    </row>
    <row r="179" customFormat="false" ht="35.05" hidden="false" customHeight="false" outlineLevel="0" collapsed="false">
      <c r="A179" s="7" t="n">
        <v>39</v>
      </c>
      <c r="B179" s="7" t="s">
        <v>550</v>
      </c>
      <c r="C179" s="7" t="s">
        <v>7679</v>
      </c>
      <c r="D179" s="7" t="s">
        <v>9343</v>
      </c>
      <c r="E179" s="7" t="s">
        <v>9344</v>
      </c>
      <c r="F179" s="7" t="n">
        <v>2022</v>
      </c>
      <c r="G179" s="7" t="s">
        <v>7824</v>
      </c>
      <c r="H179" s="7" t="s">
        <v>9345</v>
      </c>
      <c r="I179" s="7" t="s">
        <v>9337</v>
      </c>
      <c r="J179" s="7" t="s">
        <v>8090</v>
      </c>
      <c r="K179" s="7" t="s">
        <v>9346</v>
      </c>
      <c r="L179" s="7" t="s">
        <v>9347</v>
      </c>
      <c r="M179" s="7" t="s">
        <v>9340</v>
      </c>
      <c r="N179" s="7" t="s">
        <v>9348</v>
      </c>
      <c r="O179" s="7"/>
      <c r="P179" s="7" t="s">
        <v>7690</v>
      </c>
      <c r="Q179" s="7" t="s">
        <v>7727</v>
      </c>
      <c r="R179" s="7" t="s">
        <v>7692</v>
      </c>
      <c r="S179" s="7" t="s">
        <v>9349</v>
      </c>
      <c r="T179" s="7"/>
      <c r="U179" s="7"/>
    </row>
    <row r="180" customFormat="false" ht="46.25" hidden="false" customHeight="false" outlineLevel="0" collapsed="false">
      <c r="A180" s="7" t="n">
        <v>39</v>
      </c>
      <c r="B180" s="7" t="s">
        <v>550</v>
      </c>
      <c r="C180" s="7" t="s">
        <v>7679</v>
      </c>
      <c r="D180" s="7" t="s">
        <v>9350</v>
      </c>
      <c r="E180" s="7" t="s">
        <v>9351</v>
      </c>
      <c r="F180" s="7" t="n">
        <v>2024</v>
      </c>
      <c r="G180" s="7" t="s">
        <v>8141</v>
      </c>
      <c r="H180" s="7" t="s">
        <v>9352</v>
      </c>
      <c r="I180" s="7" t="s">
        <v>9353</v>
      </c>
      <c r="J180" s="7" t="s">
        <v>7765</v>
      </c>
      <c r="K180" s="7" t="s">
        <v>9354</v>
      </c>
      <c r="L180" s="7" t="s">
        <v>9355</v>
      </c>
      <c r="M180" s="7" t="s">
        <v>9356</v>
      </c>
      <c r="N180" s="7" t="s">
        <v>9357</v>
      </c>
      <c r="O180" s="7"/>
      <c r="P180" s="7" t="s">
        <v>7690</v>
      </c>
      <c r="Q180" s="7" t="s">
        <v>7691</v>
      </c>
      <c r="R180" s="7" t="s">
        <v>7692</v>
      </c>
      <c r="S180" s="7" t="s">
        <v>9358</v>
      </c>
      <c r="T180" s="7"/>
      <c r="U180" s="7"/>
    </row>
    <row r="181" customFormat="false" ht="35.05" hidden="false" customHeight="false" outlineLevel="0" collapsed="false">
      <c r="A181" s="7" t="n">
        <v>39</v>
      </c>
      <c r="B181" s="7" t="s">
        <v>550</v>
      </c>
      <c r="C181" s="7" t="s">
        <v>7679</v>
      </c>
      <c r="D181" s="7" t="s">
        <v>9359</v>
      </c>
      <c r="E181" s="7" t="s">
        <v>9360</v>
      </c>
      <c r="F181" s="7" t="n">
        <v>2023</v>
      </c>
      <c r="G181" s="7" t="s">
        <v>9361</v>
      </c>
      <c r="H181" s="7" t="s">
        <v>9362</v>
      </c>
      <c r="I181" s="7" t="s">
        <v>9353</v>
      </c>
      <c r="J181" s="7" t="s">
        <v>7765</v>
      </c>
      <c r="K181" s="7" t="s">
        <v>9363</v>
      </c>
      <c r="L181" s="7" t="s">
        <v>9364</v>
      </c>
      <c r="M181" s="7" t="s">
        <v>9365</v>
      </c>
      <c r="N181" s="7" t="s">
        <v>9366</v>
      </c>
      <c r="O181" s="7"/>
      <c r="P181" s="7" t="s">
        <v>7690</v>
      </c>
      <c r="Q181" s="7" t="s">
        <v>9367</v>
      </c>
      <c r="R181" s="7" t="s">
        <v>7692</v>
      </c>
      <c r="S181" s="7" t="s">
        <v>9368</v>
      </c>
      <c r="T181" s="7"/>
      <c r="U181" s="7"/>
    </row>
    <row r="182" customFormat="false" ht="35.05" hidden="false" customHeight="false" outlineLevel="0" collapsed="false">
      <c r="A182" s="7" t="n">
        <v>113</v>
      </c>
      <c r="B182" s="7" t="s">
        <v>1331</v>
      </c>
      <c r="C182" s="7" t="s">
        <v>7705</v>
      </c>
      <c r="D182" s="7" t="s">
        <v>9369</v>
      </c>
      <c r="E182" s="7" t="s">
        <v>9370</v>
      </c>
      <c r="F182" s="7" t="n">
        <v>2018</v>
      </c>
      <c r="G182" s="7" t="s">
        <v>7792</v>
      </c>
      <c r="H182" s="7" t="s">
        <v>9186</v>
      </c>
      <c r="I182" s="7" t="s">
        <v>9371</v>
      </c>
      <c r="J182" s="7" t="s">
        <v>8175</v>
      </c>
      <c r="K182" s="7" t="s">
        <v>9372</v>
      </c>
      <c r="L182" s="7" t="s">
        <v>9373</v>
      </c>
      <c r="M182" s="7" t="s">
        <v>7714</v>
      </c>
      <c r="N182" s="7" t="s">
        <v>7715</v>
      </c>
      <c r="O182" s="7"/>
      <c r="P182" s="7" t="s">
        <v>7690</v>
      </c>
      <c r="Q182" s="7" t="s">
        <v>7759</v>
      </c>
      <c r="R182" s="7" t="s">
        <v>7692</v>
      </c>
      <c r="S182" s="7" t="s">
        <v>9374</v>
      </c>
      <c r="T182" s="7"/>
      <c r="U182" s="7"/>
    </row>
    <row r="183" customFormat="false" ht="35.05" hidden="false" customHeight="false" outlineLevel="0" collapsed="false">
      <c r="A183" s="7" t="n">
        <v>113</v>
      </c>
      <c r="B183" s="7" t="s">
        <v>1331</v>
      </c>
      <c r="C183" s="7" t="s">
        <v>7679</v>
      </c>
      <c r="D183" s="7" t="s">
        <v>9375</v>
      </c>
      <c r="E183" s="7" t="s">
        <v>9376</v>
      </c>
      <c r="F183" s="7" t="n">
        <v>2018</v>
      </c>
      <c r="G183" s="7" t="s">
        <v>7781</v>
      </c>
      <c r="H183" s="7" t="s">
        <v>9377</v>
      </c>
      <c r="I183" s="7" t="s">
        <v>9337</v>
      </c>
      <c r="J183" s="7" t="s">
        <v>7685</v>
      </c>
      <c r="K183" s="7" t="s">
        <v>9378</v>
      </c>
      <c r="L183" s="7" t="s">
        <v>9379</v>
      </c>
      <c r="M183" s="7" t="s">
        <v>9380</v>
      </c>
      <c r="N183" s="7" t="s">
        <v>9381</v>
      </c>
      <c r="O183" s="7"/>
      <c r="P183" s="7" t="s">
        <v>7690</v>
      </c>
      <c r="Q183" s="7" t="s">
        <v>7759</v>
      </c>
      <c r="R183" s="7" t="s">
        <v>7692</v>
      </c>
      <c r="S183" s="7" t="s">
        <v>9382</v>
      </c>
      <c r="T183" s="7"/>
      <c r="U183" s="7"/>
    </row>
    <row r="184" customFormat="false" ht="46.25" hidden="false" customHeight="false" outlineLevel="0" collapsed="false">
      <c r="A184" s="7" t="n">
        <v>113</v>
      </c>
      <c r="B184" s="7" t="s">
        <v>1331</v>
      </c>
      <c r="C184" s="7" t="s">
        <v>7679</v>
      </c>
      <c r="D184" s="7" t="s">
        <v>9383</v>
      </c>
      <c r="E184" s="7" t="s">
        <v>9384</v>
      </c>
      <c r="F184" s="7" t="n">
        <v>2022</v>
      </c>
      <c r="G184" s="7" t="s">
        <v>8448</v>
      </c>
      <c r="H184" s="7" t="s">
        <v>9385</v>
      </c>
      <c r="I184" s="7" t="s">
        <v>9386</v>
      </c>
      <c r="J184" s="7" t="s">
        <v>7315</v>
      </c>
      <c r="K184" s="7" t="s">
        <v>9387</v>
      </c>
      <c r="L184" s="7" t="s">
        <v>9388</v>
      </c>
      <c r="M184" s="7" t="s">
        <v>9389</v>
      </c>
      <c r="N184" s="7" t="s">
        <v>7862</v>
      </c>
      <c r="O184" s="7"/>
      <c r="P184" s="7" t="s">
        <v>7690</v>
      </c>
      <c r="Q184" s="7" t="s">
        <v>7797</v>
      </c>
      <c r="R184" s="7" t="s">
        <v>7692</v>
      </c>
      <c r="S184" s="7" t="s">
        <v>9390</v>
      </c>
      <c r="T184" s="7"/>
      <c r="U184" s="7"/>
    </row>
    <row r="185" customFormat="false" ht="23.85" hidden="false" customHeight="false" outlineLevel="0" collapsed="false">
      <c r="A185" s="7" t="n">
        <v>113</v>
      </c>
      <c r="B185" s="7" t="s">
        <v>1331</v>
      </c>
      <c r="C185" s="7" t="s">
        <v>7679</v>
      </c>
      <c r="D185" s="7" t="s">
        <v>9391</v>
      </c>
      <c r="E185" s="7" t="s">
        <v>9392</v>
      </c>
      <c r="F185" s="7" t="n">
        <v>2026</v>
      </c>
      <c r="G185" s="7" t="s">
        <v>9393</v>
      </c>
      <c r="H185" s="7" t="s">
        <v>7862</v>
      </c>
      <c r="I185" s="7" t="s">
        <v>9394</v>
      </c>
      <c r="J185" s="7" t="s">
        <v>7315</v>
      </c>
      <c r="K185" s="7" t="s">
        <v>9395</v>
      </c>
      <c r="L185" s="7" t="s">
        <v>9396</v>
      </c>
      <c r="M185" s="7" t="s">
        <v>9397</v>
      </c>
      <c r="N185" s="7" t="s">
        <v>9398</v>
      </c>
      <c r="O185" s="7" t="s">
        <v>9399</v>
      </c>
      <c r="P185" s="7" t="s">
        <v>7690</v>
      </c>
      <c r="Q185" s="7" t="s">
        <v>7727</v>
      </c>
      <c r="R185" s="7" t="s">
        <v>7692</v>
      </c>
      <c r="S185" s="7" t="s">
        <v>9400</v>
      </c>
      <c r="T185" s="7"/>
      <c r="U185" s="7"/>
    </row>
    <row r="186" customFormat="false" ht="46.25" hidden="false" customHeight="false" outlineLevel="0" collapsed="false">
      <c r="A186" s="7" t="n">
        <v>114</v>
      </c>
      <c r="B186" s="7" t="s">
        <v>1342</v>
      </c>
      <c r="C186" s="7" t="s">
        <v>7705</v>
      </c>
      <c r="D186" s="7" t="s">
        <v>9401</v>
      </c>
      <c r="E186" s="7" t="s">
        <v>9402</v>
      </c>
      <c r="F186" s="7" t="n">
        <v>2017</v>
      </c>
      <c r="G186" s="7" t="s">
        <v>7792</v>
      </c>
      <c r="H186" s="7" t="s">
        <v>7793</v>
      </c>
      <c r="I186" s="7" t="s">
        <v>9403</v>
      </c>
      <c r="J186" s="7" t="s">
        <v>7711</v>
      </c>
      <c r="K186" s="7" t="s">
        <v>9404</v>
      </c>
      <c r="L186" s="7" t="s">
        <v>9405</v>
      </c>
      <c r="M186" s="7" t="s">
        <v>7714</v>
      </c>
      <c r="N186" s="7" t="s">
        <v>8043</v>
      </c>
      <c r="O186" s="7"/>
      <c r="P186" s="7" t="s">
        <v>7690</v>
      </c>
      <c r="Q186" s="7" t="s">
        <v>7759</v>
      </c>
      <c r="R186" s="7" t="s">
        <v>7692</v>
      </c>
      <c r="S186" s="7" t="s">
        <v>9406</v>
      </c>
      <c r="T186" s="7"/>
      <c r="U186" s="7" t="s">
        <v>9407</v>
      </c>
    </row>
    <row r="187" customFormat="false" ht="46.25" hidden="false" customHeight="false" outlineLevel="0" collapsed="false">
      <c r="A187" s="7" t="n">
        <v>114</v>
      </c>
      <c r="B187" s="7" t="s">
        <v>1342</v>
      </c>
      <c r="C187" s="7" t="s">
        <v>7679</v>
      </c>
      <c r="D187" s="7" t="s">
        <v>9408</v>
      </c>
      <c r="E187" s="7" t="s">
        <v>9409</v>
      </c>
      <c r="F187" s="7" t="n">
        <v>2026</v>
      </c>
      <c r="G187" s="7" t="s">
        <v>8448</v>
      </c>
      <c r="H187" s="7" t="s">
        <v>9410</v>
      </c>
      <c r="I187" s="7" t="s">
        <v>9411</v>
      </c>
      <c r="J187" s="7" t="s">
        <v>9412</v>
      </c>
      <c r="K187" s="7" t="s">
        <v>9413</v>
      </c>
      <c r="L187" s="7" t="s">
        <v>9414</v>
      </c>
      <c r="M187" s="7" t="s">
        <v>9397</v>
      </c>
      <c r="N187" s="7" t="s">
        <v>9415</v>
      </c>
      <c r="O187" s="7"/>
      <c r="P187" s="7" t="s">
        <v>7690</v>
      </c>
      <c r="Q187" s="7" t="s">
        <v>7797</v>
      </c>
      <c r="R187" s="7" t="s">
        <v>7692</v>
      </c>
      <c r="S187" s="7" t="s">
        <v>9416</v>
      </c>
      <c r="T187" s="7"/>
      <c r="U187" s="7"/>
    </row>
    <row r="188" customFormat="false" ht="57.45" hidden="false" customHeight="false" outlineLevel="0" collapsed="false">
      <c r="A188" s="7" t="n">
        <v>114</v>
      </c>
      <c r="B188" s="7" t="s">
        <v>1342</v>
      </c>
      <c r="C188" s="7" t="s">
        <v>7679</v>
      </c>
      <c r="D188" s="7" t="s">
        <v>9417</v>
      </c>
      <c r="E188" s="7" t="s">
        <v>9418</v>
      </c>
      <c r="F188" s="7" t="n">
        <v>2026</v>
      </c>
      <c r="G188" s="7" t="s">
        <v>7781</v>
      </c>
      <c r="H188" s="7" t="s">
        <v>9419</v>
      </c>
      <c r="I188" s="7" t="s">
        <v>9420</v>
      </c>
      <c r="J188" s="7" t="s">
        <v>7685</v>
      </c>
      <c r="K188" s="7" t="s">
        <v>9421</v>
      </c>
      <c r="L188" s="7" t="s">
        <v>9422</v>
      </c>
      <c r="M188" s="7" t="s">
        <v>9423</v>
      </c>
      <c r="N188" s="7" t="s">
        <v>9424</v>
      </c>
      <c r="O188" s="7"/>
      <c r="P188" s="7" t="s">
        <v>7690</v>
      </c>
      <c r="Q188" s="7" t="s">
        <v>7797</v>
      </c>
      <c r="R188" s="7" t="s">
        <v>7692</v>
      </c>
      <c r="S188" s="7" t="s">
        <v>9425</v>
      </c>
      <c r="T188" s="7"/>
      <c r="U188" s="7"/>
    </row>
    <row r="189" customFormat="false" ht="46.25" hidden="false" customHeight="false" outlineLevel="0" collapsed="false">
      <c r="A189" s="7" t="n">
        <v>37</v>
      </c>
      <c r="B189" s="7" t="s">
        <v>530</v>
      </c>
      <c r="C189" s="7" t="s">
        <v>7705</v>
      </c>
      <c r="D189" s="7" t="s">
        <v>9426</v>
      </c>
      <c r="E189" s="7" t="s">
        <v>9427</v>
      </c>
      <c r="F189" s="7" t="n">
        <v>2017</v>
      </c>
      <c r="G189" s="7" t="s">
        <v>7792</v>
      </c>
      <c r="H189" s="7" t="s">
        <v>9186</v>
      </c>
      <c r="I189" s="7" t="s">
        <v>9428</v>
      </c>
      <c r="J189" s="7" t="s">
        <v>8175</v>
      </c>
      <c r="K189" s="7" t="s">
        <v>9429</v>
      </c>
      <c r="L189" s="7" t="s">
        <v>9430</v>
      </c>
      <c r="M189" s="7" t="s">
        <v>7714</v>
      </c>
      <c r="N189" s="7" t="s">
        <v>7715</v>
      </c>
      <c r="O189" s="7"/>
      <c r="P189" s="7" t="s">
        <v>7690</v>
      </c>
      <c r="Q189" s="7" t="s">
        <v>7759</v>
      </c>
      <c r="R189" s="7" t="s">
        <v>7692</v>
      </c>
      <c r="S189" s="7" t="s">
        <v>9431</v>
      </c>
      <c r="T189" s="7"/>
      <c r="U189" s="7" t="s">
        <v>9432</v>
      </c>
    </row>
    <row r="190" customFormat="false" ht="46.25" hidden="false" customHeight="false" outlineLevel="0" collapsed="false">
      <c r="A190" s="7" t="n">
        <v>37</v>
      </c>
      <c r="B190" s="7" t="s">
        <v>530</v>
      </c>
      <c r="C190" s="7" t="s">
        <v>7679</v>
      </c>
      <c r="D190" s="7" t="s">
        <v>9433</v>
      </c>
      <c r="E190" s="7" t="s">
        <v>9434</v>
      </c>
      <c r="F190" s="7" t="n">
        <v>2026</v>
      </c>
      <c r="G190" s="7" t="s">
        <v>7781</v>
      </c>
      <c r="H190" s="7" t="s">
        <v>9435</v>
      </c>
      <c r="I190" s="7" t="s">
        <v>9436</v>
      </c>
      <c r="J190" s="7" t="s">
        <v>7685</v>
      </c>
      <c r="K190" s="7" t="s">
        <v>9437</v>
      </c>
      <c r="L190" s="7" t="s">
        <v>9438</v>
      </c>
      <c r="M190" s="7" t="s">
        <v>7757</v>
      </c>
      <c r="N190" s="7" t="s">
        <v>9439</v>
      </c>
      <c r="O190" s="7"/>
      <c r="P190" s="7" t="s">
        <v>7690</v>
      </c>
      <c r="Q190" s="7" t="s">
        <v>7797</v>
      </c>
      <c r="R190" s="7" t="s">
        <v>7692</v>
      </c>
      <c r="S190" s="7" t="s">
        <v>9440</v>
      </c>
      <c r="T190" s="7"/>
      <c r="U190" s="7"/>
    </row>
    <row r="191" customFormat="false" ht="46.25" hidden="false" customHeight="false" outlineLevel="0" collapsed="false">
      <c r="A191" s="7" t="n">
        <v>37</v>
      </c>
      <c r="B191" s="7" t="s">
        <v>530</v>
      </c>
      <c r="C191" s="7" t="s">
        <v>7705</v>
      </c>
      <c r="D191" s="7" t="s">
        <v>9441</v>
      </c>
      <c r="E191" s="7" t="s">
        <v>9442</v>
      </c>
      <c r="F191" s="7" t="n">
        <v>2026</v>
      </c>
      <c r="G191" s="7" t="s">
        <v>7792</v>
      </c>
      <c r="H191" s="7" t="s">
        <v>7793</v>
      </c>
      <c r="I191" s="7" t="s">
        <v>9443</v>
      </c>
      <c r="J191" s="7" t="s">
        <v>7711</v>
      </c>
      <c r="K191" s="7" t="s">
        <v>9444</v>
      </c>
      <c r="L191" s="7" t="s">
        <v>9445</v>
      </c>
      <c r="M191" s="7" t="s">
        <v>7714</v>
      </c>
      <c r="N191" s="7" t="s">
        <v>8043</v>
      </c>
      <c r="O191" s="7"/>
      <c r="P191" s="7" t="s">
        <v>7690</v>
      </c>
      <c r="Q191" s="7" t="s">
        <v>9446</v>
      </c>
      <c r="R191" s="7" t="s">
        <v>7692</v>
      </c>
      <c r="S191" s="7" t="s">
        <v>9447</v>
      </c>
      <c r="T191" s="7"/>
      <c r="U191" s="7"/>
    </row>
    <row r="192" customFormat="false" ht="46.25" hidden="false" customHeight="false" outlineLevel="0" collapsed="false">
      <c r="A192" s="7" t="n">
        <v>41</v>
      </c>
      <c r="B192" s="7" t="s">
        <v>572</v>
      </c>
      <c r="C192" s="7" t="s">
        <v>7705</v>
      </c>
      <c r="D192" s="7" t="s">
        <v>9448</v>
      </c>
      <c r="E192" s="7" t="s">
        <v>9449</v>
      </c>
      <c r="F192" s="7" t="n">
        <v>2017</v>
      </c>
      <c r="G192" s="7" t="s">
        <v>7792</v>
      </c>
      <c r="H192" s="7" t="s">
        <v>9186</v>
      </c>
      <c r="I192" s="7" t="s">
        <v>9450</v>
      </c>
      <c r="J192" s="7" t="s">
        <v>8175</v>
      </c>
      <c r="K192" s="7" t="s">
        <v>9451</v>
      </c>
      <c r="L192" s="7" t="s">
        <v>9452</v>
      </c>
      <c r="M192" s="7" t="s">
        <v>7714</v>
      </c>
      <c r="N192" s="7" t="s">
        <v>9129</v>
      </c>
      <c r="O192" s="7"/>
      <c r="P192" s="7" t="s">
        <v>7690</v>
      </c>
      <c r="Q192" s="7" t="s">
        <v>7759</v>
      </c>
      <c r="R192" s="7" t="s">
        <v>7692</v>
      </c>
      <c r="S192" s="7" t="s">
        <v>9453</v>
      </c>
      <c r="T192" s="7"/>
      <c r="U192" s="7" t="s">
        <v>9454</v>
      </c>
    </row>
    <row r="193" customFormat="false" ht="46.25" hidden="false" customHeight="false" outlineLevel="0" collapsed="false">
      <c r="A193" s="7" t="n">
        <v>41</v>
      </c>
      <c r="B193" s="7" t="s">
        <v>572</v>
      </c>
      <c r="C193" s="7" t="s">
        <v>7679</v>
      </c>
      <c r="D193" s="7" t="s">
        <v>9455</v>
      </c>
      <c r="E193" s="7" t="s">
        <v>9456</v>
      </c>
      <c r="F193" s="7" t="n">
        <v>2025</v>
      </c>
      <c r="G193" s="7" t="s">
        <v>8448</v>
      </c>
      <c r="H193" s="7" t="s">
        <v>9457</v>
      </c>
      <c r="I193" s="7" t="s">
        <v>9458</v>
      </c>
      <c r="J193" s="7" t="s">
        <v>9112</v>
      </c>
      <c r="K193" s="7" t="s">
        <v>9459</v>
      </c>
      <c r="L193" s="7" t="s">
        <v>9460</v>
      </c>
      <c r="M193" s="7" t="s">
        <v>9137</v>
      </c>
      <c r="N193" s="7" t="s">
        <v>9461</v>
      </c>
      <c r="O193" s="7"/>
      <c r="P193" s="7" t="s">
        <v>7690</v>
      </c>
      <c r="Q193" s="7" t="s">
        <v>7797</v>
      </c>
      <c r="R193" s="7" t="s">
        <v>7692</v>
      </c>
      <c r="S193" s="7" t="s">
        <v>9462</v>
      </c>
      <c r="T193" s="7"/>
      <c r="U193" s="7" t="s">
        <v>9463</v>
      </c>
    </row>
    <row r="194" customFormat="false" ht="35.05" hidden="false" customHeight="false" outlineLevel="0" collapsed="false">
      <c r="A194" s="7" t="n">
        <v>41</v>
      </c>
      <c r="B194" s="7" t="s">
        <v>572</v>
      </c>
      <c r="C194" s="7" t="s">
        <v>7679</v>
      </c>
      <c r="D194" s="7" t="s">
        <v>9464</v>
      </c>
      <c r="E194" s="7" t="s">
        <v>9465</v>
      </c>
      <c r="F194" s="7" t="n">
        <v>2025</v>
      </c>
      <c r="G194" s="7" t="s">
        <v>9466</v>
      </c>
      <c r="H194" s="7" t="s">
        <v>9467</v>
      </c>
      <c r="I194" s="7" t="s">
        <v>9468</v>
      </c>
      <c r="J194" s="7" t="s">
        <v>7315</v>
      </c>
      <c r="K194" s="7" t="s">
        <v>9469</v>
      </c>
      <c r="L194" s="7" t="s">
        <v>9470</v>
      </c>
      <c r="M194" s="7" t="s">
        <v>9471</v>
      </c>
      <c r="N194" s="7" t="s">
        <v>9472</v>
      </c>
      <c r="O194" s="7"/>
      <c r="P194" s="7" t="s">
        <v>7690</v>
      </c>
      <c r="Q194" s="7" t="s">
        <v>7797</v>
      </c>
      <c r="R194" s="7" t="s">
        <v>7692</v>
      </c>
      <c r="S194" s="7" t="s">
        <v>9473</v>
      </c>
      <c r="T194" s="7"/>
      <c r="U194" s="7" t="s">
        <v>9474</v>
      </c>
    </row>
    <row r="195" customFormat="false" ht="46.25" hidden="false" customHeight="false" outlineLevel="0" collapsed="false">
      <c r="A195" s="7" t="n">
        <v>44</v>
      </c>
      <c r="B195" s="7" t="s">
        <v>606</v>
      </c>
      <c r="C195" s="7" t="s">
        <v>7705</v>
      </c>
      <c r="D195" s="7" t="s">
        <v>9475</v>
      </c>
      <c r="E195" s="7" t="s">
        <v>9476</v>
      </c>
      <c r="F195" s="7" t="n">
        <v>2018</v>
      </c>
      <c r="G195" s="7" t="s">
        <v>7792</v>
      </c>
      <c r="H195" s="7" t="s">
        <v>7793</v>
      </c>
      <c r="I195" s="7" t="s">
        <v>9477</v>
      </c>
      <c r="J195" s="7" t="s">
        <v>7711</v>
      </c>
      <c r="K195" s="7" t="s">
        <v>9478</v>
      </c>
      <c r="L195" s="7" t="s">
        <v>9479</v>
      </c>
      <c r="M195" s="7" t="s">
        <v>7714</v>
      </c>
      <c r="N195" s="7" t="s">
        <v>8043</v>
      </c>
      <c r="O195" s="7"/>
      <c r="P195" s="7" t="s">
        <v>7690</v>
      </c>
      <c r="Q195" s="7" t="s">
        <v>7759</v>
      </c>
      <c r="R195" s="7" t="s">
        <v>7692</v>
      </c>
      <c r="S195" s="7" t="s">
        <v>9480</v>
      </c>
      <c r="T195" s="7"/>
      <c r="U195" s="7" t="s">
        <v>9481</v>
      </c>
    </row>
    <row r="196" customFormat="false" ht="46.25" hidden="false" customHeight="false" outlineLevel="0" collapsed="false">
      <c r="A196" s="7" t="n">
        <v>44</v>
      </c>
      <c r="B196" s="7" t="s">
        <v>606</v>
      </c>
      <c r="C196" s="7" t="s">
        <v>7679</v>
      </c>
      <c r="D196" s="7" t="s">
        <v>9482</v>
      </c>
      <c r="E196" s="7" t="s">
        <v>9483</v>
      </c>
      <c r="F196" s="7" t="n">
        <v>2023</v>
      </c>
      <c r="G196" s="7" t="s">
        <v>7781</v>
      </c>
      <c r="H196" s="7" t="s">
        <v>9484</v>
      </c>
      <c r="I196" s="7" t="s">
        <v>9485</v>
      </c>
      <c r="J196" s="7" t="s">
        <v>9486</v>
      </c>
      <c r="K196" s="7" t="s">
        <v>9487</v>
      </c>
      <c r="L196" s="7" t="s">
        <v>9488</v>
      </c>
      <c r="M196" s="7" t="s">
        <v>9340</v>
      </c>
      <c r="N196" s="7" t="s">
        <v>7738</v>
      </c>
      <c r="O196" s="7"/>
      <c r="P196" s="7" t="s">
        <v>7690</v>
      </c>
      <c r="Q196" s="7" t="s">
        <v>7716</v>
      </c>
      <c r="R196" s="7" t="s">
        <v>7692</v>
      </c>
      <c r="S196" s="7" t="s">
        <v>9489</v>
      </c>
      <c r="T196" s="7"/>
      <c r="U196" s="7"/>
    </row>
    <row r="197" customFormat="false" ht="35.05" hidden="false" customHeight="false" outlineLevel="0" collapsed="false">
      <c r="A197" s="7" t="n">
        <v>44</v>
      </c>
      <c r="B197" s="7" t="s">
        <v>606</v>
      </c>
      <c r="C197" s="7" t="s">
        <v>7679</v>
      </c>
      <c r="D197" s="7" t="s">
        <v>9490</v>
      </c>
      <c r="E197" s="7" t="s">
        <v>9491</v>
      </c>
      <c r="F197" s="7" t="n">
        <v>2024</v>
      </c>
      <c r="G197" s="7" t="s">
        <v>7961</v>
      </c>
      <c r="H197" s="7" t="s">
        <v>9492</v>
      </c>
      <c r="I197" s="7" t="s">
        <v>9493</v>
      </c>
      <c r="J197" s="7" t="s">
        <v>7685</v>
      </c>
      <c r="K197" s="7" t="s">
        <v>9494</v>
      </c>
      <c r="L197" s="7" t="s">
        <v>9495</v>
      </c>
      <c r="M197" s="7" t="s">
        <v>9496</v>
      </c>
      <c r="N197" s="7" t="s">
        <v>8901</v>
      </c>
      <c r="O197" s="7"/>
      <c r="P197" s="7" t="s">
        <v>7690</v>
      </c>
      <c r="Q197" s="7" t="s">
        <v>7691</v>
      </c>
      <c r="R197" s="7" t="s">
        <v>7692</v>
      </c>
      <c r="S197" s="7" t="s">
        <v>9497</v>
      </c>
      <c r="T197" s="7" t="s">
        <v>9498</v>
      </c>
      <c r="U197" s="7"/>
    </row>
    <row r="198" customFormat="false" ht="46.25" hidden="false" customHeight="false" outlineLevel="0" collapsed="false">
      <c r="A198" s="7" t="n">
        <v>44</v>
      </c>
      <c r="B198" s="7" t="s">
        <v>606</v>
      </c>
      <c r="C198" s="7" t="s">
        <v>7679</v>
      </c>
      <c r="D198" s="7" t="s">
        <v>9499</v>
      </c>
      <c r="E198" s="7" t="s">
        <v>9500</v>
      </c>
      <c r="F198" s="7" t="n">
        <v>2023</v>
      </c>
      <c r="G198" s="7" t="s">
        <v>9501</v>
      </c>
      <c r="H198" s="7" t="s">
        <v>9502</v>
      </c>
      <c r="I198" s="7" t="s">
        <v>9503</v>
      </c>
      <c r="J198" s="7" t="s">
        <v>9504</v>
      </c>
      <c r="K198" s="7" t="s">
        <v>9505</v>
      </c>
      <c r="L198" s="7" t="s">
        <v>9506</v>
      </c>
      <c r="M198" s="7" t="s">
        <v>9507</v>
      </c>
      <c r="N198" s="7" t="s">
        <v>9508</v>
      </c>
      <c r="O198" s="7"/>
      <c r="P198" s="7" t="s">
        <v>7690</v>
      </c>
      <c r="Q198" s="7" t="s">
        <v>7797</v>
      </c>
      <c r="R198" s="7" t="s">
        <v>7692</v>
      </c>
      <c r="S198" s="7" t="s">
        <v>9509</v>
      </c>
      <c r="T198" s="7"/>
      <c r="U198" s="7" t="s">
        <v>9510</v>
      </c>
    </row>
    <row r="199" customFormat="false" ht="35.05" hidden="false" customHeight="false" outlineLevel="0" collapsed="false">
      <c r="A199" s="7" t="n">
        <v>44</v>
      </c>
      <c r="B199" s="7" t="s">
        <v>606</v>
      </c>
      <c r="C199" s="7" t="s">
        <v>8160</v>
      </c>
      <c r="D199" s="7" t="s">
        <v>9511</v>
      </c>
      <c r="E199" s="7" t="s">
        <v>9512</v>
      </c>
      <c r="F199" s="7" t="n">
        <v>2026</v>
      </c>
      <c r="G199" s="7" t="s">
        <v>9513</v>
      </c>
      <c r="H199" s="7" t="s">
        <v>9514</v>
      </c>
      <c r="I199" s="7" t="s">
        <v>8220</v>
      </c>
      <c r="J199" s="7" t="s">
        <v>8221</v>
      </c>
      <c r="K199" s="7" t="s">
        <v>9515</v>
      </c>
      <c r="L199" s="7" t="s">
        <v>9516</v>
      </c>
      <c r="M199" s="7" t="s">
        <v>9517</v>
      </c>
      <c r="N199" s="7" t="s">
        <v>8225</v>
      </c>
      <c r="O199" s="7"/>
      <c r="P199" s="7" t="s">
        <v>7690</v>
      </c>
      <c r="Q199" s="7" t="s">
        <v>7716</v>
      </c>
      <c r="R199" s="7" t="s">
        <v>7692</v>
      </c>
      <c r="S199" s="7" t="s">
        <v>9518</v>
      </c>
      <c r="T199" s="7"/>
      <c r="U199" s="7"/>
    </row>
    <row r="200" customFormat="false" ht="35.05" hidden="false" customHeight="false" outlineLevel="0" collapsed="false">
      <c r="A200" s="7" t="n">
        <v>44</v>
      </c>
      <c r="B200" s="7" t="s">
        <v>606</v>
      </c>
      <c r="C200" s="7" t="s">
        <v>7679</v>
      </c>
      <c r="D200" s="7" t="s">
        <v>9519</v>
      </c>
      <c r="E200" s="7" t="s">
        <v>9520</v>
      </c>
      <c r="F200" s="7" t="n">
        <v>2025</v>
      </c>
      <c r="G200" s="7" t="s">
        <v>9521</v>
      </c>
      <c r="H200" s="7" t="s">
        <v>9522</v>
      </c>
      <c r="I200" s="7" t="s">
        <v>9523</v>
      </c>
      <c r="J200" s="7" t="s">
        <v>7315</v>
      </c>
      <c r="K200" s="7" t="s">
        <v>9524</v>
      </c>
      <c r="L200" s="7" t="s">
        <v>9525</v>
      </c>
      <c r="M200" s="7" t="s">
        <v>8954</v>
      </c>
      <c r="N200" s="7" t="s">
        <v>9526</v>
      </c>
      <c r="O200" s="7"/>
      <c r="P200" s="7" t="s">
        <v>7690</v>
      </c>
      <c r="Q200" s="7" t="s">
        <v>7797</v>
      </c>
      <c r="R200" s="7" t="s">
        <v>7692</v>
      </c>
      <c r="S200" s="7" t="s">
        <v>9527</v>
      </c>
      <c r="T200" s="7"/>
      <c r="U200" s="7"/>
    </row>
    <row r="201" customFormat="false" ht="57.45" hidden="false" customHeight="false" outlineLevel="0" collapsed="false">
      <c r="A201" s="7" t="n">
        <v>52</v>
      </c>
      <c r="B201" s="7" t="s">
        <v>695</v>
      </c>
      <c r="C201" s="7" t="s">
        <v>7679</v>
      </c>
      <c r="D201" s="7" t="s">
        <v>9528</v>
      </c>
      <c r="E201" s="7" t="s">
        <v>9529</v>
      </c>
      <c r="F201" s="7" t="n">
        <v>2024</v>
      </c>
      <c r="G201" s="7" t="s">
        <v>7781</v>
      </c>
      <c r="H201" s="7" t="s">
        <v>9530</v>
      </c>
      <c r="I201" s="7" t="s">
        <v>9531</v>
      </c>
      <c r="J201" s="7" t="s">
        <v>9532</v>
      </c>
      <c r="K201" s="7" t="s">
        <v>9533</v>
      </c>
      <c r="L201" s="7" t="s">
        <v>9534</v>
      </c>
      <c r="M201" s="7" t="s">
        <v>9535</v>
      </c>
      <c r="N201" s="7" t="s">
        <v>9536</v>
      </c>
      <c r="O201" s="7"/>
      <c r="P201" s="7" t="s">
        <v>7690</v>
      </c>
      <c r="Q201" s="7" t="s">
        <v>9537</v>
      </c>
      <c r="R201" s="7" t="s">
        <v>7692</v>
      </c>
      <c r="S201" s="7" t="s">
        <v>9538</v>
      </c>
      <c r="T201" s="7" t="s">
        <v>9539</v>
      </c>
      <c r="U201" s="7"/>
    </row>
    <row r="202" customFormat="false" ht="57.45" hidden="false" customHeight="false" outlineLevel="0" collapsed="false">
      <c r="A202" s="7" t="n">
        <v>52</v>
      </c>
      <c r="B202" s="7" t="s">
        <v>695</v>
      </c>
      <c r="C202" s="7" t="s">
        <v>7679</v>
      </c>
      <c r="D202" s="7" t="s">
        <v>9540</v>
      </c>
      <c r="E202" s="7" t="s">
        <v>9541</v>
      </c>
      <c r="F202" s="7" t="n">
        <v>2026</v>
      </c>
      <c r="G202" s="7" t="s">
        <v>8448</v>
      </c>
      <c r="H202" s="7" t="s">
        <v>9542</v>
      </c>
      <c r="I202" s="7" t="s">
        <v>9543</v>
      </c>
      <c r="J202" s="7" t="s">
        <v>9288</v>
      </c>
      <c r="K202" s="7" t="s">
        <v>9544</v>
      </c>
      <c r="L202" s="7" t="s">
        <v>9545</v>
      </c>
      <c r="M202" s="7" t="s">
        <v>9535</v>
      </c>
      <c r="N202" s="7" t="s">
        <v>9546</v>
      </c>
      <c r="O202" s="7"/>
      <c r="P202" s="7" t="s">
        <v>7690</v>
      </c>
      <c r="Q202" s="7" t="s">
        <v>9547</v>
      </c>
      <c r="R202" s="7" t="s">
        <v>7692</v>
      </c>
      <c r="S202" s="7" t="s">
        <v>9548</v>
      </c>
      <c r="T202" s="7" t="s">
        <v>9549</v>
      </c>
      <c r="U202" s="7"/>
    </row>
    <row r="203" customFormat="false" ht="57.45" hidden="false" customHeight="false" outlineLevel="0" collapsed="false">
      <c r="A203" s="7" t="n">
        <v>52</v>
      </c>
      <c r="B203" s="7" t="s">
        <v>695</v>
      </c>
      <c r="C203" s="7" t="s">
        <v>7679</v>
      </c>
      <c r="D203" s="7" t="s">
        <v>9550</v>
      </c>
      <c r="E203" s="7" t="s">
        <v>9551</v>
      </c>
      <c r="F203" s="7" t="n">
        <v>2024</v>
      </c>
      <c r="G203" s="7" t="s">
        <v>9552</v>
      </c>
      <c r="H203" s="7" t="s">
        <v>9553</v>
      </c>
      <c r="I203" s="7" t="s">
        <v>9554</v>
      </c>
      <c r="J203" s="7" t="s">
        <v>9555</v>
      </c>
      <c r="K203" s="7" t="s">
        <v>9556</v>
      </c>
      <c r="L203" s="7" t="s">
        <v>9557</v>
      </c>
      <c r="M203" s="7" t="s">
        <v>9558</v>
      </c>
      <c r="N203" s="7" t="s">
        <v>9559</v>
      </c>
      <c r="O203" s="7"/>
      <c r="P203" s="7" t="s">
        <v>7690</v>
      </c>
      <c r="Q203" s="7" t="s">
        <v>7691</v>
      </c>
      <c r="R203" s="7" t="s">
        <v>7692</v>
      </c>
      <c r="S203" s="7" t="s">
        <v>9560</v>
      </c>
      <c r="T203" s="7" t="s">
        <v>9560</v>
      </c>
      <c r="U203" s="7" t="s">
        <v>9561</v>
      </c>
    </row>
    <row r="204" customFormat="false" ht="68.65" hidden="false" customHeight="false" outlineLevel="0" collapsed="false">
      <c r="A204" s="7" t="n">
        <v>52</v>
      </c>
      <c r="B204" s="7" t="s">
        <v>695</v>
      </c>
      <c r="C204" s="7" t="s">
        <v>7679</v>
      </c>
      <c r="D204" s="7" t="s">
        <v>9562</v>
      </c>
      <c r="E204" s="7" t="s">
        <v>9563</v>
      </c>
      <c r="F204" s="7" t="n">
        <v>2024</v>
      </c>
      <c r="G204" s="7" t="s">
        <v>8364</v>
      </c>
      <c r="H204" s="7" t="s">
        <v>9564</v>
      </c>
      <c r="I204" s="7" t="s">
        <v>9565</v>
      </c>
      <c r="J204" s="7" t="s">
        <v>9566</v>
      </c>
      <c r="K204" s="7" t="s">
        <v>9567</v>
      </c>
      <c r="L204" s="7" t="s">
        <v>9568</v>
      </c>
      <c r="M204" s="7" t="s">
        <v>9137</v>
      </c>
      <c r="N204" s="7" t="s">
        <v>9042</v>
      </c>
      <c r="O204" s="7"/>
      <c r="P204" s="7" t="s">
        <v>7690</v>
      </c>
      <c r="Q204" s="7" t="s">
        <v>7759</v>
      </c>
      <c r="R204" s="7" t="s">
        <v>7692</v>
      </c>
      <c r="S204" s="7" t="s">
        <v>9569</v>
      </c>
      <c r="T204" s="7"/>
      <c r="U204" s="7"/>
    </row>
    <row r="205" customFormat="false" ht="46.25" hidden="false" customHeight="false" outlineLevel="0" collapsed="false">
      <c r="A205" s="7" t="n">
        <v>52</v>
      </c>
      <c r="B205" s="7" t="s">
        <v>695</v>
      </c>
      <c r="C205" s="7" t="s">
        <v>7679</v>
      </c>
      <c r="D205" s="7" t="s">
        <v>9570</v>
      </c>
      <c r="E205" s="7" t="s">
        <v>9571</v>
      </c>
      <c r="F205" s="7" t="n">
        <v>2023</v>
      </c>
      <c r="G205" s="7" t="s">
        <v>8364</v>
      </c>
      <c r="H205" s="7" t="s">
        <v>8295</v>
      </c>
      <c r="I205" s="7" t="s">
        <v>9572</v>
      </c>
      <c r="J205" s="7" t="s">
        <v>9573</v>
      </c>
      <c r="K205" s="7" t="s">
        <v>9574</v>
      </c>
      <c r="L205" s="7" t="s">
        <v>9575</v>
      </c>
      <c r="M205" s="7" t="s">
        <v>8213</v>
      </c>
      <c r="N205" s="7" t="s">
        <v>9042</v>
      </c>
      <c r="O205" s="7"/>
      <c r="P205" s="7" t="s">
        <v>7690</v>
      </c>
      <c r="Q205" s="7" t="s">
        <v>7727</v>
      </c>
      <c r="R205" s="7" t="s">
        <v>7692</v>
      </c>
      <c r="S205" s="7" t="s">
        <v>9576</v>
      </c>
      <c r="T205" s="7"/>
      <c r="U205" s="7"/>
    </row>
    <row r="206" customFormat="false" ht="57.45" hidden="false" customHeight="false" outlineLevel="0" collapsed="false">
      <c r="A206" s="7" t="n">
        <v>52</v>
      </c>
      <c r="B206" s="7" t="s">
        <v>695</v>
      </c>
      <c r="C206" s="7" t="s">
        <v>7679</v>
      </c>
      <c r="D206" s="7" t="s">
        <v>9577</v>
      </c>
      <c r="E206" s="7" t="s">
        <v>9578</v>
      </c>
      <c r="F206" s="7" t="n">
        <v>2026</v>
      </c>
      <c r="G206" s="7" t="s">
        <v>9579</v>
      </c>
      <c r="H206" s="7" t="s">
        <v>9580</v>
      </c>
      <c r="I206" s="7" t="s">
        <v>9581</v>
      </c>
      <c r="J206" s="7" t="s">
        <v>9582</v>
      </c>
      <c r="K206" s="7" t="s">
        <v>9583</v>
      </c>
      <c r="L206" s="7" t="s">
        <v>9584</v>
      </c>
      <c r="M206" s="7" t="s">
        <v>9585</v>
      </c>
      <c r="N206" s="7" t="s">
        <v>9586</v>
      </c>
      <c r="O206" s="7"/>
      <c r="P206" s="7" t="s">
        <v>7690</v>
      </c>
      <c r="Q206" s="7" t="s">
        <v>7727</v>
      </c>
      <c r="R206" s="7" t="s">
        <v>7692</v>
      </c>
      <c r="S206" s="7" t="s">
        <v>9587</v>
      </c>
      <c r="T206" s="7" t="s">
        <v>9588</v>
      </c>
      <c r="U206" s="7"/>
    </row>
    <row r="207" customFormat="false" ht="57.45" hidden="false" customHeight="false" outlineLevel="0" collapsed="false">
      <c r="A207" s="7" t="n">
        <v>52</v>
      </c>
      <c r="B207" s="7" t="s">
        <v>695</v>
      </c>
      <c r="C207" s="7" t="s">
        <v>7679</v>
      </c>
      <c r="D207" s="7" t="s">
        <v>9589</v>
      </c>
      <c r="E207" s="7" t="s">
        <v>9590</v>
      </c>
      <c r="F207" s="7" t="n">
        <v>2022</v>
      </c>
      <c r="G207" s="7" t="s">
        <v>7682</v>
      </c>
      <c r="H207" s="7" t="s">
        <v>9591</v>
      </c>
      <c r="I207" s="7" t="s">
        <v>9592</v>
      </c>
      <c r="J207" s="7" t="s">
        <v>9532</v>
      </c>
      <c r="K207" s="7" t="s">
        <v>9593</v>
      </c>
      <c r="L207" s="7" t="s">
        <v>9594</v>
      </c>
      <c r="M207" s="7" t="s">
        <v>9595</v>
      </c>
      <c r="N207" s="7" t="s">
        <v>9596</v>
      </c>
      <c r="O207" s="7" t="s">
        <v>9597</v>
      </c>
      <c r="P207" s="7" t="s">
        <v>7981</v>
      </c>
      <c r="Q207" s="7" t="s">
        <v>9598</v>
      </c>
      <c r="R207" s="7" t="s">
        <v>7692</v>
      </c>
      <c r="S207" s="7" t="s">
        <v>9599</v>
      </c>
      <c r="T207" s="7"/>
      <c r="U207" s="7"/>
    </row>
    <row r="208" customFormat="false" ht="46.25" hidden="false" customHeight="false" outlineLevel="0" collapsed="false">
      <c r="A208" s="7" t="n">
        <v>46</v>
      </c>
      <c r="B208" s="7" t="s">
        <v>632</v>
      </c>
      <c r="C208" s="7" t="s">
        <v>7705</v>
      </c>
      <c r="D208" s="7" t="s">
        <v>9600</v>
      </c>
      <c r="E208" s="7" t="s">
        <v>9601</v>
      </c>
      <c r="F208" s="7" t="n">
        <v>2018</v>
      </c>
      <c r="G208" s="7" t="s">
        <v>7792</v>
      </c>
      <c r="H208" s="7" t="s">
        <v>9602</v>
      </c>
      <c r="I208" s="7" t="s">
        <v>9603</v>
      </c>
      <c r="J208" s="7" t="s">
        <v>7711</v>
      </c>
      <c r="K208" s="7" t="s">
        <v>9604</v>
      </c>
      <c r="L208" s="7" t="s">
        <v>9605</v>
      </c>
      <c r="M208" s="7" t="s">
        <v>7714</v>
      </c>
      <c r="N208" s="7" t="s">
        <v>9606</v>
      </c>
      <c r="O208" s="7"/>
      <c r="P208" s="7" t="s">
        <v>7690</v>
      </c>
      <c r="Q208" s="7" t="s">
        <v>7797</v>
      </c>
      <c r="R208" s="7" t="s">
        <v>7692</v>
      </c>
      <c r="S208" s="7" t="s">
        <v>9607</v>
      </c>
      <c r="T208" s="7"/>
      <c r="U208" s="7"/>
    </row>
    <row r="209" customFormat="false" ht="46.25" hidden="false" customHeight="false" outlineLevel="0" collapsed="false">
      <c r="A209" s="7" t="n">
        <v>46</v>
      </c>
      <c r="B209" s="7" t="s">
        <v>632</v>
      </c>
      <c r="C209" s="7" t="s">
        <v>7679</v>
      </c>
      <c r="D209" s="7" t="s">
        <v>9608</v>
      </c>
      <c r="E209" s="7" t="s">
        <v>9609</v>
      </c>
      <c r="F209" s="7" t="n">
        <v>2024</v>
      </c>
      <c r="G209" s="7" t="s">
        <v>7781</v>
      </c>
      <c r="H209" s="7" t="s">
        <v>9610</v>
      </c>
      <c r="I209" s="7" t="s">
        <v>9611</v>
      </c>
      <c r="J209" s="7" t="s">
        <v>9074</v>
      </c>
      <c r="K209" s="7" t="s">
        <v>9612</v>
      </c>
      <c r="L209" s="7" t="s">
        <v>9613</v>
      </c>
      <c r="M209" s="7" t="s">
        <v>9137</v>
      </c>
      <c r="N209" s="7" t="s">
        <v>9614</v>
      </c>
      <c r="O209" s="7"/>
      <c r="P209" s="7" t="s">
        <v>7690</v>
      </c>
      <c r="Q209" s="7" t="s">
        <v>9615</v>
      </c>
      <c r="R209" s="7" t="s">
        <v>7692</v>
      </c>
      <c r="S209" s="7" t="s">
        <v>9616</v>
      </c>
      <c r="T209" s="7"/>
      <c r="U209" s="7"/>
    </row>
    <row r="210" customFormat="false" ht="68.65" hidden="false" customHeight="false" outlineLevel="0" collapsed="false">
      <c r="A210" s="7" t="n">
        <v>46</v>
      </c>
      <c r="B210" s="7" t="s">
        <v>632</v>
      </c>
      <c r="C210" s="7" t="s">
        <v>7679</v>
      </c>
      <c r="D210" s="7" t="s">
        <v>9617</v>
      </c>
      <c r="E210" s="7" t="s">
        <v>9618</v>
      </c>
      <c r="F210" s="7" t="n">
        <v>2025</v>
      </c>
      <c r="G210" s="7" t="s">
        <v>8294</v>
      </c>
      <c r="H210" s="7" t="s">
        <v>9619</v>
      </c>
      <c r="I210" s="7" t="s">
        <v>9611</v>
      </c>
      <c r="J210" s="7" t="s">
        <v>9620</v>
      </c>
      <c r="K210" s="7" t="s">
        <v>9621</v>
      </c>
      <c r="L210" s="7" t="s">
        <v>9622</v>
      </c>
      <c r="M210" s="7" t="s">
        <v>9623</v>
      </c>
      <c r="N210" s="7" t="s">
        <v>9624</v>
      </c>
      <c r="O210" s="7"/>
      <c r="P210" s="7" t="s">
        <v>7690</v>
      </c>
      <c r="Q210" s="7" t="s">
        <v>9625</v>
      </c>
      <c r="R210" s="7" t="s">
        <v>7692</v>
      </c>
      <c r="S210" s="7" t="s">
        <v>9626</v>
      </c>
      <c r="T210" s="7" t="s">
        <v>9626</v>
      </c>
      <c r="U210" s="7" t="s">
        <v>9627</v>
      </c>
    </row>
    <row r="211" customFormat="false" ht="57.45" hidden="false" customHeight="false" outlineLevel="0" collapsed="false">
      <c r="A211" s="7" t="n">
        <v>46</v>
      </c>
      <c r="B211" s="7" t="s">
        <v>632</v>
      </c>
      <c r="C211" s="7" t="s">
        <v>7679</v>
      </c>
      <c r="D211" s="7" t="s">
        <v>9628</v>
      </c>
      <c r="E211" s="7" t="s">
        <v>9629</v>
      </c>
      <c r="F211" s="7" t="n">
        <v>2026</v>
      </c>
      <c r="G211" s="7" t="s">
        <v>7682</v>
      </c>
      <c r="H211" s="7" t="s">
        <v>9630</v>
      </c>
      <c r="I211" s="7" t="s">
        <v>9631</v>
      </c>
      <c r="J211" s="7" t="s">
        <v>7699</v>
      </c>
      <c r="K211" s="7" t="s">
        <v>9632</v>
      </c>
      <c r="L211" s="7" t="s">
        <v>9633</v>
      </c>
      <c r="M211" s="7" t="s">
        <v>9634</v>
      </c>
      <c r="N211" s="7" t="s">
        <v>9635</v>
      </c>
      <c r="O211" s="7"/>
      <c r="P211" s="7" t="s">
        <v>7981</v>
      </c>
      <c r="Q211" s="7" t="s">
        <v>9636</v>
      </c>
      <c r="R211" s="7" t="s">
        <v>7692</v>
      </c>
      <c r="S211" s="7" t="s">
        <v>9637</v>
      </c>
      <c r="T211" s="7"/>
      <c r="U211" s="7"/>
    </row>
    <row r="212" customFormat="false" ht="46.25" hidden="false" customHeight="false" outlineLevel="0" collapsed="false">
      <c r="A212" s="7" t="n">
        <v>49</v>
      </c>
      <c r="B212" s="7" t="s">
        <v>665</v>
      </c>
      <c r="C212" s="7" t="s">
        <v>7705</v>
      </c>
      <c r="D212" s="7" t="s">
        <v>9638</v>
      </c>
      <c r="E212" s="7" t="s">
        <v>9639</v>
      </c>
      <c r="F212" s="7" t="n">
        <v>2018</v>
      </c>
      <c r="G212" s="7" t="s">
        <v>7792</v>
      </c>
      <c r="H212" s="7" t="s">
        <v>9640</v>
      </c>
      <c r="I212" s="7" t="s">
        <v>9641</v>
      </c>
      <c r="J212" s="7" t="s">
        <v>7711</v>
      </c>
      <c r="K212" s="7" t="s">
        <v>9642</v>
      </c>
      <c r="L212" s="7" t="s">
        <v>9643</v>
      </c>
      <c r="M212" s="7" t="s">
        <v>9644</v>
      </c>
      <c r="N212" s="7" t="s">
        <v>7715</v>
      </c>
      <c r="O212" s="7"/>
      <c r="P212" s="7" t="s">
        <v>7690</v>
      </c>
      <c r="Q212" s="7" t="s">
        <v>9645</v>
      </c>
      <c r="R212" s="7" t="s">
        <v>7692</v>
      </c>
      <c r="S212" s="7" t="s">
        <v>9646</v>
      </c>
      <c r="T212" s="7"/>
      <c r="U212" s="7" t="s">
        <v>9647</v>
      </c>
    </row>
    <row r="213" customFormat="false" ht="46.25" hidden="false" customHeight="false" outlineLevel="0" collapsed="false">
      <c r="A213" s="7" t="n">
        <v>49</v>
      </c>
      <c r="B213" s="7" t="s">
        <v>665</v>
      </c>
      <c r="C213" s="7" t="s">
        <v>7679</v>
      </c>
      <c r="D213" s="7" t="s">
        <v>9648</v>
      </c>
      <c r="E213" s="7" t="s">
        <v>9649</v>
      </c>
      <c r="F213" s="7" t="n">
        <v>2025</v>
      </c>
      <c r="G213" s="7" t="s">
        <v>7781</v>
      </c>
      <c r="H213" s="7" t="s">
        <v>9650</v>
      </c>
      <c r="I213" s="7" t="s">
        <v>9651</v>
      </c>
      <c r="J213" s="7" t="s">
        <v>7699</v>
      </c>
      <c r="K213" s="7" t="s">
        <v>9652</v>
      </c>
      <c r="L213" s="7" t="s">
        <v>9653</v>
      </c>
      <c r="M213" s="7" t="s">
        <v>9137</v>
      </c>
      <c r="N213" s="7" t="s">
        <v>9654</v>
      </c>
      <c r="O213" s="7"/>
      <c r="P213" s="7" t="s">
        <v>7690</v>
      </c>
      <c r="Q213" s="7" t="s">
        <v>7716</v>
      </c>
      <c r="R213" s="7" t="s">
        <v>7692</v>
      </c>
      <c r="S213" s="7" t="s">
        <v>9655</v>
      </c>
      <c r="T213" s="7"/>
      <c r="U213" s="7" t="s">
        <v>9656</v>
      </c>
    </row>
    <row r="214" customFormat="false" ht="35.05" hidden="false" customHeight="false" outlineLevel="0" collapsed="false">
      <c r="A214" s="7" t="n">
        <v>45</v>
      </c>
      <c r="B214" s="7" t="s">
        <v>617</v>
      </c>
      <c r="C214" s="7" t="s">
        <v>7705</v>
      </c>
      <c r="D214" s="7" t="s">
        <v>9657</v>
      </c>
      <c r="E214" s="7" t="s">
        <v>9658</v>
      </c>
      <c r="F214" s="7" t="n">
        <v>2018</v>
      </c>
      <c r="G214" s="7" t="s">
        <v>7792</v>
      </c>
      <c r="H214" s="7" t="s">
        <v>9659</v>
      </c>
      <c r="I214" s="7" t="s">
        <v>9660</v>
      </c>
      <c r="J214" s="7" t="s">
        <v>7711</v>
      </c>
      <c r="K214" s="7" t="s">
        <v>9661</v>
      </c>
      <c r="L214" s="7" t="s">
        <v>9662</v>
      </c>
      <c r="M214" s="7" t="s">
        <v>9644</v>
      </c>
      <c r="N214" s="7" t="s">
        <v>7715</v>
      </c>
      <c r="O214" s="7"/>
      <c r="P214" s="7" t="s">
        <v>7690</v>
      </c>
      <c r="Q214" s="7" t="s">
        <v>9645</v>
      </c>
      <c r="R214" s="7" t="s">
        <v>7692</v>
      </c>
      <c r="S214" s="7" t="s">
        <v>9663</v>
      </c>
      <c r="T214" s="7"/>
      <c r="U214" s="7"/>
    </row>
    <row r="215" customFormat="false" ht="46.25" hidden="false" customHeight="false" outlineLevel="0" collapsed="false">
      <c r="A215" s="7" t="n">
        <v>45</v>
      </c>
      <c r="B215" s="7" t="s">
        <v>617</v>
      </c>
      <c r="C215" s="7" t="s">
        <v>7679</v>
      </c>
      <c r="D215" s="7" t="s">
        <v>9664</v>
      </c>
      <c r="E215" s="7" t="s">
        <v>9665</v>
      </c>
      <c r="F215" s="7" t="n">
        <v>2025</v>
      </c>
      <c r="G215" s="7" t="s">
        <v>7781</v>
      </c>
      <c r="H215" s="7" t="s">
        <v>9666</v>
      </c>
      <c r="I215" s="7" t="s">
        <v>9667</v>
      </c>
      <c r="J215" s="7" t="s">
        <v>7699</v>
      </c>
      <c r="K215" s="7" t="s">
        <v>9668</v>
      </c>
      <c r="L215" s="7" t="s">
        <v>9669</v>
      </c>
      <c r="M215" s="7" t="s">
        <v>8247</v>
      </c>
      <c r="N215" s="7" t="s">
        <v>9654</v>
      </c>
      <c r="O215" s="7"/>
      <c r="P215" s="7" t="s">
        <v>7690</v>
      </c>
      <c r="Q215" s="7" t="s">
        <v>9670</v>
      </c>
      <c r="R215" s="7" t="s">
        <v>7692</v>
      </c>
      <c r="S215" s="7" t="s">
        <v>9671</v>
      </c>
      <c r="T215" s="7"/>
      <c r="U215" s="7"/>
    </row>
    <row r="216" customFormat="false" ht="57.45" hidden="false" customHeight="false" outlineLevel="0" collapsed="false">
      <c r="A216" s="7" t="n">
        <v>48</v>
      </c>
      <c r="B216" s="7" t="s">
        <v>655</v>
      </c>
      <c r="C216" s="7" t="s">
        <v>7705</v>
      </c>
      <c r="D216" s="7" t="s">
        <v>9672</v>
      </c>
      <c r="E216" s="7" t="s">
        <v>9673</v>
      </c>
      <c r="F216" s="7" t="n">
        <v>2018</v>
      </c>
      <c r="G216" s="7" t="s">
        <v>7792</v>
      </c>
      <c r="H216" s="7" t="s">
        <v>9674</v>
      </c>
      <c r="I216" s="7" t="s">
        <v>9675</v>
      </c>
      <c r="J216" s="7" t="s">
        <v>7711</v>
      </c>
      <c r="K216" s="7" t="s">
        <v>9676</v>
      </c>
      <c r="L216" s="7" t="s">
        <v>9677</v>
      </c>
      <c r="M216" s="7" t="s">
        <v>9678</v>
      </c>
      <c r="N216" s="7" t="s">
        <v>9265</v>
      </c>
      <c r="O216" s="7"/>
      <c r="P216" s="7" t="s">
        <v>7690</v>
      </c>
      <c r="Q216" s="7" t="s">
        <v>9679</v>
      </c>
      <c r="R216" s="7" t="s">
        <v>7692</v>
      </c>
      <c r="S216" s="7" t="s">
        <v>9680</v>
      </c>
      <c r="T216" s="7"/>
      <c r="U216" s="7"/>
    </row>
    <row r="217" customFormat="false" ht="68.65" hidden="false" customHeight="false" outlineLevel="0" collapsed="false">
      <c r="A217" s="7" t="n">
        <v>48</v>
      </c>
      <c r="B217" s="7" t="s">
        <v>655</v>
      </c>
      <c r="C217" s="7" t="s">
        <v>7679</v>
      </c>
      <c r="D217" s="7" t="s">
        <v>9681</v>
      </c>
      <c r="E217" s="7" t="s">
        <v>9682</v>
      </c>
      <c r="F217" s="7" t="n">
        <v>2024</v>
      </c>
      <c r="G217" s="7" t="s">
        <v>7781</v>
      </c>
      <c r="H217" s="7" t="s">
        <v>9683</v>
      </c>
      <c r="I217" s="7" t="s">
        <v>9684</v>
      </c>
      <c r="J217" s="7" t="s">
        <v>7699</v>
      </c>
      <c r="K217" s="7" t="s">
        <v>9685</v>
      </c>
      <c r="L217" s="7" t="s">
        <v>9686</v>
      </c>
      <c r="M217" s="7" t="s">
        <v>9687</v>
      </c>
      <c r="N217" s="7" t="s">
        <v>9688</v>
      </c>
      <c r="O217" s="7"/>
      <c r="P217" s="7" t="s">
        <v>7690</v>
      </c>
      <c r="Q217" s="7" t="s">
        <v>9689</v>
      </c>
      <c r="R217" s="7" t="s">
        <v>7692</v>
      </c>
      <c r="S217" s="7" t="s">
        <v>9690</v>
      </c>
      <c r="T217" s="7"/>
      <c r="U217" s="7" t="s">
        <v>9691</v>
      </c>
    </row>
    <row r="218" customFormat="false" ht="46.25" hidden="false" customHeight="false" outlineLevel="0" collapsed="false">
      <c r="A218" s="7" t="n">
        <v>48</v>
      </c>
      <c r="B218" s="7" t="s">
        <v>655</v>
      </c>
      <c r="C218" s="7" t="s">
        <v>7679</v>
      </c>
      <c r="D218" s="7" t="s">
        <v>9692</v>
      </c>
      <c r="E218" s="7" t="s">
        <v>9693</v>
      </c>
      <c r="F218" s="7" t="n">
        <v>2025</v>
      </c>
      <c r="G218" s="7" t="s">
        <v>7781</v>
      </c>
      <c r="H218" s="7" t="s">
        <v>9694</v>
      </c>
      <c r="I218" s="7" t="s">
        <v>9695</v>
      </c>
      <c r="J218" s="7" t="s">
        <v>9532</v>
      </c>
      <c r="K218" s="7" t="s">
        <v>9696</v>
      </c>
      <c r="L218" s="7" t="s">
        <v>9697</v>
      </c>
      <c r="M218" s="7" t="s">
        <v>8247</v>
      </c>
      <c r="N218" s="7" t="s">
        <v>9698</v>
      </c>
      <c r="O218" s="7"/>
      <c r="P218" s="7" t="s">
        <v>7690</v>
      </c>
      <c r="Q218" s="7" t="s">
        <v>9699</v>
      </c>
      <c r="R218" s="7" t="s">
        <v>7692</v>
      </c>
      <c r="S218" s="7" t="s">
        <v>9700</v>
      </c>
      <c r="T218" s="7"/>
      <c r="U218" s="7" t="s">
        <v>9701</v>
      </c>
    </row>
    <row r="219" customFormat="false" ht="68.65" hidden="false" customHeight="false" outlineLevel="0" collapsed="false">
      <c r="A219" s="7" t="n">
        <v>48</v>
      </c>
      <c r="B219" s="7" t="s">
        <v>655</v>
      </c>
      <c r="C219" s="7" t="s">
        <v>7679</v>
      </c>
      <c r="D219" s="7" t="s">
        <v>9702</v>
      </c>
      <c r="E219" s="7" t="s">
        <v>9703</v>
      </c>
      <c r="F219" s="7" t="n">
        <v>2024</v>
      </c>
      <c r="G219" s="7" t="s">
        <v>7682</v>
      </c>
      <c r="H219" s="7" t="s">
        <v>9704</v>
      </c>
      <c r="I219" s="7" t="s">
        <v>9705</v>
      </c>
      <c r="J219" s="7" t="s">
        <v>7699</v>
      </c>
      <c r="K219" s="7" t="s">
        <v>9706</v>
      </c>
      <c r="L219" s="7" t="s">
        <v>9707</v>
      </c>
      <c r="M219" s="7" t="s">
        <v>9708</v>
      </c>
      <c r="N219" s="7" t="s">
        <v>9709</v>
      </c>
      <c r="O219" s="7"/>
      <c r="P219" s="7" t="s">
        <v>7981</v>
      </c>
      <c r="Q219" s="7" t="s">
        <v>7691</v>
      </c>
      <c r="R219" s="7" t="s">
        <v>7692</v>
      </c>
      <c r="S219" s="7" t="s">
        <v>9710</v>
      </c>
      <c r="T219" s="7" t="s">
        <v>9711</v>
      </c>
      <c r="U219" s="7"/>
    </row>
    <row r="220" customFormat="false" ht="46.25" hidden="false" customHeight="false" outlineLevel="0" collapsed="false">
      <c r="A220" s="7" t="n">
        <v>48</v>
      </c>
      <c r="B220" s="7" t="s">
        <v>655</v>
      </c>
      <c r="C220" s="7" t="s">
        <v>7679</v>
      </c>
      <c r="D220" s="7" t="s">
        <v>9712</v>
      </c>
      <c r="E220" s="7" t="s">
        <v>9713</v>
      </c>
      <c r="F220" s="7" t="n">
        <v>2023</v>
      </c>
      <c r="G220" s="7" t="s">
        <v>9714</v>
      </c>
      <c r="H220" s="7" t="s">
        <v>9715</v>
      </c>
      <c r="I220" s="7" t="s">
        <v>9716</v>
      </c>
      <c r="J220" s="7" t="s">
        <v>7699</v>
      </c>
      <c r="K220" s="7" t="s">
        <v>9717</v>
      </c>
      <c r="L220" s="7" t="s">
        <v>9718</v>
      </c>
      <c r="M220" s="7" t="s">
        <v>9719</v>
      </c>
      <c r="N220" s="7" t="s">
        <v>9720</v>
      </c>
      <c r="O220" s="7" t="s">
        <v>9721</v>
      </c>
      <c r="P220" s="7" t="s">
        <v>7690</v>
      </c>
      <c r="Q220" s="7" t="s">
        <v>7727</v>
      </c>
      <c r="R220" s="7" t="s">
        <v>7692</v>
      </c>
      <c r="S220" s="7" t="s">
        <v>9722</v>
      </c>
      <c r="T220" s="7"/>
      <c r="U220" s="7"/>
    </row>
    <row r="221" customFormat="false" ht="46.25" hidden="false" customHeight="false" outlineLevel="0" collapsed="false">
      <c r="A221" s="7" t="n">
        <v>48</v>
      </c>
      <c r="B221" s="7" t="s">
        <v>655</v>
      </c>
      <c r="C221" s="7" t="s">
        <v>7679</v>
      </c>
      <c r="D221" s="7" t="s">
        <v>9723</v>
      </c>
      <c r="E221" s="7" t="s">
        <v>9724</v>
      </c>
      <c r="F221" s="7" t="n">
        <v>2023</v>
      </c>
      <c r="G221" s="7" t="s">
        <v>8141</v>
      </c>
      <c r="H221" s="7" t="s">
        <v>9725</v>
      </c>
      <c r="I221" s="7" t="s">
        <v>9726</v>
      </c>
      <c r="J221" s="7" t="s">
        <v>7685</v>
      </c>
      <c r="K221" s="7" t="s">
        <v>9727</v>
      </c>
      <c r="L221" s="7" t="s">
        <v>9728</v>
      </c>
      <c r="M221" s="7" t="s">
        <v>9729</v>
      </c>
      <c r="N221" s="7" t="s">
        <v>9730</v>
      </c>
      <c r="O221" s="7"/>
      <c r="P221" s="7" t="s">
        <v>7690</v>
      </c>
      <c r="Q221" s="7" t="s">
        <v>7727</v>
      </c>
      <c r="R221" s="7" t="s">
        <v>7692</v>
      </c>
      <c r="S221" s="7" t="s">
        <v>9731</v>
      </c>
      <c r="T221" s="7" t="s">
        <v>9731</v>
      </c>
      <c r="U221" s="7" t="s">
        <v>9732</v>
      </c>
    </row>
    <row r="222" customFormat="false" ht="35.05" hidden="false" customHeight="false" outlineLevel="0" collapsed="false">
      <c r="A222" s="7" t="n">
        <v>51</v>
      </c>
      <c r="B222" s="7" t="s">
        <v>685</v>
      </c>
      <c r="C222" s="7" t="s">
        <v>7705</v>
      </c>
      <c r="D222" s="7" t="s">
        <v>9733</v>
      </c>
      <c r="E222" s="7" t="s">
        <v>9734</v>
      </c>
      <c r="F222" s="7" t="n">
        <v>2018</v>
      </c>
      <c r="G222" s="7" t="s">
        <v>7792</v>
      </c>
      <c r="H222" s="7" t="s">
        <v>9735</v>
      </c>
      <c r="I222" s="7" t="s">
        <v>9736</v>
      </c>
      <c r="J222" s="7" t="s">
        <v>7711</v>
      </c>
      <c r="K222" s="7" t="s">
        <v>9737</v>
      </c>
      <c r="L222" s="7" t="s">
        <v>9738</v>
      </c>
      <c r="M222" s="7" t="s">
        <v>7714</v>
      </c>
      <c r="N222" s="7" t="s">
        <v>7715</v>
      </c>
      <c r="O222" s="7"/>
      <c r="P222" s="7" t="s">
        <v>7690</v>
      </c>
      <c r="Q222" s="7" t="s">
        <v>7759</v>
      </c>
      <c r="R222" s="7" t="s">
        <v>7692</v>
      </c>
      <c r="S222" s="7" t="s">
        <v>9739</v>
      </c>
      <c r="T222" s="7"/>
      <c r="U222" s="7" t="s">
        <v>9740</v>
      </c>
    </row>
    <row r="223" customFormat="false" ht="46.25" hidden="false" customHeight="false" outlineLevel="0" collapsed="false">
      <c r="A223" s="7" t="n">
        <v>51</v>
      </c>
      <c r="B223" s="7" t="s">
        <v>685</v>
      </c>
      <c r="C223" s="7" t="s">
        <v>7679</v>
      </c>
      <c r="D223" s="7" t="s">
        <v>9741</v>
      </c>
      <c r="E223" s="7" t="s">
        <v>9742</v>
      </c>
      <c r="F223" s="7" t="n">
        <v>2024</v>
      </c>
      <c r="G223" s="7" t="s">
        <v>8448</v>
      </c>
      <c r="H223" s="7" t="s">
        <v>9743</v>
      </c>
      <c r="I223" s="7" t="s">
        <v>9744</v>
      </c>
      <c r="J223" s="7" t="s">
        <v>7699</v>
      </c>
      <c r="K223" s="7" t="s">
        <v>9745</v>
      </c>
      <c r="L223" s="7" t="s">
        <v>9746</v>
      </c>
      <c r="M223" s="7" t="s">
        <v>9747</v>
      </c>
      <c r="N223" s="7" t="s">
        <v>9748</v>
      </c>
      <c r="O223" s="7"/>
      <c r="P223" s="7" t="s">
        <v>7690</v>
      </c>
      <c r="Q223" s="7" t="s">
        <v>7716</v>
      </c>
      <c r="R223" s="7" t="s">
        <v>7692</v>
      </c>
      <c r="S223" s="7" t="s">
        <v>9749</v>
      </c>
      <c r="T223" s="7"/>
      <c r="U223" s="7" t="s">
        <v>9750</v>
      </c>
    </row>
    <row r="224" customFormat="false" ht="46.25" hidden="false" customHeight="false" outlineLevel="0" collapsed="false">
      <c r="A224" s="7" t="n">
        <v>51</v>
      </c>
      <c r="B224" s="7" t="s">
        <v>685</v>
      </c>
      <c r="C224" s="7" t="s">
        <v>7679</v>
      </c>
      <c r="D224" s="7" t="s">
        <v>9751</v>
      </c>
      <c r="E224" s="7" t="s">
        <v>9752</v>
      </c>
      <c r="F224" s="7" t="n">
        <v>2026</v>
      </c>
      <c r="G224" s="7" t="s">
        <v>9753</v>
      </c>
      <c r="H224" s="7" t="s">
        <v>9754</v>
      </c>
      <c r="I224" s="7" t="s">
        <v>9755</v>
      </c>
      <c r="J224" s="7" t="s">
        <v>7685</v>
      </c>
      <c r="K224" s="7" t="s">
        <v>9756</v>
      </c>
      <c r="L224" s="7" t="s">
        <v>9757</v>
      </c>
      <c r="M224" s="7" t="s">
        <v>9758</v>
      </c>
      <c r="N224" s="7" t="s">
        <v>9759</v>
      </c>
      <c r="O224" s="7"/>
      <c r="P224" s="7" t="s">
        <v>7690</v>
      </c>
      <c r="Q224" s="7" t="s">
        <v>7727</v>
      </c>
      <c r="R224" s="7" t="s">
        <v>7692</v>
      </c>
      <c r="S224" s="7" t="s">
        <v>9760</v>
      </c>
      <c r="T224" s="7"/>
      <c r="U224" s="7"/>
    </row>
    <row r="225" customFormat="false" ht="57.45" hidden="false" customHeight="false" outlineLevel="0" collapsed="false">
      <c r="A225" s="7" t="n">
        <v>50</v>
      </c>
      <c r="B225" s="7" t="s">
        <v>674</v>
      </c>
      <c r="C225" s="7" t="s">
        <v>7705</v>
      </c>
      <c r="D225" s="7" t="s">
        <v>9761</v>
      </c>
      <c r="E225" s="7" t="s">
        <v>9762</v>
      </c>
      <c r="F225" s="7" t="n">
        <v>2018</v>
      </c>
      <c r="G225" s="7" t="s">
        <v>7792</v>
      </c>
      <c r="H225" s="7" t="s">
        <v>9735</v>
      </c>
      <c r="I225" s="7" t="s">
        <v>9763</v>
      </c>
      <c r="J225" s="7" t="s">
        <v>7711</v>
      </c>
      <c r="K225" s="7" t="s">
        <v>9764</v>
      </c>
      <c r="L225" s="7" t="s">
        <v>9765</v>
      </c>
      <c r="M225" s="7" t="s">
        <v>7714</v>
      </c>
      <c r="N225" s="7" t="s">
        <v>7715</v>
      </c>
      <c r="O225" s="7"/>
      <c r="P225" s="7" t="s">
        <v>7690</v>
      </c>
      <c r="Q225" s="7" t="s">
        <v>9645</v>
      </c>
      <c r="R225" s="7" t="s">
        <v>7692</v>
      </c>
      <c r="S225" s="7" t="s">
        <v>9766</v>
      </c>
      <c r="T225" s="7"/>
      <c r="U225" s="7"/>
    </row>
    <row r="226" customFormat="false" ht="35.05" hidden="false" customHeight="false" outlineLevel="0" collapsed="false">
      <c r="A226" s="7" t="n">
        <v>50</v>
      </c>
      <c r="B226" s="7" t="s">
        <v>674</v>
      </c>
      <c r="C226" s="7" t="s">
        <v>7679</v>
      </c>
      <c r="D226" s="7" t="s">
        <v>9767</v>
      </c>
      <c r="E226" s="7" t="s">
        <v>9768</v>
      </c>
      <c r="F226" s="7" t="n">
        <v>2025</v>
      </c>
      <c r="G226" s="7" t="s">
        <v>7781</v>
      </c>
      <c r="H226" s="7" t="s">
        <v>9769</v>
      </c>
      <c r="I226" s="7" t="s">
        <v>9770</v>
      </c>
      <c r="J226" s="7" t="s">
        <v>7699</v>
      </c>
      <c r="K226" s="7" t="s">
        <v>9771</v>
      </c>
      <c r="L226" s="7" t="s">
        <v>9772</v>
      </c>
      <c r="M226" s="7" t="s">
        <v>8247</v>
      </c>
      <c r="N226" s="7" t="s">
        <v>9773</v>
      </c>
      <c r="O226" s="7"/>
      <c r="P226" s="7" t="s">
        <v>7690</v>
      </c>
      <c r="Q226" s="7" t="s">
        <v>7716</v>
      </c>
      <c r="R226" s="7" t="s">
        <v>7692</v>
      </c>
      <c r="S226" s="7" t="s">
        <v>9774</v>
      </c>
      <c r="T226" s="7"/>
      <c r="U226" s="7" t="s">
        <v>9775</v>
      </c>
    </row>
    <row r="227" customFormat="false" ht="35.05" hidden="false" customHeight="false" outlineLevel="0" collapsed="false">
      <c r="A227" s="7" t="n">
        <v>50</v>
      </c>
      <c r="B227" s="7" t="s">
        <v>674</v>
      </c>
      <c r="C227" s="7" t="s">
        <v>7679</v>
      </c>
      <c r="D227" s="7" t="s">
        <v>9776</v>
      </c>
      <c r="E227" s="7" t="s">
        <v>9777</v>
      </c>
      <c r="F227" s="7" t="n">
        <v>2025</v>
      </c>
      <c r="G227" s="7" t="s">
        <v>8364</v>
      </c>
      <c r="H227" s="7" t="s">
        <v>9778</v>
      </c>
      <c r="I227" s="7" t="s">
        <v>9779</v>
      </c>
      <c r="J227" s="7" t="s">
        <v>7685</v>
      </c>
      <c r="K227" s="7" t="s">
        <v>9780</v>
      </c>
      <c r="L227" s="7" t="s">
        <v>9781</v>
      </c>
      <c r="M227" s="7" t="s">
        <v>8168</v>
      </c>
      <c r="N227" s="7" t="s">
        <v>9042</v>
      </c>
      <c r="O227" s="7"/>
      <c r="P227" s="7" t="s">
        <v>7690</v>
      </c>
      <c r="Q227" s="7" t="s">
        <v>8509</v>
      </c>
      <c r="R227" s="7" t="s">
        <v>7692</v>
      </c>
      <c r="S227" s="7" t="s">
        <v>9782</v>
      </c>
      <c r="T227" s="7" t="s">
        <v>9782</v>
      </c>
      <c r="U227" s="7"/>
    </row>
    <row r="228" customFormat="false" ht="35.05" hidden="false" customHeight="false" outlineLevel="0" collapsed="false">
      <c r="A228" s="7" t="n">
        <v>47</v>
      </c>
      <c r="B228" s="7" t="s">
        <v>645</v>
      </c>
      <c r="C228" s="7" t="s">
        <v>7705</v>
      </c>
      <c r="D228" s="7" t="s">
        <v>9783</v>
      </c>
      <c r="E228" s="7" t="s">
        <v>9784</v>
      </c>
      <c r="F228" s="7" t="n">
        <v>2018</v>
      </c>
      <c r="G228" s="7" t="s">
        <v>7792</v>
      </c>
      <c r="H228" s="7" t="s">
        <v>9785</v>
      </c>
      <c r="I228" s="7" t="s">
        <v>9786</v>
      </c>
      <c r="J228" s="7" t="s">
        <v>7711</v>
      </c>
      <c r="K228" s="7" t="s">
        <v>9787</v>
      </c>
      <c r="L228" s="7" t="s">
        <v>9788</v>
      </c>
      <c r="M228" s="7" t="s">
        <v>9644</v>
      </c>
      <c r="N228" s="7" t="s">
        <v>7715</v>
      </c>
      <c r="O228" s="7"/>
      <c r="P228" s="7" t="s">
        <v>7690</v>
      </c>
      <c r="Q228" s="7" t="s">
        <v>7759</v>
      </c>
      <c r="R228" s="7" t="s">
        <v>7692</v>
      </c>
      <c r="S228" s="7" t="s">
        <v>9789</v>
      </c>
      <c r="T228" s="7"/>
      <c r="U228" s="7" t="s">
        <v>9790</v>
      </c>
    </row>
    <row r="229" customFormat="false" ht="46.25" hidden="false" customHeight="false" outlineLevel="0" collapsed="false">
      <c r="A229" s="7" t="n">
        <v>47</v>
      </c>
      <c r="B229" s="7" t="s">
        <v>645</v>
      </c>
      <c r="C229" s="7" t="s">
        <v>7679</v>
      </c>
      <c r="D229" s="7" t="s">
        <v>9791</v>
      </c>
      <c r="E229" s="7" t="s">
        <v>9792</v>
      </c>
      <c r="F229" s="7" t="n">
        <v>2025</v>
      </c>
      <c r="G229" s="7" t="s">
        <v>8448</v>
      </c>
      <c r="H229" s="7" t="s">
        <v>9793</v>
      </c>
      <c r="I229" s="7" t="s">
        <v>9794</v>
      </c>
      <c r="J229" s="7" t="s">
        <v>7699</v>
      </c>
      <c r="K229" s="7" t="s">
        <v>9795</v>
      </c>
      <c r="L229" s="7" t="s">
        <v>9796</v>
      </c>
      <c r="M229" s="7" t="s">
        <v>8247</v>
      </c>
      <c r="N229" s="7" t="s">
        <v>9748</v>
      </c>
      <c r="O229" s="7"/>
      <c r="P229" s="7" t="s">
        <v>7690</v>
      </c>
      <c r="Q229" s="7" t="s">
        <v>7716</v>
      </c>
      <c r="R229" s="7" t="s">
        <v>7692</v>
      </c>
      <c r="S229" s="7" t="s">
        <v>9797</v>
      </c>
      <c r="T229" s="7"/>
      <c r="U229" s="7" t="s">
        <v>9798</v>
      </c>
    </row>
    <row r="230" customFormat="false" ht="46.25" hidden="false" customHeight="false" outlineLevel="0" collapsed="false">
      <c r="A230" s="7" t="n">
        <v>54</v>
      </c>
      <c r="B230" s="7" t="s">
        <v>719</v>
      </c>
      <c r="C230" s="7" t="s">
        <v>7705</v>
      </c>
      <c r="D230" s="7" t="s">
        <v>9799</v>
      </c>
      <c r="E230" s="7" t="s">
        <v>9800</v>
      </c>
      <c r="F230" s="7" t="n">
        <v>2018</v>
      </c>
      <c r="G230" s="7" t="s">
        <v>7792</v>
      </c>
      <c r="H230" s="7" t="s">
        <v>9735</v>
      </c>
      <c r="I230" s="7" t="s">
        <v>9801</v>
      </c>
      <c r="J230" s="7" t="s">
        <v>7711</v>
      </c>
      <c r="K230" s="7" t="s">
        <v>9802</v>
      </c>
      <c r="L230" s="7" t="s">
        <v>9803</v>
      </c>
      <c r="M230" s="7" t="s">
        <v>7714</v>
      </c>
      <c r="N230" s="7" t="s">
        <v>7715</v>
      </c>
      <c r="O230" s="7"/>
      <c r="P230" s="7" t="s">
        <v>7690</v>
      </c>
      <c r="Q230" s="7" t="s">
        <v>9645</v>
      </c>
      <c r="R230" s="7" t="s">
        <v>7692</v>
      </c>
      <c r="S230" s="7" t="s">
        <v>9804</v>
      </c>
      <c r="T230" s="7"/>
      <c r="U230" s="7"/>
    </row>
    <row r="231" customFormat="false" ht="35.05" hidden="false" customHeight="false" outlineLevel="0" collapsed="false">
      <c r="A231" s="7" t="n">
        <v>54</v>
      </c>
      <c r="B231" s="7" t="s">
        <v>719</v>
      </c>
      <c r="C231" s="7" t="s">
        <v>7679</v>
      </c>
      <c r="D231" s="7" t="s">
        <v>9805</v>
      </c>
      <c r="E231" s="7" t="s">
        <v>9806</v>
      </c>
      <c r="F231" s="7" t="n">
        <v>2025</v>
      </c>
      <c r="G231" s="7" t="s">
        <v>7781</v>
      </c>
      <c r="H231" s="7" t="s">
        <v>9807</v>
      </c>
      <c r="I231" s="7" t="s">
        <v>9808</v>
      </c>
      <c r="J231" s="7" t="s">
        <v>7699</v>
      </c>
      <c r="K231" s="7" t="s">
        <v>9809</v>
      </c>
      <c r="L231" s="7" t="s">
        <v>9810</v>
      </c>
      <c r="M231" s="7" t="s">
        <v>9585</v>
      </c>
      <c r="N231" s="7" t="s">
        <v>9811</v>
      </c>
      <c r="O231" s="7"/>
      <c r="P231" s="7" t="s">
        <v>7690</v>
      </c>
      <c r="Q231" s="7" t="s">
        <v>8509</v>
      </c>
      <c r="R231" s="7" t="s">
        <v>7692</v>
      </c>
      <c r="S231" s="7" t="s">
        <v>9671</v>
      </c>
      <c r="T231" s="7"/>
      <c r="U231" s="7"/>
    </row>
    <row r="232" customFormat="false" ht="46.25" hidden="false" customHeight="false" outlineLevel="0" collapsed="false">
      <c r="A232" s="7" t="n">
        <v>54</v>
      </c>
      <c r="B232" s="7" t="s">
        <v>719</v>
      </c>
      <c r="C232" s="7" t="s">
        <v>7679</v>
      </c>
      <c r="D232" s="7" t="s">
        <v>9812</v>
      </c>
      <c r="E232" s="7" t="s">
        <v>9777</v>
      </c>
      <c r="F232" s="7" t="n">
        <v>2025</v>
      </c>
      <c r="G232" s="7" t="s">
        <v>8364</v>
      </c>
      <c r="H232" s="7" t="s">
        <v>9778</v>
      </c>
      <c r="I232" s="7" t="s">
        <v>9813</v>
      </c>
      <c r="J232" s="7" t="s">
        <v>7765</v>
      </c>
      <c r="K232" s="7" t="s">
        <v>9814</v>
      </c>
      <c r="L232" s="7" t="s">
        <v>9815</v>
      </c>
      <c r="M232" s="7" t="s">
        <v>8168</v>
      </c>
      <c r="N232" s="7" t="s">
        <v>9042</v>
      </c>
      <c r="O232" s="7"/>
      <c r="P232" s="7" t="s">
        <v>7690</v>
      </c>
      <c r="Q232" s="7" t="s">
        <v>8509</v>
      </c>
      <c r="R232" s="7" t="s">
        <v>7692</v>
      </c>
      <c r="S232" s="7" t="s">
        <v>9782</v>
      </c>
      <c r="T232" s="7" t="s">
        <v>9782</v>
      </c>
      <c r="U232" s="7"/>
    </row>
    <row r="233" customFormat="false" ht="35.05" hidden="false" customHeight="false" outlineLevel="0" collapsed="false">
      <c r="A233" s="7" t="n">
        <v>53</v>
      </c>
      <c r="B233" s="7" t="s">
        <v>708</v>
      </c>
      <c r="C233" s="7" t="s">
        <v>7679</v>
      </c>
      <c r="D233" s="7" t="s">
        <v>9816</v>
      </c>
      <c r="E233" s="7" t="s">
        <v>9817</v>
      </c>
      <c r="F233" s="7" t="n">
        <v>2023</v>
      </c>
      <c r="G233" s="7" t="s">
        <v>8448</v>
      </c>
      <c r="H233" s="7" t="s">
        <v>9818</v>
      </c>
      <c r="I233" s="7" t="s">
        <v>9819</v>
      </c>
      <c r="J233" s="7" t="s">
        <v>7685</v>
      </c>
      <c r="K233" s="7" t="s">
        <v>9820</v>
      </c>
      <c r="L233" s="7" t="s">
        <v>9821</v>
      </c>
      <c r="M233" s="7" t="s">
        <v>8213</v>
      </c>
      <c r="N233" s="7" t="s">
        <v>9822</v>
      </c>
      <c r="O233" s="7"/>
      <c r="P233" s="7" t="s">
        <v>7690</v>
      </c>
      <c r="Q233" s="7" t="s">
        <v>9823</v>
      </c>
      <c r="R233" s="7" t="s">
        <v>7692</v>
      </c>
      <c r="S233" s="7" t="s">
        <v>9824</v>
      </c>
      <c r="T233" s="7"/>
      <c r="U233" s="7"/>
    </row>
    <row r="234" customFormat="false" ht="57.45" hidden="false" customHeight="false" outlineLevel="0" collapsed="false">
      <c r="A234" s="7" t="n">
        <v>53</v>
      </c>
      <c r="B234" s="7" t="s">
        <v>708</v>
      </c>
      <c r="C234" s="7" t="s">
        <v>7679</v>
      </c>
      <c r="D234" s="7" t="s">
        <v>9825</v>
      </c>
      <c r="E234" s="7" t="s">
        <v>9826</v>
      </c>
      <c r="F234" s="7" t="n">
        <v>2025</v>
      </c>
      <c r="G234" s="7" t="s">
        <v>8448</v>
      </c>
      <c r="H234" s="7" t="s">
        <v>9827</v>
      </c>
      <c r="I234" s="7" t="s">
        <v>9828</v>
      </c>
      <c r="J234" s="7" t="s">
        <v>7685</v>
      </c>
      <c r="K234" s="7" t="s">
        <v>9829</v>
      </c>
      <c r="L234" s="7" t="s">
        <v>9830</v>
      </c>
      <c r="M234" s="7" t="s">
        <v>9831</v>
      </c>
      <c r="N234" s="7" t="s">
        <v>9822</v>
      </c>
      <c r="O234" s="7"/>
      <c r="P234" s="7" t="s">
        <v>7690</v>
      </c>
      <c r="Q234" s="7" t="s">
        <v>9823</v>
      </c>
      <c r="R234" s="7" t="s">
        <v>7692</v>
      </c>
      <c r="S234" s="7" t="s">
        <v>9832</v>
      </c>
      <c r="T234" s="7"/>
      <c r="U234" s="7" t="s">
        <v>9833</v>
      </c>
    </row>
    <row r="235" customFormat="false" ht="46.25" hidden="false" customHeight="false" outlineLevel="0" collapsed="false">
      <c r="A235" s="7" t="n">
        <v>53</v>
      </c>
      <c r="B235" s="7" t="s">
        <v>708</v>
      </c>
      <c r="C235" s="7" t="s">
        <v>7679</v>
      </c>
      <c r="D235" s="7" t="s">
        <v>9834</v>
      </c>
      <c r="E235" s="7" t="s">
        <v>9835</v>
      </c>
      <c r="F235" s="7" t="n">
        <v>2026</v>
      </c>
      <c r="G235" s="7" t="s">
        <v>9836</v>
      </c>
      <c r="H235" s="7" t="s">
        <v>9837</v>
      </c>
      <c r="I235" s="7" t="s">
        <v>9838</v>
      </c>
      <c r="J235" s="7" t="s">
        <v>9839</v>
      </c>
      <c r="K235" s="7" t="s">
        <v>9840</v>
      </c>
      <c r="L235" s="7" t="s">
        <v>9841</v>
      </c>
      <c r="M235" s="7" t="s">
        <v>8954</v>
      </c>
      <c r="N235" s="7" t="s">
        <v>9063</v>
      </c>
      <c r="O235" s="7"/>
      <c r="P235" s="7" t="s">
        <v>7690</v>
      </c>
      <c r="Q235" s="7" t="s">
        <v>7727</v>
      </c>
      <c r="R235" s="7" t="s">
        <v>7692</v>
      </c>
      <c r="S235" s="7" t="s">
        <v>9842</v>
      </c>
      <c r="T235" s="7"/>
      <c r="U235" s="7"/>
    </row>
    <row r="236" customFormat="false" ht="46.25" hidden="false" customHeight="false" outlineLevel="0" collapsed="false">
      <c r="A236" s="7" t="n">
        <v>62</v>
      </c>
      <c r="B236" s="7" t="s">
        <v>808</v>
      </c>
      <c r="C236" s="7" t="s">
        <v>7705</v>
      </c>
      <c r="D236" s="7" t="s">
        <v>9843</v>
      </c>
      <c r="E236" s="7" t="s">
        <v>9844</v>
      </c>
      <c r="F236" s="7" t="n">
        <v>2021</v>
      </c>
      <c r="G236" s="7" t="s">
        <v>7792</v>
      </c>
      <c r="H236" s="7" t="s">
        <v>9845</v>
      </c>
      <c r="I236" s="7" t="s">
        <v>9846</v>
      </c>
      <c r="J236" s="7" t="s">
        <v>7711</v>
      </c>
      <c r="K236" s="7" t="s">
        <v>9847</v>
      </c>
      <c r="L236" s="7" t="s">
        <v>9848</v>
      </c>
      <c r="M236" s="7" t="s">
        <v>9849</v>
      </c>
      <c r="N236" s="7" t="s">
        <v>9850</v>
      </c>
      <c r="O236" s="7"/>
      <c r="P236" s="7" t="s">
        <v>7690</v>
      </c>
      <c r="Q236" s="7" t="s">
        <v>7759</v>
      </c>
      <c r="R236" s="7" t="s">
        <v>7692</v>
      </c>
      <c r="S236" s="7" t="s">
        <v>9851</v>
      </c>
      <c r="T236" s="7"/>
      <c r="U236" s="7"/>
    </row>
    <row r="237" customFormat="false" ht="46.25" hidden="false" customHeight="false" outlineLevel="0" collapsed="false">
      <c r="A237" s="7" t="n">
        <v>62</v>
      </c>
      <c r="B237" s="7" t="s">
        <v>808</v>
      </c>
      <c r="C237" s="7" t="s">
        <v>7679</v>
      </c>
      <c r="D237" s="7" t="s">
        <v>9852</v>
      </c>
      <c r="E237" s="7" t="s">
        <v>9853</v>
      </c>
      <c r="F237" s="7" t="n">
        <v>2025</v>
      </c>
      <c r="G237" s="7" t="s">
        <v>7781</v>
      </c>
      <c r="H237" s="7" t="s">
        <v>9854</v>
      </c>
      <c r="I237" s="7" t="s">
        <v>9855</v>
      </c>
      <c r="J237" s="7" t="s">
        <v>7685</v>
      </c>
      <c r="K237" s="7" t="s">
        <v>9856</v>
      </c>
      <c r="L237" s="7" t="s">
        <v>9857</v>
      </c>
      <c r="M237" s="7" t="s">
        <v>8247</v>
      </c>
      <c r="N237" s="7" t="s">
        <v>9654</v>
      </c>
      <c r="O237" s="7"/>
      <c r="P237" s="7" t="s">
        <v>7690</v>
      </c>
      <c r="Q237" s="7" t="s">
        <v>8509</v>
      </c>
      <c r="R237" s="7" t="s">
        <v>7692</v>
      </c>
      <c r="S237" s="7" t="s">
        <v>9700</v>
      </c>
      <c r="T237" s="7"/>
      <c r="U237" s="7" t="s">
        <v>9701</v>
      </c>
    </row>
    <row r="238" customFormat="false" ht="46.25" hidden="false" customHeight="false" outlineLevel="0" collapsed="false">
      <c r="A238" s="7" t="n">
        <v>62</v>
      </c>
      <c r="B238" s="7" t="s">
        <v>808</v>
      </c>
      <c r="C238" s="7" t="s">
        <v>7679</v>
      </c>
      <c r="D238" s="7" t="s">
        <v>9858</v>
      </c>
      <c r="E238" s="7" t="s">
        <v>9777</v>
      </c>
      <c r="F238" s="7" t="n">
        <v>2025</v>
      </c>
      <c r="G238" s="7" t="s">
        <v>8364</v>
      </c>
      <c r="H238" s="7" t="s">
        <v>9778</v>
      </c>
      <c r="I238" s="7" t="s">
        <v>9859</v>
      </c>
      <c r="J238" s="7" t="s">
        <v>7685</v>
      </c>
      <c r="K238" s="7" t="s">
        <v>9860</v>
      </c>
      <c r="L238" s="7" t="s">
        <v>9861</v>
      </c>
      <c r="M238" s="7" t="s">
        <v>8168</v>
      </c>
      <c r="N238" s="7" t="s">
        <v>9042</v>
      </c>
      <c r="O238" s="7"/>
      <c r="P238" s="7" t="s">
        <v>7690</v>
      </c>
      <c r="Q238" s="7" t="s">
        <v>8509</v>
      </c>
      <c r="R238" s="7" t="s">
        <v>7692</v>
      </c>
      <c r="S238" s="7" t="s">
        <v>9782</v>
      </c>
      <c r="T238" s="7" t="s">
        <v>9782</v>
      </c>
      <c r="U238" s="7"/>
    </row>
    <row r="239" customFormat="false" ht="46.25" hidden="false" customHeight="false" outlineLevel="0" collapsed="false">
      <c r="A239" s="7" t="n">
        <v>70</v>
      </c>
      <c r="B239" s="7" t="s">
        <v>901</v>
      </c>
      <c r="C239" s="7" t="s">
        <v>7679</v>
      </c>
      <c r="D239" s="7" t="s">
        <v>9862</v>
      </c>
      <c r="E239" s="7" t="s">
        <v>9863</v>
      </c>
      <c r="F239" s="7" t="n">
        <v>2025</v>
      </c>
      <c r="G239" s="7" t="s">
        <v>8242</v>
      </c>
      <c r="H239" s="7" t="s">
        <v>9864</v>
      </c>
      <c r="I239" s="7" t="s">
        <v>9865</v>
      </c>
      <c r="J239" s="7" t="s">
        <v>7685</v>
      </c>
      <c r="K239" s="7" t="s">
        <v>9866</v>
      </c>
      <c r="L239" s="7" t="s">
        <v>9867</v>
      </c>
      <c r="M239" s="7" t="s">
        <v>9868</v>
      </c>
      <c r="N239" s="7" t="s">
        <v>9869</v>
      </c>
      <c r="O239" s="7"/>
      <c r="P239" s="7" t="s">
        <v>7690</v>
      </c>
      <c r="Q239" s="7" t="s">
        <v>9870</v>
      </c>
      <c r="R239" s="7" t="s">
        <v>7692</v>
      </c>
      <c r="S239" s="7" t="s">
        <v>9871</v>
      </c>
      <c r="T239" s="7" t="s">
        <v>9872</v>
      </c>
      <c r="U239" s="7" t="s">
        <v>9873</v>
      </c>
    </row>
    <row r="240" customFormat="false" ht="46.25" hidden="false" customHeight="false" outlineLevel="0" collapsed="false">
      <c r="A240" s="7" t="n">
        <v>70</v>
      </c>
      <c r="B240" s="7" t="s">
        <v>901</v>
      </c>
      <c r="C240" s="7" t="s">
        <v>7679</v>
      </c>
      <c r="D240" s="7" t="s">
        <v>9874</v>
      </c>
      <c r="E240" s="7" t="s">
        <v>9875</v>
      </c>
      <c r="F240" s="7" t="n">
        <v>2026</v>
      </c>
      <c r="G240" s="7" t="s">
        <v>8242</v>
      </c>
      <c r="H240" s="7" t="s">
        <v>9864</v>
      </c>
      <c r="I240" s="7" t="s">
        <v>9876</v>
      </c>
      <c r="J240" s="7" t="s">
        <v>7685</v>
      </c>
      <c r="K240" s="7" t="s">
        <v>9877</v>
      </c>
      <c r="L240" s="7" t="s">
        <v>9878</v>
      </c>
      <c r="M240" s="7" t="s">
        <v>9879</v>
      </c>
      <c r="N240" s="7" t="s">
        <v>9869</v>
      </c>
      <c r="O240" s="7"/>
      <c r="P240" s="7" t="s">
        <v>7690</v>
      </c>
      <c r="Q240" s="7" t="s">
        <v>9880</v>
      </c>
      <c r="R240" s="7" t="s">
        <v>7692</v>
      </c>
      <c r="S240" s="7" t="s">
        <v>9881</v>
      </c>
      <c r="T240" s="7"/>
      <c r="U240" s="7" t="s">
        <v>9882</v>
      </c>
    </row>
    <row r="241" customFormat="false" ht="46.25" hidden="false" customHeight="false" outlineLevel="0" collapsed="false">
      <c r="A241" s="7" t="n">
        <v>61</v>
      </c>
      <c r="B241" s="7" t="s">
        <v>799</v>
      </c>
      <c r="C241" s="7" t="s">
        <v>7705</v>
      </c>
      <c r="D241" s="7" t="s">
        <v>9883</v>
      </c>
      <c r="E241" s="7" t="s">
        <v>9884</v>
      </c>
      <c r="F241" s="7" t="n">
        <v>2020</v>
      </c>
      <c r="G241" s="7" t="s">
        <v>7792</v>
      </c>
      <c r="H241" s="7" t="s">
        <v>9885</v>
      </c>
      <c r="I241" s="7" t="s">
        <v>9886</v>
      </c>
      <c r="J241" s="7" t="s">
        <v>7711</v>
      </c>
      <c r="K241" s="7" t="s">
        <v>9887</v>
      </c>
      <c r="L241" s="7" t="s">
        <v>9888</v>
      </c>
      <c r="M241" s="7" t="s">
        <v>9889</v>
      </c>
      <c r="N241" s="7" t="s">
        <v>9890</v>
      </c>
      <c r="O241" s="7"/>
      <c r="P241" s="7" t="s">
        <v>7690</v>
      </c>
      <c r="Q241" s="7" t="s">
        <v>7716</v>
      </c>
      <c r="R241" s="7" t="s">
        <v>7692</v>
      </c>
      <c r="S241" s="7" t="s">
        <v>9891</v>
      </c>
      <c r="T241" s="7"/>
      <c r="U241" s="7" t="s">
        <v>9892</v>
      </c>
    </row>
    <row r="242" customFormat="false" ht="46.25" hidden="false" customHeight="false" outlineLevel="0" collapsed="false">
      <c r="A242" s="7" t="n">
        <v>61</v>
      </c>
      <c r="B242" s="7" t="s">
        <v>799</v>
      </c>
      <c r="C242" s="7" t="s">
        <v>7679</v>
      </c>
      <c r="D242" s="7" t="s">
        <v>9893</v>
      </c>
      <c r="E242" s="7" t="s">
        <v>9894</v>
      </c>
      <c r="F242" s="7" t="n">
        <v>2020</v>
      </c>
      <c r="G242" s="7" t="s">
        <v>7781</v>
      </c>
      <c r="H242" s="7" t="s">
        <v>9895</v>
      </c>
      <c r="I242" s="7" t="s">
        <v>9896</v>
      </c>
      <c r="J242" s="7" t="s">
        <v>7685</v>
      </c>
      <c r="K242" s="7" t="s">
        <v>9897</v>
      </c>
      <c r="L242" s="7" t="s">
        <v>9898</v>
      </c>
      <c r="M242" s="7" t="s">
        <v>9899</v>
      </c>
      <c r="N242" s="7" t="s">
        <v>9900</v>
      </c>
      <c r="O242" s="7"/>
      <c r="P242" s="7" t="s">
        <v>7690</v>
      </c>
      <c r="Q242" s="7" t="s">
        <v>7716</v>
      </c>
      <c r="R242" s="7" t="s">
        <v>7692</v>
      </c>
      <c r="S242" s="7" t="s">
        <v>9901</v>
      </c>
      <c r="T242" s="7"/>
      <c r="U242" s="7"/>
    </row>
    <row r="243" customFormat="false" ht="46.25" hidden="false" customHeight="false" outlineLevel="0" collapsed="false">
      <c r="A243" s="7" t="n">
        <v>61</v>
      </c>
      <c r="B243" s="7" t="s">
        <v>799</v>
      </c>
      <c r="C243" s="7" t="s">
        <v>7679</v>
      </c>
      <c r="D243" s="7" t="s">
        <v>9902</v>
      </c>
      <c r="E243" s="7" t="s">
        <v>9903</v>
      </c>
      <c r="F243" s="7" t="n">
        <v>2021</v>
      </c>
      <c r="G243" s="7" t="s">
        <v>9904</v>
      </c>
      <c r="H243" s="7" t="s">
        <v>9905</v>
      </c>
      <c r="I243" s="7" t="s">
        <v>9906</v>
      </c>
      <c r="J243" s="7" t="s">
        <v>7685</v>
      </c>
      <c r="K243" s="7" t="s">
        <v>9907</v>
      </c>
      <c r="L243" s="7" t="s">
        <v>9908</v>
      </c>
      <c r="M243" s="7" t="s">
        <v>9909</v>
      </c>
      <c r="N243" s="7" t="s">
        <v>9910</v>
      </c>
      <c r="O243" s="7" t="s">
        <v>9911</v>
      </c>
      <c r="P243" s="7" t="s">
        <v>7690</v>
      </c>
      <c r="Q243" s="7" t="s">
        <v>7727</v>
      </c>
      <c r="R243" s="7" t="s">
        <v>7692</v>
      </c>
      <c r="S243" s="7" t="s">
        <v>9912</v>
      </c>
      <c r="T243" s="7"/>
      <c r="U243" s="7" t="s">
        <v>9913</v>
      </c>
    </row>
    <row r="244" customFormat="false" ht="35.05" hidden="false" customHeight="false" outlineLevel="0" collapsed="false">
      <c r="A244" s="7" t="n">
        <v>61</v>
      </c>
      <c r="B244" s="7" t="s">
        <v>799</v>
      </c>
      <c r="C244" s="7" t="s">
        <v>7679</v>
      </c>
      <c r="D244" s="7" t="s">
        <v>9914</v>
      </c>
      <c r="E244" s="7" t="s">
        <v>9915</v>
      </c>
      <c r="F244" s="7" t="n">
        <v>2020</v>
      </c>
      <c r="G244" s="7" t="s">
        <v>9916</v>
      </c>
      <c r="H244" s="7" t="s">
        <v>9917</v>
      </c>
      <c r="I244" s="7" t="s">
        <v>9918</v>
      </c>
      <c r="J244" s="7" t="s">
        <v>9919</v>
      </c>
      <c r="K244" s="7" t="s">
        <v>9920</v>
      </c>
      <c r="L244" s="7" t="s">
        <v>9921</v>
      </c>
      <c r="M244" s="7" t="s">
        <v>9922</v>
      </c>
      <c r="N244" s="7" t="s">
        <v>9923</v>
      </c>
      <c r="O244" s="7"/>
      <c r="P244" s="7" t="s">
        <v>7690</v>
      </c>
      <c r="Q244" s="7" t="s">
        <v>7727</v>
      </c>
      <c r="R244" s="7" t="s">
        <v>7692</v>
      </c>
      <c r="S244" s="7" t="s">
        <v>9924</v>
      </c>
      <c r="T244" s="7"/>
      <c r="U244" s="7"/>
    </row>
    <row r="245" customFormat="false" ht="46.25" hidden="false" customHeight="false" outlineLevel="0" collapsed="false">
      <c r="A245" s="7" t="n">
        <v>61</v>
      </c>
      <c r="B245" s="7" t="s">
        <v>799</v>
      </c>
      <c r="C245" s="7" t="s">
        <v>7679</v>
      </c>
      <c r="D245" s="7" t="s">
        <v>9925</v>
      </c>
      <c r="E245" s="7" t="s">
        <v>9926</v>
      </c>
      <c r="F245" s="7" t="n">
        <v>2024</v>
      </c>
      <c r="G245" s="7" t="s">
        <v>9916</v>
      </c>
      <c r="H245" s="7" t="s">
        <v>9927</v>
      </c>
      <c r="I245" s="7" t="s">
        <v>9928</v>
      </c>
      <c r="J245" s="7" t="s">
        <v>7685</v>
      </c>
      <c r="K245" s="7" t="s">
        <v>9929</v>
      </c>
      <c r="L245" s="7" t="s">
        <v>9930</v>
      </c>
      <c r="M245" s="7" t="s">
        <v>9931</v>
      </c>
      <c r="N245" s="7" t="s">
        <v>9932</v>
      </c>
      <c r="O245" s="7"/>
      <c r="P245" s="7" t="s">
        <v>7690</v>
      </c>
      <c r="Q245" s="7" t="s">
        <v>7716</v>
      </c>
      <c r="R245" s="7" t="s">
        <v>7692</v>
      </c>
      <c r="S245" s="7" t="s">
        <v>9933</v>
      </c>
      <c r="T245" s="7" t="s">
        <v>9934</v>
      </c>
      <c r="U245" s="7" t="s">
        <v>9935</v>
      </c>
    </row>
    <row r="246" customFormat="false" ht="46.25" hidden="false" customHeight="false" outlineLevel="0" collapsed="false">
      <c r="A246" s="7" t="n">
        <v>61</v>
      </c>
      <c r="B246" s="7" t="s">
        <v>799</v>
      </c>
      <c r="C246" s="7" t="s">
        <v>7679</v>
      </c>
      <c r="D246" s="7" t="s">
        <v>9936</v>
      </c>
      <c r="E246" s="7" t="s">
        <v>9937</v>
      </c>
      <c r="F246" s="7" t="n">
        <v>2025</v>
      </c>
      <c r="G246" s="7" t="s">
        <v>9916</v>
      </c>
      <c r="H246" s="7" t="s">
        <v>9938</v>
      </c>
      <c r="I246" s="7" t="s">
        <v>9939</v>
      </c>
      <c r="J246" s="7" t="s">
        <v>7685</v>
      </c>
      <c r="K246" s="7" t="s">
        <v>9940</v>
      </c>
      <c r="L246" s="7" t="s">
        <v>9941</v>
      </c>
      <c r="M246" s="7" t="s">
        <v>9942</v>
      </c>
      <c r="N246" s="7" t="s">
        <v>9943</v>
      </c>
      <c r="O246" s="7"/>
      <c r="P246" s="7" t="s">
        <v>7690</v>
      </c>
      <c r="Q246" s="7" t="s">
        <v>7716</v>
      </c>
      <c r="R246" s="7" t="s">
        <v>7692</v>
      </c>
      <c r="S246" s="7" t="s">
        <v>9944</v>
      </c>
      <c r="T246" s="7" t="s">
        <v>9945</v>
      </c>
      <c r="U246" s="7" t="s">
        <v>9946</v>
      </c>
    </row>
    <row r="247" customFormat="false" ht="35.05" hidden="false" customHeight="false" outlineLevel="0" collapsed="false">
      <c r="A247" s="7" t="n">
        <v>61</v>
      </c>
      <c r="B247" s="7" t="s">
        <v>799</v>
      </c>
      <c r="C247" s="7" t="s">
        <v>7679</v>
      </c>
      <c r="D247" s="7" t="s">
        <v>9947</v>
      </c>
      <c r="E247" s="7" t="s">
        <v>9948</v>
      </c>
      <c r="F247" s="7" t="n">
        <v>2024</v>
      </c>
      <c r="G247" s="7" t="s">
        <v>9949</v>
      </c>
      <c r="H247" s="7" t="s">
        <v>9950</v>
      </c>
      <c r="I247" s="7" t="s">
        <v>9951</v>
      </c>
      <c r="J247" s="7" t="s">
        <v>9952</v>
      </c>
      <c r="K247" s="7" t="s">
        <v>9953</v>
      </c>
      <c r="L247" s="7" t="s">
        <v>9954</v>
      </c>
      <c r="M247" s="7" t="s">
        <v>8168</v>
      </c>
      <c r="N247" s="7" t="s">
        <v>7862</v>
      </c>
      <c r="O247" s="7"/>
      <c r="P247" s="7" t="s">
        <v>7690</v>
      </c>
      <c r="Q247" s="7" t="s">
        <v>7727</v>
      </c>
      <c r="R247" s="7" t="s">
        <v>7692</v>
      </c>
      <c r="S247" s="7" t="s">
        <v>9955</v>
      </c>
      <c r="T247" s="7"/>
      <c r="U247" s="7"/>
    </row>
    <row r="248" customFormat="false" ht="35.05" hidden="false" customHeight="false" outlineLevel="0" collapsed="false">
      <c r="A248" s="7" t="n">
        <v>61</v>
      </c>
      <c r="B248" s="7" t="s">
        <v>799</v>
      </c>
      <c r="C248" s="7" t="s">
        <v>8160</v>
      </c>
      <c r="D248" s="7" t="s">
        <v>9956</v>
      </c>
      <c r="E248" s="7" t="s">
        <v>9957</v>
      </c>
      <c r="F248" s="7" t="n">
        <v>2026</v>
      </c>
      <c r="G248" s="7" t="s">
        <v>8950</v>
      </c>
      <c r="H248" s="7" t="s">
        <v>8218</v>
      </c>
      <c r="I248" s="7" t="s">
        <v>8951</v>
      </c>
      <c r="J248" s="7" t="s">
        <v>7315</v>
      </c>
      <c r="K248" s="7" t="s">
        <v>9958</v>
      </c>
      <c r="L248" s="7" t="s">
        <v>9959</v>
      </c>
      <c r="M248" s="7" t="s">
        <v>8954</v>
      </c>
      <c r="N248" s="7" t="s">
        <v>8955</v>
      </c>
      <c r="O248" s="7"/>
      <c r="P248" s="7" t="s">
        <v>7690</v>
      </c>
      <c r="Q248" s="7" t="s">
        <v>7716</v>
      </c>
      <c r="R248" s="7" t="s">
        <v>7692</v>
      </c>
      <c r="S248" s="7" t="s">
        <v>9960</v>
      </c>
      <c r="T248" s="7"/>
      <c r="U248" s="7" t="s">
        <v>9961</v>
      </c>
    </row>
    <row r="249" customFormat="false" ht="46.25" hidden="false" customHeight="false" outlineLevel="0" collapsed="false">
      <c r="A249" s="7" t="n">
        <v>63</v>
      </c>
      <c r="B249" s="7" t="s">
        <v>820</v>
      </c>
      <c r="C249" s="7" t="s">
        <v>7705</v>
      </c>
      <c r="D249" s="7" t="s">
        <v>9962</v>
      </c>
      <c r="E249" s="7" t="s">
        <v>9963</v>
      </c>
      <c r="F249" s="7" t="n">
        <v>2021</v>
      </c>
      <c r="G249" s="7" t="s">
        <v>7792</v>
      </c>
      <c r="H249" s="7" t="s">
        <v>9964</v>
      </c>
      <c r="I249" s="7" t="s">
        <v>9965</v>
      </c>
      <c r="J249" s="7" t="s">
        <v>7711</v>
      </c>
      <c r="K249" s="7" t="s">
        <v>9966</v>
      </c>
      <c r="L249" s="7" t="s">
        <v>9967</v>
      </c>
      <c r="M249" s="7" t="s">
        <v>9968</v>
      </c>
      <c r="N249" s="7" t="s">
        <v>8043</v>
      </c>
      <c r="O249" s="7"/>
      <c r="P249" s="7" t="s">
        <v>7690</v>
      </c>
      <c r="Q249" s="7" t="s">
        <v>7716</v>
      </c>
      <c r="R249" s="7" t="s">
        <v>7692</v>
      </c>
      <c r="S249" s="7" t="s">
        <v>9969</v>
      </c>
      <c r="T249" s="7"/>
      <c r="U249" s="7"/>
    </row>
    <row r="250" customFormat="false" ht="23.85" hidden="false" customHeight="false" outlineLevel="0" collapsed="false">
      <c r="A250" s="7" t="n">
        <v>63</v>
      </c>
      <c r="B250" s="7" t="s">
        <v>820</v>
      </c>
      <c r="C250" s="7" t="s">
        <v>7679</v>
      </c>
      <c r="D250" s="7" t="s">
        <v>9970</v>
      </c>
      <c r="E250" s="7" t="s">
        <v>9971</v>
      </c>
      <c r="F250" s="7" t="n">
        <v>2019</v>
      </c>
      <c r="G250" s="7" t="s">
        <v>7867</v>
      </c>
      <c r="H250" s="7" t="s">
        <v>9972</v>
      </c>
      <c r="I250" s="7" t="s">
        <v>9973</v>
      </c>
      <c r="J250" s="7" t="s">
        <v>7699</v>
      </c>
      <c r="K250" s="7" t="s">
        <v>9974</v>
      </c>
      <c r="L250" s="7" t="s">
        <v>9975</v>
      </c>
      <c r="M250" s="7" t="s">
        <v>9976</v>
      </c>
      <c r="N250" s="7" t="s">
        <v>7862</v>
      </c>
      <c r="O250" s="7"/>
      <c r="P250" s="7" t="s">
        <v>7690</v>
      </c>
      <c r="Q250" s="7" t="s">
        <v>7716</v>
      </c>
      <c r="R250" s="7" t="s">
        <v>7692</v>
      </c>
      <c r="S250" s="7" t="s">
        <v>9977</v>
      </c>
      <c r="T250" s="7"/>
      <c r="U250" s="7"/>
    </row>
    <row r="251" customFormat="false" ht="46.25" hidden="false" customHeight="false" outlineLevel="0" collapsed="false">
      <c r="A251" s="7" t="n">
        <v>63</v>
      </c>
      <c r="B251" s="7" t="s">
        <v>820</v>
      </c>
      <c r="C251" s="7" t="s">
        <v>7679</v>
      </c>
      <c r="D251" s="7" t="s">
        <v>9978</v>
      </c>
      <c r="E251" s="7" t="s">
        <v>9979</v>
      </c>
      <c r="F251" s="7" t="n">
        <v>2025</v>
      </c>
      <c r="G251" s="7" t="s">
        <v>7867</v>
      </c>
      <c r="H251" s="7" t="s">
        <v>9980</v>
      </c>
      <c r="I251" s="7" t="s">
        <v>9981</v>
      </c>
      <c r="J251" s="7" t="s">
        <v>9982</v>
      </c>
      <c r="K251" s="7" t="s">
        <v>9983</v>
      </c>
      <c r="L251" s="7" t="s">
        <v>9984</v>
      </c>
      <c r="M251" s="7" t="s">
        <v>9985</v>
      </c>
      <c r="N251" s="7" t="s">
        <v>7862</v>
      </c>
      <c r="O251" s="7"/>
      <c r="P251" s="7" t="s">
        <v>7690</v>
      </c>
      <c r="Q251" s="7" t="s">
        <v>7716</v>
      </c>
      <c r="R251" s="7" t="s">
        <v>7692</v>
      </c>
      <c r="S251" s="7" t="s">
        <v>9986</v>
      </c>
      <c r="T251" s="7"/>
      <c r="U251" s="7" t="s">
        <v>9987</v>
      </c>
    </row>
    <row r="252" customFormat="false" ht="35.05" hidden="false" customHeight="false" outlineLevel="0" collapsed="false">
      <c r="A252" s="7" t="n">
        <v>63</v>
      </c>
      <c r="B252" s="7" t="s">
        <v>820</v>
      </c>
      <c r="C252" s="7" t="s">
        <v>7679</v>
      </c>
      <c r="D252" s="7" t="s">
        <v>9988</v>
      </c>
      <c r="E252" s="7" t="s">
        <v>9989</v>
      </c>
      <c r="F252" s="7" t="n">
        <v>2024</v>
      </c>
      <c r="G252" s="7" t="s">
        <v>7682</v>
      </c>
      <c r="H252" s="7" t="s">
        <v>9990</v>
      </c>
      <c r="I252" s="7" t="s">
        <v>9991</v>
      </c>
      <c r="J252" s="7" t="s">
        <v>7699</v>
      </c>
      <c r="K252" s="7" t="s">
        <v>9992</v>
      </c>
      <c r="L252" s="7" t="s">
        <v>9993</v>
      </c>
      <c r="M252" s="7" t="s">
        <v>9994</v>
      </c>
      <c r="N252" s="7" t="s">
        <v>9995</v>
      </c>
      <c r="O252" s="7"/>
      <c r="P252" s="7" t="s">
        <v>7981</v>
      </c>
      <c r="Q252" s="7" t="s">
        <v>7691</v>
      </c>
      <c r="R252" s="7" t="s">
        <v>7692</v>
      </c>
      <c r="S252" s="7" t="s">
        <v>9996</v>
      </c>
      <c r="T252" s="7" t="s">
        <v>9997</v>
      </c>
      <c r="U252" s="7"/>
    </row>
    <row r="253" customFormat="false" ht="46.25" hidden="false" customHeight="false" outlineLevel="0" collapsed="false">
      <c r="A253" s="7" t="n">
        <v>63</v>
      </c>
      <c r="B253" s="7" t="s">
        <v>820</v>
      </c>
      <c r="C253" s="7" t="s">
        <v>7679</v>
      </c>
      <c r="D253" s="7" t="s">
        <v>9998</v>
      </c>
      <c r="E253" s="7" t="s">
        <v>9999</v>
      </c>
      <c r="F253" s="7" t="n">
        <v>2025</v>
      </c>
      <c r="G253" s="7" t="s">
        <v>7682</v>
      </c>
      <c r="H253" s="7" t="s">
        <v>10000</v>
      </c>
      <c r="I253" s="7" t="s">
        <v>10001</v>
      </c>
      <c r="J253" s="7" t="s">
        <v>7699</v>
      </c>
      <c r="K253" s="7" t="s">
        <v>10002</v>
      </c>
      <c r="L253" s="7" t="s">
        <v>10003</v>
      </c>
      <c r="M253" s="7" t="s">
        <v>10004</v>
      </c>
      <c r="N253" s="7" t="s">
        <v>10005</v>
      </c>
      <c r="O253" s="7"/>
      <c r="P253" s="7" t="s">
        <v>7981</v>
      </c>
      <c r="Q253" s="7" t="s">
        <v>7691</v>
      </c>
      <c r="R253" s="7" t="s">
        <v>7692</v>
      </c>
      <c r="S253" s="7" t="s">
        <v>10006</v>
      </c>
      <c r="T253" s="7" t="s">
        <v>10007</v>
      </c>
      <c r="U253" s="7"/>
    </row>
    <row r="254" customFormat="false" ht="35.05" hidden="false" customHeight="false" outlineLevel="0" collapsed="false">
      <c r="A254" s="7" t="n">
        <v>63</v>
      </c>
      <c r="B254" s="7" t="s">
        <v>820</v>
      </c>
      <c r="C254" s="7" t="s">
        <v>7679</v>
      </c>
      <c r="D254" s="7" t="s">
        <v>10008</v>
      </c>
      <c r="E254" s="7" t="s">
        <v>10009</v>
      </c>
      <c r="F254" s="7" t="n">
        <v>2023</v>
      </c>
      <c r="G254" s="7" t="s">
        <v>7682</v>
      </c>
      <c r="H254" s="7" t="s">
        <v>10010</v>
      </c>
      <c r="I254" s="7" t="s">
        <v>10011</v>
      </c>
      <c r="J254" s="7" t="s">
        <v>7685</v>
      </c>
      <c r="K254" s="7" t="s">
        <v>10012</v>
      </c>
      <c r="L254" s="7" t="s">
        <v>10013</v>
      </c>
      <c r="M254" s="7" t="s">
        <v>10014</v>
      </c>
      <c r="N254" s="7" t="s">
        <v>10005</v>
      </c>
      <c r="O254" s="7"/>
      <c r="P254" s="7" t="s">
        <v>7981</v>
      </c>
      <c r="Q254" s="7" t="s">
        <v>7691</v>
      </c>
      <c r="R254" s="7" t="s">
        <v>7692</v>
      </c>
      <c r="S254" s="7" t="s">
        <v>10015</v>
      </c>
      <c r="T254" s="7" t="s">
        <v>10016</v>
      </c>
      <c r="U254" s="7"/>
    </row>
    <row r="255" customFormat="false" ht="46.25" hidden="false" customHeight="false" outlineLevel="0" collapsed="false">
      <c r="A255" s="7" t="n">
        <v>63</v>
      </c>
      <c r="B255" s="7" t="s">
        <v>820</v>
      </c>
      <c r="C255" s="7" t="s">
        <v>7679</v>
      </c>
      <c r="D255" s="7" t="s">
        <v>10017</v>
      </c>
      <c r="E255" s="7" t="s">
        <v>10018</v>
      </c>
      <c r="F255" s="7" t="n">
        <v>2026</v>
      </c>
      <c r="G255" s="7" t="s">
        <v>8141</v>
      </c>
      <c r="H255" s="7" t="s">
        <v>10019</v>
      </c>
      <c r="I255" s="7" t="s">
        <v>10020</v>
      </c>
      <c r="J255" s="7" t="s">
        <v>7699</v>
      </c>
      <c r="K255" s="7" t="s">
        <v>10021</v>
      </c>
      <c r="L255" s="7" t="s">
        <v>10022</v>
      </c>
      <c r="M255" s="7" t="s">
        <v>10023</v>
      </c>
      <c r="N255" s="7" t="s">
        <v>10024</v>
      </c>
      <c r="O255" s="7"/>
      <c r="P255" s="7" t="s">
        <v>7690</v>
      </c>
      <c r="Q255" s="7" t="s">
        <v>7691</v>
      </c>
      <c r="R255" s="7" t="s">
        <v>7692</v>
      </c>
      <c r="S255" s="7" t="s">
        <v>10025</v>
      </c>
      <c r="T255" s="7"/>
      <c r="U255" s="7"/>
    </row>
    <row r="256" customFormat="false" ht="35.05" hidden="false" customHeight="false" outlineLevel="0" collapsed="false">
      <c r="A256" s="7" t="n">
        <v>69</v>
      </c>
      <c r="B256" s="7" t="s">
        <v>889</v>
      </c>
      <c r="C256" s="7" t="s">
        <v>7679</v>
      </c>
      <c r="D256" s="7" t="s">
        <v>10026</v>
      </c>
      <c r="E256" s="7" t="s">
        <v>10027</v>
      </c>
      <c r="F256" s="7" t="n">
        <v>2020</v>
      </c>
      <c r="G256" s="7" t="s">
        <v>7781</v>
      </c>
      <c r="H256" s="7" t="s">
        <v>10028</v>
      </c>
      <c r="I256" s="7" t="s">
        <v>10029</v>
      </c>
      <c r="J256" s="7" t="s">
        <v>7685</v>
      </c>
      <c r="K256" s="7" t="s">
        <v>10030</v>
      </c>
      <c r="L256" s="7" t="s">
        <v>10031</v>
      </c>
      <c r="M256" s="7" t="s">
        <v>10032</v>
      </c>
      <c r="N256" s="7" t="s">
        <v>10033</v>
      </c>
      <c r="O256" s="7"/>
      <c r="P256" s="7" t="s">
        <v>7690</v>
      </c>
      <c r="Q256" s="7" t="s">
        <v>8902</v>
      </c>
      <c r="R256" s="7" t="s">
        <v>7692</v>
      </c>
      <c r="S256" s="7" t="s">
        <v>10034</v>
      </c>
      <c r="T256" s="7"/>
      <c r="U256" s="7" t="s">
        <v>10035</v>
      </c>
    </row>
    <row r="257" customFormat="false" ht="35.05" hidden="false" customHeight="false" outlineLevel="0" collapsed="false">
      <c r="A257" s="7" t="n">
        <v>69</v>
      </c>
      <c r="B257" s="7" t="s">
        <v>889</v>
      </c>
      <c r="C257" s="7" t="s">
        <v>7705</v>
      </c>
      <c r="D257" s="7" t="s">
        <v>10036</v>
      </c>
      <c r="E257" s="7" t="s">
        <v>10037</v>
      </c>
      <c r="F257" s="7" t="n">
        <v>2022</v>
      </c>
      <c r="G257" s="7" t="s">
        <v>7792</v>
      </c>
      <c r="H257" s="7" t="s">
        <v>7793</v>
      </c>
      <c r="I257" s="7" t="s">
        <v>10038</v>
      </c>
      <c r="J257" s="7" t="s">
        <v>7711</v>
      </c>
      <c r="K257" s="7" t="s">
        <v>10039</v>
      </c>
      <c r="L257" s="7" t="s">
        <v>10040</v>
      </c>
      <c r="M257" s="7" t="s">
        <v>8954</v>
      </c>
      <c r="N257" s="7" t="s">
        <v>8043</v>
      </c>
      <c r="O257" s="7"/>
      <c r="P257" s="7" t="s">
        <v>7690</v>
      </c>
      <c r="Q257" s="7" t="s">
        <v>7727</v>
      </c>
      <c r="R257" s="7" t="s">
        <v>7692</v>
      </c>
      <c r="S257" s="7" t="s">
        <v>10041</v>
      </c>
      <c r="T257" s="7"/>
      <c r="U257" s="7" t="s">
        <v>10042</v>
      </c>
    </row>
    <row r="258" customFormat="false" ht="46.25" hidden="false" customHeight="false" outlineLevel="0" collapsed="false">
      <c r="A258" s="7" t="n">
        <v>69</v>
      </c>
      <c r="B258" s="7" t="s">
        <v>889</v>
      </c>
      <c r="C258" s="7" t="s">
        <v>7679</v>
      </c>
      <c r="D258" s="7" t="s">
        <v>10043</v>
      </c>
      <c r="E258" s="7" t="s">
        <v>10044</v>
      </c>
      <c r="F258" s="7" t="n">
        <v>2018</v>
      </c>
      <c r="G258" s="7" t="s">
        <v>7682</v>
      </c>
      <c r="H258" s="7" t="s">
        <v>10045</v>
      </c>
      <c r="I258" s="7" t="s">
        <v>10046</v>
      </c>
      <c r="J258" s="7" t="s">
        <v>10047</v>
      </c>
      <c r="K258" s="7" t="s">
        <v>10048</v>
      </c>
      <c r="L258" s="7" t="s">
        <v>10049</v>
      </c>
      <c r="M258" s="7" t="s">
        <v>10050</v>
      </c>
      <c r="N258" s="7" t="s">
        <v>10051</v>
      </c>
      <c r="O258" s="7"/>
      <c r="P258" s="7" t="s">
        <v>7981</v>
      </c>
      <c r="Q258" s="7" t="s">
        <v>7691</v>
      </c>
      <c r="R258" s="7" t="s">
        <v>7692</v>
      </c>
      <c r="S258" s="7" t="s">
        <v>10052</v>
      </c>
      <c r="T258" s="7"/>
      <c r="U258" s="7"/>
    </row>
    <row r="259" customFormat="false" ht="35.05" hidden="false" customHeight="false" outlineLevel="0" collapsed="false">
      <c r="A259" s="7" t="n">
        <v>69</v>
      </c>
      <c r="B259" s="7" t="s">
        <v>889</v>
      </c>
      <c r="C259" s="7" t="s">
        <v>7679</v>
      </c>
      <c r="D259" s="7" t="s">
        <v>10053</v>
      </c>
      <c r="E259" s="7" t="s">
        <v>10054</v>
      </c>
      <c r="F259" s="7" t="n">
        <v>2021</v>
      </c>
      <c r="G259" s="7" t="s">
        <v>7682</v>
      </c>
      <c r="H259" s="7" t="s">
        <v>10055</v>
      </c>
      <c r="I259" s="7" t="s">
        <v>10056</v>
      </c>
      <c r="J259" s="7" t="s">
        <v>7685</v>
      </c>
      <c r="K259" s="7" t="s">
        <v>10057</v>
      </c>
      <c r="L259" s="7" t="s">
        <v>10058</v>
      </c>
      <c r="M259" s="7" t="s">
        <v>10059</v>
      </c>
      <c r="N259" s="7" t="s">
        <v>10051</v>
      </c>
      <c r="O259" s="7"/>
      <c r="P259" s="7" t="s">
        <v>7981</v>
      </c>
      <c r="Q259" s="7" t="s">
        <v>7727</v>
      </c>
      <c r="R259" s="7" t="s">
        <v>7692</v>
      </c>
      <c r="S259" s="7" t="s">
        <v>10060</v>
      </c>
      <c r="T259" s="7"/>
      <c r="U259" s="7"/>
    </row>
    <row r="260" customFormat="false" ht="46.25" hidden="false" customHeight="false" outlineLevel="0" collapsed="false">
      <c r="A260" s="7" t="n">
        <v>55</v>
      </c>
      <c r="B260" s="7" t="s">
        <v>733</v>
      </c>
      <c r="C260" s="7" t="s">
        <v>7705</v>
      </c>
      <c r="D260" s="7" t="s">
        <v>10061</v>
      </c>
      <c r="E260" s="7" t="s">
        <v>10062</v>
      </c>
      <c r="F260" s="7" t="n">
        <v>2020</v>
      </c>
      <c r="G260" s="7" t="s">
        <v>7792</v>
      </c>
      <c r="H260" s="7" t="s">
        <v>10063</v>
      </c>
      <c r="I260" s="7" t="s">
        <v>10064</v>
      </c>
      <c r="J260" s="7" t="s">
        <v>7711</v>
      </c>
      <c r="K260" s="7" t="s">
        <v>10065</v>
      </c>
      <c r="L260" s="7" t="s">
        <v>10066</v>
      </c>
      <c r="M260" s="7" t="s">
        <v>7714</v>
      </c>
      <c r="N260" s="7" t="s">
        <v>7715</v>
      </c>
      <c r="O260" s="7"/>
      <c r="P260" s="7" t="s">
        <v>7690</v>
      </c>
      <c r="Q260" s="7" t="s">
        <v>7759</v>
      </c>
      <c r="R260" s="7" t="s">
        <v>7692</v>
      </c>
      <c r="S260" s="7" t="s">
        <v>10067</v>
      </c>
      <c r="T260" s="7"/>
      <c r="U260" s="7" t="s">
        <v>10068</v>
      </c>
    </row>
    <row r="261" customFormat="false" ht="57.45" hidden="false" customHeight="false" outlineLevel="0" collapsed="false">
      <c r="A261" s="7" t="n">
        <v>55</v>
      </c>
      <c r="B261" s="7" t="s">
        <v>733</v>
      </c>
      <c r="C261" s="7" t="s">
        <v>7679</v>
      </c>
      <c r="D261" s="7" t="s">
        <v>10069</v>
      </c>
      <c r="E261" s="7" t="s">
        <v>10070</v>
      </c>
      <c r="F261" s="7" t="n">
        <v>2025</v>
      </c>
      <c r="G261" s="7" t="s">
        <v>9753</v>
      </c>
      <c r="H261" s="7" t="s">
        <v>10071</v>
      </c>
      <c r="I261" s="7" t="s">
        <v>10072</v>
      </c>
      <c r="J261" s="7" t="s">
        <v>7685</v>
      </c>
      <c r="K261" s="7" t="s">
        <v>10073</v>
      </c>
      <c r="L261" s="7" t="s">
        <v>10074</v>
      </c>
      <c r="M261" s="7" t="s">
        <v>10075</v>
      </c>
      <c r="N261" s="7" t="s">
        <v>10076</v>
      </c>
      <c r="O261" s="7"/>
      <c r="P261" s="7" t="s">
        <v>7690</v>
      </c>
      <c r="Q261" s="7" t="s">
        <v>7759</v>
      </c>
      <c r="R261" s="7" t="s">
        <v>7692</v>
      </c>
      <c r="S261" s="7" t="s">
        <v>10077</v>
      </c>
      <c r="T261" s="7" t="s">
        <v>10077</v>
      </c>
      <c r="U261" s="7"/>
    </row>
    <row r="262" customFormat="false" ht="79.85" hidden="false" customHeight="false" outlineLevel="0" collapsed="false">
      <c r="A262" s="7" t="n">
        <v>55</v>
      </c>
      <c r="B262" s="7" t="s">
        <v>733</v>
      </c>
      <c r="C262" s="7" t="s">
        <v>7705</v>
      </c>
      <c r="D262" s="7" t="s">
        <v>10078</v>
      </c>
      <c r="E262" s="7" t="s">
        <v>10079</v>
      </c>
      <c r="F262" s="7" t="n">
        <v>2025</v>
      </c>
      <c r="G262" s="7" t="s">
        <v>7792</v>
      </c>
      <c r="H262" s="7" t="s">
        <v>10080</v>
      </c>
      <c r="I262" s="7" t="s">
        <v>10081</v>
      </c>
      <c r="J262" s="7" t="s">
        <v>7711</v>
      </c>
      <c r="K262" s="7" t="s">
        <v>10082</v>
      </c>
      <c r="L262" s="7" t="s">
        <v>10083</v>
      </c>
      <c r="M262" s="7" t="s">
        <v>7714</v>
      </c>
      <c r="N262" s="7" t="s">
        <v>8043</v>
      </c>
      <c r="O262" s="7"/>
      <c r="P262" s="7" t="s">
        <v>7690</v>
      </c>
      <c r="Q262" s="7" t="s">
        <v>10084</v>
      </c>
      <c r="R262" s="7" t="s">
        <v>7692</v>
      </c>
      <c r="S262" s="7" t="s">
        <v>10085</v>
      </c>
      <c r="T262" s="7"/>
      <c r="U262" s="7" t="s">
        <v>10086</v>
      </c>
    </row>
    <row r="263" customFormat="false" ht="46.25" hidden="false" customHeight="false" outlineLevel="0" collapsed="false">
      <c r="A263" s="7" t="n">
        <v>58</v>
      </c>
      <c r="B263" s="7" t="s">
        <v>766</v>
      </c>
      <c r="C263" s="7" t="s">
        <v>7705</v>
      </c>
      <c r="D263" s="7" t="s">
        <v>10087</v>
      </c>
      <c r="E263" s="7" t="s">
        <v>10088</v>
      </c>
      <c r="F263" s="7" t="n">
        <v>2020</v>
      </c>
      <c r="G263" s="7" t="s">
        <v>7792</v>
      </c>
      <c r="H263" s="7" t="s">
        <v>7793</v>
      </c>
      <c r="I263" s="7" t="s">
        <v>10089</v>
      </c>
      <c r="J263" s="7" t="s">
        <v>7711</v>
      </c>
      <c r="K263" s="7" t="s">
        <v>10090</v>
      </c>
      <c r="L263" s="7" t="s">
        <v>10091</v>
      </c>
      <c r="M263" s="7" t="s">
        <v>7714</v>
      </c>
      <c r="N263" s="7" t="s">
        <v>8043</v>
      </c>
      <c r="O263" s="7"/>
      <c r="P263" s="7" t="s">
        <v>7690</v>
      </c>
      <c r="Q263" s="7" t="s">
        <v>7759</v>
      </c>
      <c r="R263" s="7" t="s">
        <v>7692</v>
      </c>
      <c r="S263" s="7" t="s">
        <v>10092</v>
      </c>
      <c r="T263" s="7"/>
      <c r="U263" s="7" t="s">
        <v>10093</v>
      </c>
    </row>
    <row r="264" customFormat="false" ht="46.25" hidden="false" customHeight="false" outlineLevel="0" collapsed="false">
      <c r="A264" s="7" t="n">
        <v>58</v>
      </c>
      <c r="B264" s="7" t="s">
        <v>766</v>
      </c>
      <c r="C264" s="7" t="s">
        <v>7679</v>
      </c>
      <c r="D264" s="7" t="s">
        <v>10094</v>
      </c>
      <c r="E264" s="7" t="s">
        <v>10095</v>
      </c>
      <c r="F264" s="7" t="n">
        <v>2022</v>
      </c>
      <c r="G264" s="7" t="s">
        <v>7682</v>
      </c>
      <c r="H264" s="7" t="s">
        <v>10096</v>
      </c>
      <c r="I264" s="7" t="s">
        <v>10097</v>
      </c>
      <c r="J264" s="7" t="s">
        <v>10098</v>
      </c>
      <c r="K264" s="7" t="s">
        <v>10099</v>
      </c>
      <c r="L264" s="7" t="s">
        <v>10100</v>
      </c>
      <c r="M264" s="7" t="s">
        <v>8954</v>
      </c>
      <c r="N264" s="7" t="s">
        <v>10101</v>
      </c>
      <c r="O264" s="7"/>
      <c r="P264" s="7" t="s">
        <v>7981</v>
      </c>
      <c r="Q264" s="7" t="s">
        <v>7691</v>
      </c>
      <c r="R264" s="7" t="s">
        <v>7692</v>
      </c>
      <c r="S264" s="7" t="s">
        <v>10102</v>
      </c>
      <c r="T264" s="7"/>
      <c r="U264" s="7"/>
    </row>
    <row r="265" customFormat="false" ht="46.25" hidden="false" customHeight="false" outlineLevel="0" collapsed="false">
      <c r="A265" s="7" t="n">
        <v>58</v>
      </c>
      <c r="B265" s="7" t="s">
        <v>766</v>
      </c>
      <c r="C265" s="7" t="s">
        <v>7679</v>
      </c>
      <c r="D265" s="7" t="s">
        <v>10103</v>
      </c>
      <c r="E265" s="7" t="s">
        <v>10104</v>
      </c>
      <c r="F265" s="7" t="n">
        <v>2023</v>
      </c>
      <c r="G265" s="7" t="s">
        <v>7682</v>
      </c>
      <c r="H265" s="7" t="s">
        <v>9166</v>
      </c>
      <c r="I265" s="7" t="s">
        <v>10105</v>
      </c>
      <c r="J265" s="7" t="s">
        <v>10106</v>
      </c>
      <c r="K265" s="7" t="s">
        <v>10107</v>
      </c>
      <c r="L265" s="7" t="s">
        <v>10108</v>
      </c>
      <c r="M265" s="7" t="s">
        <v>8954</v>
      </c>
      <c r="N265" s="7" t="s">
        <v>10101</v>
      </c>
      <c r="O265" s="7"/>
      <c r="P265" s="7" t="s">
        <v>10109</v>
      </c>
      <c r="Q265" s="7" t="s">
        <v>7691</v>
      </c>
      <c r="R265" s="7" t="s">
        <v>7692</v>
      </c>
      <c r="S265" s="7" t="s">
        <v>10110</v>
      </c>
      <c r="T265" s="7" t="s">
        <v>10111</v>
      </c>
      <c r="U265" s="7"/>
    </row>
    <row r="266" customFormat="false" ht="35.05" hidden="false" customHeight="false" outlineLevel="0" collapsed="false">
      <c r="A266" s="7" t="n">
        <v>58</v>
      </c>
      <c r="B266" s="7" t="s">
        <v>766</v>
      </c>
      <c r="C266" s="7" t="s">
        <v>8160</v>
      </c>
      <c r="D266" s="7" t="s">
        <v>10112</v>
      </c>
      <c r="E266" s="7" t="s">
        <v>10113</v>
      </c>
      <c r="F266" s="7" t="n">
        <v>2024</v>
      </c>
      <c r="G266" s="7" t="s">
        <v>8950</v>
      </c>
      <c r="H266" s="7" t="s">
        <v>10114</v>
      </c>
      <c r="I266" s="7" t="s">
        <v>8588</v>
      </c>
      <c r="J266" s="7" t="s">
        <v>10115</v>
      </c>
      <c r="K266" s="7" t="s">
        <v>10116</v>
      </c>
      <c r="L266" s="7" t="s">
        <v>10117</v>
      </c>
      <c r="M266" s="7" t="s">
        <v>8168</v>
      </c>
      <c r="N266" s="7" t="s">
        <v>10118</v>
      </c>
      <c r="O266" s="7"/>
      <c r="P266" s="7" t="s">
        <v>7690</v>
      </c>
      <c r="Q266" s="7" t="s">
        <v>7716</v>
      </c>
      <c r="R266" s="7" t="s">
        <v>7692</v>
      </c>
      <c r="S266" s="7" t="s">
        <v>10119</v>
      </c>
      <c r="T266" s="7"/>
      <c r="U266" s="7"/>
    </row>
    <row r="267" customFormat="false" ht="35.05" hidden="false" customHeight="false" outlineLevel="0" collapsed="false">
      <c r="A267" s="7" t="n">
        <v>58</v>
      </c>
      <c r="B267" s="7" t="s">
        <v>766</v>
      </c>
      <c r="C267" s="7" t="s">
        <v>7679</v>
      </c>
      <c r="D267" s="7" t="s">
        <v>10120</v>
      </c>
      <c r="E267" s="7" t="s">
        <v>10121</v>
      </c>
      <c r="F267" s="7" t="n">
        <v>2026</v>
      </c>
      <c r="G267" s="7" t="s">
        <v>8577</v>
      </c>
      <c r="H267" s="7" t="s">
        <v>10122</v>
      </c>
      <c r="I267" s="7" t="s">
        <v>10123</v>
      </c>
      <c r="J267" s="7" t="s">
        <v>10124</v>
      </c>
      <c r="K267" s="7" t="s">
        <v>10125</v>
      </c>
      <c r="L267" s="7" t="s">
        <v>10126</v>
      </c>
      <c r="M267" s="7" t="s">
        <v>10127</v>
      </c>
      <c r="N267" s="7" t="s">
        <v>10128</v>
      </c>
      <c r="O267" s="7"/>
      <c r="P267" s="7" t="s">
        <v>7690</v>
      </c>
      <c r="Q267" s="7" t="s">
        <v>7716</v>
      </c>
      <c r="R267" s="7" t="s">
        <v>7692</v>
      </c>
      <c r="S267" s="7" t="s">
        <v>10129</v>
      </c>
      <c r="T267" s="7" t="s">
        <v>10130</v>
      </c>
      <c r="U267" s="7" t="s">
        <v>10131</v>
      </c>
    </row>
    <row r="268" customFormat="false" ht="46.25" hidden="false" customHeight="false" outlineLevel="0" collapsed="false">
      <c r="A268" s="7" t="n">
        <v>58</v>
      </c>
      <c r="B268" s="7" t="s">
        <v>766</v>
      </c>
      <c r="C268" s="7" t="s">
        <v>7679</v>
      </c>
      <c r="D268" s="7" t="s">
        <v>10132</v>
      </c>
      <c r="E268" s="7" t="s">
        <v>10133</v>
      </c>
      <c r="F268" s="7" t="n">
        <v>2025</v>
      </c>
      <c r="G268" s="7" t="s">
        <v>9521</v>
      </c>
      <c r="H268" s="7" t="s">
        <v>9522</v>
      </c>
      <c r="I268" s="7" t="s">
        <v>10134</v>
      </c>
      <c r="J268" s="7" t="s">
        <v>7315</v>
      </c>
      <c r="K268" s="7" t="s">
        <v>10135</v>
      </c>
      <c r="L268" s="7" t="s">
        <v>10136</v>
      </c>
      <c r="M268" s="7" t="s">
        <v>8954</v>
      </c>
      <c r="N268" s="7" t="s">
        <v>9526</v>
      </c>
      <c r="O268" s="7"/>
      <c r="P268" s="7" t="s">
        <v>7690</v>
      </c>
      <c r="Q268" s="7" t="s">
        <v>7797</v>
      </c>
      <c r="R268" s="7" t="s">
        <v>7692</v>
      </c>
      <c r="S268" s="7" t="s">
        <v>9527</v>
      </c>
      <c r="T268" s="7"/>
      <c r="U268" s="7"/>
    </row>
    <row r="269" customFormat="false" ht="35.05" hidden="false" customHeight="false" outlineLevel="0" collapsed="false">
      <c r="A269" s="7" t="n">
        <v>59</v>
      </c>
      <c r="B269" s="7" t="s">
        <v>777</v>
      </c>
      <c r="C269" s="7" t="s">
        <v>7705</v>
      </c>
      <c r="D269" s="7" t="s">
        <v>10137</v>
      </c>
      <c r="E269" s="7" t="s">
        <v>10138</v>
      </c>
      <c r="F269" s="7" t="n">
        <v>2020</v>
      </c>
      <c r="G269" s="7" t="s">
        <v>7792</v>
      </c>
      <c r="H269" s="7" t="s">
        <v>10139</v>
      </c>
      <c r="I269" s="7" t="s">
        <v>10140</v>
      </c>
      <c r="J269" s="7" t="s">
        <v>7711</v>
      </c>
      <c r="K269" s="7" t="s">
        <v>10141</v>
      </c>
      <c r="L269" s="7" t="s">
        <v>10142</v>
      </c>
      <c r="M269" s="7" t="s">
        <v>7714</v>
      </c>
      <c r="N269" s="7" t="s">
        <v>10143</v>
      </c>
      <c r="O269" s="7"/>
      <c r="P269" s="7" t="s">
        <v>7690</v>
      </c>
      <c r="Q269" s="7" t="s">
        <v>7716</v>
      </c>
      <c r="R269" s="7" t="s">
        <v>7692</v>
      </c>
      <c r="S269" s="7" t="s">
        <v>10144</v>
      </c>
      <c r="T269" s="7"/>
      <c r="U269" s="7" t="s">
        <v>10145</v>
      </c>
    </row>
    <row r="270" customFormat="false" ht="35.05" hidden="false" customHeight="false" outlineLevel="0" collapsed="false">
      <c r="A270" s="7" t="n">
        <v>59</v>
      </c>
      <c r="B270" s="7" t="s">
        <v>777</v>
      </c>
      <c r="C270" s="7" t="s">
        <v>7679</v>
      </c>
      <c r="D270" s="7" t="s">
        <v>10146</v>
      </c>
      <c r="E270" s="7" t="s">
        <v>10147</v>
      </c>
      <c r="F270" s="7" t="n">
        <v>2026</v>
      </c>
      <c r="G270" s="7" t="s">
        <v>7781</v>
      </c>
      <c r="H270" s="7" t="s">
        <v>10148</v>
      </c>
      <c r="I270" s="7" t="s">
        <v>10149</v>
      </c>
      <c r="J270" s="7" t="s">
        <v>10150</v>
      </c>
      <c r="K270" s="7" t="s">
        <v>10151</v>
      </c>
      <c r="L270" s="7" t="s">
        <v>10152</v>
      </c>
      <c r="M270" s="7" t="s">
        <v>10153</v>
      </c>
      <c r="N270" s="7" t="s">
        <v>10154</v>
      </c>
      <c r="O270" s="7"/>
      <c r="P270" s="7" t="s">
        <v>7690</v>
      </c>
      <c r="Q270" s="7" t="s">
        <v>7716</v>
      </c>
      <c r="R270" s="7" t="s">
        <v>7692</v>
      </c>
      <c r="S270" s="7" t="s">
        <v>10155</v>
      </c>
      <c r="T270" s="7"/>
      <c r="U270" s="7" t="s">
        <v>10156</v>
      </c>
    </row>
    <row r="271" customFormat="false" ht="46.25" hidden="false" customHeight="false" outlineLevel="0" collapsed="false">
      <c r="A271" s="7" t="n">
        <v>59</v>
      </c>
      <c r="B271" s="7" t="s">
        <v>777</v>
      </c>
      <c r="C271" s="7" t="s">
        <v>8160</v>
      </c>
      <c r="D271" s="7" t="s">
        <v>10157</v>
      </c>
      <c r="E271" s="7" t="s">
        <v>10158</v>
      </c>
      <c r="F271" s="7" t="n">
        <v>2025</v>
      </c>
      <c r="G271" s="7" t="s">
        <v>10159</v>
      </c>
      <c r="H271" s="7" t="s">
        <v>8218</v>
      </c>
      <c r="I271" s="7" t="s">
        <v>10160</v>
      </c>
      <c r="J271" s="7" t="s">
        <v>7315</v>
      </c>
      <c r="K271" s="7" t="s">
        <v>10161</v>
      </c>
      <c r="L271" s="7" t="s">
        <v>10162</v>
      </c>
      <c r="M271" s="7" t="s">
        <v>8954</v>
      </c>
      <c r="N271" s="7" t="s">
        <v>10163</v>
      </c>
      <c r="O271" s="7"/>
      <c r="P271" s="7" t="s">
        <v>7690</v>
      </c>
      <c r="Q271" s="7" t="s">
        <v>10164</v>
      </c>
      <c r="R271" s="7" t="s">
        <v>7692</v>
      </c>
      <c r="S271" s="7" t="s">
        <v>10165</v>
      </c>
      <c r="T271" s="7"/>
      <c r="U271" s="7" t="s">
        <v>10166</v>
      </c>
    </row>
    <row r="272" customFormat="false" ht="46.25" hidden="false" customHeight="false" outlineLevel="0" collapsed="false">
      <c r="A272" s="7" t="n">
        <v>59</v>
      </c>
      <c r="B272" s="7" t="s">
        <v>777</v>
      </c>
      <c r="C272" s="7" t="s">
        <v>8160</v>
      </c>
      <c r="D272" s="7" t="s">
        <v>10167</v>
      </c>
      <c r="E272" s="7" t="s">
        <v>10168</v>
      </c>
      <c r="F272" s="7" t="n">
        <v>2026</v>
      </c>
      <c r="G272" s="7" t="s">
        <v>10159</v>
      </c>
      <c r="H272" s="7" t="s">
        <v>8218</v>
      </c>
      <c r="I272" s="7" t="s">
        <v>10160</v>
      </c>
      <c r="J272" s="7" t="s">
        <v>7315</v>
      </c>
      <c r="K272" s="7" t="s">
        <v>10169</v>
      </c>
      <c r="L272" s="7" t="s">
        <v>10170</v>
      </c>
      <c r="M272" s="7" t="s">
        <v>8954</v>
      </c>
      <c r="N272" s="7" t="s">
        <v>10163</v>
      </c>
      <c r="O272" s="7"/>
      <c r="P272" s="7" t="s">
        <v>7690</v>
      </c>
      <c r="Q272" s="7" t="s">
        <v>10164</v>
      </c>
      <c r="R272" s="7" t="s">
        <v>7692</v>
      </c>
      <c r="S272" s="7" t="s">
        <v>10171</v>
      </c>
      <c r="T272" s="7"/>
      <c r="U272" s="7" t="s">
        <v>10172</v>
      </c>
    </row>
    <row r="273" customFormat="false" ht="57.45" hidden="false" customHeight="false" outlineLevel="0" collapsed="false">
      <c r="A273" s="7" t="n">
        <v>59</v>
      </c>
      <c r="B273" s="7" t="s">
        <v>777</v>
      </c>
      <c r="C273" s="7" t="s">
        <v>7679</v>
      </c>
      <c r="D273" s="7" t="s">
        <v>10173</v>
      </c>
      <c r="E273" s="7" t="s">
        <v>10174</v>
      </c>
      <c r="F273" s="7" t="n">
        <v>2026</v>
      </c>
      <c r="G273" s="7" t="s">
        <v>8141</v>
      </c>
      <c r="H273" s="7" t="s">
        <v>10175</v>
      </c>
      <c r="I273" s="7" t="s">
        <v>10176</v>
      </c>
      <c r="J273" s="7" t="s">
        <v>10177</v>
      </c>
      <c r="K273" s="7" t="s">
        <v>10178</v>
      </c>
      <c r="L273" s="7" t="s">
        <v>10179</v>
      </c>
      <c r="M273" s="7" t="s">
        <v>10180</v>
      </c>
      <c r="N273" s="7" t="s">
        <v>10181</v>
      </c>
      <c r="O273" s="7" t="s">
        <v>10182</v>
      </c>
      <c r="P273" s="7" t="s">
        <v>10183</v>
      </c>
      <c r="Q273" s="7" t="s">
        <v>7691</v>
      </c>
      <c r="R273" s="7" t="s">
        <v>7692</v>
      </c>
      <c r="S273" s="7" t="s">
        <v>10184</v>
      </c>
      <c r="T273" s="7" t="s">
        <v>10185</v>
      </c>
      <c r="U273" s="7" t="s">
        <v>10186</v>
      </c>
    </row>
    <row r="274" customFormat="false" ht="35.05" hidden="false" customHeight="false" outlineLevel="0" collapsed="false">
      <c r="A274" s="7" t="n">
        <v>59</v>
      </c>
      <c r="B274" s="7" t="s">
        <v>777</v>
      </c>
      <c r="C274" s="7" t="s">
        <v>7679</v>
      </c>
      <c r="D274" s="7" t="s">
        <v>10187</v>
      </c>
      <c r="E274" s="7" t="s">
        <v>10188</v>
      </c>
      <c r="F274" s="7" t="n">
        <v>2026</v>
      </c>
      <c r="G274" s="7" t="s">
        <v>10189</v>
      </c>
      <c r="H274" s="7" t="s">
        <v>10190</v>
      </c>
      <c r="I274" s="7" t="s">
        <v>10191</v>
      </c>
      <c r="J274" s="7" t="s">
        <v>10192</v>
      </c>
      <c r="K274" s="7" t="s">
        <v>10193</v>
      </c>
      <c r="L274" s="7" t="s">
        <v>10194</v>
      </c>
      <c r="M274" s="7" t="s">
        <v>10195</v>
      </c>
      <c r="N274" s="7" t="s">
        <v>10196</v>
      </c>
      <c r="O274" s="7"/>
      <c r="P274" s="7" t="s">
        <v>10197</v>
      </c>
      <c r="Q274" s="7" t="s">
        <v>10198</v>
      </c>
      <c r="R274" s="7" t="s">
        <v>7692</v>
      </c>
      <c r="S274" s="7" t="s">
        <v>10199</v>
      </c>
      <c r="T274" s="7"/>
      <c r="U274" s="7"/>
    </row>
    <row r="275" customFormat="false" ht="46.25" hidden="false" customHeight="false" outlineLevel="0" collapsed="false">
      <c r="A275" s="7" t="n">
        <v>59</v>
      </c>
      <c r="B275" s="7" t="s">
        <v>777</v>
      </c>
      <c r="C275" s="7" t="s">
        <v>7679</v>
      </c>
      <c r="D275" s="7" t="s">
        <v>10200</v>
      </c>
      <c r="E275" s="7" t="s">
        <v>10201</v>
      </c>
      <c r="F275" s="7" t="n">
        <v>2025</v>
      </c>
      <c r="G275" s="7" t="s">
        <v>7682</v>
      </c>
      <c r="H275" s="7" t="s">
        <v>10202</v>
      </c>
      <c r="I275" s="7" t="s">
        <v>10203</v>
      </c>
      <c r="J275" s="7" t="s">
        <v>7765</v>
      </c>
      <c r="K275" s="7" t="s">
        <v>10204</v>
      </c>
      <c r="L275" s="7" t="s">
        <v>10205</v>
      </c>
      <c r="M275" s="7" t="s">
        <v>8945</v>
      </c>
      <c r="N275" s="7" t="s">
        <v>10206</v>
      </c>
      <c r="O275" s="7"/>
      <c r="P275" s="7" t="s">
        <v>10207</v>
      </c>
      <c r="Q275" s="7" t="s">
        <v>8026</v>
      </c>
      <c r="R275" s="7" t="s">
        <v>7692</v>
      </c>
      <c r="S275" s="7" t="s">
        <v>10208</v>
      </c>
      <c r="T275" s="7"/>
      <c r="U275" s="7"/>
    </row>
    <row r="276" customFormat="false" ht="35.05" hidden="false" customHeight="false" outlineLevel="0" collapsed="false">
      <c r="A276" s="7" t="n">
        <v>59</v>
      </c>
      <c r="B276" s="7" t="s">
        <v>777</v>
      </c>
      <c r="C276" s="7" t="s">
        <v>7679</v>
      </c>
      <c r="D276" s="7" t="s">
        <v>10209</v>
      </c>
      <c r="E276" s="7" t="s">
        <v>10210</v>
      </c>
      <c r="F276" s="7" t="n">
        <v>2025</v>
      </c>
      <c r="G276" s="7" t="s">
        <v>8141</v>
      </c>
      <c r="H276" s="7" t="s">
        <v>10211</v>
      </c>
      <c r="I276" s="7" t="s">
        <v>10212</v>
      </c>
      <c r="J276" s="7" t="s">
        <v>10213</v>
      </c>
      <c r="K276" s="7" t="s">
        <v>10214</v>
      </c>
      <c r="L276" s="7" t="s">
        <v>10215</v>
      </c>
      <c r="M276" s="7" t="s">
        <v>10216</v>
      </c>
      <c r="N276" s="7" t="s">
        <v>10217</v>
      </c>
      <c r="O276" s="7"/>
      <c r="P276" s="7" t="s">
        <v>7690</v>
      </c>
      <c r="Q276" s="7" t="s">
        <v>10218</v>
      </c>
      <c r="R276" s="7" t="s">
        <v>7692</v>
      </c>
      <c r="S276" s="7" t="s">
        <v>10219</v>
      </c>
      <c r="T276" s="7"/>
      <c r="U276" s="7" t="s">
        <v>10220</v>
      </c>
    </row>
    <row r="277" customFormat="false" ht="46.25" hidden="false" customHeight="false" outlineLevel="0" collapsed="false">
      <c r="A277" s="7" t="n">
        <v>59</v>
      </c>
      <c r="B277" s="7" t="s">
        <v>777</v>
      </c>
      <c r="C277" s="7" t="s">
        <v>7679</v>
      </c>
      <c r="D277" s="7" t="s">
        <v>10221</v>
      </c>
      <c r="E277" s="7" t="s">
        <v>10222</v>
      </c>
      <c r="F277" s="7" t="n">
        <v>2021</v>
      </c>
      <c r="G277" s="7" t="s">
        <v>10223</v>
      </c>
      <c r="H277" s="7" t="s">
        <v>10224</v>
      </c>
      <c r="I277" s="7" t="s">
        <v>10225</v>
      </c>
      <c r="J277" s="7" t="s">
        <v>8962</v>
      </c>
      <c r="K277" s="7" t="s">
        <v>10226</v>
      </c>
      <c r="L277" s="7" t="s">
        <v>10227</v>
      </c>
      <c r="M277" s="7" t="s">
        <v>8965</v>
      </c>
      <c r="N277" s="7" t="s">
        <v>10228</v>
      </c>
      <c r="O277" s="7"/>
      <c r="P277" s="7" t="s">
        <v>7690</v>
      </c>
      <c r="Q277" s="7" t="s">
        <v>10229</v>
      </c>
      <c r="R277" s="7" t="s">
        <v>7692</v>
      </c>
      <c r="S277" s="7" t="s">
        <v>10230</v>
      </c>
      <c r="T277" s="7"/>
      <c r="U277" s="7" t="s">
        <v>10231</v>
      </c>
    </row>
    <row r="278" customFormat="false" ht="35.05" hidden="false" customHeight="false" outlineLevel="0" collapsed="false">
      <c r="A278" s="7" t="n">
        <v>59</v>
      </c>
      <c r="B278" s="7" t="s">
        <v>777</v>
      </c>
      <c r="C278" s="7" t="s">
        <v>7679</v>
      </c>
      <c r="D278" s="7" t="s">
        <v>10232</v>
      </c>
      <c r="E278" s="7" t="s">
        <v>10233</v>
      </c>
      <c r="F278" s="7" t="n">
        <v>2021</v>
      </c>
      <c r="G278" s="7" t="s">
        <v>10234</v>
      </c>
      <c r="H278" s="7" t="s">
        <v>10235</v>
      </c>
      <c r="I278" s="7" t="s">
        <v>10236</v>
      </c>
      <c r="J278" s="7" t="s">
        <v>10237</v>
      </c>
      <c r="K278" s="7" t="s">
        <v>10238</v>
      </c>
      <c r="L278" s="7" t="s">
        <v>10239</v>
      </c>
      <c r="M278" s="7" t="s">
        <v>10240</v>
      </c>
      <c r="N278" s="7" t="s">
        <v>10241</v>
      </c>
      <c r="O278" s="7" t="s">
        <v>10242</v>
      </c>
      <c r="P278" s="7" t="s">
        <v>7690</v>
      </c>
      <c r="Q278" s="7" t="s">
        <v>10229</v>
      </c>
      <c r="R278" s="7" t="s">
        <v>7692</v>
      </c>
      <c r="S278" s="7" t="s">
        <v>10243</v>
      </c>
      <c r="T278" s="7"/>
      <c r="U278" s="7"/>
    </row>
    <row r="279" customFormat="false" ht="35.05" hidden="false" customHeight="false" outlineLevel="0" collapsed="false">
      <c r="A279" s="7" t="n">
        <v>59</v>
      </c>
      <c r="B279" s="7" t="s">
        <v>777</v>
      </c>
      <c r="C279" s="7" t="s">
        <v>7679</v>
      </c>
      <c r="D279" s="7" t="s">
        <v>10244</v>
      </c>
      <c r="E279" s="7" t="s">
        <v>10245</v>
      </c>
      <c r="F279" s="7" t="n">
        <v>2025</v>
      </c>
      <c r="G279" s="7" t="s">
        <v>10246</v>
      </c>
      <c r="H279" s="7" t="s">
        <v>10247</v>
      </c>
      <c r="I279" s="7" t="s">
        <v>10248</v>
      </c>
      <c r="J279" s="7" t="s">
        <v>7315</v>
      </c>
      <c r="K279" s="7" t="s">
        <v>10249</v>
      </c>
      <c r="L279" s="7" t="s">
        <v>10250</v>
      </c>
      <c r="M279" s="7" t="s">
        <v>8954</v>
      </c>
      <c r="N279" s="7" t="s">
        <v>10251</v>
      </c>
      <c r="O279" s="7"/>
      <c r="P279" s="7" t="s">
        <v>7690</v>
      </c>
      <c r="Q279" s="7" t="s">
        <v>7797</v>
      </c>
      <c r="R279" s="7" t="s">
        <v>7692</v>
      </c>
      <c r="S279" s="7" t="s">
        <v>10252</v>
      </c>
      <c r="T279" s="7"/>
      <c r="U279" s="7" t="s">
        <v>10253</v>
      </c>
    </row>
    <row r="280" customFormat="false" ht="68.65" hidden="false" customHeight="false" outlineLevel="0" collapsed="false">
      <c r="A280" s="7" t="n">
        <v>59</v>
      </c>
      <c r="B280" s="7" t="s">
        <v>777</v>
      </c>
      <c r="C280" s="7" t="s">
        <v>7679</v>
      </c>
      <c r="D280" s="7" t="s">
        <v>10254</v>
      </c>
      <c r="E280" s="7" t="s">
        <v>10255</v>
      </c>
      <c r="F280" s="7" t="n">
        <v>2026</v>
      </c>
      <c r="G280" s="7" t="s">
        <v>8141</v>
      </c>
      <c r="H280" s="7" t="s">
        <v>10256</v>
      </c>
      <c r="I280" s="7" t="s">
        <v>10257</v>
      </c>
      <c r="J280" s="7" t="s">
        <v>10258</v>
      </c>
      <c r="K280" s="7" t="s">
        <v>10259</v>
      </c>
      <c r="L280" s="7" t="s">
        <v>10260</v>
      </c>
      <c r="M280" s="7" t="s">
        <v>9031</v>
      </c>
      <c r="N280" s="7" t="s">
        <v>10261</v>
      </c>
      <c r="O280" s="7"/>
      <c r="P280" s="7" t="s">
        <v>7690</v>
      </c>
      <c r="Q280" s="7" t="s">
        <v>7716</v>
      </c>
      <c r="R280" s="7" t="s">
        <v>7692</v>
      </c>
      <c r="S280" s="7" t="s">
        <v>10262</v>
      </c>
      <c r="T280" s="7" t="s">
        <v>10263</v>
      </c>
      <c r="U280" s="7"/>
    </row>
    <row r="281" customFormat="false" ht="46.25" hidden="false" customHeight="false" outlineLevel="0" collapsed="false">
      <c r="A281" s="7" t="n">
        <v>59</v>
      </c>
      <c r="B281" s="7" t="s">
        <v>777</v>
      </c>
      <c r="C281" s="7" t="s">
        <v>7679</v>
      </c>
      <c r="D281" s="7" t="s">
        <v>10264</v>
      </c>
      <c r="E281" s="7" t="s">
        <v>10265</v>
      </c>
      <c r="F281" s="7" t="n">
        <v>2024</v>
      </c>
      <c r="G281" s="7" t="s">
        <v>8141</v>
      </c>
      <c r="H281" s="7" t="s">
        <v>10266</v>
      </c>
      <c r="I281" s="7" t="s">
        <v>10267</v>
      </c>
      <c r="J281" s="7" t="s">
        <v>10268</v>
      </c>
      <c r="K281" s="7" t="s">
        <v>10269</v>
      </c>
      <c r="L281" s="7" t="s">
        <v>10270</v>
      </c>
      <c r="M281" s="7" t="s">
        <v>10271</v>
      </c>
      <c r="N281" s="7" t="s">
        <v>10272</v>
      </c>
      <c r="O281" s="7"/>
      <c r="P281" s="7" t="s">
        <v>10183</v>
      </c>
      <c r="Q281" s="7" t="s">
        <v>7691</v>
      </c>
      <c r="R281" s="7" t="s">
        <v>7692</v>
      </c>
      <c r="S281" s="7" t="s">
        <v>10273</v>
      </c>
      <c r="T281" s="7" t="s">
        <v>10274</v>
      </c>
      <c r="U281" s="7" t="s">
        <v>10275</v>
      </c>
    </row>
    <row r="282" customFormat="false" ht="57.45" hidden="false" customHeight="false" outlineLevel="0" collapsed="false">
      <c r="A282" s="7" t="n">
        <v>59</v>
      </c>
      <c r="B282" s="7" t="s">
        <v>777</v>
      </c>
      <c r="C282" s="7" t="s">
        <v>7679</v>
      </c>
      <c r="D282" s="7" t="s">
        <v>10276</v>
      </c>
      <c r="E282" s="7" t="s">
        <v>10277</v>
      </c>
      <c r="F282" s="7" t="n">
        <v>2023</v>
      </c>
      <c r="G282" s="7" t="s">
        <v>7682</v>
      </c>
      <c r="H282" s="7" t="s">
        <v>10278</v>
      </c>
      <c r="I282" s="7" t="s">
        <v>10267</v>
      </c>
      <c r="J282" s="7" t="s">
        <v>10279</v>
      </c>
      <c r="K282" s="7" t="s">
        <v>10280</v>
      </c>
      <c r="L282" s="7" t="s">
        <v>10281</v>
      </c>
      <c r="M282" s="7" t="s">
        <v>10282</v>
      </c>
      <c r="N282" s="7" t="s">
        <v>10283</v>
      </c>
      <c r="O282" s="7"/>
      <c r="P282" s="7" t="s">
        <v>8763</v>
      </c>
      <c r="Q282" s="7" t="s">
        <v>10284</v>
      </c>
      <c r="R282" s="7" t="s">
        <v>7692</v>
      </c>
      <c r="S282" s="7" t="s">
        <v>10285</v>
      </c>
      <c r="T282" s="7"/>
      <c r="U282" s="7"/>
    </row>
    <row r="283" customFormat="false" ht="46.25" hidden="false" customHeight="false" outlineLevel="0" collapsed="false">
      <c r="A283" s="7" t="n">
        <v>59</v>
      </c>
      <c r="B283" s="7" t="s">
        <v>777</v>
      </c>
      <c r="C283" s="7" t="s">
        <v>7679</v>
      </c>
      <c r="D283" s="7" t="s">
        <v>10286</v>
      </c>
      <c r="E283" s="7" t="s">
        <v>10287</v>
      </c>
      <c r="F283" s="7" t="n">
        <v>2023</v>
      </c>
      <c r="G283" s="7" t="s">
        <v>7682</v>
      </c>
      <c r="H283" s="7" t="s">
        <v>9031</v>
      </c>
      <c r="I283" s="7" t="s">
        <v>10288</v>
      </c>
      <c r="J283" s="7" t="s">
        <v>10289</v>
      </c>
      <c r="K283" s="7" t="s">
        <v>10290</v>
      </c>
      <c r="L283" s="7" t="s">
        <v>10291</v>
      </c>
      <c r="M283" s="7" t="s">
        <v>9031</v>
      </c>
      <c r="N283" s="7" t="s">
        <v>10292</v>
      </c>
      <c r="O283" s="7"/>
      <c r="P283" s="7" t="s">
        <v>10293</v>
      </c>
      <c r="Q283" s="7" t="s">
        <v>10294</v>
      </c>
      <c r="R283" s="7" t="s">
        <v>7692</v>
      </c>
      <c r="S283" s="7" t="s">
        <v>10295</v>
      </c>
      <c r="T283" s="7"/>
      <c r="U283" s="7"/>
    </row>
    <row r="284" customFormat="false" ht="68.65" hidden="false" customHeight="false" outlineLevel="0" collapsed="false">
      <c r="A284" s="7" t="n">
        <v>59</v>
      </c>
      <c r="B284" s="7" t="s">
        <v>777</v>
      </c>
      <c r="C284" s="7" t="s">
        <v>7679</v>
      </c>
      <c r="D284" s="7" t="s">
        <v>10296</v>
      </c>
      <c r="E284" s="7" t="s">
        <v>10297</v>
      </c>
      <c r="F284" s="7" t="n">
        <v>2020</v>
      </c>
      <c r="G284" s="7" t="s">
        <v>10298</v>
      </c>
      <c r="H284" s="7" t="s">
        <v>10224</v>
      </c>
      <c r="I284" s="7" t="s">
        <v>10299</v>
      </c>
      <c r="J284" s="7" t="s">
        <v>10300</v>
      </c>
      <c r="K284" s="7" t="s">
        <v>10301</v>
      </c>
      <c r="L284" s="7" t="s">
        <v>10302</v>
      </c>
      <c r="M284" s="7" t="s">
        <v>8965</v>
      </c>
      <c r="N284" s="7" t="s">
        <v>10303</v>
      </c>
      <c r="O284" s="7"/>
      <c r="P284" s="7" t="s">
        <v>10304</v>
      </c>
      <c r="Q284" s="7" t="s">
        <v>10305</v>
      </c>
      <c r="R284" s="7" t="s">
        <v>7692</v>
      </c>
      <c r="S284" s="7" t="s">
        <v>10306</v>
      </c>
      <c r="T284" s="7"/>
      <c r="U284" s="7"/>
    </row>
    <row r="285" customFormat="false" ht="35.05" hidden="false" customHeight="false" outlineLevel="0" collapsed="false">
      <c r="A285" s="7" t="n">
        <v>60</v>
      </c>
      <c r="B285" s="7" t="s">
        <v>789</v>
      </c>
      <c r="C285" s="7" t="s">
        <v>7705</v>
      </c>
      <c r="D285" s="7" t="s">
        <v>10307</v>
      </c>
      <c r="E285" s="7" t="s">
        <v>10308</v>
      </c>
      <c r="F285" s="7" t="n">
        <v>2020</v>
      </c>
      <c r="G285" s="7" t="s">
        <v>7792</v>
      </c>
      <c r="H285" s="7" t="s">
        <v>7793</v>
      </c>
      <c r="I285" s="7" t="s">
        <v>10309</v>
      </c>
      <c r="J285" s="7" t="s">
        <v>7711</v>
      </c>
      <c r="K285" s="7" t="s">
        <v>10310</v>
      </c>
      <c r="L285" s="7" t="s">
        <v>10311</v>
      </c>
      <c r="M285" s="7" t="s">
        <v>7714</v>
      </c>
      <c r="N285" s="7" t="s">
        <v>8043</v>
      </c>
      <c r="O285" s="7"/>
      <c r="P285" s="7" t="s">
        <v>7690</v>
      </c>
      <c r="Q285" s="7" t="s">
        <v>7716</v>
      </c>
      <c r="R285" s="7" t="s">
        <v>7692</v>
      </c>
      <c r="S285" s="7" t="s">
        <v>10312</v>
      </c>
      <c r="T285" s="7"/>
      <c r="U285" s="7" t="s">
        <v>10313</v>
      </c>
    </row>
    <row r="286" customFormat="false" ht="35.05" hidden="false" customHeight="false" outlineLevel="0" collapsed="false">
      <c r="A286" s="7" t="n">
        <v>60</v>
      </c>
      <c r="B286" s="7" t="s">
        <v>789</v>
      </c>
      <c r="C286" s="7" t="s">
        <v>8160</v>
      </c>
      <c r="D286" s="7" t="s">
        <v>10314</v>
      </c>
      <c r="E286" s="7" t="s">
        <v>10315</v>
      </c>
      <c r="F286" s="7" t="n">
        <v>2025</v>
      </c>
      <c r="G286" s="7" t="s">
        <v>10316</v>
      </c>
      <c r="H286" s="7" t="s">
        <v>8218</v>
      </c>
      <c r="I286" s="7" t="s">
        <v>10160</v>
      </c>
      <c r="J286" s="7" t="s">
        <v>7315</v>
      </c>
      <c r="K286" s="7" t="s">
        <v>10317</v>
      </c>
      <c r="L286" s="7" t="s">
        <v>10318</v>
      </c>
      <c r="M286" s="7" t="s">
        <v>8954</v>
      </c>
      <c r="N286" s="7" t="s">
        <v>10319</v>
      </c>
      <c r="O286" s="7"/>
      <c r="P286" s="7" t="s">
        <v>7690</v>
      </c>
      <c r="Q286" s="7" t="s">
        <v>7727</v>
      </c>
      <c r="R286" s="7" t="s">
        <v>7692</v>
      </c>
      <c r="S286" s="7" t="s">
        <v>10320</v>
      </c>
      <c r="T286" s="7"/>
      <c r="U286" s="7"/>
    </row>
    <row r="287" customFormat="false" ht="46.25" hidden="false" customHeight="false" outlineLevel="0" collapsed="false">
      <c r="A287" s="7" t="n">
        <v>60</v>
      </c>
      <c r="B287" s="7" t="s">
        <v>789</v>
      </c>
      <c r="C287" s="7" t="s">
        <v>7679</v>
      </c>
      <c r="D287" s="7" t="s">
        <v>10321</v>
      </c>
      <c r="E287" s="7" t="s">
        <v>10322</v>
      </c>
      <c r="F287" s="7" t="n">
        <v>2024</v>
      </c>
      <c r="G287" s="7" t="s">
        <v>7961</v>
      </c>
      <c r="H287" s="7" t="s">
        <v>10323</v>
      </c>
      <c r="I287" s="7" t="s">
        <v>10324</v>
      </c>
      <c r="J287" s="7" t="s">
        <v>7685</v>
      </c>
      <c r="K287" s="7" t="s">
        <v>10325</v>
      </c>
      <c r="L287" s="7" t="s">
        <v>10326</v>
      </c>
      <c r="M287" s="7" t="s">
        <v>10327</v>
      </c>
      <c r="N287" s="7" t="s">
        <v>10328</v>
      </c>
      <c r="O287" s="7"/>
      <c r="P287" s="7" t="s">
        <v>7690</v>
      </c>
      <c r="Q287" s="7" t="s">
        <v>7691</v>
      </c>
      <c r="R287" s="7" t="s">
        <v>7692</v>
      </c>
      <c r="S287" s="7" t="s">
        <v>10329</v>
      </c>
      <c r="T287" s="7" t="s">
        <v>10330</v>
      </c>
      <c r="U287" s="7" t="s">
        <v>10331</v>
      </c>
    </row>
    <row r="288" customFormat="false" ht="35.05" hidden="false" customHeight="false" outlineLevel="0" collapsed="false">
      <c r="A288" s="7" t="n">
        <v>60</v>
      </c>
      <c r="B288" s="7" t="s">
        <v>789</v>
      </c>
      <c r="C288" s="7" t="s">
        <v>7679</v>
      </c>
      <c r="D288" s="7" t="s">
        <v>10332</v>
      </c>
      <c r="E288" s="7" t="s">
        <v>10333</v>
      </c>
      <c r="F288" s="7" t="n">
        <v>2023</v>
      </c>
      <c r="G288" s="7" t="s">
        <v>8141</v>
      </c>
      <c r="H288" s="7" t="s">
        <v>10334</v>
      </c>
      <c r="I288" s="7" t="s">
        <v>10324</v>
      </c>
      <c r="J288" s="7" t="s">
        <v>7685</v>
      </c>
      <c r="K288" s="7" t="s">
        <v>10335</v>
      </c>
      <c r="L288" s="7" t="s">
        <v>10336</v>
      </c>
      <c r="M288" s="7" t="s">
        <v>10337</v>
      </c>
      <c r="N288" s="7" t="s">
        <v>7862</v>
      </c>
      <c r="O288" s="7"/>
      <c r="P288" s="7" t="s">
        <v>7690</v>
      </c>
      <c r="Q288" s="7" t="s">
        <v>7691</v>
      </c>
      <c r="R288" s="7" t="s">
        <v>7692</v>
      </c>
      <c r="S288" s="7" t="s">
        <v>10338</v>
      </c>
      <c r="T288" s="7" t="s">
        <v>10339</v>
      </c>
      <c r="U288" s="7"/>
    </row>
    <row r="289" customFormat="false" ht="57.45" hidden="false" customHeight="false" outlineLevel="0" collapsed="false">
      <c r="A289" s="7" t="n">
        <v>57</v>
      </c>
      <c r="B289" s="7" t="s">
        <v>756</v>
      </c>
      <c r="C289" s="7" t="s">
        <v>7705</v>
      </c>
      <c r="D289" s="7" t="s">
        <v>10340</v>
      </c>
      <c r="E289" s="7" t="s">
        <v>10341</v>
      </c>
      <c r="F289" s="7" t="n">
        <v>2020</v>
      </c>
      <c r="G289" s="7" t="s">
        <v>7792</v>
      </c>
      <c r="H289" s="7" t="s">
        <v>7793</v>
      </c>
      <c r="I289" s="7" t="s">
        <v>10342</v>
      </c>
      <c r="J289" s="7" t="s">
        <v>7711</v>
      </c>
      <c r="K289" s="7" t="s">
        <v>10343</v>
      </c>
      <c r="L289" s="7" t="s">
        <v>10344</v>
      </c>
      <c r="M289" s="7" t="s">
        <v>7714</v>
      </c>
      <c r="N289" s="7" t="s">
        <v>10345</v>
      </c>
      <c r="O289" s="7"/>
      <c r="P289" s="7" t="s">
        <v>7690</v>
      </c>
      <c r="Q289" s="7" t="s">
        <v>7716</v>
      </c>
      <c r="R289" s="7" t="s">
        <v>7692</v>
      </c>
      <c r="S289" s="7" t="s">
        <v>10346</v>
      </c>
      <c r="T289" s="7"/>
      <c r="U289" s="7"/>
    </row>
    <row r="290" customFormat="false" ht="68.65" hidden="false" customHeight="false" outlineLevel="0" collapsed="false">
      <c r="A290" s="7" t="n">
        <v>57</v>
      </c>
      <c r="B290" s="7" t="s">
        <v>756</v>
      </c>
      <c r="C290" s="7" t="s">
        <v>7679</v>
      </c>
      <c r="D290" s="7" t="s">
        <v>10347</v>
      </c>
      <c r="E290" s="7" t="s">
        <v>10348</v>
      </c>
      <c r="F290" s="7" t="n">
        <v>2024</v>
      </c>
      <c r="G290" s="7" t="s">
        <v>9949</v>
      </c>
      <c r="H290" s="7" t="s">
        <v>10349</v>
      </c>
      <c r="I290" s="7" t="s">
        <v>10350</v>
      </c>
      <c r="J290" s="7" t="s">
        <v>9952</v>
      </c>
      <c r="K290" s="7" t="s">
        <v>10351</v>
      </c>
      <c r="L290" s="7" t="s">
        <v>10352</v>
      </c>
      <c r="M290" s="7" t="s">
        <v>8168</v>
      </c>
      <c r="N290" s="7" t="s">
        <v>10353</v>
      </c>
      <c r="O290" s="7"/>
      <c r="P290" s="7" t="s">
        <v>7690</v>
      </c>
      <c r="Q290" s="7" t="s">
        <v>7716</v>
      </c>
      <c r="R290" s="7" t="s">
        <v>7692</v>
      </c>
      <c r="S290" s="7" t="s">
        <v>10354</v>
      </c>
      <c r="T290" s="7"/>
      <c r="U290" s="7" t="s">
        <v>10355</v>
      </c>
    </row>
    <row r="291" customFormat="false" ht="46.25" hidden="false" customHeight="false" outlineLevel="0" collapsed="false">
      <c r="A291" s="7" t="n">
        <v>57</v>
      </c>
      <c r="B291" s="7" t="s">
        <v>756</v>
      </c>
      <c r="C291" s="7" t="s">
        <v>8160</v>
      </c>
      <c r="D291" s="7" t="s">
        <v>10356</v>
      </c>
      <c r="E291" s="7" t="s">
        <v>10357</v>
      </c>
      <c r="F291" s="7" t="n">
        <v>2025</v>
      </c>
      <c r="G291" s="7" t="s">
        <v>10358</v>
      </c>
      <c r="H291" s="7" t="s">
        <v>10118</v>
      </c>
      <c r="I291" s="7" t="s">
        <v>10359</v>
      </c>
      <c r="J291" s="7" t="s">
        <v>7315</v>
      </c>
      <c r="K291" s="7" t="s">
        <v>10360</v>
      </c>
      <c r="L291" s="7" t="s">
        <v>10361</v>
      </c>
      <c r="M291" s="7" t="s">
        <v>9397</v>
      </c>
      <c r="N291" s="7" t="s">
        <v>8955</v>
      </c>
      <c r="O291" s="7"/>
      <c r="P291" s="7" t="s">
        <v>7690</v>
      </c>
      <c r="Q291" s="7" t="s">
        <v>7716</v>
      </c>
      <c r="R291" s="7" t="s">
        <v>7692</v>
      </c>
      <c r="S291" s="7" t="s">
        <v>10362</v>
      </c>
      <c r="T291" s="7"/>
      <c r="U291" s="7" t="s">
        <v>10363</v>
      </c>
    </row>
    <row r="292" customFormat="false" ht="35.05" hidden="false" customHeight="false" outlineLevel="0" collapsed="false">
      <c r="A292" s="7" t="n">
        <v>57</v>
      </c>
      <c r="B292" s="7" t="s">
        <v>756</v>
      </c>
      <c r="C292" s="7" t="s">
        <v>7679</v>
      </c>
      <c r="D292" s="7" t="s">
        <v>10364</v>
      </c>
      <c r="E292" s="7" t="s">
        <v>10365</v>
      </c>
      <c r="F292" s="7" t="n">
        <v>2024</v>
      </c>
      <c r="G292" s="7" t="s">
        <v>9916</v>
      </c>
      <c r="H292" s="7" t="s">
        <v>10366</v>
      </c>
      <c r="I292" s="7" t="s">
        <v>10367</v>
      </c>
      <c r="J292" s="7" t="s">
        <v>7315</v>
      </c>
      <c r="K292" s="7" t="s">
        <v>10368</v>
      </c>
      <c r="L292" s="7" t="s">
        <v>10369</v>
      </c>
      <c r="M292" s="7" t="s">
        <v>10370</v>
      </c>
      <c r="N292" s="7" t="s">
        <v>10371</v>
      </c>
      <c r="O292" s="7"/>
      <c r="P292" s="7" t="s">
        <v>7690</v>
      </c>
      <c r="Q292" s="7" t="s">
        <v>7716</v>
      </c>
      <c r="R292" s="7" t="s">
        <v>7692</v>
      </c>
      <c r="S292" s="7" t="s">
        <v>9933</v>
      </c>
      <c r="T292" s="7"/>
      <c r="U292" s="7" t="s">
        <v>9935</v>
      </c>
    </row>
    <row r="293" customFormat="false" ht="35.05" hidden="false" customHeight="false" outlineLevel="0" collapsed="false">
      <c r="A293" s="7" t="n">
        <v>57</v>
      </c>
      <c r="B293" s="7" t="s">
        <v>756</v>
      </c>
      <c r="C293" s="7" t="s">
        <v>7679</v>
      </c>
      <c r="D293" s="7" t="s">
        <v>10372</v>
      </c>
      <c r="E293" s="7" t="s">
        <v>10373</v>
      </c>
      <c r="F293" s="7" t="n">
        <v>2025</v>
      </c>
      <c r="G293" s="7" t="s">
        <v>10374</v>
      </c>
      <c r="H293" s="7" t="s">
        <v>10375</v>
      </c>
      <c r="I293" s="7" t="s">
        <v>10376</v>
      </c>
      <c r="J293" s="7" t="s">
        <v>10377</v>
      </c>
      <c r="K293" s="7" t="s">
        <v>10378</v>
      </c>
      <c r="L293" s="7" t="s">
        <v>10379</v>
      </c>
      <c r="M293" s="7" t="s">
        <v>10380</v>
      </c>
      <c r="N293" s="7" t="s">
        <v>10381</v>
      </c>
      <c r="O293" s="7" t="s">
        <v>10382</v>
      </c>
      <c r="P293" s="7" t="s">
        <v>7690</v>
      </c>
      <c r="Q293" s="7" t="s">
        <v>7727</v>
      </c>
      <c r="R293" s="7" t="s">
        <v>7692</v>
      </c>
      <c r="S293" s="7" t="s">
        <v>10383</v>
      </c>
      <c r="T293" s="7"/>
      <c r="U293" s="7" t="s">
        <v>10384</v>
      </c>
    </row>
    <row r="294" customFormat="false" ht="46.25" hidden="false" customHeight="false" outlineLevel="0" collapsed="false">
      <c r="A294" s="7" t="n">
        <v>57</v>
      </c>
      <c r="B294" s="7" t="s">
        <v>756</v>
      </c>
      <c r="C294" s="7" t="s">
        <v>7679</v>
      </c>
      <c r="D294" s="7" t="s">
        <v>10385</v>
      </c>
      <c r="E294" s="7" t="s">
        <v>10386</v>
      </c>
      <c r="F294" s="7" t="n">
        <v>2025</v>
      </c>
      <c r="G294" s="7" t="s">
        <v>10374</v>
      </c>
      <c r="H294" s="7" t="s">
        <v>10387</v>
      </c>
      <c r="I294" s="7" t="s">
        <v>10388</v>
      </c>
      <c r="J294" s="7" t="s">
        <v>7685</v>
      </c>
      <c r="K294" s="7" t="s">
        <v>10389</v>
      </c>
      <c r="L294" s="7" t="s">
        <v>10390</v>
      </c>
      <c r="M294" s="7" t="s">
        <v>10391</v>
      </c>
      <c r="N294" s="7" t="s">
        <v>10392</v>
      </c>
      <c r="O294" s="7" t="s">
        <v>10393</v>
      </c>
      <c r="P294" s="7" t="s">
        <v>7690</v>
      </c>
      <c r="Q294" s="7" t="s">
        <v>7727</v>
      </c>
      <c r="R294" s="7" t="s">
        <v>7692</v>
      </c>
      <c r="S294" s="7" t="s">
        <v>10394</v>
      </c>
      <c r="T294" s="7"/>
      <c r="U294" s="7" t="s">
        <v>10395</v>
      </c>
    </row>
    <row r="295" customFormat="false" ht="35.05" hidden="false" customHeight="false" outlineLevel="0" collapsed="false">
      <c r="A295" s="7" t="n">
        <v>66</v>
      </c>
      <c r="B295" s="7" t="s">
        <v>854</v>
      </c>
      <c r="C295" s="7" t="s">
        <v>7705</v>
      </c>
      <c r="D295" s="7" t="s">
        <v>10396</v>
      </c>
      <c r="E295" s="7" t="s">
        <v>10397</v>
      </c>
      <c r="F295" s="7" t="n">
        <v>2021</v>
      </c>
      <c r="G295" s="7" t="s">
        <v>7792</v>
      </c>
      <c r="H295" s="7" t="s">
        <v>7793</v>
      </c>
      <c r="I295" s="7" t="s">
        <v>10398</v>
      </c>
      <c r="J295" s="7" t="s">
        <v>7711</v>
      </c>
      <c r="K295" s="7" t="s">
        <v>10399</v>
      </c>
      <c r="L295" s="7" t="s">
        <v>10400</v>
      </c>
      <c r="M295" s="7" t="s">
        <v>7714</v>
      </c>
      <c r="N295" s="7" t="s">
        <v>10401</v>
      </c>
      <c r="O295" s="7"/>
      <c r="P295" s="7" t="s">
        <v>7690</v>
      </c>
      <c r="Q295" s="7" t="s">
        <v>7716</v>
      </c>
      <c r="R295" s="7" t="s">
        <v>7692</v>
      </c>
      <c r="S295" s="7" t="s">
        <v>10402</v>
      </c>
      <c r="T295" s="7"/>
      <c r="U295" s="7"/>
    </row>
    <row r="296" customFormat="false" ht="57.45" hidden="false" customHeight="false" outlineLevel="0" collapsed="false">
      <c r="A296" s="7" t="n">
        <v>66</v>
      </c>
      <c r="B296" s="7" t="s">
        <v>854</v>
      </c>
      <c r="C296" s="7" t="s">
        <v>7679</v>
      </c>
      <c r="D296" s="7" t="s">
        <v>10403</v>
      </c>
      <c r="E296" s="7" t="s">
        <v>10404</v>
      </c>
      <c r="F296" s="7" t="n">
        <v>2026</v>
      </c>
      <c r="G296" s="7" t="s">
        <v>8698</v>
      </c>
      <c r="H296" s="7" t="s">
        <v>10405</v>
      </c>
      <c r="I296" s="7" t="s">
        <v>10406</v>
      </c>
      <c r="J296" s="7" t="s">
        <v>9074</v>
      </c>
      <c r="K296" s="7" t="s">
        <v>10407</v>
      </c>
      <c r="L296" s="7" t="s">
        <v>10408</v>
      </c>
      <c r="M296" s="7" t="s">
        <v>10409</v>
      </c>
      <c r="N296" s="7" t="s">
        <v>10410</v>
      </c>
      <c r="O296" s="7"/>
      <c r="P296" s="7" t="s">
        <v>7690</v>
      </c>
      <c r="Q296" s="7" t="s">
        <v>7716</v>
      </c>
      <c r="R296" s="7" t="s">
        <v>7692</v>
      </c>
      <c r="S296" s="7" t="s">
        <v>10411</v>
      </c>
      <c r="T296" s="7"/>
      <c r="U296" s="7"/>
    </row>
    <row r="297" customFormat="false" ht="46.25" hidden="false" customHeight="false" outlineLevel="0" collapsed="false">
      <c r="A297" s="7" t="n">
        <v>75</v>
      </c>
      <c r="B297" s="7" t="s">
        <v>954</v>
      </c>
      <c r="C297" s="7" t="s">
        <v>7705</v>
      </c>
      <c r="D297" s="7" t="s">
        <v>10412</v>
      </c>
      <c r="E297" s="7" t="s">
        <v>10413</v>
      </c>
      <c r="F297" s="7" t="n">
        <v>2022</v>
      </c>
      <c r="G297" s="7" t="s">
        <v>7792</v>
      </c>
      <c r="H297" s="7" t="s">
        <v>7793</v>
      </c>
      <c r="I297" s="7" t="s">
        <v>10414</v>
      </c>
      <c r="J297" s="7" t="s">
        <v>7711</v>
      </c>
      <c r="K297" s="7" t="s">
        <v>10415</v>
      </c>
      <c r="L297" s="7" t="s">
        <v>10416</v>
      </c>
      <c r="M297" s="7" t="s">
        <v>7714</v>
      </c>
      <c r="N297" s="7" t="s">
        <v>8043</v>
      </c>
      <c r="O297" s="7"/>
      <c r="P297" s="7" t="s">
        <v>7690</v>
      </c>
      <c r="Q297" s="7" t="s">
        <v>7716</v>
      </c>
      <c r="R297" s="7" t="s">
        <v>7692</v>
      </c>
      <c r="S297" s="7" t="s">
        <v>10417</v>
      </c>
      <c r="T297" s="7"/>
      <c r="U297" s="7" t="s">
        <v>10418</v>
      </c>
    </row>
    <row r="298" customFormat="false" ht="46.25" hidden="false" customHeight="false" outlineLevel="0" collapsed="false">
      <c r="A298" s="7" t="n">
        <v>75</v>
      </c>
      <c r="B298" s="7" t="s">
        <v>954</v>
      </c>
      <c r="C298" s="7" t="s">
        <v>7679</v>
      </c>
      <c r="D298" s="7" t="s">
        <v>10419</v>
      </c>
      <c r="E298" s="7" t="s">
        <v>10420</v>
      </c>
      <c r="F298" s="7" t="n">
        <v>2026</v>
      </c>
      <c r="G298" s="7" t="s">
        <v>10421</v>
      </c>
      <c r="H298" s="7" t="s">
        <v>10422</v>
      </c>
      <c r="I298" s="7" t="s">
        <v>10423</v>
      </c>
      <c r="J298" s="7" t="s">
        <v>10424</v>
      </c>
      <c r="K298" s="7" t="s">
        <v>10425</v>
      </c>
      <c r="L298" s="7" t="s">
        <v>10426</v>
      </c>
      <c r="M298" s="7" t="s">
        <v>10427</v>
      </c>
      <c r="N298" s="7" t="s">
        <v>10428</v>
      </c>
      <c r="O298" s="7"/>
      <c r="P298" s="7" t="s">
        <v>7690</v>
      </c>
      <c r="Q298" s="7" t="s">
        <v>7716</v>
      </c>
      <c r="R298" s="7" t="s">
        <v>7692</v>
      </c>
      <c r="S298" s="7" t="s">
        <v>10429</v>
      </c>
      <c r="T298" s="7"/>
      <c r="U298" s="7" t="s">
        <v>10430</v>
      </c>
    </row>
    <row r="299" customFormat="false" ht="46.25" hidden="false" customHeight="false" outlineLevel="0" collapsed="false">
      <c r="A299" s="7" t="n">
        <v>75</v>
      </c>
      <c r="B299" s="7" t="s">
        <v>954</v>
      </c>
      <c r="C299" s="7" t="s">
        <v>7679</v>
      </c>
      <c r="D299" s="7" t="s">
        <v>10431</v>
      </c>
      <c r="E299" s="7" t="s">
        <v>10432</v>
      </c>
      <c r="F299" s="7" t="n">
        <v>2026</v>
      </c>
      <c r="G299" s="7" t="s">
        <v>10421</v>
      </c>
      <c r="H299" s="7" t="s">
        <v>10433</v>
      </c>
      <c r="I299" s="7" t="s">
        <v>10434</v>
      </c>
      <c r="J299" s="7" t="s">
        <v>10377</v>
      </c>
      <c r="K299" s="7" t="s">
        <v>10435</v>
      </c>
      <c r="L299" s="7" t="s">
        <v>10436</v>
      </c>
      <c r="M299" s="7" t="s">
        <v>10437</v>
      </c>
      <c r="N299" s="7" t="s">
        <v>10438</v>
      </c>
      <c r="O299" s="7"/>
      <c r="P299" s="7" t="s">
        <v>7690</v>
      </c>
      <c r="Q299" s="7" t="s">
        <v>7716</v>
      </c>
      <c r="R299" s="7" t="s">
        <v>7692</v>
      </c>
      <c r="S299" s="7" t="s">
        <v>10439</v>
      </c>
      <c r="T299" s="7"/>
      <c r="U299" s="7"/>
    </row>
    <row r="300" customFormat="false" ht="57.45" hidden="false" customHeight="false" outlineLevel="0" collapsed="false">
      <c r="A300" s="7" t="n">
        <v>67</v>
      </c>
      <c r="B300" s="7" t="s">
        <v>865</v>
      </c>
      <c r="C300" s="7" t="s">
        <v>7705</v>
      </c>
      <c r="D300" s="7" t="s">
        <v>10440</v>
      </c>
      <c r="E300" s="7" t="s">
        <v>10441</v>
      </c>
      <c r="F300" s="7" t="n">
        <v>2021</v>
      </c>
      <c r="G300" s="7" t="s">
        <v>7792</v>
      </c>
      <c r="H300" s="7" t="s">
        <v>7793</v>
      </c>
      <c r="I300" s="7" t="s">
        <v>10442</v>
      </c>
      <c r="J300" s="7" t="s">
        <v>7711</v>
      </c>
      <c r="K300" s="7" t="s">
        <v>10443</v>
      </c>
      <c r="L300" s="7" t="s">
        <v>10444</v>
      </c>
      <c r="M300" s="7" t="s">
        <v>7714</v>
      </c>
      <c r="N300" s="7" t="s">
        <v>8043</v>
      </c>
      <c r="O300" s="7"/>
      <c r="P300" s="7" t="s">
        <v>7690</v>
      </c>
      <c r="Q300" s="7" t="s">
        <v>7716</v>
      </c>
      <c r="R300" s="7" t="s">
        <v>7692</v>
      </c>
      <c r="S300" s="7" t="s">
        <v>10445</v>
      </c>
      <c r="T300" s="7"/>
      <c r="U300" s="7" t="s">
        <v>10446</v>
      </c>
    </row>
    <row r="301" customFormat="false" ht="46.25" hidden="false" customHeight="false" outlineLevel="0" collapsed="false">
      <c r="A301" s="7" t="n">
        <v>67</v>
      </c>
      <c r="B301" s="7" t="s">
        <v>865</v>
      </c>
      <c r="C301" s="7" t="s">
        <v>7679</v>
      </c>
      <c r="D301" s="7" t="s">
        <v>10447</v>
      </c>
      <c r="E301" s="7" t="s">
        <v>10448</v>
      </c>
      <c r="F301" s="7" t="n">
        <v>2026</v>
      </c>
      <c r="G301" s="7" t="s">
        <v>8242</v>
      </c>
      <c r="H301" s="7" t="s">
        <v>9325</v>
      </c>
      <c r="I301" s="7" t="s">
        <v>10449</v>
      </c>
      <c r="J301" s="7" t="s">
        <v>9288</v>
      </c>
      <c r="K301" s="7" t="s">
        <v>10450</v>
      </c>
      <c r="L301" s="7" t="s">
        <v>10451</v>
      </c>
      <c r="M301" s="7" t="s">
        <v>10452</v>
      </c>
      <c r="N301" s="7" t="s">
        <v>10453</v>
      </c>
      <c r="O301" s="7"/>
      <c r="P301" s="7" t="s">
        <v>7690</v>
      </c>
      <c r="Q301" s="7" t="s">
        <v>7716</v>
      </c>
      <c r="R301" s="7" t="s">
        <v>7692</v>
      </c>
      <c r="S301" s="7" t="s">
        <v>10454</v>
      </c>
      <c r="T301" s="7"/>
      <c r="U301" s="7" t="s">
        <v>10455</v>
      </c>
    </row>
    <row r="302" customFormat="false" ht="46.25" hidden="false" customHeight="false" outlineLevel="0" collapsed="false">
      <c r="A302" s="7" t="n">
        <v>67</v>
      </c>
      <c r="B302" s="7" t="s">
        <v>865</v>
      </c>
      <c r="C302" s="7" t="s">
        <v>7679</v>
      </c>
      <c r="D302" s="7" t="s">
        <v>10456</v>
      </c>
      <c r="E302" s="7" t="s">
        <v>10457</v>
      </c>
      <c r="F302" s="7" t="n">
        <v>2025</v>
      </c>
      <c r="G302" s="7" t="s">
        <v>10458</v>
      </c>
      <c r="H302" s="7" t="s">
        <v>10459</v>
      </c>
      <c r="I302" s="7" t="s">
        <v>10460</v>
      </c>
      <c r="J302" s="7" t="s">
        <v>7765</v>
      </c>
      <c r="K302" s="7" t="s">
        <v>10461</v>
      </c>
      <c r="L302" s="7" t="s">
        <v>10462</v>
      </c>
      <c r="M302" s="7" t="s">
        <v>10463</v>
      </c>
      <c r="N302" s="7" t="s">
        <v>10464</v>
      </c>
      <c r="O302" s="7" t="s">
        <v>10465</v>
      </c>
      <c r="P302" s="7" t="s">
        <v>7690</v>
      </c>
      <c r="Q302" s="7" t="s">
        <v>7716</v>
      </c>
      <c r="R302" s="7" t="s">
        <v>7692</v>
      </c>
      <c r="S302" s="7" t="s">
        <v>10466</v>
      </c>
      <c r="T302" s="7"/>
      <c r="U302" s="7" t="s">
        <v>10467</v>
      </c>
    </row>
    <row r="303" customFormat="false" ht="46.25" hidden="false" customHeight="false" outlineLevel="0" collapsed="false">
      <c r="A303" s="7" t="n">
        <v>87</v>
      </c>
      <c r="B303" s="7" t="s">
        <v>1081</v>
      </c>
      <c r="C303" s="7" t="s">
        <v>7679</v>
      </c>
      <c r="D303" s="7" t="s">
        <v>10468</v>
      </c>
      <c r="E303" s="7" t="s">
        <v>10469</v>
      </c>
      <c r="F303" s="7" t="n">
        <v>2021</v>
      </c>
      <c r="G303" s="7" t="s">
        <v>7781</v>
      </c>
      <c r="H303" s="7" t="s">
        <v>10470</v>
      </c>
      <c r="I303" s="7" t="s">
        <v>10471</v>
      </c>
      <c r="J303" s="7" t="s">
        <v>7685</v>
      </c>
      <c r="K303" s="7" t="s">
        <v>10472</v>
      </c>
      <c r="L303" s="7" t="s">
        <v>10473</v>
      </c>
      <c r="M303" s="7" t="s">
        <v>10474</v>
      </c>
      <c r="N303" s="7" t="s">
        <v>10475</v>
      </c>
      <c r="O303" s="7"/>
      <c r="P303" s="7" t="s">
        <v>7690</v>
      </c>
      <c r="Q303" s="7" t="s">
        <v>7716</v>
      </c>
      <c r="R303" s="7" t="s">
        <v>7692</v>
      </c>
      <c r="S303" s="7" t="s">
        <v>10476</v>
      </c>
      <c r="T303" s="7"/>
      <c r="U303" s="7" t="s">
        <v>10477</v>
      </c>
    </row>
    <row r="304" customFormat="false" ht="57.45" hidden="false" customHeight="false" outlineLevel="0" collapsed="false">
      <c r="A304" s="7" t="n">
        <v>87</v>
      </c>
      <c r="B304" s="7" t="s">
        <v>1081</v>
      </c>
      <c r="C304" s="7" t="s">
        <v>7705</v>
      </c>
      <c r="D304" s="7" t="s">
        <v>10478</v>
      </c>
      <c r="E304" s="7" t="s">
        <v>10479</v>
      </c>
      <c r="F304" s="7" t="n">
        <v>2023</v>
      </c>
      <c r="G304" s="7" t="s">
        <v>10480</v>
      </c>
      <c r="H304" s="7" t="s">
        <v>7862</v>
      </c>
      <c r="I304" s="7" t="s">
        <v>10481</v>
      </c>
      <c r="J304" s="7" t="s">
        <v>7315</v>
      </c>
      <c r="K304" s="7" t="s">
        <v>10482</v>
      </c>
      <c r="L304" s="7" t="s">
        <v>10483</v>
      </c>
      <c r="M304" s="7" t="s">
        <v>8954</v>
      </c>
      <c r="N304" s="7" t="s">
        <v>7862</v>
      </c>
      <c r="O304" s="7"/>
      <c r="P304" s="7" t="s">
        <v>7690</v>
      </c>
      <c r="Q304" s="7" t="s">
        <v>7716</v>
      </c>
      <c r="R304" s="7" t="s">
        <v>7692</v>
      </c>
      <c r="S304" s="7" t="s">
        <v>10484</v>
      </c>
      <c r="T304" s="7" t="s">
        <v>10484</v>
      </c>
      <c r="U304" s="7"/>
    </row>
    <row r="305" customFormat="false" ht="35.05" hidden="false" customHeight="false" outlineLevel="0" collapsed="false">
      <c r="A305" s="7" t="n">
        <v>87</v>
      </c>
      <c r="B305" s="7" t="s">
        <v>1081</v>
      </c>
      <c r="C305" s="7" t="s">
        <v>7679</v>
      </c>
      <c r="D305" s="7" t="s">
        <v>10485</v>
      </c>
      <c r="E305" s="7" t="s">
        <v>10486</v>
      </c>
      <c r="F305" s="7" t="n">
        <v>2014</v>
      </c>
      <c r="G305" s="7" t="s">
        <v>7682</v>
      </c>
      <c r="H305" s="7" t="s">
        <v>9027</v>
      </c>
      <c r="I305" s="7" t="s">
        <v>10487</v>
      </c>
      <c r="J305" s="7" t="s">
        <v>7685</v>
      </c>
      <c r="K305" s="7" t="s">
        <v>10488</v>
      </c>
      <c r="L305" s="7" t="s">
        <v>10489</v>
      </c>
      <c r="M305" s="7" t="s">
        <v>10490</v>
      </c>
      <c r="N305" s="7" t="s">
        <v>10491</v>
      </c>
      <c r="O305" s="7"/>
      <c r="P305" s="7" t="s">
        <v>7981</v>
      </c>
      <c r="Q305" s="7" t="s">
        <v>7727</v>
      </c>
      <c r="R305" s="7" t="s">
        <v>7692</v>
      </c>
      <c r="S305" s="7" t="s">
        <v>10492</v>
      </c>
      <c r="T305" s="7"/>
      <c r="U305" s="7"/>
    </row>
    <row r="306" customFormat="false" ht="46.25" hidden="false" customHeight="false" outlineLevel="0" collapsed="false">
      <c r="A306" s="7" t="n">
        <v>56</v>
      </c>
      <c r="B306" s="7" t="s">
        <v>744</v>
      </c>
      <c r="C306" s="7" t="s">
        <v>7705</v>
      </c>
      <c r="D306" s="7" t="s">
        <v>10493</v>
      </c>
      <c r="E306" s="7" t="s">
        <v>10494</v>
      </c>
      <c r="F306" s="7" t="n">
        <v>2020</v>
      </c>
      <c r="G306" s="7" t="s">
        <v>7792</v>
      </c>
      <c r="H306" s="7" t="s">
        <v>7793</v>
      </c>
      <c r="I306" s="7" t="s">
        <v>10495</v>
      </c>
      <c r="J306" s="7" t="s">
        <v>7711</v>
      </c>
      <c r="K306" s="7" t="s">
        <v>10496</v>
      </c>
      <c r="L306" s="7" t="s">
        <v>10497</v>
      </c>
      <c r="M306" s="7" t="s">
        <v>7714</v>
      </c>
      <c r="N306" s="7" t="s">
        <v>8043</v>
      </c>
      <c r="O306" s="7"/>
      <c r="P306" s="7" t="s">
        <v>7690</v>
      </c>
      <c r="Q306" s="7" t="s">
        <v>7716</v>
      </c>
      <c r="R306" s="7" t="s">
        <v>7692</v>
      </c>
      <c r="S306" s="7" t="s">
        <v>10498</v>
      </c>
      <c r="T306" s="7"/>
      <c r="U306" s="7"/>
    </row>
    <row r="307" customFormat="false" ht="46.25" hidden="false" customHeight="false" outlineLevel="0" collapsed="false">
      <c r="A307" s="7" t="n">
        <v>56</v>
      </c>
      <c r="B307" s="7" t="s">
        <v>744</v>
      </c>
      <c r="C307" s="7" t="s">
        <v>7679</v>
      </c>
      <c r="D307" s="7" t="s">
        <v>10499</v>
      </c>
      <c r="E307" s="7" t="s">
        <v>10500</v>
      </c>
      <c r="F307" s="7" t="n">
        <v>2026</v>
      </c>
      <c r="G307" s="7" t="s">
        <v>8577</v>
      </c>
      <c r="H307" s="7" t="s">
        <v>10501</v>
      </c>
      <c r="I307" s="7" t="s">
        <v>10502</v>
      </c>
      <c r="J307" s="7" t="s">
        <v>7315</v>
      </c>
      <c r="K307" s="7" t="s">
        <v>10503</v>
      </c>
      <c r="L307" s="7" t="s">
        <v>10504</v>
      </c>
      <c r="M307" s="7" t="s">
        <v>10505</v>
      </c>
      <c r="N307" s="7" t="s">
        <v>10506</v>
      </c>
      <c r="O307" s="7"/>
      <c r="P307" s="7" t="s">
        <v>7690</v>
      </c>
      <c r="Q307" s="7" t="s">
        <v>7716</v>
      </c>
      <c r="R307" s="7" t="s">
        <v>7692</v>
      </c>
      <c r="S307" s="7" t="s">
        <v>10507</v>
      </c>
      <c r="T307" s="7"/>
      <c r="U307" s="7" t="s">
        <v>10508</v>
      </c>
    </row>
    <row r="308" customFormat="false" ht="57.45" hidden="false" customHeight="false" outlineLevel="0" collapsed="false">
      <c r="A308" s="7" t="n">
        <v>56</v>
      </c>
      <c r="B308" s="7" t="s">
        <v>744</v>
      </c>
      <c r="C308" s="7" t="s">
        <v>7679</v>
      </c>
      <c r="D308" s="7" t="s">
        <v>10509</v>
      </c>
      <c r="E308" s="7" t="s">
        <v>10510</v>
      </c>
      <c r="F308" s="7" t="n">
        <v>2024</v>
      </c>
      <c r="G308" s="7" t="s">
        <v>9949</v>
      </c>
      <c r="H308" s="7" t="s">
        <v>10511</v>
      </c>
      <c r="I308" s="7" t="s">
        <v>10512</v>
      </c>
      <c r="J308" s="7" t="s">
        <v>9952</v>
      </c>
      <c r="K308" s="7" t="s">
        <v>10513</v>
      </c>
      <c r="L308" s="7" t="s">
        <v>10514</v>
      </c>
      <c r="M308" s="7" t="s">
        <v>10515</v>
      </c>
      <c r="N308" s="7" t="s">
        <v>7862</v>
      </c>
      <c r="O308" s="7"/>
      <c r="P308" s="7" t="s">
        <v>7690</v>
      </c>
      <c r="Q308" s="7" t="s">
        <v>7716</v>
      </c>
      <c r="R308" s="7" t="s">
        <v>7692</v>
      </c>
      <c r="S308" s="7" t="s">
        <v>10516</v>
      </c>
      <c r="T308" s="7"/>
      <c r="U308" s="7" t="s">
        <v>10517</v>
      </c>
    </row>
    <row r="309" customFormat="false" ht="46.25" hidden="false" customHeight="false" outlineLevel="0" collapsed="false">
      <c r="A309" s="7" t="n">
        <v>56</v>
      </c>
      <c r="B309" s="7" t="s">
        <v>744</v>
      </c>
      <c r="C309" s="7" t="s">
        <v>7679</v>
      </c>
      <c r="D309" s="7" t="s">
        <v>10518</v>
      </c>
      <c r="E309" s="7" t="s">
        <v>10519</v>
      </c>
      <c r="F309" s="7" t="n">
        <v>2026</v>
      </c>
      <c r="G309" s="7" t="s">
        <v>8141</v>
      </c>
      <c r="H309" s="7" t="s">
        <v>10520</v>
      </c>
      <c r="I309" s="7" t="s">
        <v>10521</v>
      </c>
      <c r="J309" s="7" t="s">
        <v>7685</v>
      </c>
      <c r="K309" s="7" t="s">
        <v>10522</v>
      </c>
      <c r="L309" s="7" t="s">
        <v>10523</v>
      </c>
      <c r="M309" s="7" t="s">
        <v>10524</v>
      </c>
      <c r="N309" s="7" t="s">
        <v>10525</v>
      </c>
      <c r="O309" s="7"/>
      <c r="P309" s="7" t="s">
        <v>7690</v>
      </c>
      <c r="Q309" s="7" t="s">
        <v>7691</v>
      </c>
      <c r="R309" s="7" t="s">
        <v>7692</v>
      </c>
      <c r="S309" s="7" t="s">
        <v>10526</v>
      </c>
      <c r="T309" s="7" t="s">
        <v>10527</v>
      </c>
      <c r="U309" s="7"/>
    </row>
    <row r="310" customFormat="false" ht="46.25" hidden="false" customHeight="false" outlineLevel="0" collapsed="false">
      <c r="A310" s="7" t="n">
        <v>56</v>
      </c>
      <c r="B310" s="7" t="s">
        <v>744</v>
      </c>
      <c r="C310" s="7" t="s">
        <v>7679</v>
      </c>
      <c r="D310" s="7" t="s">
        <v>10528</v>
      </c>
      <c r="E310" s="7" t="s">
        <v>10529</v>
      </c>
      <c r="F310" s="7" t="n">
        <v>2025</v>
      </c>
      <c r="G310" s="7" t="s">
        <v>10530</v>
      </c>
      <c r="H310" s="7" t="s">
        <v>10531</v>
      </c>
      <c r="I310" s="7" t="s">
        <v>10532</v>
      </c>
      <c r="J310" s="7" t="s">
        <v>10533</v>
      </c>
      <c r="K310" s="7" t="s">
        <v>10534</v>
      </c>
      <c r="L310" s="7" t="s">
        <v>10535</v>
      </c>
      <c r="M310" s="7" t="s">
        <v>10536</v>
      </c>
      <c r="N310" s="7" t="s">
        <v>10537</v>
      </c>
      <c r="O310" s="7"/>
      <c r="P310" s="7" t="s">
        <v>7690</v>
      </c>
      <c r="Q310" s="7" t="s">
        <v>7716</v>
      </c>
      <c r="R310" s="7" t="s">
        <v>7692</v>
      </c>
      <c r="S310" s="7" t="s">
        <v>10538</v>
      </c>
      <c r="T310" s="7"/>
      <c r="U310" s="7" t="s">
        <v>10539</v>
      </c>
    </row>
    <row r="311" customFormat="false" ht="35.05" hidden="false" customHeight="false" outlineLevel="0" collapsed="false">
      <c r="A311" s="7" t="n">
        <v>56</v>
      </c>
      <c r="B311" s="7" t="s">
        <v>744</v>
      </c>
      <c r="C311" s="7" t="s">
        <v>7679</v>
      </c>
      <c r="D311" s="7" t="s">
        <v>10540</v>
      </c>
      <c r="E311" s="7" t="s">
        <v>10541</v>
      </c>
      <c r="F311" s="7" t="n">
        <v>2026</v>
      </c>
      <c r="G311" s="7" t="s">
        <v>10542</v>
      </c>
      <c r="H311" s="7" t="s">
        <v>10543</v>
      </c>
      <c r="I311" s="7" t="s">
        <v>10544</v>
      </c>
      <c r="J311" s="7" t="s">
        <v>10545</v>
      </c>
      <c r="K311" s="7" t="s">
        <v>10546</v>
      </c>
      <c r="L311" s="7" t="s">
        <v>10547</v>
      </c>
      <c r="M311" s="7" t="s">
        <v>10548</v>
      </c>
      <c r="N311" s="7" t="s">
        <v>8869</v>
      </c>
      <c r="O311" s="7" t="s">
        <v>10549</v>
      </c>
      <c r="P311" s="7" t="s">
        <v>7690</v>
      </c>
      <c r="Q311" s="7" t="s">
        <v>7716</v>
      </c>
      <c r="R311" s="7" t="s">
        <v>7692</v>
      </c>
      <c r="S311" s="7" t="s">
        <v>10550</v>
      </c>
      <c r="T311" s="7"/>
      <c r="U311" s="7"/>
    </row>
    <row r="312" customFormat="false" ht="68.65" hidden="false" customHeight="false" outlineLevel="0" collapsed="false">
      <c r="A312" s="7" t="n">
        <v>65</v>
      </c>
      <c r="B312" s="7" t="s">
        <v>843</v>
      </c>
      <c r="C312" s="7" t="s">
        <v>7705</v>
      </c>
      <c r="D312" s="7" t="s">
        <v>10551</v>
      </c>
      <c r="E312" s="7" t="s">
        <v>10552</v>
      </c>
      <c r="F312" s="7" t="n">
        <v>2021</v>
      </c>
      <c r="G312" s="7" t="s">
        <v>7792</v>
      </c>
      <c r="H312" s="7" t="s">
        <v>7793</v>
      </c>
      <c r="I312" s="7" t="s">
        <v>10553</v>
      </c>
      <c r="J312" s="7" t="s">
        <v>7711</v>
      </c>
      <c r="K312" s="7" t="s">
        <v>10554</v>
      </c>
      <c r="L312" s="7" t="s">
        <v>10555</v>
      </c>
      <c r="M312" s="7" t="s">
        <v>7714</v>
      </c>
      <c r="N312" s="7" t="s">
        <v>8043</v>
      </c>
      <c r="O312" s="7"/>
      <c r="P312" s="7" t="s">
        <v>7690</v>
      </c>
      <c r="Q312" s="7" t="s">
        <v>7716</v>
      </c>
      <c r="R312" s="7" t="s">
        <v>7692</v>
      </c>
      <c r="S312" s="7" t="s">
        <v>10556</v>
      </c>
      <c r="T312" s="7"/>
      <c r="U312" s="7" t="s">
        <v>10557</v>
      </c>
    </row>
    <row r="313" customFormat="false" ht="46.25" hidden="false" customHeight="false" outlineLevel="0" collapsed="false">
      <c r="A313" s="7" t="n">
        <v>65</v>
      </c>
      <c r="B313" s="7" t="s">
        <v>843</v>
      </c>
      <c r="C313" s="7" t="s">
        <v>7679</v>
      </c>
      <c r="D313" s="7" t="s">
        <v>10558</v>
      </c>
      <c r="E313" s="7" t="s">
        <v>10559</v>
      </c>
      <c r="F313" s="7" t="n">
        <v>2024</v>
      </c>
      <c r="G313" s="7" t="s">
        <v>10421</v>
      </c>
      <c r="H313" s="7" t="s">
        <v>10560</v>
      </c>
      <c r="I313" s="7" t="s">
        <v>10561</v>
      </c>
      <c r="J313" s="7" t="s">
        <v>7685</v>
      </c>
      <c r="K313" s="7" t="s">
        <v>10562</v>
      </c>
      <c r="L313" s="7" t="s">
        <v>10563</v>
      </c>
      <c r="M313" s="7" t="s">
        <v>8954</v>
      </c>
      <c r="N313" s="7" t="s">
        <v>7833</v>
      </c>
      <c r="O313" s="7" t="s">
        <v>10564</v>
      </c>
      <c r="P313" s="7" t="s">
        <v>7690</v>
      </c>
      <c r="Q313" s="7" t="s">
        <v>7716</v>
      </c>
      <c r="R313" s="7" t="s">
        <v>7692</v>
      </c>
      <c r="S313" s="7" t="s">
        <v>10565</v>
      </c>
      <c r="T313" s="7"/>
      <c r="U313" s="7" t="s">
        <v>10566</v>
      </c>
    </row>
    <row r="314" customFormat="false" ht="46.25" hidden="false" customHeight="false" outlineLevel="0" collapsed="false">
      <c r="A314" s="7" t="n">
        <v>42</v>
      </c>
      <c r="B314" s="7" t="s">
        <v>585</v>
      </c>
      <c r="C314" s="7" t="s">
        <v>7705</v>
      </c>
      <c r="D314" s="7" t="s">
        <v>10567</v>
      </c>
      <c r="E314" s="7" t="s">
        <v>10568</v>
      </c>
      <c r="F314" s="7" t="n">
        <v>2018</v>
      </c>
      <c r="G314" s="7" t="s">
        <v>7792</v>
      </c>
      <c r="H314" s="7" t="s">
        <v>7793</v>
      </c>
      <c r="I314" s="7" t="s">
        <v>10569</v>
      </c>
      <c r="J314" s="7" t="s">
        <v>7711</v>
      </c>
      <c r="K314" s="7" t="s">
        <v>10570</v>
      </c>
      <c r="L314" s="7" t="s">
        <v>10571</v>
      </c>
      <c r="M314" s="7" t="s">
        <v>7714</v>
      </c>
      <c r="N314" s="7" t="s">
        <v>8043</v>
      </c>
      <c r="O314" s="7"/>
      <c r="P314" s="7" t="s">
        <v>7690</v>
      </c>
      <c r="Q314" s="7" t="s">
        <v>7716</v>
      </c>
      <c r="R314" s="7" t="s">
        <v>7692</v>
      </c>
      <c r="S314" s="7" t="s">
        <v>10572</v>
      </c>
      <c r="T314" s="7"/>
      <c r="U314" s="7"/>
    </row>
    <row r="315" customFormat="false" ht="57.45" hidden="false" customHeight="false" outlineLevel="0" collapsed="false">
      <c r="A315" s="7" t="n">
        <v>42</v>
      </c>
      <c r="B315" s="7" t="s">
        <v>585</v>
      </c>
      <c r="C315" s="7" t="s">
        <v>7679</v>
      </c>
      <c r="D315" s="7" t="s">
        <v>10573</v>
      </c>
      <c r="E315" s="7" t="s">
        <v>10574</v>
      </c>
      <c r="F315" s="7" t="n">
        <v>2026</v>
      </c>
      <c r="G315" s="7" t="s">
        <v>10575</v>
      </c>
      <c r="H315" s="7" t="s">
        <v>10576</v>
      </c>
      <c r="I315" s="7" t="s">
        <v>10577</v>
      </c>
      <c r="J315" s="7" t="s">
        <v>7765</v>
      </c>
      <c r="K315" s="7" t="s">
        <v>10578</v>
      </c>
      <c r="L315" s="7" t="s">
        <v>10579</v>
      </c>
      <c r="M315" s="7" t="s">
        <v>10437</v>
      </c>
      <c r="N315" s="7" t="s">
        <v>10580</v>
      </c>
      <c r="O315" s="7" t="s">
        <v>10581</v>
      </c>
      <c r="P315" s="7" t="s">
        <v>7690</v>
      </c>
      <c r="Q315" s="7" t="s">
        <v>7716</v>
      </c>
      <c r="R315" s="7" t="s">
        <v>7692</v>
      </c>
      <c r="S315" s="7" t="s">
        <v>10582</v>
      </c>
      <c r="T315" s="7" t="s">
        <v>10582</v>
      </c>
      <c r="U315" s="7"/>
    </row>
    <row r="316" customFormat="false" ht="57.45" hidden="false" customHeight="false" outlineLevel="0" collapsed="false">
      <c r="A316" s="7" t="n">
        <v>74</v>
      </c>
      <c r="B316" s="7" t="s">
        <v>944</v>
      </c>
      <c r="C316" s="7" t="s">
        <v>7679</v>
      </c>
      <c r="D316" s="7" t="s">
        <v>10583</v>
      </c>
      <c r="E316" s="7" t="s">
        <v>10584</v>
      </c>
      <c r="F316" s="7" t="n">
        <v>2026</v>
      </c>
      <c r="G316" s="7" t="s">
        <v>7781</v>
      </c>
      <c r="H316" s="7" t="s">
        <v>10585</v>
      </c>
      <c r="I316" s="7" t="s">
        <v>10586</v>
      </c>
      <c r="J316" s="7" t="s">
        <v>7685</v>
      </c>
      <c r="K316" s="7" t="s">
        <v>10587</v>
      </c>
      <c r="L316" s="7" t="s">
        <v>10588</v>
      </c>
      <c r="M316" s="7" t="s">
        <v>10153</v>
      </c>
      <c r="N316" s="7" t="s">
        <v>10589</v>
      </c>
      <c r="O316" s="7"/>
      <c r="P316" s="7" t="s">
        <v>7690</v>
      </c>
      <c r="Q316" s="7" t="s">
        <v>7716</v>
      </c>
      <c r="R316" s="7" t="s">
        <v>7692</v>
      </c>
      <c r="S316" s="7" t="s">
        <v>10590</v>
      </c>
      <c r="T316" s="7"/>
      <c r="U316" s="7"/>
    </row>
    <row r="317" customFormat="false" ht="46.25" hidden="false" customHeight="false" outlineLevel="0" collapsed="false">
      <c r="A317" s="7" t="n">
        <v>74</v>
      </c>
      <c r="B317" s="7" t="s">
        <v>944</v>
      </c>
      <c r="C317" s="7" t="s">
        <v>7679</v>
      </c>
      <c r="D317" s="7" t="s">
        <v>10591</v>
      </c>
      <c r="E317" s="7" t="s">
        <v>10592</v>
      </c>
      <c r="F317" s="7" t="n">
        <v>2025</v>
      </c>
      <c r="G317" s="7" t="s">
        <v>8364</v>
      </c>
      <c r="H317" s="7" t="s">
        <v>8295</v>
      </c>
      <c r="I317" s="7" t="s">
        <v>10593</v>
      </c>
      <c r="J317" s="7" t="s">
        <v>7765</v>
      </c>
      <c r="K317" s="7" t="s">
        <v>10594</v>
      </c>
      <c r="L317" s="7" t="s">
        <v>10595</v>
      </c>
      <c r="M317" s="7" t="s">
        <v>9471</v>
      </c>
      <c r="N317" s="7" t="s">
        <v>8294</v>
      </c>
      <c r="O317" s="7"/>
      <c r="P317" s="7" t="s">
        <v>7690</v>
      </c>
      <c r="Q317" s="7" t="s">
        <v>10596</v>
      </c>
      <c r="R317" s="7" t="s">
        <v>7692</v>
      </c>
      <c r="S317" s="7" t="s">
        <v>10597</v>
      </c>
      <c r="T317" s="7"/>
      <c r="U317" s="7" t="s">
        <v>10598</v>
      </c>
    </row>
    <row r="318" customFormat="false" ht="35.05" hidden="false" customHeight="false" outlineLevel="0" collapsed="false">
      <c r="A318" s="7" t="n">
        <v>74</v>
      </c>
      <c r="B318" s="7" t="s">
        <v>944</v>
      </c>
      <c r="C318" s="7" t="s">
        <v>7679</v>
      </c>
      <c r="D318" s="7" t="s">
        <v>10599</v>
      </c>
      <c r="E318" s="7" t="s">
        <v>10600</v>
      </c>
      <c r="F318" s="7" t="n">
        <v>2022</v>
      </c>
      <c r="G318" s="7" t="s">
        <v>10601</v>
      </c>
      <c r="H318" s="7" t="s">
        <v>10602</v>
      </c>
      <c r="I318" s="7" t="s">
        <v>10603</v>
      </c>
      <c r="J318" s="7" t="s">
        <v>10237</v>
      </c>
      <c r="K318" s="7" t="s">
        <v>10604</v>
      </c>
      <c r="L318" s="7" t="s">
        <v>10605</v>
      </c>
      <c r="M318" s="7" t="s">
        <v>10606</v>
      </c>
      <c r="N318" s="7" t="s">
        <v>10607</v>
      </c>
      <c r="O318" s="7"/>
      <c r="P318" s="7" t="s">
        <v>7690</v>
      </c>
      <c r="Q318" s="7" t="s">
        <v>7691</v>
      </c>
      <c r="R318" s="7" t="s">
        <v>7692</v>
      </c>
      <c r="S318" s="7" t="s">
        <v>10608</v>
      </c>
      <c r="T318" s="7"/>
      <c r="U318" s="7"/>
    </row>
    <row r="319" customFormat="false" ht="35.05" hidden="false" customHeight="false" outlineLevel="0" collapsed="false">
      <c r="A319" s="7" t="n">
        <v>78</v>
      </c>
      <c r="B319" s="7" t="s">
        <v>986</v>
      </c>
      <c r="C319" s="7" t="s">
        <v>7679</v>
      </c>
      <c r="D319" s="7" t="s">
        <v>10609</v>
      </c>
      <c r="E319" s="7" t="s">
        <v>10610</v>
      </c>
      <c r="F319" s="7" t="n">
        <v>2022</v>
      </c>
      <c r="G319" s="7" t="s">
        <v>8364</v>
      </c>
      <c r="H319" s="7" t="s">
        <v>10611</v>
      </c>
      <c r="I319" s="7" t="s">
        <v>10612</v>
      </c>
      <c r="J319" s="7" t="s">
        <v>8004</v>
      </c>
      <c r="K319" s="7" t="s">
        <v>10613</v>
      </c>
      <c r="L319" s="7" t="s">
        <v>10614</v>
      </c>
      <c r="M319" s="7" t="s">
        <v>9077</v>
      </c>
      <c r="N319" s="7" t="s">
        <v>10615</v>
      </c>
      <c r="O319" s="7"/>
      <c r="P319" s="7" t="s">
        <v>7690</v>
      </c>
      <c r="Q319" s="7" t="s">
        <v>7727</v>
      </c>
      <c r="R319" s="7" t="s">
        <v>7692</v>
      </c>
      <c r="S319" s="7" t="s">
        <v>10616</v>
      </c>
      <c r="T319" s="7"/>
      <c r="U319" s="7" t="s">
        <v>10617</v>
      </c>
    </row>
    <row r="320" customFormat="false" ht="46.25" hidden="false" customHeight="false" outlineLevel="0" collapsed="false">
      <c r="A320" s="7" t="n">
        <v>78</v>
      </c>
      <c r="B320" s="7" t="s">
        <v>986</v>
      </c>
      <c r="C320" s="7" t="s">
        <v>7679</v>
      </c>
      <c r="D320" s="7" t="s">
        <v>10618</v>
      </c>
      <c r="E320" s="7" t="s">
        <v>10619</v>
      </c>
      <c r="F320" s="7" t="n">
        <v>2025</v>
      </c>
      <c r="G320" s="7" t="s">
        <v>10620</v>
      </c>
      <c r="H320" s="7" t="s">
        <v>10621</v>
      </c>
      <c r="I320" s="7" t="s">
        <v>10622</v>
      </c>
      <c r="J320" s="7" t="s">
        <v>9288</v>
      </c>
      <c r="K320" s="7" t="s">
        <v>10623</v>
      </c>
      <c r="L320" s="7" t="s">
        <v>10624</v>
      </c>
      <c r="M320" s="7" t="s">
        <v>10625</v>
      </c>
      <c r="N320" s="7" t="s">
        <v>10626</v>
      </c>
      <c r="O320" s="7"/>
      <c r="P320" s="7" t="s">
        <v>7690</v>
      </c>
      <c r="Q320" s="7" t="s">
        <v>7716</v>
      </c>
      <c r="R320" s="7" t="s">
        <v>7692</v>
      </c>
      <c r="S320" s="7" t="s">
        <v>10627</v>
      </c>
      <c r="T320" s="7"/>
      <c r="U320" s="7" t="s">
        <v>10628</v>
      </c>
    </row>
    <row r="321" customFormat="false" ht="46.25" hidden="false" customHeight="false" outlineLevel="0" collapsed="false">
      <c r="A321" s="7" t="n">
        <v>72</v>
      </c>
      <c r="B321" s="7" t="s">
        <v>922</v>
      </c>
      <c r="C321" s="7" t="s">
        <v>7705</v>
      </c>
      <c r="D321" s="7" t="s">
        <v>10629</v>
      </c>
      <c r="E321" s="7" t="s">
        <v>10630</v>
      </c>
      <c r="F321" s="7" t="n">
        <v>2021</v>
      </c>
      <c r="G321" s="7" t="s">
        <v>7792</v>
      </c>
      <c r="H321" s="7" t="s">
        <v>7793</v>
      </c>
      <c r="I321" s="7" t="s">
        <v>10631</v>
      </c>
      <c r="J321" s="7" t="s">
        <v>7711</v>
      </c>
      <c r="K321" s="7" t="s">
        <v>10632</v>
      </c>
      <c r="L321" s="7" t="s">
        <v>10633</v>
      </c>
      <c r="M321" s="7" t="s">
        <v>7714</v>
      </c>
      <c r="N321" s="7" t="s">
        <v>8043</v>
      </c>
      <c r="O321" s="7"/>
      <c r="P321" s="7" t="s">
        <v>7690</v>
      </c>
      <c r="Q321" s="7" t="s">
        <v>7716</v>
      </c>
      <c r="R321" s="7" t="s">
        <v>7692</v>
      </c>
      <c r="S321" s="7" t="s">
        <v>10634</v>
      </c>
      <c r="T321" s="7"/>
      <c r="U321" s="7" t="s">
        <v>10635</v>
      </c>
    </row>
    <row r="322" customFormat="false" ht="57.45" hidden="false" customHeight="false" outlineLevel="0" collapsed="false">
      <c r="A322" s="7" t="n">
        <v>76</v>
      </c>
      <c r="B322" s="7" t="s">
        <v>965</v>
      </c>
      <c r="C322" s="7" t="s">
        <v>7705</v>
      </c>
      <c r="D322" s="7" t="s">
        <v>10636</v>
      </c>
      <c r="E322" s="7" t="s">
        <v>10637</v>
      </c>
      <c r="F322" s="7" t="n">
        <v>2022</v>
      </c>
      <c r="G322" s="7" t="s">
        <v>7792</v>
      </c>
      <c r="H322" s="7" t="s">
        <v>10638</v>
      </c>
      <c r="I322" s="7" t="s">
        <v>10639</v>
      </c>
      <c r="J322" s="7" t="s">
        <v>7711</v>
      </c>
      <c r="K322" s="7" t="s">
        <v>10640</v>
      </c>
      <c r="L322" s="7" t="s">
        <v>10641</v>
      </c>
      <c r="M322" s="7" t="s">
        <v>10642</v>
      </c>
      <c r="N322" s="7" t="s">
        <v>10643</v>
      </c>
      <c r="O322" s="7"/>
      <c r="P322" s="7" t="s">
        <v>7690</v>
      </c>
      <c r="Q322" s="7" t="s">
        <v>7759</v>
      </c>
      <c r="R322" s="7" t="s">
        <v>7692</v>
      </c>
      <c r="S322" s="7" t="s">
        <v>10644</v>
      </c>
      <c r="T322" s="7"/>
      <c r="U322" s="7" t="s">
        <v>10645</v>
      </c>
    </row>
    <row r="323" customFormat="false" ht="35.05" hidden="false" customHeight="false" outlineLevel="0" collapsed="false">
      <c r="A323" s="7" t="n">
        <v>76</v>
      </c>
      <c r="B323" s="7" t="s">
        <v>965</v>
      </c>
      <c r="C323" s="7" t="s">
        <v>7679</v>
      </c>
      <c r="D323" s="7" t="s">
        <v>10646</v>
      </c>
      <c r="E323" s="7" t="s">
        <v>10647</v>
      </c>
      <c r="F323" s="7" t="n">
        <v>2022</v>
      </c>
      <c r="G323" s="7" t="s">
        <v>9466</v>
      </c>
      <c r="H323" s="7" t="s">
        <v>10648</v>
      </c>
      <c r="I323" s="7" t="s">
        <v>7890</v>
      </c>
      <c r="J323" s="7" t="s">
        <v>7711</v>
      </c>
      <c r="K323" s="7" t="s">
        <v>10649</v>
      </c>
      <c r="L323" s="7" t="s">
        <v>10650</v>
      </c>
      <c r="M323" s="7" t="s">
        <v>7714</v>
      </c>
      <c r="N323" s="7" t="s">
        <v>8043</v>
      </c>
      <c r="O323" s="7"/>
      <c r="P323" s="7" t="s">
        <v>7690</v>
      </c>
      <c r="Q323" s="7" t="s">
        <v>7716</v>
      </c>
      <c r="R323" s="7" t="s">
        <v>7692</v>
      </c>
      <c r="S323" s="7" t="s">
        <v>10651</v>
      </c>
      <c r="T323" s="7"/>
      <c r="U323" s="7"/>
    </row>
    <row r="324" customFormat="false" ht="46.25" hidden="false" customHeight="false" outlineLevel="0" collapsed="false">
      <c r="A324" s="7" t="n">
        <v>76</v>
      </c>
      <c r="B324" s="7" t="s">
        <v>965</v>
      </c>
      <c r="C324" s="7" t="s">
        <v>7679</v>
      </c>
      <c r="D324" s="7" t="s">
        <v>10652</v>
      </c>
      <c r="E324" s="7" t="s">
        <v>10653</v>
      </c>
      <c r="F324" s="7" t="n">
        <v>2023</v>
      </c>
      <c r="G324" s="7" t="s">
        <v>7682</v>
      </c>
      <c r="H324" s="7" t="s">
        <v>10654</v>
      </c>
      <c r="I324" s="7" t="s">
        <v>10655</v>
      </c>
      <c r="J324" s="7" t="s">
        <v>10106</v>
      </c>
      <c r="K324" s="7" t="s">
        <v>10656</v>
      </c>
      <c r="L324" s="7" t="s">
        <v>10657</v>
      </c>
      <c r="M324" s="7" t="s">
        <v>10658</v>
      </c>
      <c r="N324" s="7" t="s">
        <v>10659</v>
      </c>
      <c r="O324" s="7"/>
      <c r="P324" s="7" t="s">
        <v>7690</v>
      </c>
      <c r="Q324" s="7" t="s">
        <v>7727</v>
      </c>
      <c r="R324" s="7" t="s">
        <v>7692</v>
      </c>
      <c r="S324" s="7" t="s">
        <v>10660</v>
      </c>
      <c r="T324" s="7"/>
      <c r="U324" s="7"/>
    </row>
    <row r="325" customFormat="false" ht="46.25" hidden="false" customHeight="false" outlineLevel="0" collapsed="false">
      <c r="A325" s="7" t="n">
        <v>76</v>
      </c>
      <c r="B325" s="7" t="s">
        <v>965</v>
      </c>
      <c r="C325" s="7" t="s">
        <v>7679</v>
      </c>
      <c r="D325" s="7" t="s">
        <v>10661</v>
      </c>
      <c r="E325" s="7" t="s">
        <v>10662</v>
      </c>
      <c r="F325" s="7" t="n">
        <v>2023</v>
      </c>
      <c r="G325" s="7" t="s">
        <v>10663</v>
      </c>
      <c r="H325" s="7" t="s">
        <v>10664</v>
      </c>
      <c r="I325" s="7" t="s">
        <v>10665</v>
      </c>
      <c r="J325" s="7" t="s">
        <v>10666</v>
      </c>
      <c r="K325" s="7" t="s">
        <v>10667</v>
      </c>
      <c r="L325" s="7" t="s">
        <v>10668</v>
      </c>
      <c r="M325" s="7" t="s">
        <v>10658</v>
      </c>
      <c r="N325" s="7" t="s">
        <v>10659</v>
      </c>
      <c r="O325" s="7"/>
      <c r="P325" s="7" t="s">
        <v>7690</v>
      </c>
      <c r="Q325" s="7" t="s">
        <v>7727</v>
      </c>
      <c r="R325" s="7" t="s">
        <v>7692</v>
      </c>
      <c r="S325" s="7" t="s">
        <v>10669</v>
      </c>
      <c r="T325" s="7" t="s">
        <v>10670</v>
      </c>
      <c r="U325" s="7" t="s">
        <v>10671</v>
      </c>
    </row>
    <row r="326" customFormat="false" ht="35.05" hidden="false" customHeight="false" outlineLevel="0" collapsed="false">
      <c r="A326" s="7" t="n">
        <v>76</v>
      </c>
      <c r="B326" s="7" t="s">
        <v>965</v>
      </c>
      <c r="C326" s="7" t="s">
        <v>7679</v>
      </c>
      <c r="D326" s="7" t="s">
        <v>10672</v>
      </c>
      <c r="E326" s="7" t="s">
        <v>10673</v>
      </c>
      <c r="F326" s="7" t="n">
        <v>2023</v>
      </c>
      <c r="G326" s="7" t="s">
        <v>10674</v>
      </c>
      <c r="H326" s="7" t="s">
        <v>10675</v>
      </c>
      <c r="I326" s="7" t="s">
        <v>10676</v>
      </c>
      <c r="J326" s="7" t="s">
        <v>10666</v>
      </c>
      <c r="K326" s="7" t="s">
        <v>10677</v>
      </c>
      <c r="L326" s="7" t="s">
        <v>10678</v>
      </c>
      <c r="M326" s="7" t="s">
        <v>10658</v>
      </c>
      <c r="N326" s="7" t="s">
        <v>10101</v>
      </c>
      <c r="O326" s="7" t="s">
        <v>10679</v>
      </c>
      <c r="P326" s="7" t="s">
        <v>7690</v>
      </c>
      <c r="Q326" s="7" t="s">
        <v>7727</v>
      </c>
      <c r="R326" s="7" t="s">
        <v>7692</v>
      </c>
      <c r="S326" s="7" t="s">
        <v>10680</v>
      </c>
      <c r="T326" s="7"/>
      <c r="U326" s="7" t="s">
        <v>10681</v>
      </c>
    </row>
    <row r="327" customFormat="false" ht="35.05" hidden="false" customHeight="false" outlineLevel="0" collapsed="false">
      <c r="A327" s="7" t="n">
        <v>76</v>
      </c>
      <c r="B327" s="7" t="s">
        <v>965</v>
      </c>
      <c r="C327" s="7" t="s">
        <v>7679</v>
      </c>
      <c r="D327" s="7" t="s">
        <v>10682</v>
      </c>
      <c r="E327" s="7" t="s">
        <v>10683</v>
      </c>
      <c r="F327" s="7" t="n">
        <v>2025</v>
      </c>
      <c r="G327" s="7" t="s">
        <v>10374</v>
      </c>
      <c r="H327" s="7" t="s">
        <v>10684</v>
      </c>
      <c r="I327" s="7" t="s">
        <v>10685</v>
      </c>
      <c r="J327" s="7" t="s">
        <v>10686</v>
      </c>
      <c r="K327" s="7" t="s">
        <v>10687</v>
      </c>
      <c r="L327" s="7" t="s">
        <v>10688</v>
      </c>
      <c r="M327" s="7" t="s">
        <v>10689</v>
      </c>
      <c r="N327" s="7" t="s">
        <v>10690</v>
      </c>
      <c r="O327" s="7" t="s">
        <v>10691</v>
      </c>
      <c r="P327" s="7" t="s">
        <v>7690</v>
      </c>
      <c r="Q327" s="7" t="s">
        <v>7727</v>
      </c>
      <c r="R327" s="7" t="s">
        <v>7692</v>
      </c>
      <c r="S327" s="7" t="s">
        <v>10692</v>
      </c>
      <c r="T327" s="7"/>
      <c r="U327" s="7"/>
    </row>
    <row r="328" customFormat="false" ht="46.25" hidden="false" customHeight="false" outlineLevel="0" collapsed="false">
      <c r="A328" s="7" t="n">
        <v>76</v>
      </c>
      <c r="B328" s="7" t="s">
        <v>965</v>
      </c>
      <c r="C328" s="7" t="s">
        <v>7679</v>
      </c>
      <c r="D328" s="7" t="s">
        <v>10693</v>
      </c>
      <c r="E328" s="7" t="s">
        <v>10694</v>
      </c>
      <c r="F328" s="7" t="n">
        <v>2025</v>
      </c>
      <c r="G328" s="7" t="s">
        <v>9521</v>
      </c>
      <c r="H328" s="7" t="s">
        <v>9522</v>
      </c>
      <c r="I328" s="7" t="s">
        <v>10695</v>
      </c>
      <c r="J328" s="7" t="s">
        <v>7315</v>
      </c>
      <c r="K328" s="7" t="s">
        <v>10696</v>
      </c>
      <c r="L328" s="7" t="s">
        <v>10697</v>
      </c>
      <c r="M328" s="7" t="s">
        <v>8954</v>
      </c>
      <c r="N328" s="7" t="s">
        <v>10698</v>
      </c>
      <c r="O328" s="7"/>
      <c r="P328" s="7" t="s">
        <v>7690</v>
      </c>
      <c r="Q328" s="7" t="s">
        <v>7797</v>
      </c>
      <c r="R328" s="7" t="s">
        <v>7692</v>
      </c>
      <c r="S328" s="7" t="s">
        <v>9527</v>
      </c>
      <c r="T328" s="7"/>
      <c r="U328" s="7"/>
    </row>
    <row r="329" customFormat="false" ht="46.25" hidden="false" customHeight="false" outlineLevel="0" collapsed="false">
      <c r="A329" s="7" t="n">
        <v>77</v>
      </c>
      <c r="B329" s="7" t="s">
        <v>976</v>
      </c>
      <c r="C329" s="7" t="s">
        <v>7705</v>
      </c>
      <c r="D329" s="7" t="s">
        <v>10699</v>
      </c>
      <c r="E329" s="7" t="s">
        <v>10700</v>
      </c>
      <c r="F329" s="7" t="n">
        <v>2022</v>
      </c>
      <c r="G329" s="7" t="s">
        <v>7792</v>
      </c>
      <c r="H329" s="7" t="s">
        <v>7793</v>
      </c>
      <c r="I329" s="7" t="s">
        <v>10701</v>
      </c>
      <c r="J329" s="7" t="s">
        <v>7711</v>
      </c>
      <c r="K329" s="7" t="s">
        <v>10702</v>
      </c>
      <c r="L329" s="7" t="s">
        <v>10703</v>
      </c>
      <c r="M329" s="7" t="s">
        <v>10704</v>
      </c>
      <c r="N329" s="7" t="s">
        <v>8043</v>
      </c>
      <c r="O329" s="7"/>
      <c r="P329" s="7" t="s">
        <v>7690</v>
      </c>
      <c r="Q329" s="7" t="s">
        <v>7759</v>
      </c>
      <c r="R329" s="7" t="s">
        <v>7692</v>
      </c>
      <c r="S329" s="7" t="s">
        <v>10705</v>
      </c>
      <c r="T329" s="7"/>
      <c r="U329" s="7"/>
    </row>
    <row r="330" customFormat="false" ht="46.25" hidden="false" customHeight="false" outlineLevel="0" collapsed="false">
      <c r="A330" s="7" t="n">
        <v>77</v>
      </c>
      <c r="B330" s="7" t="s">
        <v>976</v>
      </c>
      <c r="C330" s="7" t="s">
        <v>7679</v>
      </c>
      <c r="D330" s="7" t="s">
        <v>10706</v>
      </c>
      <c r="E330" s="7" t="s">
        <v>10707</v>
      </c>
      <c r="F330" s="7" t="n">
        <v>2024</v>
      </c>
      <c r="G330" s="7" t="s">
        <v>10708</v>
      </c>
      <c r="H330" s="7" t="s">
        <v>10709</v>
      </c>
      <c r="I330" s="7" t="s">
        <v>10710</v>
      </c>
      <c r="J330" s="7" t="s">
        <v>9952</v>
      </c>
      <c r="K330" s="7" t="s">
        <v>10711</v>
      </c>
      <c r="L330" s="7" t="s">
        <v>10712</v>
      </c>
      <c r="M330" s="7" t="s">
        <v>8945</v>
      </c>
      <c r="N330" s="7" t="s">
        <v>10713</v>
      </c>
      <c r="O330" s="7"/>
      <c r="P330" s="7" t="s">
        <v>7690</v>
      </c>
      <c r="Q330" s="7" t="s">
        <v>7727</v>
      </c>
      <c r="R330" s="7" t="s">
        <v>7692</v>
      </c>
      <c r="S330" s="7" t="s">
        <v>10714</v>
      </c>
      <c r="T330" s="7"/>
      <c r="U330" s="7" t="s">
        <v>10715</v>
      </c>
    </row>
    <row r="331" customFormat="false" ht="35.05" hidden="false" customHeight="false" outlineLevel="0" collapsed="false">
      <c r="A331" s="7" t="n">
        <v>94</v>
      </c>
      <c r="B331" s="7" t="s">
        <v>1153</v>
      </c>
      <c r="C331" s="7" t="s">
        <v>7705</v>
      </c>
      <c r="D331" s="7" t="s">
        <v>9176</v>
      </c>
      <c r="E331" s="7" t="s">
        <v>10716</v>
      </c>
      <c r="F331" s="7" t="n">
        <v>2023</v>
      </c>
      <c r="G331" s="7" t="s">
        <v>7792</v>
      </c>
      <c r="H331" s="7" t="s">
        <v>7793</v>
      </c>
      <c r="I331" s="7" t="s">
        <v>10717</v>
      </c>
      <c r="J331" s="7" t="s">
        <v>7711</v>
      </c>
      <c r="K331" s="7" t="s">
        <v>10718</v>
      </c>
      <c r="L331" s="7" t="s">
        <v>10719</v>
      </c>
      <c r="M331" s="7" t="s">
        <v>10720</v>
      </c>
      <c r="N331" s="7" t="s">
        <v>8043</v>
      </c>
      <c r="O331" s="7"/>
      <c r="P331" s="7" t="s">
        <v>7690</v>
      </c>
      <c r="Q331" s="7" t="s">
        <v>7759</v>
      </c>
      <c r="R331" s="7" t="s">
        <v>7692</v>
      </c>
      <c r="S331" s="7" t="s">
        <v>10721</v>
      </c>
      <c r="T331" s="7"/>
      <c r="U331" s="7" t="s">
        <v>10722</v>
      </c>
    </row>
    <row r="332" customFormat="false" ht="57.45" hidden="false" customHeight="false" outlineLevel="0" collapsed="false">
      <c r="A332" s="7" t="n">
        <v>94</v>
      </c>
      <c r="B332" s="7" t="s">
        <v>1153</v>
      </c>
      <c r="C332" s="7" t="s">
        <v>7679</v>
      </c>
      <c r="D332" s="7" t="s">
        <v>10723</v>
      </c>
      <c r="E332" s="7" t="s">
        <v>10724</v>
      </c>
      <c r="F332" s="7" t="n">
        <v>2025</v>
      </c>
      <c r="G332" s="7" t="s">
        <v>7682</v>
      </c>
      <c r="H332" s="7" t="s">
        <v>10725</v>
      </c>
      <c r="I332" s="7" t="s">
        <v>10726</v>
      </c>
      <c r="J332" s="7" t="s">
        <v>10727</v>
      </c>
      <c r="K332" s="7" t="s">
        <v>10728</v>
      </c>
      <c r="L332" s="7" t="s">
        <v>10729</v>
      </c>
      <c r="M332" s="7" t="s">
        <v>8954</v>
      </c>
      <c r="N332" s="7" t="s">
        <v>10730</v>
      </c>
      <c r="O332" s="7"/>
      <c r="P332" s="7" t="s">
        <v>7981</v>
      </c>
      <c r="Q332" s="7" t="s">
        <v>7691</v>
      </c>
      <c r="R332" s="7" t="s">
        <v>7692</v>
      </c>
      <c r="S332" s="7" t="s">
        <v>10731</v>
      </c>
      <c r="T332" s="7"/>
      <c r="U332" s="7"/>
    </row>
    <row r="333" customFormat="false" ht="46.25" hidden="false" customHeight="false" outlineLevel="0" collapsed="false">
      <c r="A333" s="7" t="n">
        <v>89</v>
      </c>
      <c r="B333" s="7" t="s">
        <v>1101</v>
      </c>
      <c r="C333" s="7" t="s">
        <v>7705</v>
      </c>
      <c r="D333" s="7" t="s">
        <v>8038</v>
      </c>
      <c r="E333" s="7" t="s">
        <v>10732</v>
      </c>
      <c r="F333" s="7" t="n">
        <v>2022</v>
      </c>
      <c r="G333" s="7" t="s">
        <v>7792</v>
      </c>
      <c r="H333" s="7" t="s">
        <v>7793</v>
      </c>
      <c r="I333" s="7" t="s">
        <v>10733</v>
      </c>
      <c r="J333" s="7" t="s">
        <v>7711</v>
      </c>
      <c r="K333" s="7" t="s">
        <v>10734</v>
      </c>
      <c r="L333" s="7" t="s">
        <v>10735</v>
      </c>
      <c r="M333" s="7" t="s">
        <v>7714</v>
      </c>
      <c r="N333" s="7" t="s">
        <v>8043</v>
      </c>
      <c r="O333" s="7"/>
      <c r="P333" s="7" t="s">
        <v>7690</v>
      </c>
      <c r="Q333" s="7" t="s">
        <v>7759</v>
      </c>
      <c r="R333" s="7" t="s">
        <v>7692</v>
      </c>
      <c r="S333" s="7" t="s">
        <v>10736</v>
      </c>
      <c r="T333" s="7"/>
      <c r="U333" s="7"/>
    </row>
    <row r="334" customFormat="false" ht="46.25" hidden="false" customHeight="false" outlineLevel="0" collapsed="false">
      <c r="A334" s="7" t="n">
        <v>89</v>
      </c>
      <c r="B334" s="7" t="s">
        <v>1101</v>
      </c>
      <c r="C334" s="7" t="s">
        <v>7679</v>
      </c>
      <c r="D334" s="7" t="s">
        <v>10737</v>
      </c>
      <c r="E334" s="7" t="s">
        <v>10738</v>
      </c>
      <c r="F334" s="7" t="n">
        <v>2020</v>
      </c>
      <c r="G334" s="7" t="s">
        <v>8141</v>
      </c>
      <c r="H334" s="7" t="s">
        <v>10739</v>
      </c>
      <c r="I334" s="7" t="s">
        <v>10740</v>
      </c>
      <c r="J334" s="7" t="s">
        <v>10741</v>
      </c>
      <c r="K334" s="7" t="s">
        <v>10742</v>
      </c>
      <c r="L334" s="7" t="s">
        <v>10743</v>
      </c>
      <c r="M334" s="7" t="s">
        <v>10744</v>
      </c>
      <c r="N334" s="7" t="s">
        <v>10745</v>
      </c>
      <c r="O334" s="7" t="s">
        <v>10746</v>
      </c>
      <c r="P334" s="7" t="s">
        <v>7690</v>
      </c>
      <c r="Q334" s="7" t="s">
        <v>7691</v>
      </c>
      <c r="R334" s="7" t="s">
        <v>7692</v>
      </c>
      <c r="S334" s="7" t="s">
        <v>10747</v>
      </c>
      <c r="T334" s="7" t="s">
        <v>10747</v>
      </c>
      <c r="U334" s="7"/>
    </row>
    <row r="335" customFormat="false" ht="46.25" hidden="false" customHeight="false" outlineLevel="0" collapsed="false">
      <c r="A335" s="7" t="n">
        <v>89</v>
      </c>
      <c r="B335" s="7" t="s">
        <v>1101</v>
      </c>
      <c r="C335" s="7" t="s">
        <v>7679</v>
      </c>
      <c r="D335" s="7" t="s">
        <v>8028</v>
      </c>
      <c r="E335" s="7" t="s">
        <v>10748</v>
      </c>
      <c r="F335" s="7" t="n">
        <v>2020</v>
      </c>
      <c r="G335" s="7" t="s">
        <v>7781</v>
      </c>
      <c r="H335" s="7" t="s">
        <v>10749</v>
      </c>
      <c r="I335" s="7" t="s">
        <v>10750</v>
      </c>
      <c r="J335" s="7" t="s">
        <v>7685</v>
      </c>
      <c r="K335" s="7" t="s">
        <v>10751</v>
      </c>
      <c r="L335" s="7" t="s">
        <v>10752</v>
      </c>
      <c r="M335" s="7" t="s">
        <v>8035</v>
      </c>
      <c r="N335" s="7" t="s">
        <v>10753</v>
      </c>
      <c r="O335" s="7"/>
      <c r="P335" s="7" t="s">
        <v>7690</v>
      </c>
      <c r="Q335" s="7" t="s">
        <v>10754</v>
      </c>
      <c r="R335" s="7" t="s">
        <v>7692</v>
      </c>
      <c r="S335" s="7" t="s">
        <v>8036</v>
      </c>
      <c r="T335" s="7"/>
      <c r="U335" s="7" t="s">
        <v>8037</v>
      </c>
    </row>
    <row r="336" customFormat="false" ht="35.05" hidden="false" customHeight="false" outlineLevel="0" collapsed="false">
      <c r="A336" s="7" t="n">
        <v>73</v>
      </c>
      <c r="B336" s="7" t="s">
        <v>933</v>
      </c>
      <c r="C336" s="7" t="s">
        <v>7705</v>
      </c>
      <c r="D336" s="7" t="s">
        <v>10755</v>
      </c>
      <c r="E336" s="7" t="s">
        <v>10756</v>
      </c>
      <c r="F336" s="7" t="n">
        <v>2021</v>
      </c>
      <c r="G336" s="7" t="s">
        <v>7792</v>
      </c>
      <c r="H336" s="7" t="s">
        <v>7793</v>
      </c>
      <c r="I336" s="7" t="s">
        <v>10757</v>
      </c>
      <c r="J336" s="7" t="s">
        <v>7711</v>
      </c>
      <c r="K336" s="7" t="s">
        <v>10758</v>
      </c>
      <c r="L336" s="7" t="s">
        <v>10759</v>
      </c>
      <c r="M336" s="7" t="s">
        <v>10704</v>
      </c>
      <c r="N336" s="7" t="s">
        <v>10760</v>
      </c>
      <c r="O336" s="7"/>
      <c r="P336" s="7" t="s">
        <v>7690</v>
      </c>
      <c r="Q336" s="7" t="s">
        <v>7759</v>
      </c>
      <c r="R336" s="7" t="s">
        <v>7692</v>
      </c>
      <c r="S336" s="7" t="s">
        <v>10761</v>
      </c>
      <c r="T336" s="7"/>
      <c r="U336" s="7"/>
    </row>
    <row r="337" customFormat="false" ht="46.25" hidden="false" customHeight="false" outlineLevel="0" collapsed="false">
      <c r="A337" s="7" t="n">
        <v>73</v>
      </c>
      <c r="B337" s="7" t="s">
        <v>933</v>
      </c>
      <c r="C337" s="7" t="s">
        <v>7679</v>
      </c>
      <c r="D337" s="7" t="s">
        <v>10762</v>
      </c>
      <c r="E337" s="7" t="s">
        <v>10763</v>
      </c>
      <c r="F337" s="7" t="n">
        <v>2025</v>
      </c>
      <c r="G337" s="7" t="s">
        <v>8141</v>
      </c>
      <c r="H337" s="7" t="s">
        <v>10764</v>
      </c>
      <c r="I337" s="7" t="s">
        <v>10765</v>
      </c>
      <c r="J337" s="7" t="s">
        <v>7685</v>
      </c>
      <c r="K337" s="7" t="s">
        <v>10766</v>
      </c>
      <c r="L337" s="7" t="s">
        <v>10767</v>
      </c>
      <c r="M337" s="7" t="s">
        <v>10768</v>
      </c>
      <c r="N337" s="7" t="s">
        <v>10769</v>
      </c>
      <c r="O337" s="7"/>
      <c r="P337" s="7" t="s">
        <v>7690</v>
      </c>
      <c r="Q337" s="7" t="s">
        <v>7691</v>
      </c>
      <c r="R337" s="7" t="s">
        <v>7692</v>
      </c>
      <c r="S337" s="7" t="s">
        <v>10770</v>
      </c>
      <c r="T337" s="7" t="s">
        <v>10771</v>
      </c>
      <c r="U337" s="7" t="s">
        <v>10772</v>
      </c>
    </row>
    <row r="338" customFormat="false" ht="46.25" hidden="false" customHeight="false" outlineLevel="0" collapsed="false">
      <c r="A338" s="7" t="n">
        <v>86</v>
      </c>
      <c r="B338" s="7" t="s">
        <v>1070</v>
      </c>
      <c r="C338" s="7" t="s">
        <v>7705</v>
      </c>
      <c r="D338" s="7" t="s">
        <v>10773</v>
      </c>
      <c r="E338" s="7" t="s">
        <v>10774</v>
      </c>
      <c r="F338" s="7" t="n">
        <v>2022</v>
      </c>
      <c r="G338" s="7" t="s">
        <v>7792</v>
      </c>
      <c r="H338" s="7" t="s">
        <v>7793</v>
      </c>
      <c r="I338" s="7" t="s">
        <v>10775</v>
      </c>
      <c r="J338" s="7" t="s">
        <v>7711</v>
      </c>
      <c r="K338" s="7" t="s">
        <v>10776</v>
      </c>
      <c r="L338" s="7" t="s">
        <v>10777</v>
      </c>
      <c r="M338" s="7" t="s">
        <v>7714</v>
      </c>
      <c r="N338" s="7" t="s">
        <v>8043</v>
      </c>
      <c r="O338" s="7"/>
      <c r="P338" s="7" t="s">
        <v>7690</v>
      </c>
      <c r="Q338" s="7" t="s">
        <v>7759</v>
      </c>
      <c r="R338" s="7" t="s">
        <v>7692</v>
      </c>
      <c r="S338" s="7" t="s">
        <v>10778</v>
      </c>
      <c r="T338" s="7"/>
      <c r="U338" s="7" t="s">
        <v>10779</v>
      </c>
    </row>
    <row r="339" customFormat="false" ht="46.25" hidden="false" customHeight="false" outlineLevel="0" collapsed="false">
      <c r="A339" s="7" t="n">
        <v>86</v>
      </c>
      <c r="B339" s="7" t="s">
        <v>1070</v>
      </c>
      <c r="C339" s="7" t="s">
        <v>7679</v>
      </c>
      <c r="D339" s="7" t="s">
        <v>10780</v>
      </c>
      <c r="E339" s="7" t="s">
        <v>10781</v>
      </c>
      <c r="F339" s="7" t="n">
        <v>2018</v>
      </c>
      <c r="G339" s="7" t="s">
        <v>7781</v>
      </c>
      <c r="H339" s="7" t="s">
        <v>10782</v>
      </c>
      <c r="I339" s="7" t="s">
        <v>10783</v>
      </c>
      <c r="J339" s="7" t="s">
        <v>7685</v>
      </c>
      <c r="K339" s="7" t="s">
        <v>10784</v>
      </c>
      <c r="L339" s="7" t="s">
        <v>10785</v>
      </c>
      <c r="M339" s="7" t="s">
        <v>10786</v>
      </c>
      <c r="N339" s="7" t="s">
        <v>10753</v>
      </c>
      <c r="O339" s="7"/>
      <c r="P339" s="7" t="s">
        <v>7690</v>
      </c>
      <c r="Q339" s="7" t="s">
        <v>8902</v>
      </c>
      <c r="R339" s="7" t="s">
        <v>7692</v>
      </c>
      <c r="S339" s="7" t="s">
        <v>10787</v>
      </c>
      <c r="T339" s="7"/>
      <c r="U339" s="7" t="s">
        <v>10788</v>
      </c>
    </row>
    <row r="340" customFormat="false" ht="35.05" hidden="false" customHeight="false" outlineLevel="0" collapsed="false">
      <c r="A340" s="7" t="n">
        <v>86</v>
      </c>
      <c r="B340" s="7" t="s">
        <v>1070</v>
      </c>
      <c r="C340" s="7" t="s">
        <v>7679</v>
      </c>
      <c r="D340" s="7" t="s">
        <v>10789</v>
      </c>
      <c r="E340" s="7" t="s">
        <v>10790</v>
      </c>
      <c r="F340" s="7" t="n">
        <v>2022</v>
      </c>
      <c r="G340" s="7" t="s">
        <v>10791</v>
      </c>
      <c r="H340" s="7" t="s">
        <v>10792</v>
      </c>
      <c r="I340" s="7" t="s">
        <v>10793</v>
      </c>
      <c r="J340" s="7" t="s">
        <v>10727</v>
      </c>
      <c r="K340" s="7" t="s">
        <v>10794</v>
      </c>
      <c r="L340" s="7" t="s">
        <v>10795</v>
      </c>
      <c r="M340" s="7" t="s">
        <v>8954</v>
      </c>
      <c r="N340" s="7" t="s">
        <v>10796</v>
      </c>
      <c r="O340" s="7" t="s">
        <v>10797</v>
      </c>
      <c r="P340" s="7" t="s">
        <v>7690</v>
      </c>
      <c r="Q340" s="7" t="s">
        <v>7716</v>
      </c>
      <c r="R340" s="7" t="s">
        <v>7692</v>
      </c>
      <c r="S340" s="7" t="s">
        <v>10798</v>
      </c>
      <c r="T340" s="7"/>
      <c r="U340" s="7"/>
    </row>
    <row r="341" customFormat="false" ht="35.05" hidden="false" customHeight="false" outlineLevel="0" collapsed="false">
      <c r="A341" s="7" t="n">
        <v>97</v>
      </c>
      <c r="B341" s="7" t="s">
        <v>1187</v>
      </c>
      <c r="C341" s="7" t="s">
        <v>7705</v>
      </c>
      <c r="D341" s="7" t="s">
        <v>10799</v>
      </c>
      <c r="E341" s="7" t="s">
        <v>10800</v>
      </c>
      <c r="F341" s="7" t="n">
        <v>2023</v>
      </c>
      <c r="G341" s="7" t="s">
        <v>10801</v>
      </c>
      <c r="H341" s="7" t="s">
        <v>10802</v>
      </c>
      <c r="I341" s="7" t="s">
        <v>9603</v>
      </c>
      <c r="J341" s="7" t="s">
        <v>7711</v>
      </c>
      <c r="K341" s="7" t="s">
        <v>10803</v>
      </c>
      <c r="L341" s="7" t="s">
        <v>10804</v>
      </c>
      <c r="M341" s="7" t="s">
        <v>7714</v>
      </c>
      <c r="N341" s="7" t="s">
        <v>8043</v>
      </c>
      <c r="O341" s="7"/>
      <c r="P341" s="7" t="s">
        <v>7690</v>
      </c>
      <c r="Q341" s="7" t="s">
        <v>8509</v>
      </c>
      <c r="R341" s="7" t="s">
        <v>7692</v>
      </c>
      <c r="S341" s="7" t="s">
        <v>10805</v>
      </c>
      <c r="T341" s="7"/>
      <c r="U341" s="7"/>
    </row>
    <row r="342" customFormat="false" ht="57.45" hidden="false" customHeight="false" outlineLevel="0" collapsed="false">
      <c r="A342" s="7" t="n">
        <v>97</v>
      </c>
      <c r="B342" s="7" t="s">
        <v>1187</v>
      </c>
      <c r="C342" s="7" t="s">
        <v>7679</v>
      </c>
      <c r="D342" s="7" t="s">
        <v>10806</v>
      </c>
      <c r="E342" s="7" t="s">
        <v>10807</v>
      </c>
      <c r="F342" s="7" t="n">
        <v>2025</v>
      </c>
      <c r="G342" s="7" t="s">
        <v>7781</v>
      </c>
      <c r="H342" s="7" t="s">
        <v>10808</v>
      </c>
      <c r="I342" s="7" t="s">
        <v>10809</v>
      </c>
      <c r="J342" s="7" t="s">
        <v>7685</v>
      </c>
      <c r="K342" s="7" t="s">
        <v>10810</v>
      </c>
      <c r="L342" s="7" t="s">
        <v>10811</v>
      </c>
      <c r="M342" s="7" t="s">
        <v>10812</v>
      </c>
      <c r="N342" s="7" t="s">
        <v>10813</v>
      </c>
      <c r="O342" s="7"/>
      <c r="P342" s="7" t="s">
        <v>7690</v>
      </c>
      <c r="Q342" s="7" t="s">
        <v>7716</v>
      </c>
      <c r="R342" s="7" t="s">
        <v>7692</v>
      </c>
      <c r="S342" s="7" t="s">
        <v>10814</v>
      </c>
      <c r="T342" s="7"/>
      <c r="U342" s="7" t="s">
        <v>10815</v>
      </c>
    </row>
    <row r="343" customFormat="false" ht="35.05" hidden="false" customHeight="false" outlineLevel="0" collapsed="false">
      <c r="A343" s="7" t="n">
        <v>71</v>
      </c>
      <c r="B343" s="7" t="s">
        <v>911</v>
      </c>
      <c r="C343" s="7" t="s">
        <v>7705</v>
      </c>
      <c r="D343" s="7" t="s">
        <v>10816</v>
      </c>
      <c r="E343" s="7" t="s">
        <v>10817</v>
      </c>
      <c r="F343" s="7" t="n">
        <v>2021</v>
      </c>
      <c r="G343" s="7" t="s">
        <v>7792</v>
      </c>
      <c r="H343" s="7" t="s">
        <v>9186</v>
      </c>
      <c r="I343" s="7" t="s">
        <v>10818</v>
      </c>
      <c r="J343" s="7" t="s">
        <v>7711</v>
      </c>
      <c r="K343" s="7" t="s">
        <v>10819</v>
      </c>
      <c r="L343" s="7" t="s">
        <v>10820</v>
      </c>
      <c r="M343" s="7" t="s">
        <v>7714</v>
      </c>
      <c r="N343" s="7" t="s">
        <v>7715</v>
      </c>
      <c r="O343" s="7"/>
      <c r="P343" s="7" t="s">
        <v>7690</v>
      </c>
      <c r="Q343" s="7" t="s">
        <v>7759</v>
      </c>
      <c r="R343" s="7" t="s">
        <v>7692</v>
      </c>
      <c r="S343" s="7" t="s">
        <v>10821</v>
      </c>
      <c r="T343" s="7"/>
      <c r="U343" s="7" t="s">
        <v>10822</v>
      </c>
    </row>
    <row r="344" customFormat="false" ht="46.25" hidden="false" customHeight="false" outlineLevel="0" collapsed="false">
      <c r="A344" s="7" t="n">
        <v>71</v>
      </c>
      <c r="B344" s="7" t="s">
        <v>911</v>
      </c>
      <c r="C344" s="7" t="s">
        <v>7679</v>
      </c>
      <c r="D344" s="7" t="s">
        <v>10823</v>
      </c>
      <c r="E344" s="7" t="s">
        <v>10824</v>
      </c>
      <c r="F344" s="7" t="n">
        <v>2025</v>
      </c>
      <c r="G344" s="7" t="s">
        <v>10825</v>
      </c>
      <c r="H344" s="7" t="s">
        <v>10826</v>
      </c>
      <c r="I344" s="7" t="s">
        <v>10827</v>
      </c>
      <c r="J344" s="7" t="s">
        <v>9952</v>
      </c>
      <c r="K344" s="7" t="s">
        <v>10828</v>
      </c>
      <c r="L344" s="7" t="s">
        <v>10829</v>
      </c>
      <c r="M344" s="7" t="s">
        <v>10830</v>
      </c>
      <c r="N344" s="7" t="s">
        <v>10831</v>
      </c>
      <c r="O344" s="7" t="s">
        <v>10832</v>
      </c>
      <c r="P344" s="7" t="s">
        <v>7690</v>
      </c>
      <c r="Q344" s="7" t="s">
        <v>8902</v>
      </c>
      <c r="R344" s="7" t="s">
        <v>7692</v>
      </c>
      <c r="S344" s="7" t="s">
        <v>10833</v>
      </c>
      <c r="T344" s="7" t="s">
        <v>10833</v>
      </c>
      <c r="U344" s="7" t="s">
        <v>10834</v>
      </c>
    </row>
    <row r="345" customFormat="false" ht="46.25" hidden="false" customHeight="false" outlineLevel="0" collapsed="false">
      <c r="A345" s="7" t="n">
        <v>71</v>
      </c>
      <c r="B345" s="7" t="s">
        <v>911</v>
      </c>
      <c r="C345" s="7" t="s">
        <v>7679</v>
      </c>
      <c r="D345" s="7" t="s">
        <v>10835</v>
      </c>
      <c r="E345" s="7" t="s">
        <v>10836</v>
      </c>
      <c r="F345" s="7" t="n">
        <v>2025</v>
      </c>
      <c r="G345" s="7" t="s">
        <v>10837</v>
      </c>
      <c r="H345" s="7" t="s">
        <v>10838</v>
      </c>
      <c r="I345" s="7" t="s">
        <v>10839</v>
      </c>
      <c r="J345" s="7" t="s">
        <v>7765</v>
      </c>
      <c r="K345" s="7" t="s">
        <v>10840</v>
      </c>
      <c r="L345" s="7" t="s">
        <v>10841</v>
      </c>
      <c r="M345" s="7" t="s">
        <v>10842</v>
      </c>
      <c r="N345" s="7" t="s">
        <v>10843</v>
      </c>
      <c r="O345" s="7" t="s">
        <v>10844</v>
      </c>
      <c r="P345" s="7" t="s">
        <v>7690</v>
      </c>
      <c r="Q345" s="7" t="s">
        <v>7716</v>
      </c>
      <c r="R345" s="7" t="s">
        <v>7692</v>
      </c>
      <c r="S345" s="7" t="s">
        <v>10845</v>
      </c>
      <c r="T345" s="7"/>
      <c r="U345" s="7" t="s">
        <v>10846</v>
      </c>
    </row>
    <row r="346" customFormat="false" ht="46.25" hidden="false" customHeight="false" outlineLevel="0" collapsed="false">
      <c r="A346" s="7" t="n">
        <v>88</v>
      </c>
      <c r="B346" s="7" t="s">
        <v>1092</v>
      </c>
      <c r="C346" s="7" t="s">
        <v>7705</v>
      </c>
      <c r="D346" s="7" t="s">
        <v>10847</v>
      </c>
      <c r="E346" s="7" t="s">
        <v>10848</v>
      </c>
      <c r="F346" s="7" t="n">
        <v>2022</v>
      </c>
      <c r="G346" s="7" t="s">
        <v>7792</v>
      </c>
      <c r="H346" s="7" t="s">
        <v>7793</v>
      </c>
      <c r="I346" s="7" t="s">
        <v>10849</v>
      </c>
      <c r="J346" s="7" t="s">
        <v>7711</v>
      </c>
      <c r="K346" s="7" t="s">
        <v>10850</v>
      </c>
      <c r="L346" s="7" t="s">
        <v>10851</v>
      </c>
      <c r="M346" s="7" t="s">
        <v>7714</v>
      </c>
      <c r="N346" s="7" t="s">
        <v>10852</v>
      </c>
      <c r="O346" s="7"/>
      <c r="P346" s="7" t="s">
        <v>7690</v>
      </c>
      <c r="Q346" s="7" t="s">
        <v>7759</v>
      </c>
      <c r="R346" s="7" t="s">
        <v>7692</v>
      </c>
      <c r="S346" s="7" t="s">
        <v>10853</v>
      </c>
      <c r="T346" s="7"/>
      <c r="U346" s="7" t="s">
        <v>10854</v>
      </c>
    </row>
    <row r="347" customFormat="false" ht="46.25" hidden="false" customHeight="false" outlineLevel="0" collapsed="false">
      <c r="A347" s="7" t="n">
        <v>88</v>
      </c>
      <c r="B347" s="7" t="s">
        <v>1092</v>
      </c>
      <c r="C347" s="7" t="s">
        <v>7679</v>
      </c>
      <c r="D347" s="7" t="s">
        <v>10855</v>
      </c>
      <c r="E347" s="7" t="s">
        <v>10856</v>
      </c>
      <c r="F347" s="7" t="n">
        <v>2022</v>
      </c>
      <c r="G347" s="7" t="s">
        <v>7781</v>
      </c>
      <c r="H347" s="7" t="s">
        <v>10857</v>
      </c>
      <c r="I347" s="7" t="s">
        <v>10858</v>
      </c>
      <c r="J347" s="7" t="s">
        <v>7685</v>
      </c>
      <c r="K347" s="7" t="s">
        <v>10859</v>
      </c>
      <c r="L347" s="7" t="s">
        <v>10860</v>
      </c>
      <c r="M347" s="7" t="s">
        <v>10861</v>
      </c>
      <c r="N347" s="7" t="s">
        <v>10862</v>
      </c>
      <c r="O347" s="7"/>
      <c r="P347" s="7" t="s">
        <v>7690</v>
      </c>
      <c r="Q347" s="7" t="s">
        <v>10863</v>
      </c>
      <c r="R347" s="7" t="s">
        <v>7692</v>
      </c>
      <c r="S347" s="7" t="s">
        <v>10864</v>
      </c>
      <c r="T347" s="7"/>
      <c r="U347" s="7"/>
    </row>
    <row r="348" customFormat="false" ht="46.25" hidden="false" customHeight="false" outlineLevel="0" collapsed="false">
      <c r="A348" s="7" t="n">
        <v>88</v>
      </c>
      <c r="B348" s="7" t="s">
        <v>1092</v>
      </c>
      <c r="C348" s="7" t="s">
        <v>7679</v>
      </c>
      <c r="D348" s="7" t="s">
        <v>10865</v>
      </c>
      <c r="E348" s="7" t="s">
        <v>10866</v>
      </c>
      <c r="F348" s="7" t="n">
        <v>2025</v>
      </c>
      <c r="G348" s="7" t="s">
        <v>8242</v>
      </c>
      <c r="H348" s="7" t="s">
        <v>10867</v>
      </c>
      <c r="I348" s="7" t="s">
        <v>10868</v>
      </c>
      <c r="J348" s="7" t="s">
        <v>9327</v>
      </c>
      <c r="K348" s="7" t="s">
        <v>10869</v>
      </c>
      <c r="L348" s="7" t="s">
        <v>10870</v>
      </c>
      <c r="M348" s="7" t="s">
        <v>10871</v>
      </c>
      <c r="N348" s="7" t="s">
        <v>10872</v>
      </c>
      <c r="O348" s="7"/>
      <c r="P348" s="7" t="s">
        <v>7690</v>
      </c>
      <c r="Q348" s="7" t="s">
        <v>10873</v>
      </c>
      <c r="R348" s="7" t="s">
        <v>7692</v>
      </c>
      <c r="S348" s="7" t="s">
        <v>10874</v>
      </c>
      <c r="T348" s="7"/>
      <c r="U348" s="7" t="s">
        <v>10875</v>
      </c>
    </row>
    <row r="349" customFormat="false" ht="46.25" hidden="false" customHeight="false" outlineLevel="0" collapsed="false">
      <c r="A349" s="7" t="n">
        <v>115</v>
      </c>
      <c r="B349" s="7" t="s">
        <v>1350</v>
      </c>
      <c r="C349" s="7" t="s">
        <v>7705</v>
      </c>
      <c r="D349" s="7" t="s">
        <v>10876</v>
      </c>
      <c r="E349" s="7" t="s">
        <v>10877</v>
      </c>
      <c r="F349" s="7" t="n">
        <v>2022</v>
      </c>
      <c r="G349" s="7" t="s">
        <v>7792</v>
      </c>
      <c r="H349" s="7" t="s">
        <v>7793</v>
      </c>
      <c r="I349" s="7" t="s">
        <v>10878</v>
      </c>
      <c r="J349" s="7" t="s">
        <v>7711</v>
      </c>
      <c r="K349" s="7" t="s">
        <v>10879</v>
      </c>
      <c r="L349" s="7" t="s">
        <v>10880</v>
      </c>
      <c r="M349" s="7" t="s">
        <v>7714</v>
      </c>
      <c r="N349" s="7" t="s">
        <v>8043</v>
      </c>
      <c r="O349" s="7"/>
      <c r="P349" s="7" t="s">
        <v>7690</v>
      </c>
      <c r="Q349" s="7" t="s">
        <v>7716</v>
      </c>
      <c r="R349" s="7" t="s">
        <v>7692</v>
      </c>
      <c r="S349" s="7" t="s">
        <v>10881</v>
      </c>
      <c r="T349" s="7"/>
      <c r="U349" s="7" t="s">
        <v>10882</v>
      </c>
    </row>
    <row r="350" customFormat="false" ht="35.05" hidden="false" customHeight="false" outlineLevel="0" collapsed="false">
      <c r="A350" s="7" t="n">
        <v>84</v>
      </c>
      <c r="B350" s="7" t="s">
        <v>1048</v>
      </c>
      <c r="C350" s="7" t="s">
        <v>7705</v>
      </c>
      <c r="D350" s="7" t="s">
        <v>10883</v>
      </c>
      <c r="E350" s="7" t="s">
        <v>10884</v>
      </c>
      <c r="F350" s="7" t="n">
        <v>2022</v>
      </c>
      <c r="G350" s="7" t="s">
        <v>7792</v>
      </c>
      <c r="H350" s="7" t="s">
        <v>7793</v>
      </c>
      <c r="I350" s="7" t="s">
        <v>10885</v>
      </c>
      <c r="J350" s="7" t="s">
        <v>7711</v>
      </c>
      <c r="K350" s="7" t="s">
        <v>10886</v>
      </c>
      <c r="L350" s="7" t="s">
        <v>10887</v>
      </c>
      <c r="M350" s="7" t="s">
        <v>7714</v>
      </c>
      <c r="N350" s="7" t="s">
        <v>8043</v>
      </c>
      <c r="O350" s="7"/>
      <c r="P350" s="7" t="s">
        <v>7690</v>
      </c>
      <c r="Q350" s="7" t="s">
        <v>7716</v>
      </c>
      <c r="R350" s="7" t="s">
        <v>7692</v>
      </c>
      <c r="S350" s="7" t="s">
        <v>10888</v>
      </c>
      <c r="T350" s="7"/>
      <c r="U350" s="7" t="s">
        <v>10889</v>
      </c>
    </row>
    <row r="351" customFormat="false" ht="57.45" hidden="false" customHeight="false" outlineLevel="0" collapsed="false">
      <c r="A351" s="7" t="n">
        <v>84</v>
      </c>
      <c r="B351" s="7" t="s">
        <v>1048</v>
      </c>
      <c r="C351" s="7" t="s">
        <v>7679</v>
      </c>
      <c r="D351" s="7" t="s">
        <v>10890</v>
      </c>
      <c r="E351" s="7" t="s">
        <v>10891</v>
      </c>
      <c r="F351" s="7" t="n">
        <v>2025</v>
      </c>
      <c r="G351" s="7" t="s">
        <v>10892</v>
      </c>
      <c r="H351" s="7" t="s">
        <v>10893</v>
      </c>
      <c r="I351" s="7" t="s">
        <v>10894</v>
      </c>
      <c r="J351" s="7" t="s">
        <v>9952</v>
      </c>
      <c r="K351" s="7" t="s">
        <v>10895</v>
      </c>
      <c r="L351" s="7" t="s">
        <v>10896</v>
      </c>
      <c r="M351" s="7" t="s">
        <v>10897</v>
      </c>
      <c r="N351" s="7" t="s">
        <v>10898</v>
      </c>
      <c r="O351" s="7" t="s">
        <v>10899</v>
      </c>
      <c r="P351" s="7" t="s">
        <v>7690</v>
      </c>
      <c r="Q351" s="7" t="s">
        <v>7691</v>
      </c>
      <c r="R351" s="7" t="s">
        <v>7692</v>
      </c>
      <c r="S351" s="7" t="s">
        <v>10900</v>
      </c>
      <c r="T351" s="7"/>
      <c r="U351" s="7" t="s">
        <v>10901</v>
      </c>
    </row>
    <row r="352" customFormat="false" ht="46.25" hidden="false" customHeight="false" outlineLevel="0" collapsed="false">
      <c r="A352" s="7" t="n">
        <v>92</v>
      </c>
      <c r="B352" s="7" t="s">
        <v>1132</v>
      </c>
      <c r="C352" s="7" t="s">
        <v>7705</v>
      </c>
      <c r="D352" s="7" t="s">
        <v>10902</v>
      </c>
      <c r="E352" s="7" t="s">
        <v>10903</v>
      </c>
      <c r="F352" s="7" t="n">
        <v>2023</v>
      </c>
      <c r="G352" s="7" t="s">
        <v>7792</v>
      </c>
      <c r="H352" s="7" t="s">
        <v>7793</v>
      </c>
      <c r="I352" s="7" t="s">
        <v>10904</v>
      </c>
      <c r="J352" s="7" t="s">
        <v>8175</v>
      </c>
      <c r="K352" s="7" t="s">
        <v>10905</v>
      </c>
      <c r="L352" s="7" t="s">
        <v>10906</v>
      </c>
      <c r="M352" s="7" t="s">
        <v>7714</v>
      </c>
      <c r="N352" s="7" t="s">
        <v>8274</v>
      </c>
      <c r="O352" s="7"/>
      <c r="P352" s="7" t="s">
        <v>7690</v>
      </c>
      <c r="Q352" s="7" t="s">
        <v>7716</v>
      </c>
      <c r="R352" s="7" t="s">
        <v>7692</v>
      </c>
      <c r="S352" s="7" t="s">
        <v>10907</v>
      </c>
      <c r="T352" s="7"/>
      <c r="U352" s="7" t="s">
        <v>10908</v>
      </c>
    </row>
    <row r="353" customFormat="false" ht="57.45" hidden="false" customHeight="false" outlineLevel="0" collapsed="false">
      <c r="A353" s="7" t="n">
        <v>92</v>
      </c>
      <c r="B353" s="7" t="s">
        <v>1132</v>
      </c>
      <c r="C353" s="7" t="s">
        <v>7679</v>
      </c>
      <c r="D353" s="7" t="s">
        <v>10909</v>
      </c>
      <c r="E353" s="7" t="s">
        <v>10910</v>
      </c>
      <c r="F353" s="7" t="n">
        <v>2025</v>
      </c>
      <c r="G353" s="7" t="s">
        <v>10911</v>
      </c>
      <c r="H353" s="7" t="s">
        <v>10118</v>
      </c>
      <c r="I353" s="7" t="s">
        <v>10912</v>
      </c>
      <c r="J353" s="7" t="s">
        <v>7315</v>
      </c>
      <c r="K353" s="7" t="s">
        <v>10913</v>
      </c>
      <c r="L353" s="7" t="s">
        <v>10914</v>
      </c>
      <c r="M353" s="7" t="s">
        <v>9397</v>
      </c>
      <c r="N353" s="7" t="s">
        <v>10915</v>
      </c>
      <c r="O353" s="7"/>
      <c r="P353" s="7" t="s">
        <v>7690</v>
      </c>
      <c r="Q353" s="7" t="s">
        <v>7727</v>
      </c>
      <c r="R353" s="7" t="s">
        <v>7692</v>
      </c>
      <c r="S353" s="7" t="s">
        <v>10916</v>
      </c>
      <c r="T353" s="7"/>
      <c r="U353" s="7" t="s">
        <v>10917</v>
      </c>
    </row>
    <row r="354" customFormat="false" ht="46.25" hidden="false" customHeight="false" outlineLevel="0" collapsed="false">
      <c r="A354" s="7" t="n">
        <v>92</v>
      </c>
      <c r="B354" s="7" t="s">
        <v>1132</v>
      </c>
      <c r="C354" s="7" t="s">
        <v>7679</v>
      </c>
      <c r="D354" s="7" t="s">
        <v>10918</v>
      </c>
      <c r="E354" s="7" t="s">
        <v>10919</v>
      </c>
      <c r="F354" s="7" t="n">
        <v>2026</v>
      </c>
      <c r="G354" s="7" t="s">
        <v>8364</v>
      </c>
      <c r="H354" s="7" t="s">
        <v>10920</v>
      </c>
      <c r="I354" s="7" t="s">
        <v>10921</v>
      </c>
      <c r="J354" s="7" t="s">
        <v>7765</v>
      </c>
      <c r="K354" s="7" t="s">
        <v>10922</v>
      </c>
      <c r="L354" s="7" t="s">
        <v>10923</v>
      </c>
      <c r="M354" s="7" t="s">
        <v>10924</v>
      </c>
      <c r="N354" s="7" t="s">
        <v>8294</v>
      </c>
      <c r="O354" s="7"/>
      <c r="P354" s="7" t="s">
        <v>7690</v>
      </c>
      <c r="Q354" s="7" t="s">
        <v>7727</v>
      </c>
      <c r="R354" s="7" t="s">
        <v>7692</v>
      </c>
      <c r="S354" s="7" t="s">
        <v>10925</v>
      </c>
      <c r="T354" s="7"/>
      <c r="U354" s="7" t="s">
        <v>10926</v>
      </c>
    </row>
    <row r="355" customFormat="false" ht="46.25" hidden="false" customHeight="false" outlineLevel="0" collapsed="false">
      <c r="A355" s="7" t="n">
        <v>91</v>
      </c>
      <c r="B355" s="7" t="s">
        <v>1121</v>
      </c>
      <c r="C355" s="7" t="s">
        <v>7705</v>
      </c>
      <c r="D355" s="7" t="s">
        <v>10927</v>
      </c>
      <c r="E355" s="7" t="s">
        <v>10928</v>
      </c>
      <c r="F355" s="7" t="n">
        <v>2023</v>
      </c>
      <c r="G355" s="7" t="s">
        <v>7792</v>
      </c>
      <c r="H355" s="7" t="s">
        <v>7793</v>
      </c>
      <c r="I355" s="7" t="s">
        <v>10929</v>
      </c>
      <c r="J355" s="7" t="s">
        <v>7711</v>
      </c>
      <c r="K355" s="7" t="s">
        <v>10930</v>
      </c>
      <c r="L355" s="7" t="s">
        <v>10931</v>
      </c>
      <c r="M355" s="7" t="s">
        <v>10932</v>
      </c>
      <c r="N355" s="7" t="s">
        <v>8043</v>
      </c>
      <c r="O355" s="7"/>
      <c r="P355" s="7" t="s">
        <v>7690</v>
      </c>
      <c r="Q355" s="7" t="s">
        <v>7716</v>
      </c>
      <c r="R355" s="7" t="s">
        <v>7692</v>
      </c>
      <c r="S355" s="7" t="s">
        <v>10933</v>
      </c>
      <c r="T355" s="7"/>
      <c r="U355" s="7" t="s">
        <v>10934</v>
      </c>
    </row>
    <row r="356" customFormat="false" ht="46.25" hidden="false" customHeight="false" outlineLevel="0" collapsed="false">
      <c r="A356" s="7" t="n">
        <v>91</v>
      </c>
      <c r="B356" s="7" t="s">
        <v>1121</v>
      </c>
      <c r="C356" s="7" t="s">
        <v>7679</v>
      </c>
      <c r="D356" s="7" t="s">
        <v>10935</v>
      </c>
      <c r="E356" s="7" t="s">
        <v>10936</v>
      </c>
      <c r="F356" s="7" t="n">
        <v>2026</v>
      </c>
      <c r="G356" s="7" t="s">
        <v>10937</v>
      </c>
      <c r="H356" s="7" t="s">
        <v>10938</v>
      </c>
      <c r="I356" s="7" t="s">
        <v>8588</v>
      </c>
      <c r="J356" s="7" t="s">
        <v>7315</v>
      </c>
      <c r="K356" s="7" t="s">
        <v>10939</v>
      </c>
      <c r="L356" s="7" t="s">
        <v>10940</v>
      </c>
      <c r="M356" s="7" t="s">
        <v>10941</v>
      </c>
      <c r="N356" s="7" t="s">
        <v>10942</v>
      </c>
      <c r="O356" s="7" t="s">
        <v>10943</v>
      </c>
      <c r="P356" s="7" t="s">
        <v>10183</v>
      </c>
      <c r="Q356" s="7" t="s">
        <v>7727</v>
      </c>
      <c r="R356" s="7" t="s">
        <v>7692</v>
      </c>
      <c r="S356" s="7" t="s">
        <v>10944</v>
      </c>
      <c r="T356" s="7"/>
      <c r="U356" s="7" t="s">
        <v>10945</v>
      </c>
    </row>
    <row r="357" customFormat="false" ht="57.45" hidden="false" customHeight="false" outlineLevel="0" collapsed="false">
      <c r="A357" s="7" t="n">
        <v>68</v>
      </c>
      <c r="B357" s="7" t="s">
        <v>877</v>
      </c>
      <c r="C357" s="7" t="s">
        <v>7705</v>
      </c>
      <c r="D357" s="7" t="s">
        <v>10946</v>
      </c>
      <c r="E357" s="7" t="s">
        <v>10947</v>
      </c>
      <c r="F357" s="7" t="n">
        <v>2021</v>
      </c>
      <c r="G357" s="7" t="s">
        <v>7792</v>
      </c>
      <c r="H357" s="7" t="s">
        <v>10948</v>
      </c>
      <c r="I357" s="7" t="s">
        <v>10949</v>
      </c>
      <c r="J357" s="7" t="s">
        <v>7711</v>
      </c>
      <c r="K357" s="7" t="s">
        <v>10950</v>
      </c>
      <c r="L357" s="7" t="s">
        <v>10951</v>
      </c>
      <c r="M357" s="7" t="s">
        <v>7714</v>
      </c>
      <c r="N357" s="7" t="s">
        <v>9129</v>
      </c>
      <c r="O357" s="7"/>
      <c r="P357" s="7" t="s">
        <v>7690</v>
      </c>
      <c r="Q357" s="7" t="s">
        <v>10952</v>
      </c>
      <c r="R357" s="7" t="s">
        <v>7692</v>
      </c>
      <c r="S357" s="7" t="s">
        <v>10953</v>
      </c>
      <c r="T357" s="7" t="s">
        <v>10954</v>
      </c>
      <c r="U357" s="7" t="s">
        <v>10955</v>
      </c>
    </row>
    <row r="358" customFormat="false" ht="35.05" hidden="false" customHeight="false" outlineLevel="0" collapsed="false">
      <c r="A358" s="7" t="n">
        <v>68</v>
      </c>
      <c r="B358" s="7" t="s">
        <v>877</v>
      </c>
      <c r="C358" s="7" t="s">
        <v>7679</v>
      </c>
      <c r="D358" s="7" t="s">
        <v>10956</v>
      </c>
      <c r="E358" s="7" t="s">
        <v>10957</v>
      </c>
      <c r="F358" s="7" t="n">
        <v>2020</v>
      </c>
      <c r="G358" s="7" t="s">
        <v>7682</v>
      </c>
      <c r="H358" s="7" t="s">
        <v>10958</v>
      </c>
      <c r="I358" s="7" t="s">
        <v>10959</v>
      </c>
      <c r="J358" s="7" t="s">
        <v>7765</v>
      </c>
      <c r="K358" s="7" t="s">
        <v>10960</v>
      </c>
      <c r="L358" s="7" t="s">
        <v>10961</v>
      </c>
      <c r="M358" s="7" t="s">
        <v>10962</v>
      </c>
      <c r="N358" s="7" t="s">
        <v>10963</v>
      </c>
      <c r="O358" s="7"/>
      <c r="P358" s="7" t="s">
        <v>7690</v>
      </c>
      <c r="Q358" s="7" t="s">
        <v>7691</v>
      </c>
      <c r="R358" s="7" t="s">
        <v>7692</v>
      </c>
      <c r="S358" s="7" t="s">
        <v>10964</v>
      </c>
      <c r="T358" s="7" t="s">
        <v>10965</v>
      </c>
      <c r="U358" s="7"/>
    </row>
    <row r="359" customFormat="false" ht="46.25" hidden="false" customHeight="false" outlineLevel="0" collapsed="false">
      <c r="A359" s="7" t="n">
        <v>68</v>
      </c>
      <c r="B359" s="7" t="s">
        <v>877</v>
      </c>
      <c r="C359" s="7" t="s">
        <v>7679</v>
      </c>
      <c r="D359" s="7" t="s">
        <v>10966</v>
      </c>
      <c r="E359" s="7" t="s">
        <v>10967</v>
      </c>
      <c r="F359" s="7" t="n">
        <v>2026</v>
      </c>
      <c r="G359" s="7" t="s">
        <v>7682</v>
      </c>
      <c r="H359" s="7" t="s">
        <v>10968</v>
      </c>
      <c r="I359" s="7" t="s">
        <v>10969</v>
      </c>
      <c r="J359" s="7" t="s">
        <v>10970</v>
      </c>
      <c r="K359" s="7" t="s">
        <v>10971</v>
      </c>
      <c r="L359" s="7" t="s">
        <v>10972</v>
      </c>
      <c r="M359" s="7" t="s">
        <v>10973</v>
      </c>
      <c r="N359" s="7" t="s">
        <v>10974</v>
      </c>
      <c r="O359" s="7"/>
      <c r="P359" s="7" t="s">
        <v>7981</v>
      </c>
      <c r="Q359" s="7" t="s">
        <v>7727</v>
      </c>
      <c r="R359" s="7" t="s">
        <v>7692</v>
      </c>
      <c r="S359" s="7" t="s">
        <v>10975</v>
      </c>
      <c r="T359" s="7" t="s">
        <v>10976</v>
      </c>
      <c r="U359" s="7"/>
    </row>
    <row r="360" customFormat="false" ht="46.25" hidden="false" customHeight="false" outlineLevel="0" collapsed="false">
      <c r="A360" s="7" t="n">
        <v>68</v>
      </c>
      <c r="B360" s="7" t="s">
        <v>877</v>
      </c>
      <c r="C360" s="7" t="s">
        <v>7679</v>
      </c>
      <c r="D360" s="7" t="s">
        <v>10977</v>
      </c>
      <c r="E360" s="7" t="s">
        <v>10978</v>
      </c>
      <c r="F360" s="7" t="n">
        <v>2022</v>
      </c>
      <c r="G360" s="7" t="s">
        <v>9753</v>
      </c>
      <c r="H360" s="7" t="s">
        <v>10979</v>
      </c>
      <c r="I360" s="7" t="s">
        <v>10980</v>
      </c>
      <c r="J360" s="7" t="s">
        <v>10970</v>
      </c>
      <c r="K360" s="7" t="s">
        <v>10981</v>
      </c>
      <c r="L360" s="7" t="s">
        <v>10982</v>
      </c>
      <c r="M360" s="7" t="s">
        <v>10983</v>
      </c>
      <c r="N360" s="7" t="s">
        <v>10984</v>
      </c>
      <c r="O360" s="7"/>
      <c r="P360" s="7" t="s">
        <v>7690</v>
      </c>
      <c r="Q360" s="7" t="s">
        <v>7716</v>
      </c>
      <c r="R360" s="7" t="s">
        <v>7692</v>
      </c>
      <c r="S360" s="7" t="s">
        <v>10985</v>
      </c>
      <c r="T360" s="7"/>
      <c r="U360" s="7" t="s">
        <v>10986</v>
      </c>
    </row>
    <row r="361" customFormat="false" ht="46.25" hidden="false" customHeight="false" outlineLevel="0" collapsed="false">
      <c r="A361" s="7" t="n">
        <v>68</v>
      </c>
      <c r="B361" s="7" t="s">
        <v>877</v>
      </c>
      <c r="C361" s="7" t="s">
        <v>7679</v>
      </c>
      <c r="D361" s="7" t="s">
        <v>10987</v>
      </c>
      <c r="E361" s="7" t="s">
        <v>10988</v>
      </c>
      <c r="F361" s="7" t="n">
        <v>2020</v>
      </c>
      <c r="G361" s="7" t="s">
        <v>9552</v>
      </c>
      <c r="H361" s="7" t="s">
        <v>10989</v>
      </c>
      <c r="I361" s="7" t="s">
        <v>10990</v>
      </c>
      <c r="J361" s="7" t="s">
        <v>10970</v>
      </c>
      <c r="K361" s="7" t="s">
        <v>10991</v>
      </c>
      <c r="L361" s="7" t="s">
        <v>10992</v>
      </c>
      <c r="M361" s="7" t="s">
        <v>10993</v>
      </c>
      <c r="N361" s="7" t="s">
        <v>10994</v>
      </c>
      <c r="O361" s="7"/>
      <c r="P361" s="7" t="s">
        <v>7690</v>
      </c>
      <c r="Q361" s="7" t="s">
        <v>7727</v>
      </c>
      <c r="R361" s="7" t="s">
        <v>7692</v>
      </c>
      <c r="S361" s="7" t="s">
        <v>10995</v>
      </c>
      <c r="T361" s="7" t="s">
        <v>10996</v>
      </c>
      <c r="U361" s="7" t="s">
        <v>10997</v>
      </c>
    </row>
    <row r="362" customFormat="false" ht="35.05" hidden="false" customHeight="false" outlineLevel="0" collapsed="false">
      <c r="A362" s="7" t="n">
        <v>68</v>
      </c>
      <c r="B362" s="7" t="s">
        <v>877</v>
      </c>
      <c r="C362" s="7" t="s">
        <v>7679</v>
      </c>
      <c r="D362" s="7" t="s">
        <v>10998</v>
      </c>
      <c r="E362" s="7" t="s">
        <v>10999</v>
      </c>
      <c r="F362" s="7" t="n">
        <v>2021</v>
      </c>
      <c r="G362" s="7" t="s">
        <v>8364</v>
      </c>
      <c r="H362" s="7" t="s">
        <v>8295</v>
      </c>
      <c r="I362" s="7" t="s">
        <v>11000</v>
      </c>
      <c r="J362" s="7" t="s">
        <v>11001</v>
      </c>
      <c r="K362" s="7" t="s">
        <v>11002</v>
      </c>
      <c r="L362" s="7" t="s">
        <v>11003</v>
      </c>
      <c r="M362" s="7" t="s">
        <v>11004</v>
      </c>
      <c r="N362" s="7" t="s">
        <v>11005</v>
      </c>
      <c r="O362" s="7"/>
      <c r="P362" s="7" t="s">
        <v>7690</v>
      </c>
      <c r="Q362" s="7" t="s">
        <v>7727</v>
      </c>
      <c r="R362" s="7" t="s">
        <v>7692</v>
      </c>
      <c r="S362" s="7" t="s">
        <v>11006</v>
      </c>
      <c r="T362" s="7"/>
      <c r="U362" s="7" t="s">
        <v>11007</v>
      </c>
    </row>
    <row r="363" customFormat="false" ht="46.25" hidden="false" customHeight="false" outlineLevel="0" collapsed="false">
      <c r="A363" s="7" t="n">
        <v>68</v>
      </c>
      <c r="B363" s="7" t="s">
        <v>877</v>
      </c>
      <c r="C363" s="7" t="s">
        <v>7679</v>
      </c>
      <c r="D363" s="7" t="s">
        <v>11008</v>
      </c>
      <c r="E363" s="7" t="s">
        <v>11009</v>
      </c>
      <c r="F363" s="7" t="n">
        <v>2017</v>
      </c>
      <c r="G363" s="7" t="s">
        <v>9753</v>
      </c>
      <c r="H363" s="7" t="s">
        <v>11010</v>
      </c>
      <c r="I363" s="7" t="s">
        <v>11011</v>
      </c>
      <c r="J363" s="7" t="s">
        <v>11001</v>
      </c>
      <c r="K363" s="7" t="s">
        <v>11012</v>
      </c>
      <c r="L363" s="7" t="s">
        <v>11013</v>
      </c>
      <c r="M363" s="7" t="s">
        <v>11014</v>
      </c>
      <c r="N363" s="7" t="s">
        <v>10831</v>
      </c>
      <c r="O363" s="7"/>
      <c r="P363" s="7" t="s">
        <v>7690</v>
      </c>
      <c r="Q363" s="7" t="s">
        <v>7727</v>
      </c>
      <c r="R363" s="7" t="s">
        <v>7692</v>
      </c>
      <c r="S363" s="7" t="s">
        <v>11015</v>
      </c>
      <c r="T363" s="7"/>
      <c r="U363" s="7"/>
    </row>
    <row r="364" customFormat="false" ht="35.05" hidden="false" customHeight="false" outlineLevel="0" collapsed="false">
      <c r="A364" s="7" t="n">
        <v>64</v>
      </c>
      <c r="B364" s="7" t="s">
        <v>832</v>
      </c>
      <c r="C364" s="7" t="s">
        <v>7705</v>
      </c>
      <c r="D364" s="7" t="s">
        <v>11016</v>
      </c>
      <c r="E364" s="7" t="s">
        <v>11017</v>
      </c>
      <c r="F364" s="7" t="n">
        <v>2021</v>
      </c>
      <c r="G364" s="7" t="s">
        <v>7792</v>
      </c>
      <c r="H364" s="7" t="s">
        <v>7793</v>
      </c>
      <c r="I364" s="7" t="s">
        <v>11018</v>
      </c>
      <c r="J364" s="7" t="s">
        <v>7711</v>
      </c>
      <c r="K364" s="7" t="s">
        <v>11019</v>
      </c>
      <c r="L364" s="7" t="s">
        <v>11020</v>
      </c>
      <c r="M364" s="7" t="s">
        <v>7714</v>
      </c>
      <c r="N364" s="7" t="s">
        <v>8043</v>
      </c>
      <c r="O364" s="7"/>
      <c r="P364" s="7" t="s">
        <v>7690</v>
      </c>
      <c r="Q364" s="7" t="s">
        <v>7716</v>
      </c>
      <c r="R364" s="7" t="s">
        <v>7692</v>
      </c>
      <c r="S364" s="7" t="s">
        <v>11021</v>
      </c>
      <c r="T364" s="7"/>
      <c r="U364" s="7" t="s">
        <v>11022</v>
      </c>
    </row>
    <row r="365" customFormat="false" ht="35.05" hidden="false" customHeight="false" outlineLevel="0" collapsed="false">
      <c r="A365" s="7" t="n">
        <v>64</v>
      </c>
      <c r="B365" s="7" t="s">
        <v>832</v>
      </c>
      <c r="C365" s="7" t="s">
        <v>7679</v>
      </c>
      <c r="D365" s="7" t="s">
        <v>11023</v>
      </c>
      <c r="E365" s="7" t="s">
        <v>11024</v>
      </c>
      <c r="F365" s="7" t="n">
        <v>2025</v>
      </c>
      <c r="G365" s="7" t="s">
        <v>11025</v>
      </c>
      <c r="H365" s="7" t="s">
        <v>7862</v>
      </c>
      <c r="I365" s="7" t="s">
        <v>11026</v>
      </c>
      <c r="J365" s="7" t="s">
        <v>11027</v>
      </c>
      <c r="K365" s="7" t="s">
        <v>11028</v>
      </c>
      <c r="L365" s="7" t="s">
        <v>11029</v>
      </c>
      <c r="M365" s="7" t="s">
        <v>11030</v>
      </c>
      <c r="N365" s="7" t="s">
        <v>11031</v>
      </c>
      <c r="O365" s="7"/>
      <c r="P365" s="7" t="s">
        <v>7690</v>
      </c>
      <c r="Q365" s="7" t="s">
        <v>11032</v>
      </c>
      <c r="R365" s="7" t="s">
        <v>7692</v>
      </c>
      <c r="S365" s="7" t="s">
        <v>11033</v>
      </c>
      <c r="T365" s="7"/>
      <c r="U365" s="7"/>
    </row>
    <row r="366" customFormat="false" ht="57.45" hidden="false" customHeight="false" outlineLevel="0" collapsed="false">
      <c r="A366" s="7" t="n">
        <v>64</v>
      </c>
      <c r="B366" s="7" t="s">
        <v>832</v>
      </c>
      <c r="C366" s="7" t="s">
        <v>7679</v>
      </c>
      <c r="D366" s="7" t="s">
        <v>11034</v>
      </c>
      <c r="E366" s="7" t="s">
        <v>11035</v>
      </c>
      <c r="F366" s="7" t="n">
        <v>2026</v>
      </c>
      <c r="G366" s="7" t="s">
        <v>11036</v>
      </c>
      <c r="H366" s="7" t="s">
        <v>11037</v>
      </c>
      <c r="I366" s="7" t="s">
        <v>8588</v>
      </c>
      <c r="J366" s="7" t="s">
        <v>7315</v>
      </c>
      <c r="K366" s="7" t="s">
        <v>11038</v>
      </c>
      <c r="L366" s="7" t="s">
        <v>11039</v>
      </c>
      <c r="M366" s="7" t="s">
        <v>8954</v>
      </c>
      <c r="N366" s="7" t="s">
        <v>11040</v>
      </c>
      <c r="O366" s="7"/>
      <c r="P366" s="7" t="s">
        <v>7690</v>
      </c>
      <c r="Q366" s="7" t="s">
        <v>11041</v>
      </c>
      <c r="R366" s="7" t="s">
        <v>7692</v>
      </c>
      <c r="S366" s="7" t="s">
        <v>11042</v>
      </c>
      <c r="T366" s="7"/>
      <c r="U366" s="7" t="s">
        <v>11043</v>
      </c>
    </row>
    <row r="367" customFormat="false" ht="46.25" hidden="false" customHeight="false" outlineLevel="0" collapsed="false">
      <c r="A367" s="7" t="n">
        <v>64</v>
      </c>
      <c r="B367" s="7" t="s">
        <v>832</v>
      </c>
      <c r="C367" s="7" t="s">
        <v>7679</v>
      </c>
      <c r="D367" s="7" t="s">
        <v>11044</v>
      </c>
      <c r="E367" s="7" t="s">
        <v>11045</v>
      </c>
      <c r="F367" s="7" t="n">
        <v>2022</v>
      </c>
      <c r="G367" s="7" t="s">
        <v>11046</v>
      </c>
      <c r="H367" s="7" t="s">
        <v>11047</v>
      </c>
      <c r="I367" s="7" t="s">
        <v>11048</v>
      </c>
      <c r="J367" s="7" t="s">
        <v>10106</v>
      </c>
      <c r="K367" s="7" t="s">
        <v>11049</v>
      </c>
      <c r="L367" s="7" t="s">
        <v>11050</v>
      </c>
      <c r="M367" s="7" t="s">
        <v>11051</v>
      </c>
      <c r="N367" s="7" t="s">
        <v>11052</v>
      </c>
      <c r="O367" s="7" t="s">
        <v>11053</v>
      </c>
      <c r="P367" s="7" t="s">
        <v>7690</v>
      </c>
      <c r="Q367" s="7" t="s">
        <v>11041</v>
      </c>
      <c r="R367" s="7" t="s">
        <v>7692</v>
      </c>
      <c r="S367" s="7" t="s">
        <v>11054</v>
      </c>
      <c r="T367" s="7"/>
      <c r="U367" s="7" t="s">
        <v>11055</v>
      </c>
    </row>
    <row r="368" customFormat="false" ht="35.05" hidden="false" customHeight="false" outlineLevel="0" collapsed="false">
      <c r="A368" s="7" t="n">
        <v>93</v>
      </c>
      <c r="B368" s="7" t="s">
        <v>1143</v>
      </c>
      <c r="C368" s="7" t="s">
        <v>7705</v>
      </c>
      <c r="D368" s="7" t="s">
        <v>11056</v>
      </c>
      <c r="E368" s="7" t="s">
        <v>11057</v>
      </c>
      <c r="F368" s="7" t="n">
        <v>2023</v>
      </c>
      <c r="G368" s="7" t="s">
        <v>10801</v>
      </c>
      <c r="H368" s="7" t="s">
        <v>11058</v>
      </c>
      <c r="I368" s="7" t="s">
        <v>11059</v>
      </c>
      <c r="J368" s="7" t="s">
        <v>7711</v>
      </c>
      <c r="K368" s="7" t="s">
        <v>11060</v>
      </c>
      <c r="L368" s="7" t="s">
        <v>11061</v>
      </c>
      <c r="M368" s="7" t="s">
        <v>11062</v>
      </c>
      <c r="N368" s="7" t="s">
        <v>11063</v>
      </c>
      <c r="O368" s="7"/>
      <c r="P368" s="7" t="s">
        <v>7690</v>
      </c>
      <c r="Q368" s="7" t="s">
        <v>7716</v>
      </c>
      <c r="R368" s="7" t="s">
        <v>7692</v>
      </c>
      <c r="S368" s="7" t="s">
        <v>11064</v>
      </c>
      <c r="T368" s="7"/>
      <c r="U368" s="7"/>
    </row>
    <row r="369" customFormat="false" ht="35.05" hidden="false" customHeight="false" outlineLevel="0" collapsed="false">
      <c r="A369" s="7" t="n">
        <v>93</v>
      </c>
      <c r="B369" s="7" t="s">
        <v>1143</v>
      </c>
      <c r="C369" s="7" t="s">
        <v>7679</v>
      </c>
      <c r="D369" s="7" t="s">
        <v>11065</v>
      </c>
      <c r="E369" s="7" t="s">
        <v>11066</v>
      </c>
      <c r="F369" s="7" t="n">
        <v>2023</v>
      </c>
      <c r="G369" s="7" t="s">
        <v>9083</v>
      </c>
      <c r="H369" s="7" t="s">
        <v>7793</v>
      </c>
      <c r="I369" s="7" t="s">
        <v>11067</v>
      </c>
      <c r="J369" s="7" t="s">
        <v>11068</v>
      </c>
      <c r="K369" s="7" t="s">
        <v>11069</v>
      </c>
      <c r="L369" s="7" t="s">
        <v>11070</v>
      </c>
      <c r="M369" s="7" t="s">
        <v>10932</v>
      </c>
      <c r="N369" s="7" t="s">
        <v>8043</v>
      </c>
      <c r="O369" s="7"/>
      <c r="P369" s="7" t="s">
        <v>7690</v>
      </c>
      <c r="Q369" s="7" t="s">
        <v>7727</v>
      </c>
      <c r="R369" s="7" t="s">
        <v>7692</v>
      </c>
      <c r="S369" s="7" t="s">
        <v>11071</v>
      </c>
      <c r="T369" s="7"/>
      <c r="U369" s="7"/>
    </row>
    <row r="370" customFormat="false" ht="46.25" hidden="false" customHeight="false" outlineLevel="0" collapsed="false">
      <c r="A370" s="7" t="n">
        <v>93</v>
      </c>
      <c r="B370" s="7" t="s">
        <v>1143</v>
      </c>
      <c r="C370" s="7" t="s">
        <v>7679</v>
      </c>
      <c r="D370" s="7" t="s">
        <v>11072</v>
      </c>
      <c r="E370" s="7" t="s">
        <v>11073</v>
      </c>
      <c r="F370" s="7" t="n">
        <v>2023</v>
      </c>
      <c r="G370" s="7" t="s">
        <v>11074</v>
      </c>
      <c r="H370" s="7" t="s">
        <v>11075</v>
      </c>
      <c r="I370" s="7" t="s">
        <v>11076</v>
      </c>
      <c r="J370" s="7" t="s">
        <v>10727</v>
      </c>
      <c r="K370" s="7" t="s">
        <v>11077</v>
      </c>
      <c r="L370" s="7" t="s">
        <v>11078</v>
      </c>
      <c r="M370" s="7" t="s">
        <v>9496</v>
      </c>
      <c r="N370" s="7" t="s">
        <v>11079</v>
      </c>
      <c r="O370" s="7"/>
      <c r="P370" s="7" t="s">
        <v>7690</v>
      </c>
      <c r="Q370" s="7" t="s">
        <v>7691</v>
      </c>
      <c r="R370" s="7" t="s">
        <v>7692</v>
      </c>
      <c r="S370" s="7" t="s">
        <v>11080</v>
      </c>
      <c r="T370" s="7"/>
      <c r="U370" s="7"/>
    </row>
    <row r="371" customFormat="false" ht="46.25" hidden="false" customHeight="false" outlineLevel="0" collapsed="false">
      <c r="A371" s="7" t="n">
        <v>80</v>
      </c>
      <c r="B371" s="7" t="s">
        <v>1007</v>
      </c>
      <c r="C371" s="7" t="s">
        <v>7705</v>
      </c>
      <c r="D371" s="7" t="s">
        <v>11081</v>
      </c>
      <c r="E371" s="7" t="s">
        <v>11082</v>
      </c>
      <c r="F371" s="7" t="n">
        <v>2022</v>
      </c>
      <c r="G371" s="7" t="s">
        <v>7792</v>
      </c>
      <c r="H371" s="7" t="s">
        <v>7793</v>
      </c>
      <c r="I371" s="7" t="s">
        <v>11083</v>
      </c>
      <c r="J371" s="7" t="s">
        <v>8175</v>
      </c>
      <c r="K371" s="7" t="s">
        <v>11084</v>
      </c>
      <c r="L371" s="7" t="s">
        <v>11085</v>
      </c>
      <c r="M371" s="7" t="s">
        <v>7714</v>
      </c>
      <c r="N371" s="7" t="s">
        <v>9196</v>
      </c>
      <c r="O371" s="7"/>
      <c r="P371" s="7" t="s">
        <v>7690</v>
      </c>
      <c r="Q371" s="7" t="s">
        <v>7716</v>
      </c>
      <c r="R371" s="7" t="s">
        <v>7692</v>
      </c>
      <c r="S371" s="7" t="s">
        <v>11086</v>
      </c>
      <c r="T371" s="7" t="s">
        <v>11087</v>
      </c>
      <c r="U371" s="7" t="s">
        <v>11088</v>
      </c>
    </row>
    <row r="372" customFormat="false" ht="35.05" hidden="false" customHeight="false" outlineLevel="0" collapsed="false">
      <c r="A372" s="7" t="n">
        <v>80</v>
      </c>
      <c r="B372" s="7" t="s">
        <v>1007</v>
      </c>
      <c r="C372" s="7" t="s">
        <v>7679</v>
      </c>
      <c r="D372" s="7" t="s">
        <v>11089</v>
      </c>
      <c r="E372" s="7" t="s">
        <v>11090</v>
      </c>
      <c r="F372" s="7" t="n">
        <v>2022</v>
      </c>
      <c r="G372" s="7" t="s">
        <v>11091</v>
      </c>
      <c r="H372" s="7" t="s">
        <v>7722</v>
      </c>
      <c r="I372" s="7" t="s">
        <v>11092</v>
      </c>
      <c r="J372" s="7" t="s">
        <v>7711</v>
      </c>
      <c r="K372" s="7" t="s">
        <v>11093</v>
      </c>
      <c r="L372" s="7" t="s">
        <v>11094</v>
      </c>
      <c r="M372" s="7" t="s">
        <v>10932</v>
      </c>
      <c r="N372" s="7" t="s">
        <v>11095</v>
      </c>
      <c r="O372" s="7" t="s">
        <v>11096</v>
      </c>
      <c r="P372" s="7" t="s">
        <v>7690</v>
      </c>
      <c r="Q372" s="7" t="s">
        <v>7727</v>
      </c>
      <c r="R372" s="7" t="s">
        <v>7692</v>
      </c>
      <c r="S372" s="7" t="s">
        <v>11097</v>
      </c>
      <c r="T372" s="7"/>
      <c r="U372" s="7"/>
    </row>
    <row r="373" customFormat="false" ht="46.25" hidden="false" customHeight="false" outlineLevel="0" collapsed="false">
      <c r="A373" s="7" t="n">
        <v>85</v>
      </c>
      <c r="B373" s="7" t="s">
        <v>1059</v>
      </c>
      <c r="C373" s="7" t="s">
        <v>7705</v>
      </c>
      <c r="D373" s="7" t="s">
        <v>11098</v>
      </c>
      <c r="E373" s="7" t="s">
        <v>11099</v>
      </c>
      <c r="F373" s="7" t="n">
        <v>2022</v>
      </c>
      <c r="G373" s="7" t="s">
        <v>7792</v>
      </c>
      <c r="H373" s="7" t="s">
        <v>7793</v>
      </c>
      <c r="I373" s="7" t="s">
        <v>11100</v>
      </c>
      <c r="J373" s="7" t="s">
        <v>8175</v>
      </c>
      <c r="K373" s="7" t="s">
        <v>11101</v>
      </c>
      <c r="L373" s="7" t="s">
        <v>11102</v>
      </c>
      <c r="M373" s="7" t="s">
        <v>7714</v>
      </c>
      <c r="N373" s="7" t="s">
        <v>11103</v>
      </c>
      <c r="O373" s="7"/>
      <c r="P373" s="7" t="s">
        <v>7690</v>
      </c>
      <c r="Q373" s="7" t="s">
        <v>7716</v>
      </c>
      <c r="R373" s="7" t="s">
        <v>7692</v>
      </c>
      <c r="S373" s="7" t="s">
        <v>11104</v>
      </c>
      <c r="T373" s="7"/>
      <c r="U373" s="7" t="s">
        <v>11105</v>
      </c>
    </row>
    <row r="374" customFormat="false" ht="35.05" hidden="false" customHeight="false" outlineLevel="0" collapsed="false">
      <c r="A374" s="7" t="n">
        <v>83</v>
      </c>
      <c r="B374" s="7" t="s">
        <v>1037</v>
      </c>
      <c r="C374" s="7" t="s">
        <v>7705</v>
      </c>
      <c r="D374" s="7" t="s">
        <v>11106</v>
      </c>
      <c r="E374" s="7" t="s">
        <v>11107</v>
      </c>
      <c r="F374" s="7" t="n">
        <v>2022</v>
      </c>
      <c r="G374" s="7" t="s">
        <v>7792</v>
      </c>
      <c r="H374" s="7" t="s">
        <v>7793</v>
      </c>
      <c r="I374" s="7" t="s">
        <v>11108</v>
      </c>
      <c r="J374" s="7" t="s">
        <v>7711</v>
      </c>
      <c r="K374" s="7" t="s">
        <v>11109</v>
      </c>
      <c r="L374" s="7" t="s">
        <v>11110</v>
      </c>
      <c r="M374" s="7" t="s">
        <v>7714</v>
      </c>
      <c r="N374" s="7" t="s">
        <v>8043</v>
      </c>
      <c r="O374" s="7"/>
      <c r="P374" s="7" t="s">
        <v>7690</v>
      </c>
      <c r="Q374" s="7" t="s">
        <v>7716</v>
      </c>
      <c r="R374" s="7" t="s">
        <v>7692</v>
      </c>
      <c r="S374" s="7" t="s">
        <v>11111</v>
      </c>
      <c r="T374" s="7"/>
      <c r="U374" s="7"/>
    </row>
    <row r="375" customFormat="false" ht="46.25" hidden="false" customHeight="false" outlineLevel="0" collapsed="false">
      <c r="A375" s="7" t="n">
        <v>83</v>
      </c>
      <c r="B375" s="7" t="s">
        <v>1037</v>
      </c>
      <c r="C375" s="7" t="s">
        <v>7679</v>
      </c>
      <c r="D375" s="7" t="s">
        <v>11112</v>
      </c>
      <c r="E375" s="7" t="s">
        <v>11113</v>
      </c>
      <c r="F375" s="7" t="n">
        <v>2025</v>
      </c>
      <c r="G375" s="7" t="s">
        <v>11114</v>
      </c>
      <c r="H375" s="7" t="s">
        <v>11115</v>
      </c>
      <c r="I375" s="7" t="s">
        <v>11116</v>
      </c>
      <c r="J375" s="7" t="s">
        <v>11117</v>
      </c>
      <c r="K375" s="7" t="s">
        <v>11118</v>
      </c>
      <c r="L375" s="7" t="s">
        <v>11119</v>
      </c>
      <c r="M375" s="7" t="s">
        <v>11120</v>
      </c>
      <c r="N375" s="7" t="s">
        <v>11121</v>
      </c>
      <c r="O375" s="7" t="s">
        <v>11122</v>
      </c>
      <c r="P375" s="7" t="s">
        <v>7690</v>
      </c>
      <c r="Q375" s="7" t="s">
        <v>7691</v>
      </c>
      <c r="R375" s="7" t="s">
        <v>7692</v>
      </c>
      <c r="S375" s="7" t="s">
        <v>11123</v>
      </c>
      <c r="T375" s="7"/>
      <c r="U375" s="7" t="s">
        <v>11124</v>
      </c>
    </row>
    <row r="376" customFormat="false" ht="46.25" hidden="false" customHeight="false" outlineLevel="0" collapsed="false">
      <c r="A376" s="7" t="n">
        <v>90</v>
      </c>
      <c r="B376" s="7" t="s">
        <v>1110</v>
      </c>
      <c r="C376" s="7" t="s">
        <v>7705</v>
      </c>
      <c r="D376" s="7" t="s">
        <v>8251</v>
      </c>
      <c r="E376" s="7" t="s">
        <v>8252</v>
      </c>
      <c r="F376" s="7" t="n">
        <v>2022</v>
      </c>
      <c r="G376" s="7" t="s">
        <v>7792</v>
      </c>
      <c r="H376" s="7" t="s">
        <v>7793</v>
      </c>
      <c r="I376" s="7" t="s">
        <v>11125</v>
      </c>
      <c r="J376" s="7" t="s">
        <v>7711</v>
      </c>
      <c r="K376" s="7" t="s">
        <v>11126</v>
      </c>
      <c r="L376" s="7" t="s">
        <v>11127</v>
      </c>
      <c r="M376" s="7" t="s">
        <v>11128</v>
      </c>
      <c r="N376" s="7" t="s">
        <v>8043</v>
      </c>
      <c r="O376" s="7"/>
      <c r="P376" s="7" t="s">
        <v>7690</v>
      </c>
      <c r="Q376" s="7" t="s">
        <v>7716</v>
      </c>
      <c r="R376" s="7" t="s">
        <v>7692</v>
      </c>
      <c r="S376" s="7" t="s">
        <v>11129</v>
      </c>
      <c r="T376" s="7"/>
      <c r="U376" s="7"/>
    </row>
    <row r="377" customFormat="false" ht="46.25" hidden="false" customHeight="false" outlineLevel="0" collapsed="false">
      <c r="A377" s="7" t="n">
        <v>90</v>
      </c>
      <c r="B377" s="7" t="s">
        <v>1110</v>
      </c>
      <c r="C377" s="7" t="s">
        <v>7679</v>
      </c>
      <c r="D377" s="7" t="s">
        <v>11130</v>
      </c>
      <c r="E377" s="7" t="s">
        <v>11131</v>
      </c>
      <c r="F377" s="7" t="n">
        <v>2022</v>
      </c>
      <c r="G377" s="7" t="s">
        <v>9904</v>
      </c>
      <c r="H377" s="7" t="s">
        <v>11132</v>
      </c>
      <c r="I377" s="7" t="s">
        <v>8235</v>
      </c>
      <c r="J377" s="7" t="s">
        <v>7711</v>
      </c>
      <c r="K377" s="7" t="s">
        <v>11133</v>
      </c>
      <c r="L377" s="7" t="s">
        <v>11134</v>
      </c>
      <c r="M377" s="7" t="s">
        <v>11135</v>
      </c>
      <c r="N377" s="7" t="s">
        <v>11136</v>
      </c>
      <c r="O377" s="7" t="s">
        <v>11137</v>
      </c>
      <c r="P377" s="7" t="s">
        <v>7690</v>
      </c>
      <c r="Q377" s="7" t="s">
        <v>7727</v>
      </c>
      <c r="R377" s="7" t="s">
        <v>7692</v>
      </c>
      <c r="S377" s="7" t="s">
        <v>11138</v>
      </c>
      <c r="T377" s="7"/>
      <c r="U377" s="7" t="s">
        <v>11139</v>
      </c>
    </row>
    <row r="378" customFormat="false" ht="35.05" hidden="false" customHeight="false" outlineLevel="0" collapsed="false">
      <c r="A378" s="7" t="n">
        <v>90</v>
      </c>
      <c r="B378" s="7" t="s">
        <v>1110</v>
      </c>
      <c r="C378" s="7" t="s">
        <v>7679</v>
      </c>
      <c r="D378" s="7" t="s">
        <v>11140</v>
      </c>
      <c r="E378" s="7" t="s">
        <v>11141</v>
      </c>
      <c r="F378" s="7" t="n">
        <v>2025</v>
      </c>
      <c r="G378" s="7" t="s">
        <v>11142</v>
      </c>
      <c r="H378" s="7" t="s">
        <v>11143</v>
      </c>
      <c r="I378" s="7" t="s">
        <v>11144</v>
      </c>
      <c r="J378" s="7" t="s">
        <v>7315</v>
      </c>
      <c r="K378" s="7" t="s">
        <v>11145</v>
      </c>
      <c r="L378" s="7" t="s">
        <v>11146</v>
      </c>
      <c r="M378" s="7" t="s">
        <v>11147</v>
      </c>
      <c r="N378" s="7" t="s">
        <v>11148</v>
      </c>
      <c r="O378" s="7"/>
      <c r="P378" s="7" t="s">
        <v>7690</v>
      </c>
      <c r="Q378" s="7" t="s">
        <v>7716</v>
      </c>
      <c r="R378" s="7" t="s">
        <v>7692</v>
      </c>
      <c r="S378" s="7" t="s">
        <v>11149</v>
      </c>
      <c r="T378" s="7"/>
      <c r="U378" s="7" t="s">
        <v>11150</v>
      </c>
    </row>
    <row r="379" customFormat="false" ht="46.25" hidden="false" customHeight="false" outlineLevel="0" collapsed="false">
      <c r="A379" s="7" t="n">
        <v>90</v>
      </c>
      <c r="B379" s="7" t="s">
        <v>1110</v>
      </c>
      <c r="C379" s="7" t="s">
        <v>7679</v>
      </c>
      <c r="D379" s="7" t="s">
        <v>11151</v>
      </c>
      <c r="E379" s="7" t="s">
        <v>11152</v>
      </c>
      <c r="F379" s="7" t="n">
        <v>2025</v>
      </c>
      <c r="G379" s="7" t="s">
        <v>11153</v>
      </c>
      <c r="H379" s="7" t="s">
        <v>11154</v>
      </c>
      <c r="I379" s="7" t="s">
        <v>8588</v>
      </c>
      <c r="J379" s="7" t="s">
        <v>7711</v>
      </c>
      <c r="K379" s="7" t="s">
        <v>11155</v>
      </c>
      <c r="L379" s="7" t="s">
        <v>11156</v>
      </c>
      <c r="M379" s="7" t="s">
        <v>8954</v>
      </c>
      <c r="N379" s="7" t="s">
        <v>11157</v>
      </c>
      <c r="O379" s="7"/>
      <c r="P379" s="7" t="s">
        <v>7690</v>
      </c>
      <c r="Q379" s="7" t="s">
        <v>7716</v>
      </c>
      <c r="R379" s="7" t="s">
        <v>7692</v>
      </c>
      <c r="S379" s="7" t="s">
        <v>11158</v>
      </c>
      <c r="T379" s="7"/>
      <c r="U379" s="7" t="s">
        <v>11159</v>
      </c>
    </row>
    <row r="380" customFormat="false" ht="46.25" hidden="false" customHeight="false" outlineLevel="0" collapsed="false">
      <c r="A380" s="7" t="n">
        <v>95</v>
      </c>
      <c r="B380" s="7" t="s">
        <v>1165</v>
      </c>
      <c r="C380" s="7" t="s">
        <v>7679</v>
      </c>
      <c r="D380" s="7" t="s">
        <v>11160</v>
      </c>
      <c r="E380" s="7" t="s">
        <v>11161</v>
      </c>
      <c r="F380" s="7" t="n">
        <v>2023</v>
      </c>
      <c r="G380" s="7" t="s">
        <v>11162</v>
      </c>
      <c r="H380" s="7" t="s">
        <v>11163</v>
      </c>
      <c r="I380" s="7" t="s">
        <v>11164</v>
      </c>
      <c r="J380" s="7" t="s">
        <v>11165</v>
      </c>
      <c r="K380" s="7" t="s">
        <v>11166</v>
      </c>
      <c r="L380" s="7" t="s">
        <v>11167</v>
      </c>
      <c r="M380" s="7" t="s">
        <v>8954</v>
      </c>
      <c r="N380" s="7" t="s">
        <v>11168</v>
      </c>
      <c r="O380" s="7"/>
      <c r="P380" s="7" t="s">
        <v>7690</v>
      </c>
      <c r="Q380" s="7" t="s">
        <v>7716</v>
      </c>
      <c r="R380" s="7" t="s">
        <v>7692</v>
      </c>
      <c r="S380" s="7" t="s">
        <v>11169</v>
      </c>
      <c r="T380" s="7" t="s">
        <v>11169</v>
      </c>
      <c r="U380" s="7" t="s">
        <v>11170</v>
      </c>
    </row>
    <row r="381" customFormat="false" ht="35.05" hidden="false" customHeight="false" outlineLevel="0" collapsed="false">
      <c r="A381" s="7" t="n">
        <v>95</v>
      </c>
      <c r="B381" s="7" t="s">
        <v>1165</v>
      </c>
      <c r="C381" s="7" t="s">
        <v>7679</v>
      </c>
      <c r="D381" s="7" t="s">
        <v>11171</v>
      </c>
      <c r="E381" s="7" t="s">
        <v>11172</v>
      </c>
      <c r="F381" s="7" t="n">
        <v>2025</v>
      </c>
      <c r="G381" s="7" t="s">
        <v>7781</v>
      </c>
      <c r="H381" s="7" t="s">
        <v>11173</v>
      </c>
      <c r="I381" s="7" t="s">
        <v>11174</v>
      </c>
      <c r="J381" s="7" t="s">
        <v>9288</v>
      </c>
      <c r="K381" s="7" t="s">
        <v>11175</v>
      </c>
      <c r="L381" s="7" t="s">
        <v>11176</v>
      </c>
      <c r="M381" s="7" t="s">
        <v>9585</v>
      </c>
      <c r="N381" s="7" t="s">
        <v>9773</v>
      </c>
      <c r="O381" s="7"/>
      <c r="P381" s="7" t="s">
        <v>7690</v>
      </c>
      <c r="Q381" s="7" t="s">
        <v>7716</v>
      </c>
      <c r="R381" s="7" t="s">
        <v>7692</v>
      </c>
      <c r="S381" s="7" t="s">
        <v>9774</v>
      </c>
      <c r="T381" s="7"/>
      <c r="U381" s="7"/>
    </row>
    <row r="382" customFormat="false" ht="35.05" hidden="false" customHeight="false" outlineLevel="0" collapsed="false">
      <c r="A382" s="7" t="n">
        <v>81</v>
      </c>
      <c r="B382" s="7" t="s">
        <v>1018</v>
      </c>
      <c r="C382" s="7" t="s">
        <v>7705</v>
      </c>
      <c r="D382" s="7" t="s">
        <v>11177</v>
      </c>
      <c r="E382" s="7" t="s">
        <v>11178</v>
      </c>
      <c r="F382" s="7" t="n">
        <v>2022</v>
      </c>
      <c r="G382" s="7" t="s">
        <v>7792</v>
      </c>
      <c r="H382" s="7" t="s">
        <v>7793</v>
      </c>
      <c r="I382" s="7" t="s">
        <v>11179</v>
      </c>
      <c r="J382" s="7" t="s">
        <v>7711</v>
      </c>
      <c r="K382" s="7" t="s">
        <v>11180</v>
      </c>
      <c r="L382" s="7" t="s">
        <v>11181</v>
      </c>
      <c r="M382" s="7" t="s">
        <v>11182</v>
      </c>
      <c r="N382" s="7" t="s">
        <v>8043</v>
      </c>
      <c r="O382" s="7"/>
      <c r="P382" s="7" t="s">
        <v>7690</v>
      </c>
      <c r="Q382" s="7" t="s">
        <v>7716</v>
      </c>
      <c r="R382" s="7" t="s">
        <v>7692</v>
      </c>
      <c r="S382" s="7" t="s">
        <v>11183</v>
      </c>
      <c r="T382" s="7"/>
      <c r="U382" s="7" t="s">
        <v>11184</v>
      </c>
    </row>
    <row r="383" customFormat="false" ht="46.25" hidden="false" customHeight="false" outlineLevel="0" collapsed="false">
      <c r="A383" s="7" t="n">
        <v>81</v>
      </c>
      <c r="B383" s="7" t="s">
        <v>1018</v>
      </c>
      <c r="C383" s="7" t="s">
        <v>7679</v>
      </c>
      <c r="D383" s="7" t="s">
        <v>11185</v>
      </c>
      <c r="E383" s="7" t="s">
        <v>11186</v>
      </c>
      <c r="F383" s="7" t="n">
        <v>2022</v>
      </c>
      <c r="G383" s="7" t="s">
        <v>11187</v>
      </c>
      <c r="H383" s="7" t="s">
        <v>11188</v>
      </c>
      <c r="I383" s="7" t="s">
        <v>11189</v>
      </c>
      <c r="J383" s="7" t="s">
        <v>7685</v>
      </c>
      <c r="K383" s="7" t="s">
        <v>11190</v>
      </c>
      <c r="L383" s="7" t="s">
        <v>11191</v>
      </c>
      <c r="M383" s="7" t="s">
        <v>10606</v>
      </c>
      <c r="N383" s="7" t="s">
        <v>11192</v>
      </c>
      <c r="O383" s="7"/>
      <c r="P383" s="7" t="s">
        <v>7690</v>
      </c>
      <c r="Q383" s="7" t="s">
        <v>7691</v>
      </c>
      <c r="R383" s="7" t="s">
        <v>7692</v>
      </c>
      <c r="S383" s="7" t="s">
        <v>11193</v>
      </c>
      <c r="T383" s="7"/>
      <c r="U383" s="7"/>
    </row>
    <row r="384" customFormat="false" ht="57.45" hidden="false" customHeight="false" outlineLevel="0" collapsed="false">
      <c r="A384" s="7" t="n">
        <v>81</v>
      </c>
      <c r="B384" s="7" t="s">
        <v>1018</v>
      </c>
      <c r="C384" s="7" t="s">
        <v>7679</v>
      </c>
      <c r="D384" s="7" t="s">
        <v>11194</v>
      </c>
      <c r="E384" s="7" t="s">
        <v>11195</v>
      </c>
      <c r="F384" s="7" t="n">
        <v>2024</v>
      </c>
      <c r="G384" s="7" t="s">
        <v>11196</v>
      </c>
      <c r="H384" s="7" t="s">
        <v>11197</v>
      </c>
      <c r="I384" s="7" t="s">
        <v>11198</v>
      </c>
      <c r="J384" s="7" t="s">
        <v>11165</v>
      </c>
      <c r="K384" s="7" t="s">
        <v>11199</v>
      </c>
      <c r="L384" s="7" t="s">
        <v>11200</v>
      </c>
      <c r="M384" s="7" t="s">
        <v>8168</v>
      </c>
      <c r="N384" s="7" t="s">
        <v>11201</v>
      </c>
      <c r="O384" s="7" t="s">
        <v>11202</v>
      </c>
      <c r="P384" s="7" t="s">
        <v>7690</v>
      </c>
      <c r="Q384" s="7" t="s">
        <v>7727</v>
      </c>
      <c r="R384" s="7" t="s">
        <v>7692</v>
      </c>
      <c r="S384" s="7" t="s">
        <v>11203</v>
      </c>
      <c r="T384" s="7"/>
      <c r="U384" s="7" t="s">
        <v>11204</v>
      </c>
    </row>
    <row r="385" customFormat="false" ht="35.05" hidden="false" customHeight="false" outlineLevel="0" collapsed="false">
      <c r="A385" s="7" t="n">
        <v>81</v>
      </c>
      <c r="B385" s="7" t="s">
        <v>1018</v>
      </c>
      <c r="C385" s="7" t="s">
        <v>7679</v>
      </c>
      <c r="D385" s="7" t="s">
        <v>11205</v>
      </c>
      <c r="E385" s="7" t="s">
        <v>11206</v>
      </c>
      <c r="F385" s="7" t="n">
        <v>2025</v>
      </c>
      <c r="G385" s="7" t="s">
        <v>11142</v>
      </c>
      <c r="H385" s="7" t="s">
        <v>7862</v>
      </c>
      <c r="I385" s="7" t="s">
        <v>11207</v>
      </c>
      <c r="J385" s="7" t="s">
        <v>7315</v>
      </c>
      <c r="K385" s="7" t="s">
        <v>11208</v>
      </c>
      <c r="L385" s="7" t="s">
        <v>11209</v>
      </c>
      <c r="M385" s="7" t="s">
        <v>11210</v>
      </c>
      <c r="N385" s="7" t="s">
        <v>11148</v>
      </c>
      <c r="O385" s="7"/>
      <c r="P385" s="7" t="s">
        <v>7690</v>
      </c>
      <c r="Q385" s="7" t="s">
        <v>7716</v>
      </c>
      <c r="R385" s="7" t="s">
        <v>7692</v>
      </c>
      <c r="S385" s="7" t="s">
        <v>11211</v>
      </c>
      <c r="T385" s="7"/>
      <c r="U385" s="7"/>
    </row>
    <row r="386" customFormat="false" ht="57.45" hidden="false" customHeight="false" outlineLevel="0" collapsed="false">
      <c r="A386" s="7" t="n">
        <v>103</v>
      </c>
      <c r="B386" s="7" t="s">
        <v>1237</v>
      </c>
      <c r="C386" s="7" t="s">
        <v>7705</v>
      </c>
      <c r="D386" s="7" t="s">
        <v>8286</v>
      </c>
      <c r="E386" s="7" t="s">
        <v>11212</v>
      </c>
      <c r="F386" s="7" t="n">
        <v>2023</v>
      </c>
      <c r="G386" s="7" t="s">
        <v>7792</v>
      </c>
      <c r="H386" s="7" t="s">
        <v>7793</v>
      </c>
      <c r="I386" s="7" t="s">
        <v>11213</v>
      </c>
      <c r="J386" s="7" t="s">
        <v>7711</v>
      </c>
      <c r="K386" s="7" t="s">
        <v>11214</v>
      </c>
      <c r="L386" s="7" t="s">
        <v>11215</v>
      </c>
      <c r="M386" s="7" t="s">
        <v>10704</v>
      </c>
      <c r="N386" s="7" t="s">
        <v>8043</v>
      </c>
      <c r="O386" s="7"/>
      <c r="P386" s="7" t="s">
        <v>7690</v>
      </c>
      <c r="Q386" s="7" t="s">
        <v>7716</v>
      </c>
      <c r="R386" s="7" t="s">
        <v>7692</v>
      </c>
      <c r="S386" s="7" t="s">
        <v>11216</v>
      </c>
      <c r="T386" s="7"/>
      <c r="U386" s="7" t="s">
        <v>11217</v>
      </c>
    </row>
    <row r="387" customFormat="false" ht="35.05" hidden="false" customHeight="false" outlineLevel="0" collapsed="false">
      <c r="A387" s="7" t="n">
        <v>103</v>
      </c>
      <c r="B387" s="7" t="s">
        <v>1237</v>
      </c>
      <c r="C387" s="7" t="s">
        <v>7679</v>
      </c>
      <c r="D387" s="7" t="s">
        <v>11218</v>
      </c>
      <c r="E387" s="7" t="s">
        <v>11219</v>
      </c>
      <c r="F387" s="7" t="n">
        <v>2025</v>
      </c>
      <c r="G387" s="7" t="s">
        <v>11220</v>
      </c>
      <c r="H387" s="7" t="s">
        <v>7862</v>
      </c>
      <c r="I387" s="7" t="s">
        <v>11221</v>
      </c>
      <c r="J387" s="7" t="s">
        <v>7315</v>
      </c>
      <c r="K387" s="7" t="s">
        <v>11222</v>
      </c>
      <c r="L387" s="7" t="s">
        <v>11223</v>
      </c>
      <c r="M387" s="7" t="s">
        <v>8168</v>
      </c>
      <c r="N387" s="7" t="s">
        <v>11224</v>
      </c>
      <c r="O387" s="7"/>
      <c r="P387" s="7" t="s">
        <v>7690</v>
      </c>
      <c r="Q387" s="7" t="s">
        <v>7727</v>
      </c>
      <c r="R387" s="7" t="s">
        <v>7692</v>
      </c>
      <c r="S387" s="7" t="s">
        <v>11225</v>
      </c>
      <c r="T387" s="7"/>
      <c r="U387" s="7" t="s">
        <v>11226</v>
      </c>
    </row>
    <row r="388" customFormat="false" ht="57.45" hidden="false" customHeight="false" outlineLevel="0" collapsed="false">
      <c r="A388" s="7" t="n">
        <v>103</v>
      </c>
      <c r="B388" s="7" t="s">
        <v>1237</v>
      </c>
      <c r="C388" s="7" t="s">
        <v>7679</v>
      </c>
      <c r="D388" s="7" t="s">
        <v>11227</v>
      </c>
      <c r="E388" s="7" t="s">
        <v>11228</v>
      </c>
      <c r="F388" s="7" t="n">
        <v>2024</v>
      </c>
      <c r="G388" s="7" t="s">
        <v>11229</v>
      </c>
      <c r="H388" s="7" t="s">
        <v>11230</v>
      </c>
      <c r="I388" s="7" t="s">
        <v>11231</v>
      </c>
      <c r="J388" s="7" t="s">
        <v>7315</v>
      </c>
      <c r="K388" s="7" t="s">
        <v>11232</v>
      </c>
      <c r="L388" s="7" t="s">
        <v>11233</v>
      </c>
      <c r="M388" s="7" t="s">
        <v>11234</v>
      </c>
      <c r="N388" s="7" t="s">
        <v>11235</v>
      </c>
      <c r="O388" s="7" t="s">
        <v>11236</v>
      </c>
      <c r="P388" s="7" t="s">
        <v>7690</v>
      </c>
      <c r="Q388" s="7" t="s">
        <v>7727</v>
      </c>
      <c r="R388" s="7" t="s">
        <v>7692</v>
      </c>
      <c r="S388" s="7" t="s">
        <v>11237</v>
      </c>
      <c r="T388" s="7"/>
      <c r="U388" s="7" t="s">
        <v>11238</v>
      </c>
    </row>
    <row r="389" customFormat="false" ht="46.25" hidden="false" customHeight="false" outlineLevel="0" collapsed="false">
      <c r="A389" s="7" t="n">
        <v>102</v>
      </c>
      <c r="B389" s="7" t="s">
        <v>1225</v>
      </c>
      <c r="C389" s="7" t="s">
        <v>7679</v>
      </c>
      <c r="D389" s="7" t="s">
        <v>11239</v>
      </c>
      <c r="E389" s="7" t="s">
        <v>11240</v>
      </c>
      <c r="F389" s="7" t="n">
        <v>2024</v>
      </c>
      <c r="G389" s="7" t="s">
        <v>11241</v>
      </c>
      <c r="H389" s="7" t="s">
        <v>11242</v>
      </c>
      <c r="I389" s="7" t="s">
        <v>11243</v>
      </c>
      <c r="J389" s="7" t="s">
        <v>7315</v>
      </c>
      <c r="K389" s="7" t="s">
        <v>11244</v>
      </c>
      <c r="L389" s="7" t="s">
        <v>11245</v>
      </c>
      <c r="M389" s="7" t="s">
        <v>8359</v>
      </c>
      <c r="N389" s="7" t="s">
        <v>11246</v>
      </c>
      <c r="O389" s="7"/>
      <c r="P389" s="7" t="s">
        <v>7690</v>
      </c>
      <c r="Q389" s="7" t="s">
        <v>7716</v>
      </c>
      <c r="R389" s="7" t="s">
        <v>7692</v>
      </c>
      <c r="S389" s="7" t="s">
        <v>8754</v>
      </c>
      <c r="T389" s="7"/>
      <c r="U389" s="7"/>
    </row>
    <row r="390" customFormat="false" ht="46.25" hidden="false" customHeight="false" outlineLevel="0" collapsed="false">
      <c r="A390" s="7" t="n">
        <v>102</v>
      </c>
      <c r="B390" s="7" t="s">
        <v>1225</v>
      </c>
      <c r="C390" s="7" t="s">
        <v>7679</v>
      </c>
      <c r="D390" s="7" t="s">
        <v>11247</v>
      </c>
      <c r="E390" s="7" t="s">
        <v>11248</v>
      </c>
      <c r="F390" s="7" t="n">
        <v>2023</v>
      </c>
      <c r="G390" s="7" t="s">
        <v>11249</v>
      </c>
      <c r="H390" s="7" t="s">
        <v>9166</v>
      </c>
      <c r="I390" s="7" t="s">
        <v>11250</v>
      </c>
      <c r="J390" s="7" t="s">
        <v>7711</v>
      </c>
      <c r="K390" s="7" t="s">
        <v>11251</v>
      </c>
      <c r="L390" s="7" t="s">
        <v>11252</v>
      </c>
      <c r="M390" s="7" t="s">
        <v>8954</v>
      </c>
      <c r="N390" s="7" t="s">
        <v>11253</v>
      </c>
      <c r="O390" s="7" t="s">
        <v>11254</v>
      </c>
      <c r="P390" s="7" t="s">
        <v>7690</v>
      </c>
      <c r="Q390" s="7" t="s">
        <v>7727</v>
      </c>
      <c r="R390" s="7" t="s">
        <v>7692</v>
      </c>
      <c r="S390" s="7" t="s">
        <v>11255</v>
      </c>
      <c r="T390" s="7"/>
      <c r="U390" s="7" t="s">
        <v>11256</v>
      </c>
    </row>
    <row r="391" customFormat="false" ht="46.25" hidden="false" customHeight="false" outlineLevel="0" collapsed="false">
      <c r="A391" s="7" t="n">
        <v>102</v>
      </c>
      <c r="B391" s="7" t="s">
        <v>1225</v>
      </c>
      <c r="C391" s="7" t="s">
        <v>7679</v>
      </c>
      <c r="D391" s="7" t="s">
        <v>11257</v>
      </c>
      <c r="E391" s="7" t="s">
        <v>11258</v>
      </c>
      <c r="F391" s="7" t="n">
        <v>2025</v>
      </c>
      <c r="G391" s="7" t="s">
        <v>11259</v>
      </c>
      <c r="H391" s="7" t="s">
        <v>7833</v>
      </c>
      <c r="I391" s="7" t="s">
        <v>11260</v>
      </c>
      <c r="J391" s="7" t="s">
        <v>10237</v>
      </c>
      <c r="K391" s="7" t="s">
        <v>11261</v>
      </c>
      <c r="L391" s="7" t="s">
        <v>11262</v>
      </c>
      <c r="M391" s="7" t="s">
        <v>11263</v>
      </c>
      <c r="N391" s="7" t="s">
        <v>11264</v>
      </c>
      <c r="O391" s="7" t="s">
        <v>11265</v>
      </c>
      <c r="P391" s="7" t="s">
        <v>7690</v>
      </c>
      <c r="Q391" s="7" t="s">
        <v>7727</v>
      </c>
      <c r="R391" s="7" t="s">
        <v>7692</v>
      </c>
      <c r="S391" s="7" t="s">
        <v>11266</v>
      </c>
      <c r="T391" s="7"/>
      <c r="U391" s="7" t="s">
        <v>11267</v>
      </c>
    </row>
    <row r="392" customFormat="false" ht="57.45" hidden="false" customHeight="false" outlineLevel="0" collapsed="false">
      <c r="A392" s="7" t="n">
        <v>96</v>
      </c>
      <c r="B392" s="7" t="s">
        <v>1176</v>
      </c>
      <c r="C392" s="7" t="s">
        <v>7705</v>
      </c>
      <c r="D392" s="7" t="s">
        <v>11268</v>
      </c>
      <c r="E392" s="7" t="s">
        <v>11269</v>
      </c>
      <c r="F392" s="7" t="n">
        <v>2023</v>
      </c>
      <c r="G392" s="7" t="s">
        <v>7792</v>
      </c>
      <c r="H392" s="7" t="s">
        <v>11270</v>
      </c>
      <c r="I392" s="7" t="s">
        <v>11271</v>
      </c>
      <c r="J392" s="7" t="s">
        <v>7711</v>
      </c>
      <c r="K392" s="7" t="s">
        <v>11272</v>
      </c>
      <c r="L392" s="7" t="s">
        <v>11273</v>
      </c>
      <c r="M392" s="7" t="s">
        <v>7714</v>
      </c>
      <c r="N392" s="7" t="s">
        <v>8543</v>
      </c>
      <c r="O392" s="7"/>
      <c r="P392" s="7" t="s">
        <v>7690</v>
      </c>
      <c r="Q392" s="7" t="s">
        <v>7716</v>
      </c>
      <c r="R392" s="7" t="s">
        <v>7692</v>
      </c>
      <c r="S392" s="7" t="s">
        <v>11274</v>
      </c>
      <c r="T392" s="7"/>
      <c r="U392" s="7" t="s">
        <v>11275</v>
      </c>
    </row>
    <row r="393" customFormat="false" ht="46.25" hidden="false" customHeight="false" outlineLevel="0" collapsed="false">
      <c r="A393" s="7" t="n">
        <v>96</v>
      </c>
      <c r="B393" s="7" t="s">
        <v>1176</v>
      </c>
      <c r="C393" s="7" t="s">
        <v>7679</v>
      </c>
      <c r="D393" s="7" t="s">
        <v>11276</v>
      </c>
      <c r="E393" s="7" t="s">
        <v>11277</v>
      </c>
      <c r="F393" s="7" t="n">
        <v>2025</v>
      </c>
      <c r="G393" s="7" t="s">
        <v>11278</v>
      </c>
      <c r="H393" s="7" t="s">
        <v>11279</v>
      </c>
      <c r="I393" s="7" t="s">
        <v>11280</v>
      </c>
      <c r="J393" s="7" t="s">
        <v>7315</v>
      </c>
      <c r="K393" s="7" t="s">
        <v>11281</v>
      </c>
      <c r="L393" s="7" t="s">
        <v>11282</v>
      </c>
      <c r="M393" s="7" t="s">
        <v>10153</v>
      </c>
      <c r="N393" s="7" t="s">
        <v>7862</v>
      </c>
      <c r="O393" s="7"/>
      <c r="P393" s="7" t="s">
        <v>7690</v>
      </c>
      <c r="Q393" s="7" t="s">
        <v>7727</v>
      </c>
      <c r="R393" s="7" t="s">
        <v>7692</v>
      </c>
      <c r="S393" s="7" t="s">
        <v>11283</v>
      </c>
      <c r="T393" s="7"/>
      <c r="U393" s="7" t="s">
        <v>11284</v>
      </c>
    </row>
    <row r="394" customFormat="false" ht="46.25" hidden="false" customHeight="false" outlineLevel="0" collapsed="false">
      <c r="A394" s="7" t="n">
        <v>79</v>
      </c>
      <c r="B394" s="7" t="s">
        <v>997</v>
      </c>
      <c r="C394" s="7" t="s">
        <v>7705</v>
      </c>
      <c r="D394" s="7" t="s">
        <v>11285</v>
      </c>
      <c r="E394" s="7" t="s">
        <v>11286</v>
      </c>
      <c r="F394" s="7" t="n">
        <v>2022</v>
      </c>
      <c r="G394" s="7" t="s">
        <v>7792</v>
      </c>
      <c r="H394" s="7" t="s">
        <v>9186</v>
      </c>
      <c r="I394" s="7" t="s">
        <v>11287</v>
      </c>
      <c r="J394" s="7" t="s">
        <v>7711</v>
      </c>
      <c r="K394" s="7" t="s">
        <v>11288</v>
      </c>
      <c r="L394" s="7" t="s">
        <v>11289</v>
      </c>
      <c r="M394" s="7" t="s">
        <v>11290</v>
      </c>
      <c r="N394" s="7" t="s">
        <v>8543</v>
      </c>
      <c r="O394" s="7"/>
      <c r="P394" s="7" t="s">
        <v>7690</v>
      </c>
      <c r="Q394" s="7" t="s">
        <v>7716</v>
      </c>
      <c r="R394" s="7" t="s">
        <v>7692</v>
      </c>
      <c r="S394" s="7" t="s">
        <v>11291</v>
      </c>
      <c r="T394" s="7"/>
      <c r="U394" s="7" t="s">
        <v>11292</v>
      </c>
    </row>
    <row r="395" customFormat="false" ht="35.05" hidden="false" customHeight="false" outlineLevel="0" collapsed="false">
      <c r="A395" s="7" t="n">
        <v>79</v>
      </c>
      <c r="B395" s="7" t="s">
        <v>997</v>
      </c>
      <c r="C395" s="7" t="s">
        <v>7679</v>
      </c>
      <c r="D395" s="7" t="s">
        <v>11293</v>
      </c>
      <c r="E395" s="7" t="s">
        <v>11294</v>
      </c>
      <c r="F395" s="7" t="n">
        <v>2022</v>
      </c>
      <c r="G395" s="7" t="s">
        <v>8364</v>
      </c>
      <c r="H395" s="7" t="s">
        <v>8295</v>
      </c>
      <c r="I395" s="7" t="s">
        <v>11295</v>
      </c>
      <c r="J395" s="7" t="s">
        <v>7315</v>
      </c>
      <c r="K395" s="7" t="s">
        <v>11296</v>
      </c>
      <c r="L395" s="7" t="s">
        <v>11297</v>
      </c>
      <c r="M395" s="7" t="s">
        <v>9077</v>
      </c>
      <c r="N395" s="7" t="s">
        <v>11298</v>
      </c>
      <c r="O395" s="7"/>
      <c r="P395" s="7" t="s">
        <v>7690</v>
      </c>
      <c r="Q395" s="7" t="s">
        <v>7727</v>
      </c>
      <c r="R395" s="7" t="s">
        <v>7692</v>
      </c>
      <c r="S395" s="7" t="s">
        <v>10616</v>
      </c>
      <c r="T395" s="7"/>
      <c r="U395" s="7" t="s">
        <v>10617</v>
      </c>
    </row>
    <row r="396" customFormat="false" ht="46.25" hidden="false" customHeight="false" outlineLevel="0" collapsed="false">
      <c r="A396" s="7" t="n">
        <v>82</v>
      </c>
      <c r="B396" s="7" t="s">
        <v>1030</v>
      </c>
      <c r="C396" s="7" t="s">
        <v>7705</v>
      </c>
      <c r="D396" s="7" t="s">
        <v>11299</v>
      </c>
      <c r="E396" s="7" t="s">
        <v>11300</v>
      </c>
      <c r="F396" s="7" t="n">
        <v>2022</v>
      </c>
      <c r="G396" s="7" t="s">
        <v>7792</v>
      </c>
      <c r="H396" s="7" t="s">
        <v>7793</v>
      </c>
      <c r="I396" s="7" t="s">
        <v>11301</v>
      </c>
      <c r="J396" s="7" t="s">
        <v>7711</v>
      </c>
      <c r="K396" s="7" t="s">
        <v>11302</v>
      </c>
      <c r="L396" s="7" t="s">
        <v>11303</v>
      </c>
      <c r="M396" s="7" t="s">
        <v>7714</v>
      </c>
      <c r="N396" s="7" t="s">
        <v>11304</v>
      </c>
      <c r="O396" s="7"/>
      <c r="P396" s="7" t="s">
        <v>7690</v>
      </c>
      <c r="Q396" s="7" t="s">
        <v>7716</v>
      </c>
      <c r="R396" s="7" t="s">
        <v>7692</v>
      </c>
      <c r="S396" s="7" t="s">
        <v>11305</v>
      </c>
      <c r="T396" s="7"/>
      <c r="U396" s="7" t="s">
        <v>11306</v>
      </c>
    </row>
    <row r="397" customFormat="false" ht="57.45" hidden="false" customHeight="false" outlineLevel="0" collapsed="false">
      <c r="A397" s="7" t="n">
        <v>82</v>
      </c>
      <c r="B397" s="7" t="s">
        <v>1030</v>
      </c>
      <c r="C397" s="7" t="s">
        <v>7705</v>
      </c>
      <c r="D397" s="7" t="s">
        <v>11307</v>
      </c>
      <c r="E397" s="7" t="s">
        <v>11308</v>
      </c>
      <c r="F397" s="7" t="n">
        <v>2023</v>
      </c>
      <c r="G397" s="7" t="s">
        <v>11309</v>
      </c>
      <c r="H397" s="7" t="s">
        <v>11310</v>
      </c>
      <c r="I397" s="7" t="s">
        <v>11311</v>
      </c>
      <c r="J397" s="7" t="s">
        <v>11165</v>
      </c>
      <c r="K397" s="7" t="s">
        <v>11312</v>
      </c>
      <c r="L397" s="7" t="s">
        <v>11313</v>
      </c>
      <c r="M397" s="7" t="s">
        <v>9496</v>
      </c>
      <c r="N397" s="7" t="s">
        <v>11314</v>
      </c>
      <c r="O397" s="7"/>
      <c r="P397" s="7" t="s">
        <v>7690</v>
      </c>
      <c r="Q397" s="7" t="s">
        <v>7716</v>
      </c>
      <c r="R397" s="7" t="s">
        <v>7692</v>
      </c>
      <c r="S397" s="7" t="s">
        <v>11315</v>
      </c>
      <c r="T397" s="7" t="s">
        <v>11316</v>
      </c>
      <c r="U397" s="7"/>
    </row>
    <row r="398" customFormat="false" ht="46.25" hidden="false" customHeight="false" outlineLevel="0" collapsed="false">
      <c r="A398" s="7" t="n">
        <v>82</v>
      </c>
      <c r="B398" s="7" t="s">
        <v>1030</v>
      </c>
      <c r="C398" s="7" t="s">
        <v>7679</v>
      </c>
      <c r="D398" s="7" t="s">
        <v>11317</v>
      </c>
      <c r="E398" s="7" t="s">
        <v>11318</v>
      </c>
      <c r="F398" s="7" t="n">
        <v>2022</v>
      </c>
      <c r="G398" s="7" t="s">
        <v>11249</v>
      </c>
      <c r="H398" s="7" t="s">
        <v>9166</v>
      </c>
      <c r="I398" s="7" t="s">
        <v>11319</v>
      </c>
      <c r="J398" s="7" t="s">
        <v>10237</v>
      </c>
      <c r="K398" s="7" t="s">
        <v>11320</v>
      </c>
      <c r="L398" s="7" t="s">
        <v>11321</v>
      </c>
      <c r="M398" s="7" t="s">
        <v>10606</v>
      </c>
      <c r="N398" s="7" t="s">
        <v>11253</v>
      </c>
      <c r="O398" s="7"/>
      <c r="P398" s="7" t="s">
        <v>7690</v>
      </c>
      <c r="Q398" s="7" t="s">
        <v>7727</v>
      </c>
      <c r="R398" s="7" t="s">
        <v>7692</v>
      </c>
      <c r="S398" s="7" t="s">
        <v>11322</v>
      </c>
      <c r="T398" s="7"/>
      <c r="U398" s="7"/>
    </row>
    <row r="399" customFormat="false" ht="68.65" hidden="false" customHeight="false" outlineLevel="0" collapsed="false">
      <c r="A399" s="7" t="n">
        <v>98</v>
      </c>
      <c r="B399" s="7" t="s">
        <v>1197</v>
      </c>
      <c r="C399" s="7" t="s">
        <v>7705</v>
      </c>
      <c r="D399" s="7" t="s">
        <v>11323</v>
      </c>
      <c r="E399" s="7" t="s">
        <v>11324</v>
      </c>
      <c r="F399" s="7" t="n">
        <v>2023</v>
      </c>
      <c r="G399" s="7" t="s">
        <v>7792</v>
      </c>
      <c r="H399" s="7" t="s">
        <v>7793</v>
      </c>
      <c r="I399" s="7" t="s">
        <v>11325</v>
      </c>
      <c r="J399" s="7" t="s">
        <v>7711</v>
      </c>
      <c r="K399" s="7" t="s">
        <v>11326</v>
      </c>
      <c r="L399" s="7" t="s">
        <v>11327</v>
      </c>
      <c r="M399" s="7" t="s">
        <v>7714</v>
      </c>
      <c r="N399" s="7" t="s">
        <v>8043</v>
      </c>
      <c r="O399" s="7"/>
      <c r="P399" s="7" t="s">
        <v>7690</v>
      </c>
      <c r="Q399" s="7" t="s">
        <v>11328</v>
      </c>
      <c r="R399" s="7" t="s">
        <v>7692</v>
      </c>
      <c r="S399" s="7" t="s">
        <v>11329</v>
      </c>
      <c r="T399" s="7"/>
      <c r="U399" s="7" t="s">
        <v>11330</v>
      </c>
    </row>
    <row r="400" customFormat="false" ht="35.05" hidden="false" customHeight="false" outlineLevel="0" collapsed="false">
      <c r="A400" s="7" t="n">
        <v>98</v>
      </c>
      <c r="B400" s="7" t="s">
        <v>1197</v>
      </c>
      <c r="C400" s="7" t="s">
        <v>7679</v>
      </c>
      <c r="D400" s="7" t="s">
        <v>8601</v>
      </c>
      <c r="E400" s="7" t="s">
        <v>11331</v>
      </c>
      <c r="F400" s="7" t="n">
        <v>2023</v>
      </c>
      <c r="G400" s="7" t="s">
        <v>8698</v>
      </c>
      <c r="H400" s="7" t="s">
        <v>11332</v>
      </c>
      <c r="I400" s="7" t="s">
        <v>11333</v>
      </c>
      <c r="J400" s="7" t="s">
        <v>7685</v>
      </c>
      <c r="K400" s="7" t="s">
        <v>11334</v>
      </c>
      <c r="L400" s="7" t="s">
        <v>11335</v>
      </c>
      <c r="M400" s="7" t="s">
        <v>8607</v>
      </c>
      <c r="N400" s="7" t="s">
        <v>11336</v>
      </c>
      <c r="O400" s="7"/>
      <c r="P400" s="7" t="s">
        <v>7690</v>
      </c>
      <c r="Q400" s="7" t="s">
        <v>7727</v>
      </c>
      <c r="R400" s="7" t="s">
        <v>7692</v>
      </c>
      <c r="S400" s="7" t="s">
        <v>8608</v>
      </c>
      <c r="T400" s="7"/>
      <c r="U400" s="7"/>
    </row>
    <row r="401" customFormat="false" ht="57.45" hidden="false" customHeight="false" outlineLevel="0" collapsed="false">
      <c r="A401" s="7" t="n">
        <v>100</v>
      </c>
      <c r="B401" s="7" t="s">
        <v>1212</v>
      </c>
      <c r="C401" s="7" t="s">
        <v>7705</v>
      </c>
      <c r="D401" s="7" t="s">
        <v>11337</v>
      </c>
      <c r="E401" s="7" t="s">
        <v>11338</v>
      </c>
      <c r="F401" s="7" t="n">
        <v>2023</v>
      </c>
      <c r="G401" s="7" t="s">
        <v>7792</v>
      </c>
      <c r="H401" s="7" t="s">
        <v>7793</v>
      </c>
      <c r="I401" s="7" t="s">
        <v>11339</v>
      </c>
      <c r="J401" s="7" t="s">
        <v>7711</v>
      </c>
      <c r="K401" s="7" t="s">
        <v>11340</v>
      </c>
      <c r="L401" s="7" t="s">
        <v>11341</v>
      </c>
      <c r="M401" s="7" t="s">
        <v>7714</v>
      </c>
      <c r="N401" s="7" t="s">
        <v>8043</v>
      </c>
      <c r="O401" s="7"/>
      <c r="P401" s="7" t="s">
        <v>7690</v>
      </c>
      <c r="Q401" s="7" t="s">
        <v>11328</v>
      </c>
      <c r="R401" s="7" t="s">
        <v>7692</v>
      </c>
      <c r="S401" s="7" t="s">
        <v>11342</v>
      </c>
      <c r="T401" s="7"/>
      <c r="U401" s="7"/>
    </row>
    <row r="402" customFormat="false" ht="35.05" hidden="false" customHeight="false" outlineLevel="0" collapsed="false">
      <c r="A402" s="7" t="n">
        <v>100</v>
      </c>
      <c r="B402" s="7" t="s">
        <v>1212</v>
      </c>
      <c r="C402" s="7" t="s">
        <v>7679</v>
      </c>
      <c r="D402" s="7" t="s">
        <v>8601</v>
      </c>
      <c r="E402" s="7" t="s">
        <v>11331</v>
      </c>
      <c r="F402" s="7" t="n">
        <v>2023</v>
      </c>
      <c r="G402" s="7" t="s">
        <v>8698</v>
      </c>
      <c r="H402" s="7" t="s">
        <v>11343</v>
      </c>
      <c r="I402" s="7" t="s">
        <v>11344</v>
      </c>
      <c r="J402" s="7" t="s">
        <v>7685</v>
      </c>
      <c r="K402" s="7" t="s">
        <v>11345</v>
      </c>
      <c r="L402" s="7" t="s">
        <v>11346</v>
      </c>
      <c r="M402" s="7" t="s">
        <v>8607</v>
      </c>
      <c r="N402" s="7" t="s">
        <v>11336</v>
      </c>
      <c r="O402" s="7"/>
      <c r="P402" s="7" t="s">
        <v>7690</v>
      </c>
      <c r="Q402" s="7" t="s">
        <v>7727</v>
      </c>
      <c r="R402" s="7" t="s">
        <v>7692</v>
      </c>
      <c r="S402" s="7" t="s">
        <v>8608</v>
      </c>
      <c r="T402" s="7"/>
      <c r="U402" s="7"/>
    </row>
    <row r="403" customFormat="false" ht="57.45" hidden="false" customHeight="false" outlineLevel="0" collapsed="false">
      <c r="A403" s="7" t="n">
        <v>100</v>
      </c>
      <c r="B403" s="7" t="s">
        <v>1212</v>
      </c>
      <c r="C403" s="7" t="s">
        <v>7679</v>
      </c>
      <c r="D403" s="7" t="s">
        <v>11347</v>
      </c>
      <c r="E403" s="7" t="s">
        <v>11348</v>
      </c>
      <c r="F403" s="7" t="n">
        <v>2025</v>
      </c>
      <c r="G403" s="7" t="s">
        <v>9143</v>
      </c>
      <c r="H403" s="7" t="s">
        <v>11349</v>
      </c>
      <c r="I403" s="7" t="s">
        <v>11350</v>
      </c>
      <c r="J403" s="7" t="s">
        <v>9952</v>
      </c>
      <c r="K403" s="7" t="s">
        <v>11351</v>
      </c>
      <c r="L403" s="7" t="s">
        <v>11352</v>
      </c>
      <c r="M403" s="7" t="s">
        <v>11353</v>
      </c>
      <c r="N403" s="7" t="s">
        <v>11354</v>
      </c>
      <c r="O403" s="7"/>
      <c r="P403" s="7" t="s">
        <v>7690</v>
      </c>
      <c r="Q403" s="7" t="s">
        <v>7727</v>
      </c>
      <c r="R403" s="7" t="s">
        <v>7692</v>
      </c>
      <c r="S403" s="7" t="s">
        <v>11355</v>
      </c>
      <c r="T403" s="7"/>
      <c r="U403" s="7" t="s">
        <v>11356</v>
      </c>
    </row>
    <row r="404" customFormat="false" ht="57.45" hidden="false" customHeight="false" outlineLevel="0" collapsed="false">
      <c r="A404" s="7" t="n">
        <v>99</v>
      </c>
      <c r="B404" s="7" t="s">
        <v>1204</v>
      </c>
      <c r="C404" s="7" t="s">
        <v>7705</v>
      </c>
      <c r="D404" s="7" t="s">
        <v>11337</v>
      </c>
      <c r="E404" s="7" t="s">
        <v>11338</v>
      </c>
      <c r="F404" s="7" t="n">
        <v>2023</v>
      </c>
      <c r="G404" s="7" t="s">
        <v>7792</v>
      </c>
      <c r="H404" s="7" t="s">
        <v>7793</v>
      </c>
      <c r="I404" s="7" t="s">
        <v>11339</v>
      </c>
      <c r="J404" s="7" t="s">
        <v>7711</v>
      </c>
      <c r="K404" s="7" t="s">
        <v>11340</v>
      </c>
      <c r="L404" s="7" t="s">
        <v>11341</v>
      </c>
      <c r="M404" s="7" t="s">
        <v>7714</v>
      </c>
      <c r="N404" s="7" t="s">
        <v>8043</v>
      </c>
      <c r="O404" s="7"/>
      <c r="P404" s="7" t="s">
        <v>7690</v>
      </c>
      <c r="Q404" s="7" t="s">
        <v>11328</v>
      </c>
      <c r="R404" s="7" t="s">
        <v>7692</v>
      </c>
      <c r="S404" s="7" t="s">
        <v>11342</v>
      </c>
      <c r="T404" s="7"/>
      <c r="U404" s="7"/>
    </row>
    <row r="405" customFormat="false" ht="35.05" hidden="false" customHeight="false" outlineLevel="0" collapsed="false">
      <c r="A405" s="7" t="n">
        <v>99</v>
      </c>
      <c r="B405" s="7" t="s">
        <v>1204</v>
      </c>
      <c r="C405" s="7" t="s">
        <v>7679</v>
      </c>
      <c r="D405" s="7" t="s">
        <v>8601</v>
      </c>
      <c r="E405" s="7" t="s">
        <v>11331</v>
      </c>
      <c r="F405" s="7" t="n">
        <v>2023</v>
      </c>
      <c r="G405" s="7" t="s">
        <v>8698</v>
      </c>
      <c r="H405" s="7" t="s">
        <v>11343</v>
      </c>
      <c r="I405" s="7" t="s">
        <v>11344</v>
      </c>
      <c r="J405" s="7" t="s">
        <v>7685</v>
      </c>
      <c r="K405" s="7" t="s">
        <v>11345</v>
      </c>
      <c r="L405" s="7" t="s">
        <v>11346</v>
      </c>
      <c r="M405" s="7" t="s">
        <v>8607</v>
      </c>
      <c r="N405" s="7" t="s">
        <v>11336</v>
      </c>
      <c r="O405" s="7"/>
      <c r="P405" s="7" t="s">
        <v>7690</v>
      </c>
      <c r="Q405" s="7" t="s">
        <v>7727</v>
      </c>
      <c r="R405" s="7" t="s">
        <v>7692</v>
      </c>
      <c r="S405" s="7" t="s">
        <v>8608</v>
      </c>
      <c r="T405" s="7"/>
      <c r="U405" s="7"/>
    </row>
    <row r="406" customFormat="false" ht="57.45" hidden="false" customHeight="false" outlineLevel="0" collapsed="false">
      <c r="A406" s="7" t="n">
        <v>99</v>
      </c>
      <c r="B406" s="7" t="s">
        <v>1204</v>
      </c>
      <c r="C406" s="7" t="s">
        <v>7679</v>
      </c>
      <c r="D406" s="7" t="s">
        <v>11347</v>
      </c>
      <c r="E406" s="7" t="s">
        <v>11348</v>
      </c>
      <c r="F406" s="7" t="n">
        <v>2025</v>
      </c>
      <c r="G406" s="7" t="s">
        <v>9143</v>
      </c>
      <c r="H406" s="7" t="s">
        <v>11349</v>
      </c>
      <c r="I406" s="7" t="s">
        <v>11350</v>
      </c>
      <c r="J406" s="7" t="s">
        <v>9952</v>
      </c>
      <c r="K406" s="7" t="s">
        <v>11351</v>
      </c>
      <c r="L406" s="7" t="s">
        <v>11352</v>
      </c>
      <c r="M406" s="7" t="s">
        <v>11353</v>
      </c>
      <c r="N406" s="7" t="s">
        <v>11354</v>
      </c>
      <c r="O406" s="7"/>
      <c r="P406" s="7" t="s">
        <v>7690</v>
      </c>
      <c r="Q406" s="7" t="s">
        <v>7727</v>
      </c>
      <c r="R406" s="7" t="s">
        <v>7692</v>
      </c>
      <c r="S406" s="7" t="s">
        <v>11355</v>
      </c>
      <c r="T406" s="7"/>
      <c r="U406" s="7" t="s">
        <v>11356</v>
      </c>
    </row>
    <row r="407" customFormat="false" ht="57.45" hidden="false" customHeight="false" outlineLevel="0" collapsed="false">
      <c r="A407" s="7" t="n">
        <v>101</v>
      </c>
      <c r="B407" s="7" t="s">
        <v>1219</v>
      </c>
      <c r="C407" s="7" t="s">
        <v>7705</v>
      </c>
      <c r="D407" s="7" t="s">
        <v>11357</v>
      </c>
      <c r="E407" s="7" t="s">
        <v>11358</v>
      </c>
      <c r="F407" s="7" t="n">
        <v>2023</v>
      </c>
      <c r="G407" s="7" t="s">
        <v>7792</v>
      </c>
      <c r="H407" s="7" t="s">
        <v>7793</v>
      </c>
      <c r="I407" s="7" t="s">
        <v>11359</v>
      </c>
      <c r="J407" s="7" t="s">
        <v>7711</v>
      </c>
      <c r="K407" s="7" t="s">
        <v>11360</v>
      </c>
      <c r="L407" s="7" t="s">
        <v>11361</v>
      </c>
      <c r="M407" s="7" t="s">
        <v>11362</v>
      </c>
      <c r="N407" s="7" t="s">
        <v>11363</v>
      </c>
      <c r="O407" s="7"/>
      <c r="P407" s="7" t="s">
        <v>7690</v>
      </c>
      <c r="Q407" s="7" t="s">
        <v>11328</v>
      </c>
      <c r="R407" s="7" t="s">
        <v>7692</v>
      </c>
      <c r="S407" s="7" t="s">
        <v>11364</v>
      </c>
      <c r="T407" s="7"/>
      <c r="U407" s="7" t="s">
        <v>11365</v>
      </c>
    </row>
    <row r="408" customFormat="false" ht="46.25" hidden="false" customHeight="false" outlineLevel="0" collapsed="false">
      <c r="A408" s="7" t="n">
        <v>101</v>
      </c>
      <c r="B408" s="7" t="s">
        <v>1219</v>
      </c>
      <c r="C408" s="7" t="s">
        <v>7679</v>
      </c>
      <c r="D408" s="7" t="s">
        <v>11366</v>
      </c>
      <c r="E408" s="7" t="s">
        <v>11367</v>
      </c>
      <c r="F408" s="7" t="n">
        <v>2022</v>
      </c>
      <c r="G408" s="7" t="s">
        <v>9552</v>
      </c>
      <c r="H408" s="7" t="s">
        <v>11368</v>
      </c>
      <c r="I408" s="7" t="s">
        <v>11369</v>
      </c>
      <c r="J408" s="7" t="s">
        <v>7685</v>
      </c>
      <c r="K408" s="7" t="s">
        <v>11370</v>
      </c>
      <c r="L408" s="7" t="s">
        <v>11371</v>
      </c>
      <c r="M408" s="7" t="s">
        <v>11372</v>
      </c>
      <c r="N408" s="7" t="s">
        <v>11373</v>
      </c>
      <c r="O408" s="7" t="s">
        <v>11374</v>
      </c>
      <c r="P408" s="7" t="s">
        <v>7690</v>
      </c>
      <c r="Q408" s="7" t="s">
        <v>11375</v>
      </c>
      <c r="R408" s="7" t="s">
        <v>7692</v>
      </c>
      <c r="S408" s="7" t="s">
        <v>11376</v>
      </c>
      <c r="T408" s="7" t="s">
        <v>11376</v>
      </c>
      <c r="U408" s="7" t="s">
        <v>11377</v>
      </c>
    </row>
    <row r="409" customFormat="false" ht="68.65" hidden="false" customHeight="false" outlineLevel="0" collapsed="false">
      <c r="A409" s="7" t="n">
        <v>101</v>
      </c>
      <c r="B409" s="7" t="s">
        <v>1219</v>
      </c>
      <c r="C409" s="7" t="s">
        <v>7679</v>
      </c>
      <c r="D409" s="7" t="s">
        <v>11378</v>
      </c>
      <c r="E409" s="7" t="s">
        <v>11379</v>
      </c>
      <c r="F409" s="7" t="n">
        <v>2025</v>
      </c>
      <c r="G409" s="7" t="s">
        <v>11380</v>
      </c>
      <c r="H409" s="7" t="s">
        <v>11381</v>
      </c>
      <c r="I409" s="7" t="s">
        <v>11382</v>
      </c>
      <c r="J409" s="7" t="s">
        <v>7685</v>
      </c>
      <c r="K409" s="7" t="s">
        <v>11383</v>
      </c>
      <c r="L409" s="7" t="s">
        <v>11384</v>
      </c>
      <c r="M409" s="7" t="s">
        <v>11385</v>
      </c>
      <c r="N409" s="7" t="s">
        <v>11386</v>
      </c>
      <c r="O409" s="7" t="s">
        <v>11374</v>
      </c>
      <c r="P409" s="7" t="s">
        <v>7690</v>
      </c>
      <c r="Q409" s="7" t="s">
        <v>7716</v>
      </c>
      <c r="R409" s="7" t="s">
        <v>7692</v>
      </c>
      <c r="S409" s="7" t="s">
        <v>11387</v>
      </c>
      <c r="T409" s="7" t="s">
        <v>11387</v>
      </c>
      <c r="U409" s="7"/>
    </row>
    <row r="410" customFormat="false" ht="35.05" hidden="false" customHeight="false" outlineLevel="0" collapsed="false">
      <c r="A410" s="7" t="n">
        <v>101</v>
      </c>
      <c r="B410" s="7" t="s">
        <v>1219</v>
      </c>
      <c r="C410" s="7" t="s">
        <v>7679</v>
      </c>
      <c r="D410" s="7" t="s">
        <v>11388</v>
      </c>
      <c r="E410" s="7" t="s">
        <v>11389</v>
      </c>
      <c r="F410" s="7" t="n">
        <v>2025</v>
      </c>
      <c r="G410" s="7" t="s">
        <v>11390</v>
      </c>
      <c r="H410" s="7" t="s">
        <v>11391</v>
      </c>
      <c r="I410" s="7" t="s">
        <v>11392</v>
      </c>
      <c r="J410" s="7" t="s">
        <v>7765</v>
      </c>
      <c r="K410" s="7" t="s">
        <v>11393</v>
      </c>
      <c r="L410" s="7" t="s">
        <v>11394</v>
      </c>
      <c r="M410" s="7" t="s">
        <v>11395</v>
      </c>
      <c r="N410" s="7" t="s">
        <v>11396</v>
      </c>
      <c r="O410" s="7" t="s">
        <v>11397</v>
      </c>
      <c r="P410" s="7" t="s">
        <v>7690</v>
      </c>
      <c r="Q410" s="7" t="s">
        <v>7727</v>
      </c>
      <c r="R410" s="7" t="s">
        <v>7692</v>
      </c>
      <c r="S410" s="7" t="s">
        <v>11398</v>
      </c>
      <c r="T410" s="7"/>
      <c r="U410" s="7"/>
    </row>
    <row r="411" customFormat="false" ht="57.45" hidden="false" customHeight="false" outlineLevel="0" collapsed="false">
      <c r="A411" s="7" t="n">
        <v>104</v>
      </c>
      <c r="B411" s="7" t="s">
        <v>1246</v>
      </c>
      <c r="C411" s="7" t="s">
        <v>7705</v>
      </c>
      <c r="D411" s="7" t="s">
        <v>11399</v>
      </c>
      <c r="E411" s="7" t="s">
        <v>11400</v>
      </c>
      <c r="F411" s="7" t="n">
        <v>2023</v>
      </c>
      <c r="G411" s="7" t="s">
        <v>7792</v>
      </c>
      <c r="H411" s="7" t="s">
        <v>7793</v>
      </c>
      <c r="I411" s="7" t="s">
        <v>11401</v>
      </c>
      <c r="J411" s="7" t="s">
        <v>7711</v>
      </c>
      <c r="K411" s="7" t="s">
        <v>11402</v>
      </c>
      <c r="L411" s="7" t="s">
        <v>11403</v>
      </c>
      <c r="M411" s="7" t="s">
        <v>7714</v>
      </c>
      <c r="N411" s="7" t="s">
        <v>8043</v>
      </c>
      <c r="O411" s="7"/>
      <c r="P411" s="7" t="s">
        <v>7690</v>
      </c>
      <c r="Q411" s="7" t="s">
        <v>7957</v>
      </c>
      <c r="R411" s="7" t="s">
        <v>7692</v>
      </c>
      <c r="S411" s="7" t="s">
        <v>11404</v>
      </c>
      <c r="T411" s="7"/>
      <c r="U411" s="7"/>
    </row>
    <row r="412" customFormat="false" ht="35.05" hidden="false" customHeight="false" outlineLevel="0" collapsed="false">
      <c r="A412" s="7" t="n">
        <v>104</v>
      </c>
      <c r="B412" s="7" t="s">
        <v>1246</v>
      </c>
      <c r="C412" s="7" t="s">
        <v>7679</v>
      </c>
      <c r="D412" s="7" t="s">
        <v>11405</v>
      </c>
      <c r="E412" s="7" t="s">
        <v>11406</v>
      </c>
      <c r="F412" s="7" t="n">
        <v>2024</v>
      </c>
      <c r="G412" s="7" t="s">
        <v>11407</v>
      </c>
      <c r="H412" s="7" t="s">
        <v>6993</v>
      </c>
      <c r="I412" s="7" t="s">
        <v>11408</v>
      </c>
      <c r="J412" s="7" t="s">
        <v>7685</v>
      </c>
      <c r="K412" s="7" t="s">
        <v>11409</v>
      </c>
      <c r="L412" s="7" t="s">
        <v>11410</v>
      </c>
      <c r="M412" s="7" t="s">
        <v>8954</v>
      </c>
      <c r="N412" s="7" t="s">
        <v>11411</v>
      </c>
      <c r="O412" s="7"/>
      <c r="P412" s="7" t="s">
        <v>7690</v>
      </c>
      <c r="Q412" s="7" t="s">
        <v>11412</v>
      </c>
      <c r="R412" s="7" t="s">
        <v>7692</v>
      </c>
      <c r="S412" s="7" t="s">
        <v>11413</v>
      </c>
      <c r="T412" s="7"/>
      <c r="U412" s="7"/>
    </row>
    <row r="413" customFormat="false" ht="35.05" hidden="false" customHeight="false" outlineLevel="0" collapsed="false">
      <c r="A413" s="7" t="n">
        <v>104</v>
      </c>
      <c r="B413" s="7" t="s">
        <v>1246</v>
      </c>
      <c r="C413" s="7" t="s">
        <v>7679</v>
      </c>
      <c r="D413" s="7" t="s">
        <v>11414</v>
      </c>
      <c r="E413" s="7" t="s">
        <v>11415</v>
      </c>
      <c r="F413" s="7" t="n">
        <v>2024</v>
      </c>
      <c r="G413" s="7" t="s">
        <v>11416</v>
      </c>
      <c r="H413" s="7" t="s">
        <v>11417</v>
      </c>
      <c r="I413" s="7" t="s">
        <v>11418</v>
      </c>
      <c r="J413" s="7" t="s">
        <v>7765</v>
      </c>
      <c r="K413" s="7" t="s">
        <v>11419</v>
      </c>
      <c r="L413" s="7" t="s">
        <v>11420</v>
      </c>
      <c r="M413" s="7" t="s">
        <v>8954</v>
      </c>
      <c r="N413" s="7" t="s">
        <v>11421</v>
      </c>
      <c r="O413" s="7" t="s">
        <v>11422</v>
      </c>
      <c r="P413" s="7" t="s">
        <v>7690</v>
      </c>
      <c r="Q413" s="7" t="s">
        <v>10164</v>
      </c>
      <c r="R413" s="7" t="s">
        <v>7692</v>
      </c>
      <c r="S413" s="7" t="s">
        <v>11423</v>
      </c>
      <c r="T413" s="7"/>
      <c r="U413" s="7"/>
    </row>
    <row r="414" customFormat="false" ht="68.65" hidden="false" customHeight="false" outlineLevel="0" collapsed="false">
      <c r="A414" s="7" t="n">
        <v>105</v>
      </c>
      <c r="B414" s="7" t="s">
        <v>1253</v>
      </c>
      <c r="C414" s="7" t="s">
        <v>7705</v>
      </c>
      <c r="D414" s="7" t="s">
        <v>11424</v>
      </c>
      <c r="E414" s="7" t="s">
        <v>11425</v>
      </c>
      <c r="F414" s="7" t="n">
        <v>2024</v>
      </c>
      <c r="G414" s="7" t="s">
        <v>7792</v>
      </c>
      <c r="H414" s="7" t="s">
        <v>11426</v>
      </c>
      <c r="I414" s="7" t="s">
        <v>11427</v>
      </c>
      <c r="J414" s="7" t="s">
        <v>7711</v>
      </c>
      <c r="K414" s="7" t="s">
        <v>11428</v>
      </c>
      <c r="L414" s="7" t="s">
        <v>11429</v>
      </c>
      <c r="M414" s="7" t="s">
        <v>7714</v>
      </c>
      <c r="N414" s="7" t="s">
        <v>7715</v>
      </c>
      <c r="O414" s="7"/>
      <c r="P414" s="7" t="s">
        <v>7690</v>
      </c>
      <c r="Q414" s="7" t="s">
        <v>11328</v>
      </c>
      <c r="R414" s="7" t="s">
        <v>7692</v>
      </c>
      <c r="S414" s="7" t="s">
        <v>11430</v>
      </c>
      <c r="T414" s="7"/>
      <c r="U414" s="7"/>
    </row>
    <row r="415" customFormat="false" ht="68.65" hidden="false" customHeight="false" outlineLevel="0" collapsed="false">
      <c r="A415" s="7" t="n">
        <v>106</v>
      </c>
      <c r="B415" s="7" t="s">
        <v>1260</v>
      </c>
      <c r="C415" s="7" t="s">
        <v>7705</v>
      </c>
      <c r="D415" s="7" t="s">
        <v>11431</v>
      </c>
      <c r="E415" s="7" t="s">
        <v>11432</v>
      </c>
      <c r="F415" s="7" t="n">
        <v>2024</v>
      </c>
      <c r="G415" s="7" t="s">
        <v>7792</v>
      </c>
      <c r="H415" s="7" t="s">
        <v>7793</v>
      </c>
      <c r="I415" s="7" t="s">
        <v>11433</v>
      </c>
      <c r="J415" s="7" t="s">
        <v>7711</v>
      </c>
      <c r="K415" s="7" t="s">
        <v>11434</v>
      </c>
      <c r="L415" s="7" t="s">
        <v>11435</v>
      </c>
      <c r="M415" s="7" t="s">
        <v>11436</v>
      </c>
      <c r="N415" s="7" t="s">
        <v>9129</v>
      </c>
      <c r="O415" s="7"/>
      <c r="P415" s="7" t="s">
        <v>7690</v>
      </c>
      <c r="Q415" s="7" t="s">
        <v>11328</v>
      </c>
      <c r="R415" s="7" t="s">
        <v>7692</v>
      </c>
      <c r="S415" s="7" t="s">
        <v>11437</v>
      </c>
      <c r="T415" s="7"/>
      <c r="U415" s="7" t="s">
        <v>11438</v>
      </c>
    </row>
    <row r="416" customFormat="false" ht="57.45" hidden="false" customHeight="false" outlineLevel="0" collapsed="false">
      <c r="A416" s="7" t="n">
        <v>107</v>
      </c>
      <c r="B416" s="7" t="s">
        <v>1267</v>
      </c>
      <c r="C416" s="7" t="s">
        <v>7705</v>
      </c>
      <c r="D416" s="7" t="s">
        <v>11439</v>
      </c>
      <c r="E416" s="7" t="s">
        <v>11440</v>
      </c>
      <c r="F416" s="7" t="n">
        <v>2025</v>
      </c>
      <c r="G416" s="7" t="s">
        <v>7792</v>
      </c>
      <c r="H416" s="7" t="s">
        <v>7793</v>
      </c>
      <c r="I416" s="7" t="s">
        <v>11441</v>
      </c>
      <c r="J416" s="7" t="s">
        <v>7711</v>
      </c>
      <c r="K416" s="7" t="s">
        <v>11442</v>
      </c>
      <c r="L416" s="7" t="s">
        <v>11443</v>
      </c>
      <c r="M416" s="7" t="s">
        <v>7714</v>
      </c>
      <c r="N416" s="7" t="s">
        <v>9129</v>
      </c>
      <c r="O416" s="7"/>
      <c r="P416" s="7" t="s">
        <v>7690</v>
      </c>
      <c r="Q416" s="7" t="s">
        <v>11328</v>
      </c>
      <c r="R416" s="7" t="s">
        <v>7692</v>
      </c>
      <c r="S416" s="7" t="s">
        <v>11444</v>
      </c>
      <c r="T416" s="7"/>
      <c r="U416" s="7" t="s">
        <v>11445</v>
      </c>
    </row>
    <row r="417" customFormat="false" ht="46.25" hidden="false" customHeight="false" outlineLevel="0" collapsed="false">
      <c r="A417" s="7" t="n">
        <v>107</v>
      </c>
      <c r="B417" s="7" t="s">
        <v>1267</v>
      </c>
      <c r="C417" s="7" t="s">
        <v>7679</v>
      </c>
      <c r="D417" s="7" t="s">
        <v>11446</v>
      </c>
      <c r="E417" s="7" t="s">
        <v>11447</v>
      </c>
      <c r="F417" s="7" t="n">
        <v>2025</v>
      </c>
      <c r="G417" s="7" t="s">
        <v>11448</v>
      </c>
      <c r="H417" s="7" t="s">
        <v>11449</v>
      </c>
      <c r="I417" s="7" t="s">
        <v>11450</v>
      </c>
      <c r="J417" s="7" t="s">
        <v>7765</v>
      </c>
      <c r="K417" s="7" t="s">
        <v>11451</v>
      </c>
      <c r="L417" s="7" t="s">
        <v>11452</v>
      </c>
      <c r="M417" s="7" t="s">
        <v>11453</v>
      </c>
      <c r="N417" s="7" t="s">
        <v>11454</v>
      </c>
      <c r="O417" s="7" t="s">
        <v>11455</v>
      </c>
      <c r="P417" s="7" t="s">
        <v>7690</v>
      </c>
      <c r="Q417" s="7" t="s">
        <v>7727</v>
      </c>
      <c r="R417" s="7" t="s">
        <v>7692</v>
      </c>
      <c r="S417" s="7" t="s">
        <v>11456</v>
      </c>
      <c r="T417" s="7"/>
      <c r="U417" s="7" t="s">
        <v>11457</v>
      </c>
    </row>
  </sheetData>
  <autoFilter ref="A1:U4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5" hidden="false" customHeight="false" outlineLevel="0" collapsed="false">
      <c r="A1" s="8" t="s">
        <v>11458</v>
      </c>
    </row>
    <row r="2" customFormat="false" ht="15" hidden="false" customHeight="false" outlineLevel="0" collapsed="false">
      <c r="A2" s="9"/>
    </row>
    <row r="3" customFormat="false" ht="15" hidden="false" customHeight="false" outlineLevel="0" collapsed="false">
      <c r="A3" s="8" t="s">
        <v>11459</v>
      </c>
    </row>
    <row r="4" customFormat="false" ht="15" hidden="false" customHeight="false" outlineLevel="0" collapsed="false">
      <c r="A4" s="9" t="s">
        <v>11460</v>
      </c>
    </row>
    <row r="5" customFormat="false" ht="57.45" hidden="false" customHeight="false" outlineLevel="0" collapsed="false">
      <c r="A5" s="9" t="s">
        <v>11461</v>
      </c>
    </row>
    <row r="6" customFormat="false" ht="15" hidden="false" customHeight="false" outlineLevel="0" collapsed="false">
      <c r="A6" s="9" t="s">
        <v>11462</v>
      </c>
    </row>
    <row r="7" customFormat="false" ht="15" hidden="false" customHeight="false" outlineLevel="0" collapsed="false">
      <c r="A7" s="9" t="s">
        <v>11463</v>
      </c>
    </row>
    <row r="8" customFormat="false" ht="15" hidden="false" customHeight="false" outlineLevel="0" collapsed="false">
      <c r="A8" s="9"/>
    </row>
    <row r="9" customFormat="false" ht="15" hidden="false" customHeight="false" outlineLevel="0" collapsed="false">
      <c r="A9" s="8" t="s">
        <v>11464</v>
      </c>
    </row>
    <row r="10" customFormat="false" ht="23.85" hidden="false" customHeight="false" outlineLevel="0" collapsed="false">
      <c r="A10" s="9" t="s">
        <v>11465</v>
      </c>
    </row>
    <row r="11" customFormat="false" ht="15" hidden="false" customHeight="false" outlineLevel="0" collapsed="false">
      <c r="A11" s="9"/>
    </row>
    <row r="12" customFormat="false" ht="15" hidden="false" customHeight="false" outlineLevel="0" collapsed="false">
      <c r="A12" s="8" t="s">
        <v>11466</v>
      </c>
    </row>
    <row r="13" customFormat="false" ht="15" hidden="false" customHeight="false" outlineLevel="0" collapsed="false">
      <c r="A13" s="9" t="s">
        <v>11467</v>
      </c>
    </row>
    <row r="14" customFormat="false" ht="23.85" hidden="false" customHeight="false" outlineLevel="0" collapsed="false">
      <c r="A14" s="9" t="s">
        <v>11468</v>
      </c>
    </row>
    <row r="15" customFormat="false" ht="15" hidden="false" customHeight="false" outlineLevel="0" collapsed="false">
      <c r="A15" s="9" t="s">
        <v>11469</v>
      </c>
    </row>
    <row r="16" customFormat="false" ht="15" hidden="false" customHeight="false" outlineLevel="0" collapsed="false">
      <c r="A16" s="9" t="s">
        <v>11470</v>
      </c>
    </row>
    <row r="17" customFormat="false" ht="15" hidden="false" customHeight="false" outlineLevel="0" collapsed="false">
      <c r="A17" s="9"/>
    </row>
    <row r="18" customFormat="false" ht="15" hidden="false" customHeight="false" outlineLevel="0" collapsed="false">
      <c r="A18" s="8" t="s">
        <v>11471</v>
      </c>
    </row>
    <row r="19" customFormat="false" ht="15" hidden="false" customHeight="false" outlineLevel="0" collapsed="false">
      <c r="A19" s="9" t="s">
        <v>11472</v>
      </c>
    </row>
    <row r="20" customFormat="false" ht="15" hidden="false" customHeight="false" outlineLevel="0" collapsed="false">
      <c r="A20" s="9"/>
    </row>
    <row r="21" customFormat="false" ht="15" hidden="false" customHeight="false" outlineLevel="0" collapsed="false">
      <c r="A21" s="9" t="s">
        <v>11473</v>
      </c>
    </row>
    <row r="22" customFormat="false" ht="15" hidden="false" customHeight="false" outlineLevel="0" collapsed="false">
      <c r="A22" s="9" t="s">
        <v>11474</v>
      </c>
    </row>
    <row r="23" customFormat="false" ht="15" hidden="false" customHeight="false" outlineLevel="0" collapsed="false">
      <c r="A23" s="9" t="s">
        <v>11475</v>
      </c>
    </row>
    <row r="24" customFormat="false" ht="15" hidden="false" customHeight="false" outlineLevel="0" collapsed="false">
      <c r="A24" s="9" t="s">
        <v>11476</v>
      </c>
    </row>
    <row r="25" customFormat="false" ht="15" hidden="false" customHeight="false" outlineLevel="0" collapsed="false">
      <c r="A25" s="9" t="s">
        <v>11477</v>
      </c>
    </row>
    <row r="26" customFormat="false" ht="15" hidden="false" customHeight="false" outlineLevel="0" collapsed="false">
      <c r="A26" s="9" t="s">
        <v>11478</v>
      </c>
    </row>
    <row r="27" customFormat="false" ht="15" hidden="false" customHeight="false" outlineLevel="0" collapsed="false">
      <c r="A27" s="9" t="s">
        <v>11479</v>
      </c>
    </row>
    <row r="28" customFormat="false" ht="15" hidden="false" customHeight="false" outlineLevel="0" collapsed="false">
      <c r="A28" s="9"/>
    </row>
    <row r="29" customFormat="false" ht="15" hidden="false" customHeight="false" outlineLevel="0" collapsed="false">
      <c r="A29" s="9" t="s">
        <v>11480</v>
      </c>
    </row>
    <row r="30" customFormat="false" ht="15" hidden="false" customHeight="false" outlineLevel="0" collapsed="false">
      <c r="A30" s="9" t="s">
        <v>11481</v>
      </c>
    </row>
    <row r="31" customFormat="false" ht="15" hidden="false" customHeight="false" outlineLevel="0" collapsed="false">
      <c r="A31" s="9" t="s">
        <v>11482</v>
      </c>
    </row>
    <row r="32" customFormat="false" ht="15" hidden="false" customHeight="false" outlineLevel="0" collapsed="false">
      <c r="A32" s="9" t="s">
        <v>11483</v>
      </c>
    </row>
    <row r="33" customFormat="false" ht="15" hidden="false" customHeight="false" outlineLevel="0" collapsed="false">
      <c r="A33" s="9" t="s">
        <v>11484</v>
      </c>
    </row>
    <row r="34" customFormat="false" ht="15" hidden="false" customHeight="false" outlineLevel="0" collapsed="false">
      <c r="A34" s="9" t="s">
        <v>11485</v>
      </c>
    </row>
    <row r="35" customFormat="false" ht="35.05" hidden="false" customHeight="false" outlineLevel="0" collapsed="false">
      <c r="A35" s="9" t="s">
        <v>11486</v>
      </c>
    </row>
    <row r="36" customFormat="false" ht="15" hidden="false" customHeight="false" outlineLevel="0" collapsed="false">
      <c r="A36" s="9"/>
    </row>
    <row r="37" customFormat="false" ht="23.85" hidden="false" customHeight="false" outlineLevel="0" collapsed="false">
      <c r="A37" s="9" t="s">
        <v>11487</v>
      </c>
    </row>
    <row r="38" customFormat="false" ht="15" hidden="false" customHeight="false" outlineLevel="0" collapsed="false">
      <c r="A38" s="9"/>
    </row>
    <row r="39" customFormat="false" ht="15" hidden="false" customHeight="false" outlineLevel="0" collapsed="false">
      <c r="A39" s="8" t="s">
        <v>11488</v>
      </c>
    </row>
    <row r="40" customFormat="false" ht="23.85" hidden="false" customHeight="false" outlineLevel="0" collapsed="false">
      <c r="A40" s="9" t="s">
        <v>11489</v>
      </c>
    </row>
    <row r="41" customFormat="false" ht="15" hidden="false" customHeight="false" outlineLevel="0" collapsed="false">
      <c r="A41" s="9" t="s">
        <v>11490</v>
      </c>
    </row>
    <row r="42" customFormat="false" ht="15" hidden="false" customHeight="false" outlineLevel="0" collapsed="false">
      <c r="A42" s="9" t="s">
        <v>11491</v>
      </c>
    </row>
    <row r="43" customFormat="false" ht="23.85" hidden="false" customHeight="false" outlineLevel="0" collapsed="false">
      <c r="A43" s="9" t="s">
        <v>11492</v>
      </c>
    </row>
    <row r="44" customFormat="false" ht="15" hidden="false" customHeight="false" outlineLevel="0" collapsed="false">
      <c r="A44" s="9" t="s">
        <v>11493</v>
      </c>
    </row>
    <row r="45" customFormat="false" ht="15" hidden="false" customHeight="false" outlineLevel="0" collapsed="false">
      <c r="A45" s="9"/>
    </row>
    <row r="46" customFormat="false" ht="15" hidden="false" customHeight="false" outlineLevel="0" collapsed="false">
      <c r="A46" s="9" t="s">
        <v>11494</v>
      </c>
    </row>
    <row r="47" customFormat="false" ht="15" hidden="false" customHeight="false" outlineLevel="0" collapsed="false">
      <c r="A47" s="9"/>
    </row>
    <row r="48" customFormat="false" ht="15" hidden="false" customHeight="false" outlineLevel="0" collapsed="false">
      <c r="A48" s="8" t="s">
        <v>11495</v>
      </c>
    </row>
    <row r="49" customFormat="false" ht="23.85" hidden="false" customHeight="false" outlineLevel="0" collapsed="false">
      <c r="A49" s="9" t="s">
        <v>11496</v>
      </c>
    </row>
    <row r="50" customFormat="false" ht="15" hidden="false" customHeight="false" outlineLevel="0" collapsed="false">
      <c r="A50" s="9"/>
    </row>
    <row r="51" customFormat="false" ht="15" hidden="false" customHeight="false" outlineLevel="0" collapsed="false">
      <c r="A51" s="8" t="s">
        <v>11497</v>
      </c>
    </row>
    <row r="52" customFormat="false" ht="15" hidden="false" customHeight="false" outlineLevel="0" collapsed="false">
      <c r="A52" s="9" t="s">
        <v>11498</v>
      </c>
    </row>
    <row r="53" customFormat="false" ht="23.85" hidden="false" customHeight="false" outlineLevel="0" collapsed="false">
      <c r="A53" s="9" t="s">
        <v>11499</v>
      </c>
    </row>
    <row r="54" customFormat="false" ht="23.85" hidden="false" customHeight="false" outlineLevel="0" collapsed="false">
      <c r="A54" s="9" t="s">
        <v>11500</v>
      </c>
    </row>
    <row r="55" customFormat="false" ht="15" hidden="false" customHeight="false" outlineLevel="0" collapsed="false">
      <c r="A55" s="9" t="s">
        <v>11501</v>
      </c>
    </row>
    <row r="56" customFormat="false" ht="15" hidden="false" customHeight="false" outlineLevel="0" collapsed="false">
      <c r="A56" s="9" t="s">
        <v>11502</v>
      </c>
    </row>
    <row r="57" customFormat="false" ht="15" hidden="false" customHeight="false" outlineLevel="0" collapsed="false">
      <c r="A57" s="9" t="s">
        <v>11503</v>
      </c>
    </row>
    <row r="58" customFormat="false" ht="23.85" hidden="false" customHeight="false" outlineLevel="0" collapsed="false">
      <c r="A58" s="9" t="s">
        <v>11504</v>
      </c>
    </row>
    <row r="59" customFormat="false" ht="15" hidden="false" customHeight="false" outlineLevel="0" collapsed="false">
      <c r="A59" s="9"/>
    </row>
    <row r="60" customFormat="false" ht="15" hidden="false" customHeight="false" outlineLevel="0" collapsed="false">
      <c r="A60" s="8" t="s">
        <v>11505</v>
      </c>
    </row>
    <row r="61" customFormat="false" ht="23.85" hidden="false" customHeight="false" outlineLevel="0" collapsed="false">
      <c r="A61" s="9" t="s">
        <v>11506</v>
      </c>
    </row>
    <row r="62" customFormat="false" ht="15" hidden="false" customHeight="false" outlineLevel="0" collapsed="false">
      <c r="A62" s="9"/>
    </row>
    <row r="63" customFormat="false" ht="15" hidden="false" customHeight="false" outlineLevel="0" collapsed="false">
      <c r="A63" s="8" t="s">
        <v>11507</v>
      </c>
    </row>
    <row r="64" customFormat="false" ht="23.85" hidden="false" customHeight="false" outlineLevel="0" collapsed="false">
      <c r="A64" s="9" t="s">
        <v>11508</v>
      </c>
    </row>
    <row r="65" customFormat="false" ht="23.85" hidden="false" customHeight="false" outlineLevel="0" collapsed="false">
      <c r="A65" s="9" t="s">
        <v>11509</v>
      </c>
    </row>
    <row r="66" customFormat="false" ht="15" hidden="false" customHeight="false" outlineLevel="0" collapsed="false">
      <c r="A66" s="9"/>
    </row>
    <row r="67" customFormat="false" ht="15" hidden="false" customHeight="false" outlineLevel="0" collapsed="false">
      <c r="A67" s="8" t="s">
        <v>11510</v>
      </c>
    </row>
    <row r="68" customFormat="false" ht="15" hidden="false" customHeight="false" outlineLevel="0" collapsed="false">
      <c r="A68" s="9" t="s">
        <v>11511</v>
      </c>
    </row>
    <row r="69" customFormat="false" ht="23.85" hidden="false" customHeight="false" outlineLevel="0" collapsed="false">
      <c r="A69" s="9" t="s">
        <v>11512</v>
      </c>
    </row>
    <row r="70" customFormat="false" ht="23.85" hidden="false" customHeight="false" outlineLevel="0" collapsed="false">
      <c r="A70" s="9" t="s">
        <v>11513</v>
      </c>
    </row>
    <row r="71" customFormat="false" ht="35.05" hidden="false" customHeight="false" outlineLevel="0" collapsed="false">
      <c r="A71" s="9" t="s">
        <v>11514</v>
      </c>
    </row>
    <row r="72" customFormat="false" ht="15" hidden="false" customHeight="false" outlineLevel="0" collapsed="false">
      <c r="A72" s="9" t="s">
        <v>11515</v>
      </c>
    </row>
    <row r="73" customFormat="false" ht="15" hidden="false" customHeight="false" outlineLevel="0" collapsed="false">
      <c r="A73" s="9"/>
    </row>
    <row r="74" customFormat="false" ht="15" hidden="false" customHeight="false" outlineLevel="0" collapsed="false">
      <c r="A74" s="8" t="s">
        <v>11516</v>
      </c>
    </row>
    <row r="75" customFormat="false" ht="15" hidden="false" customHeight="false" outlineLevel="0" collapsed="false">
      <c r="A75" s="9" t="s">
        <v>11517</v>
      </c>
    </row>
    <row r="76" customFormat="false" ht="35.05" hidden="false" customHeight="false" outlineLevel="0" collapsed="false">
      <c r="A76" s="9" t="s">
        <v>11518</v>
      </c>
    </row>
    <row r="77" customFormat="false" ht="35.05" hidden="false" customHeight="false" outlineLevel="0" collapsed="false">
      <c r="A77" s="9" t="s">
        <v>11519</v>
      </c>
    </row>
    <row r="78" customFormat="false" ht="23.85" hidden="false" customHeight="false" outlineLevel="0" collapsed="false">
      <c r="A78" s="9" t="s">
        <v>11520</v>
      </c>
    </row>
    <row r="79" customFormat="false" ht="15" hidden="false" customHeight="false" outlineLevel="0" collapsed="false">
      <c r="A79" s="9" t="s">
        <v>11521</v>
      </c>
    </row>
    <row r="80" customFormat="false" ht="23.85" hidden="false" customHeight="false" outlineLevel="0" collapsed="false">
      <c r="A80" s="9" t="s">
        <v>11522</v>
      </c>
    </row>
    <row r="81" customFormat="false" ht="15" hidden="false" customHeight="false" outlineLevel="0" collapsed="false">
      <c r="A81" s="9" t="s">
        <v>11523</v>
      </c>
    </row>
    <row r="82" customFormat="false" ht="15" hidden="false" customHeight="false" outlineLevel="0" collapsed="false">
      <c r="A82" s="9"/>
    </row>
    <row r="83" customFormat="false" ht="15" hidden="false" customHeight="false" outlineLevel="0" collapsed="false">
      <c r="A83" s="8" t="s">
        <v>11524</v>
      </c>
    </row>
    <row r="84" customFormat="false" ht="23.85" hidden="false" customHeight="false" outlineLevel="0" collapsed="false">
      <c r="A84" s="9" t="s">
        <v>11525</v>
      </c>
    </row>
    <row r="85" customFormat="false" ht="15" hidden="false" customHeight="false" outlineLevel="0" collapsed="false">
      <c r="A85" s="9"/>
    </row>
    <row r="86" customFormat="false" ht="15" hidden="false" customHeight="false" outlineLevel="0" collapsed="false">
      <c r="A86" s="8" t="s">
        <v>11526</v>
      </c>
    </row>
    <row r="87" customFormat="false" ht="15" hidden="false" customHeight="false" outlineLevel="0" collapsed="false">
      <c r="A87" s="9" t="s">
        <v>11527</v>
      </c>
    </row>
    <row r="88" customFormat="false" ht="15" hidden="false" customHeight="false" outlineLevel="0" collapsed="false">
      <c r="A88" s="9" t="s">
        <v>11528</v>
      </c>
    </row>
    <row r="89" customFormat="false" ht="15" hidden="false" customHeight="false" outlineLevel="0" collapsed="false">
      <c r="A89" s="9" t="s">
        <v>11529</v>
      </c>
    </row>
    <row r="90" customFormat="false" ht="15" hidden="false" customHeight="false" outlineLevel="0" collapsed="false">
      <c r="A90" s="9" t="s">
        <v>11530</v>
      </c>
    </row>
    <row r="91" customFormat="false" ht="15" hidden="false" customHeight="false" outlineLevel="0" collapsed="false">
      <c r="A91" s="9" t="s">
        <v>11531</v>
      </c>
    </row>
    <row r="92" customFormat="false" ht="46.25" hidden="false" customHeight="false" outlineLevel="0" collapsed="false">
      <c r="A92" s="9" t="s">
        <v>11532</v>
      </c>
    </row>
    <row r="93" customFormat="false" ht="15" hidden="false" customHeight="false" outlineLevel="0" collapsed="false">
      <c r="A93" s="9"/>
    </row>
    <row r="94" customFormat="false" ht="15" hidden="false" customHeight="false" outlineLevel="0" collapsed="false">
      <c r="A94" s="8" t="s">
        <v>11533</v>
      </c>
    </row>
    <row r="95" customFormat="false" ht="15" hidden="false" customHeight="false" outlineLevel="0" collapsed="false">
      <c r="A95" s="9" t="s">
        <v>11534</v>
      </c>
    </row>
    <row r="96" customFormat="false" ht="15" hidden="false" customHeight="false" outlineLevel="0" collapsed="false">
      <c r="A96" s="9" t="s">
        <v>11535</v>
      </c>
    </row>
    <row r="97" customFormat="false" ht="15" hidden="false" customHeight="false" outlineLevel="0" collapsed="false">
      <c r="A97" s="9" t="s">
        <v>11536</v>
      </c>
    </row>
    <row r="98" customFormat="false" ht="15" hidden="false" customHeight="false" outlineLevel="0" collapsed="false">
      <c r="A98" s="9" t="s">
        <v>11537</v>
      </c>
    </row>
    <row r="99" customFormat="false" ht="15" hidden="false" customHeight="false" outlineLevel="0" collapsed="false">
      <c r="A99" s="9"/>
    </row>
    <row r="100" customFormat="false" ht="15" hidden="false" customHeight="false" outlineLevel="0" collapsed="false">
      <c r="A100" s="8" t="s">
        <v>11538</v>
      </c>
    </row>
    <row r="101" customFormat="false" ht="23.85" hidden="false" customHeight="false" outlineLevel="0" collapsed="false">
      <c r="A101" s="9" t="s">
        <v>11539</v>
      </c>
    </row>
    <row r="102" customFormat="false" ht="15" hidden="false" customHeight="false" outlineLevel="0" collapsed="false">
      <c r="A102" s="9" t="s">
        <v>11540</v>
      </c>
    </row>
    <row r="103" customFormat="false" ht="35.05" hidden="false" customHeight="false" outlineLevel="0" collapsed="false">
      <c r="A103" s="9" t="s">
        <v>11541</v>
      </c>
    </row>
    <row r="104" customFormat="false" ht="23.85" hidden="false" customHeight="false" outlineLevel="0" collapsed="false">
      <c r="A104" s="9" t="s">
        <v>11542</v>
      </c>
    </row>
    <row r="105" customFormat="false" ht="15" hidden="false" customHeight="false" outlineLevel="0" collapsed="false">
      <c r="A105" s="9" t="s">
        <v>11543</v>
      </c>
    </row>
    <row r="106" customFormat="false" ht="15" hidden="false" customHeight="false" outlineLevel="0" collapsed="false">
      <c r="A106" s="9"/>
    </row>
    <row r="107" customFormat="false" ht="15" hidden="false" customHeight="false" outlineLevel="0" collapsed="false">
      <c r="A107" s="8" t="s">
        <v>11544</v>
      </c>
    </row>
    <row r="108" customFormat="false" ht="15" hidden="false" customHeight="false" outlineLevel="0" collapsed="false">
      <c r="A108" s="9" t="s">
        <v>11545</v>
      </c>
    </row>
    <row r="109" customFormat="false" ht="15" hidden="false" customHeight="false" outlineLevel="0" collapsed="false">
      <c r="A109" s="9" t="s">
        <v>11546</v>
      </c>
    </row>
    <row r="110" customFormat="false" ht="15" hidden="false" customHeight="false" outlineLevel="0" collapsed="false">
      <c r="A110" s="9" t="s">
        <v>11547</v>
      </c>
    </row>
    <row r="111" customFormat="false" ht="15" hidden="false" customHeight="false" outlineLevel="0" collapsed="false">
      <c r="A111" s="9" t="s">
        <v>11548</v>
      </c>
    </row>
    <row r="112" customFormat="false" ht="15" hidden="false" customHeight="false" outlineLevel="0" collapsed="false">
      <c r="A112" s="9" t="s">
        <v>11549</v>
      </c>
    </row>
    <row r="113" customFormat="false" ht="15" hidden="false" customHeight="false" outlineLevel="0" collapsed="false">
      <c r="A113" s="9" t="s">
        <v>11550</v>
      </c>
    </row>
    <row r="114" customFormat="false" ht="15" hidden="false" customHeight="false" outlineLevel="0" collapsed="false">
      <c r="A114" s="9" t="s">
        <v>11551</v>
      </c>
    </row>
    <row r="115" customFormat="false" ht="15" hidden="false" customHeight="false" outlineLevel="0" collapsed="false">
      <c r="A115" s="9" t="s">
        <v>11552</v>
      </c>
    </row>
    <row r="116" customFormat="false" ht="23.85" hidden="false" customHeight="false" outlineLevel="0" collapsed="false">
      <c r="A116" s="9" t="s">
        <v>11553</v>
      </c>
    </row>
    <row r="117" customFormat="false" ht="15" hidden="false" customHeight="false" outlineLevel="0" collapsed="false">
      <c r="A117" s="9" t="s">
        <v>11554</v>
      </c>
    </row>
    <row r="118" customFormat="false" ht="15" hidden="false" customHeight="false" outlineLevel="0" collapsed="false">
      <c r="A118" s="9" t="s">
        <v>11555</v>
      </c>
    </row>
    <row r="119" customFormat="false" ht="15" hidden="false" customHeight="false" outlineLevel="0" collapsed="false">
      <c r="A119" s="9" t="s">
        <v>11556</v>
      </c>
    </row>
    <row r="120" customFormat="false" ht="15" hidden="false" customHeight="false" outlineLevel="0" collapsed="false">
      <c r="A120" s="9" t="s">
        <v>11557</v>
      </c>
    </row>
    <row r="121" customFormat="false" ht="15" hidden="false" customHeight="false" outlineLevel="0" collapsed="false">
      <c r="A121" s="9" t="s">
        <v>11558</v>
      </c>
    </row>
    <row r="122" customFormat="false" ht="15" hidden="false" customHeight="false" outlineLevel="0" collapsed="false">
      <c r="A122" s="9" t="s">
        <v>11559</v>
      </c>
    </row>
    <row r="123" customFormat="false" ht="15" hidden="false" customHeight="false" outlineLevel="0" collapsed="false">
      <c r="A123" s="9" t="s">
        <v>11560</v>
      </c>
    </row>
    <row r="124" customFormat="false" ht="15" hidden="false" customHeight="false" outlineLevel="0" collapsed="false">
      <c r="A124" s="9" t="s">
        <v>11561</v>
      </c>
    </row>
    <row r="125" customFormat="false" ht="15" hidden="false" customHeight="false" outlineLevel="0" collapsed="false">
      <c r="A125" s="9" t="s">
        <v>11562</v>
      </c>
    </row>
    <row r="126" customFormat="false" ht="15" hidden="false" customHeight="false" outlineLevel="0" collapsed="false">
      <c r="A126" s="9" t="s">
        <v>11563</v>
      </c>
    </row>
    <row r="127" customFormat="false" ht="23.85" hidden="false" customHeight="false" outlineLevel="0" collapsed="false">
      <c r="A127" s="9" t="s">
        <v>11564</v>
      </c>
    </row>
    <row r="128" customFormat="false" ht="15" hidden="false" customHeight="false" outlineLevel="0" collapsed="false">
      <c r="A128" s="9" t="s">
        <v>11565</v>
      </c>
    </row>
    <row r="129" customFormat="false" ht="15" hidden="false" customHeight="false" outlineLevel="0" collapsed="false">
      <c r="A129" s="9" t="s">
        <v>11566</v>
      </c>
    </row>
    <row r="130" customFormat="false" ht="15" hidden="false" customHeight="false" outlineLevel="0" collapsed="false">
      <c r="A130" s="9" t="s">
        <v>11567</v>
      </c>
    </row>
    <row r="131" customFormat="false" ht="15" hidden="false" customHeight="false" outlineLevel="0" collapsed="false">
      <c r="A131" s="9" t="s">
        <v>11568</v>
      </c>
    </row>
    <row r="132" customFormat="false" ht="15" hidden="false" customHeight="false" outlineLevel="0" collapsed="false">
      <c r="A132" s="9" t="s">
        <v>11569</v>
      </c>
    </row>
    <row r="133" customFormat="false" ht="23.85" hidden="false" customHeight="false" outlineLevel="0" collapsed="false">
      <c r="A133" s="9" t="s">
        <v>11570</v>
      </c>
    </row>
    <row r="134" customFormat="false" ht="23.85" hidden="false" customHeight="false" outlineLevel="0" collapsed="false">
      <c r="A134" s="9" t="s">
        <v>11571</v>
      </c>
    </row>
    <row r="135" customFormat="false" ht="23.85" hidden="false" customHeight="false" outlineLevel="0" collapsed="false">
      <c r="A135" s="9" t="s">
        <v>11572</v>
      </c>
    </row>
    <row r="136" customFormat="false" ht="23.85" hidden="false" customHeight="false" outlineLevel="0" collapsed="false">
      <c r="A136" s="9" t="s">
        <v>11573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12"/>
    <col collapsed="false" customWidth="true" hidden="false" outlineLevel="0" max="5" min="5" style="0" width="14"/>
    <col collapsed="false" customWidth="true" hidden="false" outlineLevel="0" max="6" min="6" style="0" width="10"/>
    <col collapsed="false" customWidth="true" hidden="false" outlineLevel="0" max="8" min="7" style="0" width="14"/>
    <col collapsed="false" customWidth="true" hidden="false" outlineLevel="0" max="9" min="9" style="0" width="12"/>
  </cols>
  <sheetData>
    <row r="1" customFormat="false" ht="45" hidden="false" customHeight="true" outlineLevel="0" collapsed="false">
      <c r="A1" s="1" t="s">
        <v>11574</v>
      </c>
      <c r="B1" s="1" t="s">
        <v>11575</v>
      </c>
      <c r="C1" s="1" t="s">
        <v>11576</v>
      </c>
      <c r="D1" s="1" t="s">
        <v>11577</v>
      </c>
      <c r="E1" s="1" t="s">
        <v>11578</v>
      </c>
      <c r="F1" s="1" t="s">
        <v>11579</v>
      </c>
      <c r="G1" s="1" t="s">
        <v>11580</v>
      </c>
      <c r="H1" s="1" t="s">
        <v>11581</v>
      </c>
      <c r="I1" s="1" t="s">
        <v>11582</v>
      </c>
    </row>
    <row r="2" customFormat="false" ht="15" hidden="false" customHeight="false" outlineLevel="0" collapsed="false">
      <c r="A2" s="2" t="s">
        <v>11583</v>
      </c>
      <c r="B2" s="2" t="n">
        <v>78</v>
      </c>
      <c r="C2" s="2" t="n">
        <v>6</v>
      </c>
      <c r="D2" s="2" t="n">
        <v>0</v>
      </c>
      <c r="E2" s="2" t="n">
        <v>16</v>
      </c>
      <c r="F2" s="2" t="n">
        <v>0.929</v>
      </c>
      <c r="G2" s="2" t="n">
        <v>1</v>
      </c>
      <c r="H2" s="2" t="n">
        <v>0.705</v>
      </c>
      <c r="I2" s="2" t="n">
        <v>78</v>
      </c>
    </row>
    <row r="3" customFormat="false" ht="15" hidden="false" customHeight="false" outlineLevel="0" collapsed="false">
      <c r="A3" s="2" t="s">
        <v>11584</v>
      </c>
      <c r="B3" s="2" t="n">
        <v>69</v>
      </c>
      <c r="C3" s="2" t="n">
        <v>9</v>
      </c>
      <c r="D3" s="2" t="n">
        <v>0</v>
      </c>
      <c r="E3" s="2" t="n">
        <v>13</v>
      </c>
      <c r="F3" s="2" t="n">
        <v>0.885</v>
      </c>
      <c r="G3" s="2" t="n">
        <v>1</v>
      </c>
      <c r="H3" s="2" t="n">
        <v>0.652</v>
      </c>
      <c r="I3" s="2" t="n">
        <v>69</v>
      </c>
    </row>
    <row r="4" customFormat="false" ht="15" hidden="false" customHeight="false" outlineLevel="0" collapsed="false">
      <c r="A4" s="2" t="s">
        <v>11585</v>
      </c>
      <c r="B4" s="2" t="s">
        <v>11586</v>
      </c>
      <c r="C4" s="2"/>
      <c r="D4" s="2"/>
      <c r="E4" s="2"/>
      <c r="F4" s="2"/>
      <c r="G4" s="2"/>
      <c r="H4" s="2"/>
      <c r="I4" s="2"/>
    </row>
    <row r="5" customFormat="false" ht="15" hidden="false" customHeight="false" outlineLevel="0" collapsed="false">
      <c r="A5" s="2" t="s">
        <v>11587</v>
      </c>
      <c r="B5" s="2" t="n">
        <v>84</v>
      </c>
      <c r="C5" s="2" t="n">
        <v>16</v>
      </c>
      <c r="D5" s="2"/>
      <c r="E5" s="2"/>
      <c r="F5" s="2" t="n">
        <v>0.84</v>
      </c>
      <c r="G5" s="2"/>
      <c r="H5" s="2" t="n">
        <v>0.738</v>
      </c>
      <c r="I5" s="2" t="n">
        <v>84</v>
      </c>
    </row>
    <row r="6" customFormat="false" ht="15" hidden="false" customHeight="false" outlineLevel="0" collapsed="false">
      <c r="A6" s="2" t="s">
        <v>68</v>
      </c>
      <c r="B6" s="2" t="s">
        <v>11588</v>
      </c>
      <c r="C6" s="2"/>
      <c r="D6" s="2"/>
      <c r="E6" s="2"/>
      <c r="F6" s="2"/>
      <c r="G6" s="2"/>
      <c r="H6" s="2"/>
      <c r="I6" s="2"/>
    </row>
  </sheetData>
  <autoFilter ref="A1:I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2026-10-10T14:15:00Z</dcterms:created>
  <dc:creator>openpyxl</dc:creator>
  <dc:description/>
  <dc:language>en-US</dc:language>
  <cp:lastModifiedBy/>
  <dcterms:modified xsi:type="dcterms:W3CDTF">2026-10-10T14:15:03Z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